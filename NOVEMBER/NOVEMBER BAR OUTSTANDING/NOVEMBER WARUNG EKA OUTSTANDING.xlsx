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WARUNG EKA (DRINKS, ETC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<sst xmlns="http://schemas.openxmlformats.org/spreadsheetml/2006/main" count="124" uniqueCount="27">
  <si>
    <t>INV NO</t>
  </si>
  <si>
    <t>DATE</t>
  </si>
  <si>
    <t>ITEM</t>
  </si>
  <si>
    <t>QYT</t>
  </si>
  <si>
    <t>PRICE</t>
  </si>
  <si>
    <t>SUBTOTAL</t>
  </si>
  <si>
    <t>TOTALPRICE</t>
  </si>
  <si>
    <t>CRYSTAL ICE 5 KG</t>
  </si>
  <si>
    <t>AQUA GALLON</t>
  </si>
  <si>
    <t>AQUA REFLECTIONS STILL 750ML</t>
  </si>
  <si>
    <t>CLEO GALLON</t>
  </si>
  <si>
    <t>COKE ZERO CAN 330ML</t>
  </si>
  <si>
    <t>AQUA REFLECTIONS SPARKLING 750ML</t>
  </si>
  <si>
    <t>AQUA REFLECTIONS STILL 380ML</t>
  </si>
  <si>
    <t>COCA COLA CAN 330 ML</t>
  </si>
  <si>
    <t>SCHWEPPES TONIC WATER CAN 250 ML</t>
  </si>
  <si>
    <t>BINTANG PINT 330 ML</t>
  </si>
  <si>
    <t>POLARS SODA WATER CAN 330 ML</t>
  </si>
  <si>
    <t>AQUA REFLECTIONS SPARKLING 380ML</t>
  </si>
  <si>
    <t>POLARIS SODA WATER CAN 330 ML</t>
  </si>
  <si>
    <t>CHARGE FOR SMALL BOTTLE OF BEER</t>
  </si>
  <si>
    <t>EMPTY BOTTLE</t>
  </si>
  <si>
    <t>AQUA GALLON 19LTR</t>
  </si>
  <si>
    <t>CLEO GALLON 19LTR</t>
  </si>
  <si>
    <t>CRYSTAL ICE 5KG</t>
  </si>
  <si>
    <t>SPRITE CAN 330 ML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</si>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</sst>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d\-mmm\-yyyy;@"/>
    <numFmt numFmtId="179" formatCode="_-&quot;Rp&quot;* #,##0_-;\-&quot;Rp&quot;* #,##0_-;_-&quot;Rp&quot;* &quot;-&quot;??_-;_-@_-"/>
  </numFmts>
  <fonts count="25">
    <font>
      <sz val="11"/>
      <color theme="1"/>
      <name val="Calibri"/>
      <charset val="134"/>
      <scheme val="minor"/>
    </font>
    <font>
      <sz val="11"/>
      <color theme="1"/>
      <name val="Cambria"/>
      <charset val="134"/>
    </font>
    <font>
      <sz val="12"/>
      <name val="Cambria"/>
      <charset val="134"/>
    </font>
    <font>
      <sz val="12"/>
      <color theme="1"/>
      <name val="Cambria"/>
      <charset val="134"/>
    </font>
    <font>
      <b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11" applyNumberFormat="0" applyAlignment="0" applyProtection="0">
      <alignment vertical="center"/>
    </xf>
    <xf numFmtId="0" fontId="15" fillId="6" borderId="12" applyNumberFormat="0" applyAlignment="0" applyProtection="0">
      <alignment vertical="center"/>
    </xf>
    <xf numFmtId="0" fontId="16" fillId="6" borderId="11" applyNumberFormat="0" applyAlignment="0" applyProtection="0">
      <alignment vertical="center"/>
    </xf>
    <xf numFmtId="0" fontId="17" fillId="7" borderId="13" applyNumberFormat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178" fontId="0" fillId="0" borderId="0" xfId="0" applyNumberFormat="1" applyFill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0" fontId="0" fillId="0" borderId="0" xfId="0" applyNumberFormat="1" applyFill="1" applyAlignment="1">
      <alignment horizontal="center" vertical="center"/>
    </xf>
    <xf numFmtId="179" fontId="0" fillId="0" borderId="0" xfId="0" applyNumberForma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78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  <xf numFmtId="179" fontId="3" fillId="2" borderId="1" xfId="0" applyNumberFormat="1" applyFont="1" applyFill="1" applyBorder="1" applyAlignment="1">
      <alignment horizontal="center" vertical="center"/>
    </xf>
    <xf numFmtId="0" fontId="0" fillId="3" borderId="2" xfId="0" applyNumberFormat="1" applyFill="1" applyBorder="1" applyAlignment="1">
      <alignment horizontal="center" vertical="center"/>
    </xf>
    <xf numFmtId="178" fontId="0" fillId="3" borderId="2" xfId="0" applyNumberForma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0" fillId="3" borderId="1" xfId="0" applyNumberFormat="1" applyFill="1" applyBorder="1" applyAlignment="1">
      <alignment horizontal="center" vertical="center"/>
    </xf>
    <xf numFmtId="179" fontId="0" fillId="3" borderId="1" xfId="0" applyNumberFormat="1" applyFill="1" applyBorder="1" applyAlignment="1">
      <alignment horizontal="center" vertical="center"/>
    </xf>
    <xf numFmtId="179" fontId="0" fillId="3" borderId="1" xfId="0" applyNumberFormat="1" applyFill="1" applyBorder="1" applyAlignment="1">
      <alignment vertical="center"/>
    </xf>
    <xf numFmtId="179" fontId="4" fillId="3" borderId="2" xfId="0" applyNumberFormat="1" applyFont="1" applyFill="1" applyBorder="1" applyAlignment="1">
      <alignment horizontal="center" vertical="center"/>
    </xf>
    <xf numFmtId="0" fontId="0" fillId="3" borderId="3" xfId="0" applyNumberFormat="1" applyFill="1" applyBorder="1" applyAlignment="1">
      <alignment horizontal="center" vertical="center"/>
    </xf>
    <xf numFmtId="178" fontId="0" fillId="3" borderId="3" xfId="0" applyNumberFormat="1" applyFill="1" applyBorder="1" applyAlignment="1">
      <alignment horizontal="center" vertical="center"/>
    </xf>
    <xf numFmtId="179" fontId="4" fillId="3" borderId="3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78" fontId="0" fillId="3" borderId="1" xfId="0" applyNumberFormat="1" applyFill="1" applyBorder="1" applyAlignment="1">
      <alignment horizontal="center" vertical="center"/>
    </xf>
    <xf numFmtId="179" fontId="4" fillId="3" borderId="1" xfId="0" applyNumberFormat="1" applyFont="1" applyFill="1" applyBorder="1" applyAlignment="1">
      <alignment horizontal="center" vertical="center"/>
    </xf>
    <xf numFmtId="179" fontId="1" fillId="3" borderId="1" xfId="0" applyNumberFormat="1" applyFont="1" applyFill="1" applyBorder="1" applyAlignment="1">
      <alignment horizontal="left" vertical="center"/>
    </xf>
    <xf numFmtId="0" fontId="0" fillId="3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178" fontId="0" fillId="3" borderId="4" xfId="0" applyNumberFormat="1" applyFill="1" applyBorder="1" applyAlignment="1">
      <alignment horizontal="center" vertical="center"/>
    </xf>
    <xf numFmtId="179" fontId="4" fillId="3" borderId="4" xfId="0" applyNumberFormat="1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79" fontId="1" fillId="3" borderId="3" xfId="0" applyNumberFormat="1" applyFont="1" applyFill="1" applyBorder="1" applyAlignment="1">
      <alignment horizontal="left" vertical="center"/>
    </xf>
    <xf numFmtId="179" fontId="0" fillId="3" borderId="3" xfId="0" applyNumberFormat="1" applyFill="1" applyBorder="1" applyAlignment="1">
      <alignment horizontal="center" vertical="center"/>
    </xf>
    <xf numFmtId="179" fontId="0" fillId="0" borderId="0" xfId="0" applyNumberFormat="1" applyFill="1" applyAlignment="1">
      <alignment vertical="center"/>
    </xf>
    <xf numFmtId="178" fontId="0" fillId="3" borderId="1" xfId="0" applyNumberFormat="1" applyFill="1" applyBorder="1" applyAlignment="1">
      <alignment vertical="center"/>
    </xf>
    <xf numFmtId="179" fontId="4" fillId="3" borderId="1" xfId="0" applyNumberFormat="1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0" fillId="3" borderId="2" xfId="0" applyFill="1" applyBorder="1" applyAlignment="1">
      <alignment horizontal="center" vertical="center"/>
    </xf>
    <xf numFmtId="178" fontId="0" fillId="3" borderId="2" xfId="0" applyNumberFormat="1" applyFill="1" applyBorder="1" applyAlignment="1">
      <alignment horizontal="center" vertical="center"/>
    </xf>
    <xf numFmtId="179" fontId="4" fillId="3" borderId="2" xfId="0" applyNumberFormat="1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178" fontId="0" fillId="3" borderId="4" xfId="0" applyNumberFormat="1" applyFill="1" applyBorder="1" applyAlignment="1">
      <alignment horizontal="center" vertical="center"/>
    </xf>
    <xf numFmtId="179" fontId="4" fillId="3" borderId="4" xfId="0" applyNumberFormat="1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78" fontId="0" fillId="3" borderId="3" xfId="0" applyNumberForma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1" fillId="3" borderId="6" xfId="0" applyFont="1" applyFill="1" applyBorder="1" applyAlignment="1">
      <alignment horizontal="left" vertical="center"/>
    </xf>
    <xf numFmtId="0" fontId="0" fillId="3" borderId="7" xfId="0" applyFill="1" applyBorder="1" applyAlignment="1">
      <alignment horizontal="center" vertical="center"/>
    </xf>
    <xf numFmtId="178" fontId="5" fillId="0" borderId="0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179" fontId="0" fillId="0" borderId="0" xfId="0" applyNumberFormat="1" applyFill="1" applyBorder="1" applyAlignment="1">
      <alignment horizontal="center" vertical="center"/>
    </xf>
    <xf numFmtId="179" fontId="0" fillId="0" borderId="0" xfId="0" applyNumberFormat="1" applyFill="1" applyBorder="1" applyAlignment="1">
      <alignment vertical="center"/>
    </xf>
    <xf numFmtId="178" fontId="5" fillId="0" borderId="0" xfId="0" applyNumberFormat="1" applyFon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3"/>
  <sheetViews>
    <sheetView tabSelected="1" topLeftCell="A92" workbookViewId="0">
      <selection activeCell="A1" sqref="$A1:$XFD1048576"/>
    </sheetView>
  </sheetViews>
  <sheetFormatPr defaultColWidth="9.14285714285714" defaultRowHeight="15"/>
  <cols>
    <col min="1" max="1" width="8.85714285714286" style="2" customWidth="1"/>
    <col min="2" max="2" width="12.7142857142857" style="3" customWidth="1"/>
    <col min="3" max="3" width="45.8571428571429" style="4" customWidth="1"/>
    <col min="4" max="4" width="6.8952380952381" style="5" customWidth="1"/>
    <col min="5" max="5" width="13.1428571428571" style="6" customWidth="1"/>
    <col min="6" max="6" width="13.1428571428571" style="1" customWidth="1"/>
    <col min="7" max="7" width="21.5047619047619" style="2" customWidth="1"/>
    <col min="8" max="8" width="13.1428571428571" style="1"/>
    <col min="9" max="9" width="29.2857142857143" style="1" customWidth="1"/>
    <col min="10" max="10" width="12.8571428571429" style="1"/>
    <col min="11" max="11" width="18.0285714285714" style="1" customWidth="1"/>
    <col min="12" max="12" width="11.4285714285714" style="1"/>
    <col min="13" max="15" width="10.2857142857143" style="1"/>
    <col min="16" max="16384" width="9.14285714285714" style="1"/>
  </cols>
  <sheetData>
    <row r="1" s="1" customFormat="1" ht="21" customHeight="1" spans="1:7">
      <c r="A1" s="7" t="s">
        <v>0</v>
      </c>
      <c r="B1" s="8" t="s">
        <v>1</v>
      </c>
      <c r="C1" s="9" t="s">
        <v>2</v>
      </c>
      <c r="D1" s="10" t="s">
        <v>3</v>
      </c>
      <c r="E1" s="11" t="s">
        <v>4</v>
      </c>
      <c r="F1" s="9" t="s">
        <v>5</v>
      </c>
      <c r="G1" s="9" t="s">
        <v>6</v>
      </c>
    </row>
    <row r="2" s="1" customFormat="1" ht="19" customHeight="1" spans="1:7">
      <c r="A2" s="12">
        <v>71905</v>
      </c>
      <c r="B2" s="13">
        <v>45962</v>
      </c>
      <c r="C2" s="14" t="s">
        <v>7</v>
      </c>
      <c r="D2" s="15">
        <v>4</v>
      </c>
      <c r="E2" s="16">
        <v>8000</v>
      </c>
      <c r="F2" s="17">
        <f t="shared" ref="F2:F65" si="0">SUM(D2*E2)</f>
        <v>32000</v>
      </c>
      <c r="G2" s="18">
        <f>SUM(F2:F3)</f>
        <v>52000</v>
      </c>
    </row>
    <row r="3" s="1" customFormat="1" ht="19" customHeight="1" spans="1:7">
      <c r="A3" s="19"/>
      <c r="B3" s="20"/>
      <c r="C3" s="14" t="s">
        <v>8</v>
      </c>
      <c r="D3" s="15">
        <v>1</v>
      </c>
      <c r="E3" s="16">
        <v>20000</v>
      </c>
      <c r="F3" s="17">
        <f t="shared" si="0"/>
        <v>20000</v>
      </c>
      <c r="G3" s="21"/>
    </row>
    <row r="4" s="1" customFormat="1" ht="19" customHeight="1" spans="1:7">
      <c r="A4" s="22">
        <v>71971</v>
      </c>
      <c r="B4" s="23">
        <v>45963</v>
      </c>
      <c r="C4" s="14" t="s">
        <v>8</v>
      </c>
      <c r="D4" s="15">
        <v>1</v>
      </c>
      <c r="E4" s="16">
        <v>20000</v>
      </c>
      <c r="F4" s="17">
        <f t="shared" si="0"/>
        <v>20000</v>
      </c>
      <c r="G4" s="24">
        <f>SUM(F4:F6)</f>
        <v>528000</v>
      </c>
    </row>
    <row r="5" s="1" customFormat="1" ht="19" customHeight="1" spans="1:7">
      <c r="A5" s="22"/>
      <c r="B5" s="23"/>
      <c r="C5" s="14" t="s">
        <v>7</v>
      </c>
      <c r="D5" s="15">
        <v>6</v>
      </c>
      <c r="E5" s="16">
        <v>8000</v>
      </c>
      <c r="F5" s="17">
        <f t="shared" si="0"/>
        <v>48000</v>
      </c>
      <c r="G5" s="24"/>
    </row>
    <row r="6" s="1" customFormat="1" ht="19" customHeight="1" spans="1:7">
      <c r="A6" s="22"/>
      <c r="B6" s="23"/>
      <c r="C6" s="14" t="s">
        <v>9</v>
      </c>
      <c r="D6" s="15">
        <v>4</v>
      </c>
      <c r="E6" s="16">
        <v>115000</v>
      </c>
      <c r="F6" s="17">
        <f t="shared" si="0"/>
        <v>460000</v>
      </c>
      <c r="G6" s="24"/>
    </row>
    <row r="7" s="1" customFormat="1" ht="18" customHeight="1" spans="1:7">
      <c r="A7" s="22">
        <v>72030</v>
      </c>
      <c r="B7" s="23">
        <v>45964</v>
      </c>
      <c r="C7" s="14" t="s">
        <v>8</v>
      </c>
      <c r="D7" s="15">
        <v>2</v>
      </c>
      <c r="E7" s="16">
        <v>20000</v>
      </c>
      <c r="F7" s="17">
        <f t="shared" si="0"/>
        <v>40000</v>
      </c>
      <c r="G7" s="24">
        <f>SUM(F7:F9)</f>
        <v>132000</v>
      </c>
    </row>
    <row r="8" s="1" customFormat="1" ht="18" customHeight="1" spans="1:7">
      <c r="A8" s="22"/>
      <c r="B8" s="23"/>
      <c r="C8" s="14" t="s">
        <v>10</v>
      </c>
      <c r="D8" s="15">
        <v>2</v>
      </c>
      <c r="E8" s="16">
        <v>22000</v>
      </c>
      <c r="F8" s="17">
        <f t="shared" si="0"/>
        <v>44000</v>
      </c>
      <c r="G8" s="24"/>
    </row>
    <row r="9" s="1" customFormat="1" ht="19" customHeight="1" spans="1:7">
      <c r="A9" s="22"/>
      <c r="B9" s="23"/>
      <c r="C9" s="14" t="s">
        <v>7</v>
      </c>
      <c r="D9" s="15">
        <v>6</v>
      </c>
      <c r="E9" s="16">
        <v>8000</v>
      </c>
      <c r="F9" s="17">
        <f t="shared" si="0"/>
        <v>48000</v>
      </c>
      <c r="G9" s="24"/>
    </row>
    <row r="10" s="1" customFormat="1" ht="19" customHeight="1" spans="1:7">
      <c r="A10" s="22">
        <v>72121</v>
      </c>
      <c r="B10" s="23">
        <v>45965</v>
      </c>
      <c r="C10" s="14" t="s">
        <v>7</v>
      </c>
      <c r="D10" s="15">
        <v>4</v>
      </c>
      <c r="E10" s="16">
        <v>8000</v>
      </c>
      <c r="F10" s="17">
        <f t="shared" si="0"/>
        <v>32000</v>
      </c>
      <c r="G10" s="24">
        <f>SUM(F10:F15)</f>
        <v>784000</v>
      </c>
    </row>
    <row r="11" s="1" customFormat="1" ht="19" customHeight="1" spans="1:7">
      <c r="A11" s="22"/>
      <c r="B11" s="23"/>
      <c r="C11" s="14" t="s">
        <v>10</v>
      </c>
      <c r="D11" s="15">
        <v>1</v>
      </c>
      <c r="E11" s="16">
        <v>22000</v>
      </c>
      <c r="F11" s="17">
        <f t="shared" si="0"/>
        <v>22000</v>
      </c>
      <c r="G11" s="24"/>
    </row>
    <row r="12" s="1" customFormat="1" ht="19" customHeight="1" spans="1:7">
      <c r="A12" s="22"/>
      <c r="B12" s="23"/>
      <c r="C12" s="25" t="s">
        <v>11</v>
      </c>
      <c r="D12" s="15">
        <v>1</v>
      </c>
      <c r="E12" s="16">
        <v>135000</v>
      </c>
      <c r="F12" s="17">
        <f t="shared" si="0"/>
        <v>135000</v>
      </c>
      <c r="G12" s="24"/>
    </row>
    <row r="13" s="1" customFormat="1" ht="19" customHeight="1" spans="1:7">
      <c r="A13" s="22"/>
      <c r="B13" s="23"/>
      <c r="C13" s="14" t="s">
        <v>12</v>
      </c>
      <c r="D13" s="15">
        <v>2</v>
      </c>
      <c r="E13" s="16">
        <v>120000</v>
      </c>
      <c r="F13" s="17">
        <f t="shared" si="0"/>
        <v>240000</v>
      </c>
      <c r="G13" s="24"/>
    </row>
    <row r="14" s="1" customFormat="1" ht="19" customHeight="1" spans="1:7">
      <c r="A14" s="22"/>
      <c r="B14" s="23"/>
      <c r="C14" s="14" t="s">
        <v>9</v>
      </c>
      <c r="D14" s="15">
        <v>2</v>
      </c>
      <c r="E14" s="16">
        <v>115000</v>
      </c>
      <c r="F14" s="17">
        <f t="shared" si="0"/>
        <v>230000</v>
      </c>
      <c r="G14" s="24"/>
    </row>
    <row r="15" s="1" customFormat="1" ht="19" customHeight="1" spans="1:7">
      <c r="A15" s="22"/>
      <c r="B15" s="23"/>
      <c r="C15" s="25" t="s">
        <v>13</v>
      </c>
      <c r="D15" s="15">
        <v>1</v>
      </c>
      <c r="E15" s="16">
        <v>125000</v>
      </c>
      <c r="F15" s="17">
        <f t="shared" si="0"/>
        <v>125000</v>
      </c>
      <c r="G15" s="24"/>
    </row>
    <row r="16" s="1" customFormat="1" ht="19" customHeight="1" spans="1:7">
      <c r="A16" s="26">
        <v>72185</v>
      </c>
      <c r="B16" s="13">
        <v>45966</v>
      </c>
      <c r="C16" s="25" t="s">
        <v>7</v>
      </c>
      <c r="D16" s="15">
        <v>4</v>
      </c>
      <c r="E16" s="16">
        <v>8000</v>
      </c>
      <c r="F16" s="17">
        <f t="shared" si="0"/>
        <v>32000</v>
      </c>
      <c r="G16" s="18">
        <f>SUM(F16:F18)</f>
        <v>74000</v>
      </c>
    </row>
    <row r="17" s="1" customFormat="1" ht="19" customHeight="1" spans="1:7">
      <c r="A17" s="27"/>
      <c r="B17" s="28"/>
      <c r="C17" s="25" t="s">
        <v>10</v>
      </c>
      <c r="D17" s="15">
        <v>1</v>
      </c>
      <c r="E17" s="16">
        <v>22000</v>
      </c>
      <c r="F17" s="17">
        <f t="shared" si="0"/>
        <v>22000</v>
      </c>
      <c r="G17" s="29"/>
    </row>
    <row r="18" s="1" customFormat="1" ht="19" customHeight="1" spans="1:7">
      <c r="A18" s="30"/>
      <c r="B18" s="20"/>
      <c r="C18" s="25" t="s">
        <v>8</v>
      </c>
      <c r="D18" s="15">
        <v>1</v>
      </c>
      <c r="E18" s="16">
        <v>20000</v>
      </c>
      <c r="F18" s="17">
        <f t="shared" si="0"/>
        <v>20000</v>
      </c>
      <c r="G18" s="21"/>
    </row>
    <row r="19" s="1" customFormat="1" ht="19" customHeight="1" spans="1:7">
      <c r="A19" s="22">
        <v>72264</v>
      </c>
      <c r="B19" s="23">
        <v>45967</v>
      </c>
      <c r="C19" s="14" t="s">
        <v>8</v>
      </c>
      <c r="D19" s="15">
        <v>1</v>
      </c>
      <c r="E19" s="16">
        <v>20000</v>
      </c>
      <c r="F19" s="17">
        <f t="shared" si="0"/>
        <v>20000</v>
      </c>
      <c r="G19" s="24">
        <f>SUM(F19:F20)</f>
        <v>42000</v>
      </c>
    </row>
    <row r="20" s="1" customFormat="1" ht="19" customHeight="1" spans="1:7">
      <c r="A20" s="22"/>
      <c r="B20" s="23"/>
      <c r="C20" s="14" t="s">
        <v>10</v>
      </c>
      <c r="D20" s="15">
        <v>1</v>
      </c>
      <c r="E20" s="16">
        <v>22000</v>
      </c>
      <c r="F20" s="17">
        <f t="shared" si="0"/>
        <v>22000</v>
      </c>
      <c r="G20" s="24"/>
    </row>
    <row r="21" s="1" customFormat="1" ht="19" customHeight="1" spans="1:7">
      <c r="A21" s="26">
        <v>72318</v>
      </c>
      <c r="B21" s="13">
        <v>45968</v>
      </c>
      <c r="C21" s="14" t="s">
        <v>10</v>
      </c>
      <c r="D21" s="15">
        <v>1</v>
      </c>
      <c r="E21" s="16">
        <v>22000</v>
      </c>
      <c r="F21" s="17">
        <f t="shared" si="0"/>
        <v>22000</v>
      </c>
      <c r="G21" s="18">
        <f>SUM(F21:F25)</f>
        <v>810000</v>
      </c>
    </row>
    <row r="22" s="1" customFormat="1" ht="19" customHeight="1" spans="1:7">
      <c r="A22" s="27"/>
      <c r="B22" s="28"/>
      <c r="C22" s="14" t="s">
        <v>7</v>
      </c>
      <c r="D22" s="15">
        <v>6</v>
      </c>
      <c r="E22" s="16">
        <v>8000</v>
      </c>
      <c r="F22" s="17">
        <f t="shared" si="0"/>
        <v>48000</v>
      </c>
      <c r="G22" s="29"/>
    </row>
    <row r="23" s="1" customFormat="1" ht="19" customHeight="1" spans="1:7">
      <c r="A23" s="27"/>
      <c r="B23" s="28"/>
      <c r="C23" s="25" t="s">
        <v>14</v>
      </c>
      <c r="D23" s="15">
        <v>1</v>
      </c>
      <c r="E23" s="16">
        <v>135000</v>
      </c>
      <c r="F23" s="17">
        <f t="shared" si="0"/>
        <v>135000</v>
      </c>
      <c r="G23" s="29"/>
    </row>
    <row r="24" s="1" customFormat="1" ht="19" customHeight="1" spans="1:7">
      <c r="A24" s="27"/>
      <c r="B24" s="28"/>
      <c r="C24" s="14" t="s">
        <v>15</v>
      </c>
      <c r="D24" s="15">
        <v>1</v>
      </c>
      <c r="E24" s="16">
        <v>125000</v>
      </c>
      <c r="F24" s="17">
        <f t="shared" si="0"/>
        <v>125000</v>
      </c>
      <c r="G24" s="29"/>
    </row>
    <row r="25" s="1" customFormat="1" ht="19" customHeight="1" spans="1:7">
      <c r="A25" s="30"/>
      <c r="B25" s="20"/>
      <c r="C25" s="14" t="s">
        <v>16</v>
      </c>
      <c r="D25" s="15">
        <v>1</v>
      </c>
      <c r="E25" s="16">
        <v>480000</v>
      </c>
      <c r="F25" s="17">
        <f t="shared" si="0"/>
        <v>480000</v>
      </c>
      <c r="G25" s="21"/>
    </row>
    <row r="26" s="1" customFormat="1" ht="19" customHeight="1" spans="1:7">
      <c r="A26" s="26">
        <v>72401</v>
      </c>
      <c r="B26" s="13">
        <v>45969</v>
      </c>
      <c r="C26" s="25" t="s">
        <v>10</v>
      </c>
      <c r="D26" s="15">
        <v>1</v>
      </c>
      <c r="E26" s="16">
        <v>22000</v>
      </c>
      <c r="F26" s="17">
        <f t="shared" si="0"/>
        <v>22000</v>
      </c>
      <c r="G26" s="18">
        <f>SUM(F26:F28)</f>
        <v>195000</v>
      </c>
    </row>
    <row r="27" s="1" customFormat="1" ht="19" customHeight="1" spans="1:7">
      <c r="A27" s="27"/>
      <c r="B27" s="28"/>
      <c r="C27" s="14" t="s">
        <v>7</v>
      </c>
      <c r="D27" s="15">
        <v>6</v>
      </c>
      <c r="E27" s="16">
        <v>8000</v>
      </c>
      <c r="F27" s="17">
        <f t="shared" si="0"/>
        <v>48000</v>
      </c>
      <c r="G27" s="29"/>
    </row>
    <row r="28" s="1" customFormat="1" ht="19" customHeight="1" spans="1:7">
      <c r="A28" s="30"/>
      <c r="B28" s="20"/>
      <c r="C28" s="25" t="s">
        <v>17</v>
      </c>
      <c r="D28" s="15">
        <v>1</v>
      </c>
      <c r="E28" s="16">
        <v>125000</v>
      </c>
      <c r="F28" s="17">
        <f t="shared" si="0"/>
        <v>125000</v>
      </c>
      <c r="G28" s="21"/>
    </row>
    <row r="29" s="1" customFormat="1" ht="19" customHeight="1" spans="1:7">
      <c r="A29" s="26">
        <v>72489</v>
      </c>
      <c r="B29" s="13">
        <v>45970</v>
      </c>
      <c r="C29" s="14" t="s">
        <v>10</v>
      </c>
      <c r="D29" s="15">
        <v>2</v>
      </c>
      <c r="E29" s="16">
        <v>22000</v>
      </c>
      <c r="F29" s="17">
        <f t="shared" si="0"/>
        <v>44000</v>
      </c>
      <c r="G29" s="18">
        <f>SUM(F29:F32)</f>
        <v>1262000</v>
      </c>
    </row>
    <row r="30" s="1" customFormat="1" ht="19" customHeight="1" spans="1:7">
      <c r="A30" s="27"/>
      <c r="B30" s="28"/>
      <c r="C30" s="14" t="s">
        <v>8</v>
      </c>
      <c r="D30" s="15">
        <v>1</v>
      </c>
      <c r="E30" s="16">
        <v>20000</v>
      </c>
      <c r="F30" s="17">
        <f t="shared" si="0"/>
        <v>20000</v>
      </c>
      <c r="G30" s="29"/>
    </row>
    <row r="31" s="1" customFormat="1" ht="19" customHeight="1" spans="1:7">
      <c r="A31" s="27"/>
      <c r="B31" s="28"/>
      <c r="C31" s="14" t="s">
        <v>7</v>
      </c>
      <c r="D31" s="15">
        <v>6</v>
      </c>
      <c r="E31" s="16">
        <v>8000</v>
      </c>
      <c r="F31" s="17">
        <f t="shared" si="0"/>
        <v>48000</v>
      </c>
      <c r="G31" s="29"/>
    </row>
    <row r="32" s="1" customFormat="1" ht="19" customHeight="1" spans="1:7">
      <c r="A32" s="30"/>
      <c r="B32" s="20"/>
      <c r="C32" s="14" t="s">
        <v>9</v>
      </c>
      <c r="D32" s="15">
        <v>10</v>
      </c>
      <c r="E32" s="16">
        <v>115000</v>
      </c>
      <c r="F32" s="17">
        <f t="shared" si="0"/>
        <v>1150000</v>
      </c>
      <c r="G32" s="21"/>
    </row>
    <row r="33" s="1" customFormat="1" ht="19" customHeight="1" spans="1:7">
      <c r="A33" s="26">
        <v>72524</v>
      </c>
      <c r="B33" s="13">
        <v>45971</v>
      </c>
      <c r="C33" s="14" t="s">
        <v>10</v>
      </c>
      <c r="D33" s="15">
        <v>2</v>
      </c>
      <c r="E33" s="16">
        <v>22000</v>
      </c>
      <c r="F33" s="17">
        <f t="shared" si="0"/>
        <v>44000</v>
      </c>
      <c r="G33" s="18">
        <f>SUM(F33:F37)</f>
        <v>576000</v>
      </c>
    </row>
    <row r="34" s="1" customFormat="1" ht="19" customHeight="1" spans="1:7">
      <c r="A34" s="27"/>
      <c r="B34" s="28"/>
      <c r="C34" s="14" t="s">
        <v>7</v>
      </c>
      <c r="D34" s="15">
        <v>4</v>
      </c>
      <c r="E34" s="16">
        <v>8000</v>
      </c>
      <c r="F34" s="17">
        <f t="shared" si="0"/>
        <v>32000</v>
      </c>
      <c r="G34" s="29"/>
    </row>
    <row r="35" s="1" customFormat="1" ht="19" customHeight="1" spans="1:7">
      <c r="A35" s="27"/>
      <c r="B35" s="28"/>
      <c r="C35" s="14" t="s">
        <v>9</v>
      </c>
      <c r="D35" s="15">
        <v>2</v>
      </c>
      <c r="E35" s="16">
        <v>115000</v>
      </c>
      <c r="F35" s="17">
        <f t="shared" si="0"/>
        <v>230000</v>
      </c>
      <c r="G35" s="29"/>
    </row>
    <row r="36" s="1" customFormat="1" ht="19" customHeight="1" spans="1:7">
      <c r="A36" s="27"/>
      <c r="B36" s="28"/>
      <c r="C36" s="14" t="s">
        <v>18</v>
      </c>
      <c r="D36" s="15">
        <v>1</v>
      </c>
      <c r="E36" s="16">
        <v>135000</v>
      </c>
      <c r="F36" s="17">
        <f t="shared" si="0"/>
        <v>135000</v>
      </c>
      <c r="G36" s="29"/>
    </row>
    <row r="37" s="1" customFormat="1" ht="19" customHeight="1" spans="1:7">
      <c r="A37" s="30"/>
      <c r="B37" s="20"/>
      <c r="C37" s="14" t="s">
        <v>11</v>
      </c>
      <c r="D37" s="15">
        <v>1</v>
      </c>
      <c r="E37" s="16">
        <v>135000</v>
      </c>
      <c r="F37" s="17">
        <f t="shared" si="0"/>
        <v>135000</v>
      </c>
      <c r="G37" s="21"/>
    </row>
    <row r="38" s="1" customFormat="1" ht="19" customHeight="1" spans="1:7">
      <c r="A38" s="26">
        <v>72595</v>
      </c>
      <c r="B38" s="13">
        <v>45972</v>
      </c>
      <c r="C38" s="14" t="s">
        <v>9</v>
      </c>
      <c r="D38" s="15">
        <v>2</v>
      </c>
      <c r="E38" s="16">
        <v>115000</v>
      </c>
      <c r="F38" s="17">
        <f t="shared" si="0"/>
        <v>230000</v>
      </c>
      <c r="G38" s="18">
        <f>SUM(F38:F41)</f>
        <v>288000</v>
      </c>
    </row>
    <row r="39" s="1" customFormat="1" ht="19" customHeight="1" spans="1:7">
      <c r="A39" s="27"/>
      <c r="B39" s="28"/>
      <c r="C39" s="14" t="s">
        <v>8</v>
      </c>
      <c r="D39" s="15">
        <v>1</v>
      </c>
      <c r="E39" s="16">
        <v>20000</v>
      </c>
      <c r="F39" s="17">
        <f t="shared" si="0"/>
        <v>20000</v>
      </c>
      <c r="G39" s="29"/>
    </row>
    <row r="40" s="1" customFormat="1" ht="19" customHeight="1" spans="1:7">
      <c r="A40" s="27"/>
      <c r="B40" s="28"/>
      <c r="C40" s="14" t="s">
        <v>10</v>
      </c>
      <c r="D40" s="15">
        <v>1</v>
      </c>
      <c r="E40" s="16">
        <v>22000</v>
      </c>
      <c r="F40" s="17">
        <f t="shared" si="0"/>
        <v>22000</v>
      </c>
      <c r="G40" s="29"/>
    </row>
    <row r="41" s="1" customFormat="1" ht="19" customHeight="1" spans="1:7">
      <c r="A41" s="30"/>
      <c r="B41" s="20"/>
      <c r="C41" s="14" t="s">
        <v>7</v>
      </c>
      <c r="D41" s="15">
        <v>2</v>
      </c>
      <c r="E41" s="16">
        <v>8000</v>
      </c>
      <c r="F41" s="17">
        <f t="shared" si="0"/>
        <v>16000</v>
      </c>
      <c r="G41" s="21"/>
    </row>
    <row r="42" s="1" customFormat="1" ht="19" customHeight="1" spans="1:7">
      <c r="A42" s="22">
        <v>72653</v>
      </c>
      <c r="B42" s="23">
        <v>45973</v>
      </c>
      <c r="C42" s="14" t="s">
        <v>7</v>
      </c>
      <c r="D42" s="15">
        <v>4</v>
      </c>
      <c r="E42" s="16">
        <v>8000</v>
      </c>
      <c r="F42" s="17">
        <f t="shared" si="0"/>
        <v>32000</v>
      </c>
      <c r="G42" s="24">
        <f>SUM(F42:F43)</f>
        <v>52000</v>
      </c>
    </row>
    <row r="43" s="1" customFormat="1" ht="19" customHeight="1" spans="1:7">
      <c r="A43" s="22"/>
      <c r="B43" s="23"/>
      <c r="C43" s="14" t="s">
        <v>8</v>
      </c>
      <c r="D43" s="15">
        <v>1</v>
      </c>
      <c r="E43" s="16">
        <v>20000</v>
      </c>
      <c r="F43" s="17">
        <f t="shared" si="0"/>
        <v>20000</v>
      </c>
      <c r="G43" s="24"/>
    </row>
    <row r="44" s="1" customFormat="1" ht="19" customHeight="1" spans="1:7">
      <c r="A44" s="26">
        <v>72724</v>
      </c>
      <c r="B44" s="13">
        <v>45974</v>
      </c>
      <c r="C44" s="14" t="s">
        <v>7</v>
      </c>
      <c r="D44" s="15">
        <v>4</v>
      </c>
      <c r="E44" s="16">
        <v>8000</v>
      </c>
      <c r="F44" s="17">
        <f t="shared" si="0"/>
        <v>32000</v>
      </c>
      <c r="G44" s="18">
        <f>SUM(F44:F45)</f>
        <v>52000</v>
      </c>
    </row>
    <row r="45" s="1" customFormat="1" ht="19" customHeight="1" spans="1:7">
      <c r="A45" s="30"/>
      <c r="B45" s="20"/>
      <c r="C45" s="14" t="s">
        <v>8</v>
      </c>
      <c r="D45" s="15">
        <v>1</v>
      </c>
      <c r="E45" s="16">
        <v>20000</v>
      </c>
      <c r="F45" s="17">
        <f t="shared" si="0"/>
        <v>20000</v>
      </c>
      <c r="G45" s="21"/>
    </row>
    <row r="46" s="1" customFormat="1" ht="19" customHeight="1" spans="1:7">
      <c r="A46" s="26">
        <v>72868</v>
      </c>
      <c r="B46" s="13">
        <v>45976</v>
      </c>
      <c r="C46" s="14" t="s">
        <v>10</v>
      </c>
      <c r="D46" s="15">
        <v>2</v>
      </c>
      <c r="E46" s="16">
        <v>22000</v>
      </c>
      <c r="F46" s="17">
        <f t="shared" si="0"/>
        <v>44000</v>
      </c>
      <c r="G46" s="18">
        <f>SUM(F46:F54)</f>
        <v>1103000</v>
      </c>
    </row>
    <row r="47" s="1" customFormat="1" ht="19" customHeight="1" spans="1:7">
      <c r="A47" s="27"/>
      <c r="B47" s="28"/>
      <c r="C47" s="14" t="s">
        <v>8</v>
      </c>
      <c r="D47" s="15">
        <v>1</v>
      </c>
      <c r="E47" s="16">
        <v>20000</v>
      </c>
      <c r="F47" s="17">
        <f t="shared" si="0"/>
        <v>20000</v>
      </c>
      <c r="G47" s="29"/>
    </row>
    <row r="48" s="1" customFormat="1" ht="19" customHeight="1" spans="1:7">
      <c r="A48" s="27"/>
      <c r="B48" s="28"/>
      <c r="C48" s="14" t="s">
        <v>7</v>
      </c>
      <c r="D48" s="15">
        <v>6</v>
      </c>
      <c r="E48" s="16">
        <v>8000</v>
      </c>
      <c r="F48" s="17">
        <f t="shared" si="0"/>
        <v>48000</v>
      </c>
      <c r="G48" s="29"/>
    </row>
    <row r="49" s="1" customFormat="1" ht="19" customHeight="1" spans="1:7">
      <c r="A49" s="27"/>
      <c r="B49" s="28"/>
      <c r="C49" s="14" t="s">
        <v>12</v>
      </c>
      <c r="D49" s="15">
        <v>1</v>
      </c>
      <c r="E49" s="16">
        <v>120000</v>
      </c>
      <c r="F49" s="17">
        <f t="shared" si="0"/>
        <v>120000</v>
      </c>
      <c r="G49" s="29"/>
    </row>
    <row r="50" s="1" customFormat="1" ht="19" customHeight="1" spans="1:7">
      <c r="A50" s="27"/>
      <c r="B50" s="28"/>
      <c r="C50" s="14" t="s">
        <v>13</v>
      </c>
      <c r="D50" s="15">
        <v>1</v>
      </c>
      <c r="E50" s="16">
        <v>125000</v>
      </c>
      <c r="F50" s="17">
        <f t="shared" si="0"/>
        <v>125000</v>
      </c>
      <c r="G50" s="29"/>
    </row>
    <row r="51" s="1" customFormat="1" ht="19" customHeight="1" spans="1:7">
      <c r="A51" s="27"/>
      <c r="B51" s="28"/>
      <c r="C51" s="14" t="s">
        <v>14</v>
      </c>
      <c r="D51" s="15">
        <v>1</v>
      </c>
      <c r="E51" s="16">
        <v>135000</v>
      </c>
      <c r="F51" s="17">
        <f t="shared" si="0"/>
        <v>135000</v>
      </c>
      <c r="G51" s="29"/>
    </row>
    <row r="52" s="1" customFormat="1" ht="19" customHeight="1" spans="1:7">
      <c r="A52" s="27"/>
      <c r="B52" s="28"/>
      <c r="C52" s="14" t="s">
        <v>19</v>
      </c>
      <c r="D52" s="15">
        <v>1</v>
      </c>
      <c r="E52" s="16">
        <v>125000</v>
      </c>
      <c r="F52" s="17">
        <f t="shared" si="0"/>
        <v>125000</v>
      </c>
      <c r="G52" s="29"/>
    </row>
    <row r="53" s="1" customFormat="1" ht="19" customHeight="1" spans="1:7">
      <c r="A53" s="27"/>
      <c r="B53" s="28"/>
      <c r="C53" s="14" t="s">
        <v>16</v>
      </c>
      <c r="D53" s="15">
        <v>1</v>
      </c>
      <c r="E53" s="16">
        <v>480000</v>
      </c>
      <c r="F53" s="17">
        <f t="shared" si="0"/>
        <v>480000</v>
      </c>
      <c r="G53" s="29"/>
    </row>
    <row r="54" s="1" customFormat="1" ht="19" customHeight="1" spans="1:7">
      <c r="A54" s="30"/>
      <c r="B54" s="20"/>
      <c r="C54" s="14" t="s">
        <v>20</v>
      </c>
      <c r="D54" s="15">
        <v>4</v>
      </c>
      <c r="E54" s="16">
        <v>1500</v>
      </c>
      <c r="F54" s="17">
        <f t="shared" si="0"/>
        <v>6000</v>
      </c>
      <c r="G54" s="21"/>
    </row>
    <row r="55" s="1" customFormat="1" ht="19" customHeight="1" spans="1:7">
      <c r="A55" s="22">
        <v>72935</v>
      </c>
      <c r="B55" s="23">
        <v>45977</v>
      </c>
      <c r="C55" s="14" t="s">
        <v>8</v>
      </c>
      <c r="D55" s="15">
        <v>2</v>
      </c>
      <c r="E55" s="16">
        <v>20000</v>
      </c>
      <c r="F55" s="17">
        <f t="shared" si="0"/>
        <v>40000</v>
      </c>
      <c r="G55" s="18">
        <f>SUM(F55:F58)</f>
        <v>332000</v>
      </c>
    </row>
    <row r="56" s="1" customFormat="1" ht="19" customHeight="1" spans="1:7">
      <c r="A56" s="22"/>
      <c r="B56" s="23"/>
      <c r="C56" s="31" t="s">
        <v>10</v>
      </c>
      <c r="D56" s="19">
        <v>1</v>
      </c>
      <c r="E56" s="32">
        <v>22000</v>
      </c>
      <c r="F56" s="17">
        <f t="shared" si="0"/>
        <v>22000</v>
      </c>
      <c r="G56" s="29"/>
    </row>
    <row r="57" s="1" customFormat="1" ht="19" customHeight="1" spans="1:7">
      <c r="A57" s="22"/>
      <c r="B57" s="23"/>
      <c r="C57" s="14" t="s">
        <v>7</v>
      </c>
      <c r="D57" s="15">
        <v>5</v>
      </c>
      <c r="E57" s="16">
        <v>8000</v>
      </c>
      <c r="F57" s="17">
        <f t="shared" si="0"/>
        <v>40000</v>
      </c>
      <c r="G57" s="29"/>
    </row>
    <row r="58" s="1" customFormat="1" spans="1:7">
      <c r="A58" s="22"/>
      <c r="B58" s="23"/>
      <c r="C58" s="14" t="s">
        <v>9</v>
      </c>
      <c r="D58" s="15">
        <v>2</v>
      </c>
      <c r="E58" s="16">
        <v>115000</v>
      </c>
      <c r="F58" s="17">
        <f t="shared" si="0"/>
        <v>230000</v>
      </c>
      <c r="G58" s="29"/>
    </row>
    <row r="59" s="1" customFormat="1" spans="1:7">
      <c r="A59" s="27">
        <v>73016</v>
      </c>
      <c r="B59" s="28">
        <v>45978</v>
      </c>
      <c r="C59" s="14" t="s">
        <v>8</v>
      </c>
      <c r="D59" s="15">
        <v>1</v>
      </c>
      <c r="E59" s="16">
        <v>20000</v>
      </c>
      <c r="F59" s="17">
        <f t="shared" si="0"/>
        <v>20000</v>
      </c>
      <c r="G59" s="18">
        <f>SUM(F59:F60)</f>
        <v>52000</v>
      </c>
    </row>
    <row r="60" s="1" customFormat="1" spans="1:7">
      <c r="A60" s="30"/>
      <c r="B60" s="20"/>
      <c r="C60" s="14" t="s">
        <v>7</v>
      </c>
      <c r="D60" s="15">
        <v>4</v>
      </c>
      <c r="E60" s="16">
        <v>8000</v>
      </c>
      <c r="F60" s="17">
        <f t="shared" si="0"/>
        <v>32000</v>
      </c>
      <c r="G60" s="21"/>
    </row>
    <row r="61" s="1" customFormat="1" spans="1:7">
      <c r="A61" s="26">
        <v>73085</v>
      </c>
      <c r="B61" s="13">
        <v>45979</v>
      </c>
      <c r="C61" s="14" t="s">
        <v>8</v>
      </c>
      <c r="D61" s="15">
        <v>2</v>
      </c>
      <c r="E61" s="16">
        <v>20000</v>
      </c>
      <c r="F61" s="17">
        <f t="shared" si="0"/>
        <v>40000</v>
      </c>
      <c r="G61" s="18">
        <f>SUM(F61:F63)</f>
        <v>197000</v>
      </c>
    </row>
    <row r="62" s="1" customFormat="1" spans="1:7">
      <c r="A62" s="27"/>
      <c r="B62" s="28"/>
      <c r="C62" s="14" t="s">
        <v>19</v>
      </c>
      <c r="D62" s="15">
        <v>1</v>
      </c>
      <c r="E62" s="16">
        <v>125000</v>
      </c>
      <c r="F62" s="17">
        <f t="shared" si="0"/>
        <v>125000</v>
      </c>
      <c r="G62" s="29"/>
    </row>
    <row r="63" s="1" customFormat="1" spans="1:7">
      <c r="A63" s="30"/>
      <c r="B63" s="20"/>
      <c r="C63" s="14" t="s">
        <v>7</v>
      </c>
      <c r="D63" s="15">
        <v>4</v>
      </c>
      <c r="E63" s="16">
        <v>8000</v>
      </c>
      <c r="F63" s="17">
        <f t="shared" si="0"/>
        <v>32000</v>
      </c>
      <c r="G63" s="21"/>
    </row>
    <row r="64" s="1" customFormat="1" spans="1:7">
      <c r="A64" s="22">
        <v>73144</v>
      </c>
      <c r="B64" s="23">
        <v>45980</v>
      </c>
      <c r="C64" s="14" t="s">
        <v>10</v>
      </c>
      <c r="D64" s="15">
        <v>1</v>
      </c>
      <c r="E64" s="16">
        <v>22000</v>
      </c>
      <c r="F64" s="17">
        <f t="shared" si="0"/>
        <v>22000</v>
      </c>
      <c r="G64" s="24">
        <f>SUM(F64:F68)</f>
        <v>776000</v>
      </c>
    </row>
    <row r="65" s="1" customFormat="1" spans="1:7">
      <c r="A65" s="22"/>
      <c r="B65" s="23"/>
      <c r="C65" s="14" t="s">
        <v>7</v>
      </c>
      <c r="D65" s="15">
        <v>4</v>
      </c>
      <c r="E65" s="16">
        <v>8000</v>
      </c>
      <c r="F65" s="17">
        <f t="shared" si="0"/>
        <v>32000</v>
      </c>
      <c r="G65" s="24"/>
    </row>
    <row r="66" s="1" customFormat="1" spans="1:7">
      <c r="A66" s="22"/>
      <c r="B66" s="23"/>
      <c r="C66" s="14" t="s">
        <v>16</v>
      </c>
      <c r="D66" s="15">
        <v>1</v>
      </c>
      <c r="E66" s="16">
        <v>480000</v>
      </c>
      <c r="F66" s="17">
        <f t="shared" ref="F66:F72" si="1">SUM(D66*E66)</f>
        <v>480000</v>
      </c>
      <c r="G66" s="24"/>
    </row>
    <row r="67" s="1" customFormat="1" spans="1:7">
      <c r="A67" s="22"/>
      <c r="B67" s="23"/>
      <c r="C67" s="14" t="s">
        <v>9</v>
      </c>
      <c r="D67" s="15">
        <v>2</v>
      </c>
      <c r="E67" s="16">
        <v>115000</v>
      </c>
      <c r="F67" s="17">
        <f t="shared" si="1"/>
        <v>230000</v>
      </c>
      <c r="G67" s="24"/>
    </row>
    <row r="68" s="1" customFormat="1" spans="1:8">
      <c r="A68" s="22"/>
      <c r="B68" s="23"/>
      <c r="C68" s="14" t="s">
        <v>21</v>
      </c>
      <c r="D68" s="15">
        <v>8</v>
      </c>
      <c r="E68" s="16">
        <v>1500</v>
      </c>
      <c r="F68" s="17">
        <f t="shared" si="1"/>
        <v>12000</v>
      </c>
      <c r="G68" s="24"/>
      <c r="H68" s="33"/>
    </row>
    <row r="69" s="1" customFormat="1" ht="15.75" spans="1:14">
      <c r="A69" s="22">
        <v>732211</v>
      </c>
      <c r="B69" s="34">
        <v>45981</v>
      </c>
      <c r="C69" s="14" t="s">
        <v>9</v>
      </c>
      <c r="D69" s="15">
        <v>8</v>
      </c>
      <c r="E69" s="16">
        <v>115000</v>
      </c>
      <c r="F69" s="17">
        <f t="shared" si="1"/>
        <v>920000</v>
      </c>
      <c r="G69" s="35">
        <f>SUM(F69)</f>
        <v>920000</v>
      </c>
      <c r="H69" s="33"/>
      <c r="I69" s="49"/>
      <c r="J69" s="50"/>
      <c r="K69" s="51"/>
      <c r="L69" s="52"/>
      <c r="M69" s="52"/>
      <c r="N69" s="53"/>
    </row>
    <row r="70" s="1" customFormat="1" ht="15.75" spans="1:14">
      <c r="A70" s="26">
        <v>73259</v>
      </c>
      <c r="B70" s="13">
        <v>45982</v>
      </c>
      <c r="C70" s="14" t="s">
        <v>22</v>
      </c>
      <c r="D70" s="15">
        <v>2</v>
      </c>
      <c r="E70" s="16">
        <v>20000</v>
      </c>
      <c r="F70" s="17">
        <f t="shared" si="1"/>
        <v>40000</v>
      </c>
      <c r="G70" s="18">
        <f>SUM(F70:F72)</f>
        <v>126000</v>
      </c>
      <c r="I70" s="54"/>
      <c r="J70" s="50"/>
      <c r="K70" s="51"/>
      <c r="L70" s="52"/>
      <c r="M70" s="52"/>
      <c r="N70" s="52"/>
    </row>
    <row r="71" s="1" customFormat="1" ht="15.75" spans="1:14">
      <c r="A71" s="27"/>
      <c r="B71" s="28"/>
      <c r="C71" s="14" t="s">
        <v>23</v>
      </c>
      <c r="D71" s="15">
        <v>1</v>
      </c>
      <c r="E71" s="16">
        <v>22000</v>
      </c>
      <c r="F71" s="17">
        <f t="shared" si="1"/>
        <v>22000</v>
      </c>
      <c r="G71" s="29"/>
      <c r="I71" s="54"/>
      <c r="J71" s="50"/>
      <c r="K71" s="51"/>
      <c r="L71" s="52"/>
      <c r="M71" s="52"/>
      <c r="N71" s="52"/>
    </row>
    <row r="72" s="1" customFormat="1" ht="15.75" spans="1:14">
      <c r="A72" s="30"/>
      <c r="B72" s="20"/>
      <c r="C72" s="14" t="s">
        <v>24</v>
      </c>
      <c r="D72" s="15">
        <v>8</v>
      </c>
      <c r="E72" s="16">
        <v>8000</v>
      </c>
      <c r="F72" s="17">
        <f t="shared" si="1"/>
        <v>64000</v>
      </c>
      <c r="G72" s="21"/>
      <c r="I72" s="54"/>
      <c r="J72" s="50"/>
      <c r="K72" s="51"/>
      <c r="L72" s="52"/>
      <c r="M72" s="52"/>
      <c r="N72" s="52"/>
    </row>
    <row r="73" s="1" customFormat="1" spans="1:7">
      <c r="A73" s="26">
        <v>73343</v>
      </c>
      <c r="B73" s="13">
        <v>45983</v>
      </c>
      <c r="C73" s="36" t="s">
        <v>7</v>
      </c>
      <c r="D73" s="15">
        <v>6</v>
      </c>
      <c r="E73" s="17">
        <v>8000</v>
      </c>
      <c r="F73" s="17">
        <f t="shared" ref="F73:F117" si="2">D73*E73</f>
        <v>48000</v>
      </c>
      <c r="G73" s="18">
        <f>SUM(F73:F79)</f>
        <v>1207000</v>
      </c>
    </row>
    <row r="74" s="1" customFormat="1" spans="1:7">
      <c r="A74" s="27"/>
      <c r="B74" s="28"/>
      <c r="C74" s="36" t="s">
        <v>22</v>
      </c>
      <c r="D74" s="15">
        <v>1</v>
      </c>
      <c r="E74" s="17">
        <v>20000</v>
      </c>
      <c r="F74" s="17">
        <f t="shared" si="2"/>
        <v>20000</v>
      </c>
      <c r="G74" s="29"/>
    </row>
    <row r="75" s="1" customFormat="1" spans="1:7">
      <c r="A75" s="27"/>
      <c r="B75" s="28"/>
      <c r="C75" s="36" t="s">
        <v>23</v>
      </c>
      <c r="D75" s="15">
        <v>2</v>
      </c>
      <c r="E75" s="17">
        <v>22000</v>
      </c>
      <c r="F75" s="17">
        <f t="shared" si="2"/>
        <v>44000</v>
      </c>
      <c r="G75" s="29"/>
    </row>
    <row r="76" s="1" customFormat="1" spans="1:7">
      <c r="A76" s="27"/>
      <c r="B76" s="28"/>
      <c r="C76" s="36" t="s">
        <v>11</v>
      </c>
      <c r="D76" s="15">
        <v>1</v>
      </c>
      <c r="E76" s="17">
        <v>135000</v>
      </c>
      <c r="F76" s="17">
        <f t="shared" si="2"/>
        <v>135000</v>
      </c>
      <c r="G76" s="29"/>
    </row>
    <row r="77" s="1" customFormat="1" spans="1:7">
      <c r="A77" s="27"/>
      <c r="B77" s="28"/>
      <c r="C77" s="36" t="s">
        <v>9</v>
      </c>
      <c r="D77" s="15">
        <v>2</v>
      </c>
      <c r="E77" s="17">
        <v>115000</v>
      </c>
      <c r="F77" s="17">
        <f t="shared" si="2"/>
        <v>230000</v>
      </c>
      <c r="G77" s="29"/>
    </row>
    <row r="78" s="1" customFormat="1" spans="1:7">
      <c r="A78" s="27"/>
      <c r="B78" s="28"/>
      <c r="C78" s="36" t="s">
        <v>13</v>
      </c>
      <c r="D78" s="15">
        <v>2</v>
      </c>
      <c r="E78" s="17">
        <v>125000</v>
      </c>
      <c r="F78" s="17">
        <f t="shared" si="2"/>
        <v>250000</v>
      </c>
      <c r="G78" s="29"/>
    </row>
    <row r="79" s="1" customFormat="1" spans="1:7">
      <c r="A79" s="30"/>
      <c r="B79" s="20"/>
      <c r="C79" s="36" t="s">
        <v>16</v>
      </c>
      <c r="D79" s="15">
        <v>1</v>
      </c>
      <c r="E79" s="17">
        <v>480000</v>
      </c>
      <c r="F79" s="17">
        <f t="shared" si="2"/>
        <v>480000</v>
      </c>
      <c r="G79" s="21"/>
    </row>
    <row r="80" s="1" customFormat="1" spans="1:7">
      <c r="A80" s="26">
        <v>73426</v>
      </c>
      <c r="B80" s="13">
        <v>45984</v>
      </c>
      <c r="C80" s="36" t="s">
        <v>12</v>
      </c>
      <c r="D80" s="15">
        <v>1</v>
      </c>
      <c r="E80" s="17">
        <v>120000</v>
      </c>
      <c r="F80" s="17">
        <f t="shared" si="2"/>
        <v>120000</v>
      </c>
      <c r="G80" s="18">
        <f>SUM(F80:F84)</f>
        <v>452000</v>
      </c>
    </row>
    <row r="81" s="1" customFormat="1" spans="1:7">
      <c r="A81" s="27"/>
      <c r="B81" s="28"/>
      <c r="C81" s="36" t="s">
        <v>7</v>
      </c>
      <c r="D81" s="15">
        <v>5</v>
      </c>
      <c r="E81" s="17">
        <v>8000</v>
      </c>
      <c r="F81" s="17">
        <f t="shared" si="2"/>
        <v>40000</v>
      </c>
      <c r="G81" s="29"/>
    </row>
    <row r="82" s="1" customFormat="1" spans="1:7">
      <c r="A82" s="27"/>
      <c r="B82" s="28"/>
      <c r="C82" s="36" t="s">
        <v>22</v>
      </c>
      <c r="D82" s="15">
        <v>1</v>
      </c>
      <c r="E82" s="17">
        <v>20000</v>
      </c>
      <c r="F82" s="17">
        <f t="shared" si="2"/>
        <v>20000</v>
      </c>
      <c r="G82" s="29"/>
    </row>
    <row r="83" s="1" customFormat="1" spans="1:7">
      <c r="A83" s="27"/>
      <c r="B83" s="28"/>
      <c r="C83" s="36" t="s">
        <v>23</v>
      </c>
      <c r="D83" s="15">
        <v>1</v>
      </c>
      <c r="E83" s="17">
        <v>22000</v>
      </c>
      <c r="F83" s="17">
        <f t="shared" si="2"/>
        <v>22000</v>
      </c>
      <c r="G83" s="29"/>
    </row>
    <row r="84" s="1" customFormat="1" spans="1:7">
      <c r="A84" s="30"/>
      <c r="B84" s="20"/>
      <c r="C84" s="36" t="s">
        <v>13</v>
      </c>
      <c r="D84" s="15">
        <v>2</v>
      </c>
      <c r="E84" s="17">
        <v>125000</v>
      </c>
      <c r="F84" s="17">
        <f t="shared" si="2"/>
        <v>250000</v>
      </c>
      <c r="G84" s="21"/>
    </row>
    <row r="85" s="1" customFormat="1" spans="1:7">
      <c r="A85" s="26">
        <v>73493</v>
      </c>
      <c r="B85" s="13">
        <v>45985</v>
      </c>
      <c r="C85" s="36" t="s">
        <v>7</v>
      </c>
      <c r="D85" s="15">
        <v>5</v>
      </c>
      <c r="E85" s="17">
        <v>8000</v>
      </c>
      <c r="F85" s="17">
        <f t="shared" si="2"/>
        <v>40000</v>
      </c>
      <c r="G85" s="18">
        <f>SUM(F85:F90)</f>
        <v>482000</v>
      </c>
    </row>
    <row r="86" s="1" customFormat="1" spans="1:7">
      <c r="A86" s="27"/>
      <c r="B86" s="28"/>
      <c r="C86" s="36" t="s">
        <v>22</v>
      </c>
      <c r="D86" s="15">
        <v>2</v>
      </c>
      <c r="E86" s="17">
        <v>20000</v>
      </c>
      <c r="F86" s="17">
        <f t="shared" si="2"/>
        <v>40000</v>
      </c>
      <c r="G86" s="29"/>
    </row>
    <row r="87" s="1" customFormat="1" spans="1:7">
      <c r="A87" s="27"/>
      <c r="B87" s="28"/>
      <c r="C87" s="36" t="s">
        <v>23</v>
      </c>
      <c r="D87" s="15">
        <v>1</v>
      </c>
      <c r="E87" s="17">
        <v>22000</v>
      </c>
      <c r="F87" s="17">
        <f t="shared" si="2"/>
        <v>22000</v>
      </c>
      <c r="G87" s="29"/>
    </row>
    <row r="88" s="1" customFormat="1" spans="1:7">
      <c r="A88" s="27"/>
      <c r="B88" s="28"/>
      <c r="C88" s="36" t="s">
        <v>19</v>
      </c>
      <c r="D88" s="15">
        <v>1</v>
      </c>
      <c r="E88" s="17">
        <v>125000</v>
      </c>
      <c r="F88" s="17">
        <f t="shared" si="2"/>
        <v>125000</v>
      </c>
      <c r="G88" s="29"/>
    </row>
    <row r="89" s="1" customFormat="1" spans="1:7">
      <c r="A89" s="27"/>
      <c r="B89" s="28"/>
      <c r="C89" s="36" t="s">
        <v>11</v>
      </c>
      <c r="D89" s="15">
        <v>1</v>
      </c>
      <c r="E89" s="17">
        <v>135000</v>
      </c>
      <c r="F89" s="17">
        <f t="shared" si="2"/>
        <v>135000</v>
      </c>
      <c r="G89" s="29"/>
    </row>
    <row r="90" s="1" customFormat="1" spans="1:7">
      <c r="A90" s="30"/>
      <c r="B90" s="20"/>
      <c r="C90" s="36" t="s">
        <v>12</v>
      </c>
      <c r="D90" s="15">
        <v>1</v>
      </c>
      <c r="E90" s="17">
        <v>120000</v>
      </c>
      <c r="F90" s="17">
        <f t="shared" si="2"/>
        <v>120000</v>
      </c>
      <c r="G90" s="21"/>
    </row>
    <row r="91" s="1" customFormat="1" spans="1:7">
      <c r="A91" s="26">
        <v>73556</v>
      </c>
      <c r="B91" s="13">
        <v>45986</v>
      </c>
      <c r="C91" s="36" t="s">
        <v>22</v>
      </c>
      <c r="D91" s="15">
        <v>1</v>
      </c>
      <c r="E91" s="17">
        <v>20000</v>
      </c>
      <c r="F91" s="17">
        <f t="shared" si="2"/>
        <v>20000</v>
      </c>
      <c r="G91" s="18">
        <f>SUM(F91:F93)</f>
        <v>66000</v>
      </c>
    </row>
    <row r="92" s="1" customFormat="1" spans="1:7">
      <c r="A92" s="27"/>
      <c r="B92" s="28"/>
      <c r="C92" s="36" t="s">
        <v>23</v>
      </c>
      <c r="D92" s="15">
        <v>1</v>
      </c>
      <c r="E92" s="17">
        <v>22000</v>
      </c>
      <c r="F92" s="17">
        <f t="shared" si="2"/>
        <v>22000</v>
      </c>
      <c r="G92" s="29"/>
    </row>
    <row r="93" s="1" customFormat="1" spans="1:7">
      <c r="A93" s="30"/>
      <c r="B93" s="20"/>
      <c r="C93" s="36" t="s">
        <v>7</v>
      </c>
      <c r="D93" s="15">
        <v>3</v>
      </c>
      <c r="E93" s="17">
        <v>8000</v>
      </c>
      <c r="F93" s="17">
        <f t="shared" si="2"/>
        <v>24000</v>
      </c>
      <c r="G93" s="21"/>
    </row>
    <row r="94" s="1" customFormat="1" spans="1:7">
      <c r="A94" s="26">
        <v>73621</v>
      </c>
      <c r="B94" s="13">
        <v>45987</v>
      </c>
      <c r="C94" s="36" t="s">
        <v>7</v>
      </c>
      <c r="D94" s="15">
        <v>6</v>
      </c>
      <c r="E94" s="17">
        <v>8000</v>
      </c>
      <c r="F94" s="17">
        <f t="shared" si="2"/>
        <v>48000</v>
      </c>
      <c r="G94" s="18">
        <f>SUM(F94:F99)</f>
        <v>497000</v>
      </c>
    </row>
    <row r="95" s="1" customFormat="1" spans="1:7">
      <c r="A95" s="27"/>
      <c r="B95" s="28"/>
      <c r="C95" s="36" t="s">
        <v>22</v>
      </c>
      <c r="D95" s="15">
        <v>1</v>
      </c>
      <c r="E95" s="17">
        <v>20000</v>
      </c>
      <c r="F95" s="17">
        <f t="shared" si="2"/>
        <v>20000</v>
      </c>
      <c r="G95" s="29"/>
    </row>
    <row r="96" s="1" customFormat="1" spans="1:7">
      <c r="A96" s="27"/>
      <c r="B96" s="28"/>
      <c r="C96" s="36" t="s">
        <v>23</v>
      </c>
      <c r="D96" s="15">
        <v>2</v>
      </c>
      <c r="E96" s="17">
        <v>22000</v>
      </c>
      <c r="F96" s="17">
        <f t="shared" si="2"/>
        <v>44000</v>
      </c>
      <c r="G96" s="29"/>
    </row>
    <row r="97" s="1" customFormat="1" spans="1:7">
      <c r="A97" s="27"/>
      <c r="B97" s="28"/>
      <c r="C97" s="36" t="s">
        <v>18</v>
      </c>
      <c r="D97" s="15">
        <v>1</v>
      </c>
      <c r="E97" s="17">
        <v>135000</v>
      </c>
      <c r="F97" s="17">
        <f t="shared" si="2"/>
        <v>135000</v>
      </c>
      <c r="G97" s="29"/>
    </row>
    <row r="98" s="1" customFormat="1" spans="1:7">
      <c r="A98" s="27"/>
      <c r="B98" s="28"/>
      <c r="C98" s="36" t="s">
        <v>9</v>
      </c>
      <c r="D98" s="15">
        <v>1</v>
      </c>
      <c r="E98" s="17">
        <v>115000</v>
      </c>
      <c r="F98" s="17">
        <f t="shared" si="2"/>
        <v>115000</v>
      </c>
      <c r="G98" s="29"/>
    </row>
    <row r="99" s="1" customFormat="1" spans="1:7">
      <c r="A99" s="30"/>
      <c r="B99" s="20"/>
      <c r="C99" s="36" t="s">
        <v>14</v>
      </c>
      <c r="D99" s="15">
        <v>1</v>
      </c>
      <c r="E99" s="17">
        <v>135000</v>
      </c>
      <c r="F99" s="17">
        <f t="shared" si="2"/>
        <v>135000</v>
      </c>
      <c r="G99" s="21"/>
    </row>
    <row r="100" s="1" customFormat="1" spans="1:7">
      <c r="A100" s="26">
        <v>73702</v>
      </c>
      <c r="B100" s="13">
        <v>45988</v>
      </c>
      <c r="C100" s="36" t="s">
        <v>7</v>
      </c>
      <c r="D100" s="15">
        <v>5</v>
      </c>
      <c r="E100" s="17">
        <v>8000</v>
      </c>
      <c r="F100" s="17">
        <f t="shared" si="2"/>
        <v>40000</v>
      </c>
      <c r="G100" s="18">
        <f>SUM(F100:F104)</f>
        <v>342000</v>
      </c>
    </row>
    <row r="101" s="1" customFormat="1" spans="1:7">
      <c r="A101" s="27"/>
      <c r="B101" s="28"/>
      <c r="C101" s="36" t="s">
        <v>22</v>
      </c>
      <c r="D101" s="15">
        <v>1</v>
      </c>
      <c r="E101" s="17">
        <v>20000</v>
      </c>
      <c r="F101" s="17">
        <f t="shared" si="2"/>
        <v>20000</v>
      </c>
      <c r="G101" s="29"/>
    </row>
    <row r="102" s="1" customFormat="1" spans="1:7">
      <c r="A102" s="27"/>
      <c r="B102" s="28"/>
      <c r="C102" s="36" t="s">
        <v>23</v>
      </c>
      <c r="D102" s="15">
        <v>1</v>
      </c>
      <c r="E102" s="17">
        <v>22000</v>
      </c>
      <c r="F102" s="17">
        <f t="shared" si="2"/>
        <v>22000</v>
      </c>
      <c r="G102" s="29"/>
    </row>
    <row r="103" s="1" customFormat="1" spans="1:7">
      <c r="A103" s="27"/>
      <c r="B103" s="28"/>
      <c r="C103" s="36" t="s">
        <v>25</v>
      </c>
      <c r="D103" s="15">
        <v>1</v>
      </c>
      <c r="E103" s="17">
        <v>135000</v>
      </c>
      <c r="F103" s="17">
        <f t="shared" si="2"/>
        <v>135000</v>
      </c>
      <c r="G103" s="29"/>
    </row>
    <row r="104" s="1" customFormat="1" spans="1:7">
      <c r="A104" s="30"/>
      <c r="B104" s="20"/>
      <c r="C104" s="36" t="s">
        <v>15</v>
      </c>
      <c r="D104" s="15">
        <v>1</v>
      </c>
      <c r="E104" s="17">
        <v>125000</v>
      </c>
      <c r="F104" s="17">
        <f t="shared" si="2"/>
        <v>125000</v>
      </c>
      <c r="G104" s="21"/>
    </row>
    <row r="105" s="1" customFormat="1" spans="1:7">
      <c r="A105" s="26">
        <v>73786</v>
      </c>
      <c r="B105" s="13">
        <v>45989</v>
      </c>
      <c r="C105" s="36" t="s">
        <v>23</v>
      </c>
      <c r="D105" s="15">
        <v>1</v>
      </c>
      <c r="E105" s="17">
        <v>22000</v>
      </c>
      <c r="F105" s="17">
        <f t="shared" si="2"/>
        <v>22000</v>
      </c>
      <c r="G105" s="18">
        <f>SUM(F105:F110)</f>
        <v>803500</v>
      </c>
    </row>
    <row r="106" s="1" customFormat="1" spans="1:7">
      <c r="A106" s="27"/>
      <c r="B106" s="28"/>
      <c r="C106" s="36" t="s">
        <v>7</v>
      </c>
      <c r="D106" s="15">
        <v>4</v>
      </c>
      <c r="E106" s="17">
        <v>8000</v>
      </c>
      <c r="F106" s="17">
        <f t="shared" si="2"/>
        <v>32000</v>
      </c>
      <c r="G106" s="29"/>
    </row>
    <row r="107" s="1" customFormat="1" spans="1:7">
      <c r="A107" s="27"/>
      <c r="B107" s="28"/>
      <c r="C107" s="36" t="s">
        <v>22</v>
      </c>
      <c r="D107" s="15">
        <v>1</v>
      </c>
      <c r="E107" s="17">
        <v>20000</v>
      </c>
      <c r="F107" s="17">
        <f t="shared" si="2"/>
        <v>20000</v>
      </c>
      <c r="G107" s="29"/>
    </row>
    <row r="108" s="1" customFormat="1" spans="1:7">
      <c r="A108" s="27"/>
      <c r="B108" s="28"/>
      <c r="C108" s="36" t="s">
        <v>9</v>
      </c>
      <c r="D108" s="15">
        <v>2</v>
      </c>
      <c r="E108" s="17">
        <v>115000</v>
      </c>
      <c r="F108" s="17">
        <f t="shared" si="2"/>
        <v>230000</v>
      </c>
      <c r="G108" s="29"/>
    </row>
    <row r="109" s="1" customFormat="1" spans="1:7">
      <c r="A109" s="27"/>
      <c r="B109" s="28"/>
      <c r="C109" s="36" t="s">
        <v>16</v>
      </c>
      <c r="D109" s="15">
        <v>1</v>
      </c>
      <c r="E109" s="17">
        <v>480000</v>
      </c>
      <c r="F109" s="17">
        <f t="shared" si="2"/>
        <v>480000</v>
      </c>
      <c r="G109" s="29"/>
    </row>
    <row r="110" s="1" customFormat="1" spans="1:7">
      <c r="A110" s="30"/>
      <c r="B110" s="20"/>
      <c r="C110" s="36" t="s">
        <v>20</v>
      </c>
      <c r="D110" s="15">
        <v>13</v>
      </c>
      <c r="E110" s="17">
        <v>1500</v>
      </c>
      <c r="F110" s="17">
        <f t="shared" si="2"/>
        <v>19500</v>
      </c>
      <c r="G110" s="21"/>
    </row>
    <row r="111" s="1" customFormat="1" spans="1:7">
      <c r="A111" s="37">
        <v>73851</v>
      </c>
      <c r="B111" s="38">
        <v>45990</v>
      </c>
      <c r="C111" s="36" t="s">
        <v>7</v>
      </c>
      <c r="D111" s="15">
        <v>4</v>
      </c>
      <c r="E111" s="17">
        <v>8000</v>
      </c>
      <c r="F111" s="17">
        <f t="shared" si="2"/>
        <v>32000</v>
      </c>
      <c r="G111" s="39">
        <f>SUM(F111:F114)</f>
        <v>194000</v>
      </c>
    </row>
    <row r="112" s="1" customFormat="1" spans="1:7">
      <c r="A112" s="40"/>
      <c r="B112" s="41"/>
      <c r="C112" s="36" t="s">
        <v>22</v>
      </c>
      <c r="D112" s="15">
        <v>1</v>
      </c>
      <c r="E112" s="17">
        <v>20000</v>
      </c>
      <c r="F112" s="17">
        <f t="shared" si="2"/>
        <v>20000</v>
      </c>
      <c r="G112" s="42"/>
    </row>
    <row r="113" s="1" customFormat="1" spans="1:7">
      <c r="A113" s="40"/>
      <c r="B113" s="41"/>
      <c r="C113" s="36" t="s">
        <v>23</v>
      </c>
      <c r="D113" s="15">
        <v>1</v>
      </c>
      <c r="E113" s="17">
        <v>22000</v>
      </c>
      <c r="F113" s="17">
        <f t="shared" si="2"/>
        <v>22000</v>
      </c>
      <c r="G113" s="42"/>
    </row>
    <row r="114" s="1" customFormat="1" spans="1:7">
      <c r="A114" s="40"/>
      <c r="B114" s="41"/>
      <c r="C114" s="36" t="s">
        <v>12</v>
      </c>
      <c r="D114" s="15">
        <v>1</v>
      </c>
      <c r="E114" s="17">
        <v>120000</v>
      </c>
      <c r="F114" s="17">
        <f t="shared" si="2"/>
        <v>120000</v>
      </c>
      <c r="G114" s="42"/>
    </row>
    <row r="115" s="1" customFormat="1" spans="1:7">
      <c r="A115" s="37">
        <v>73913</v>
      </c>
      <c r="B115" s="38">
        <v>45991</v>
      </c>
      <c r="C115" s="36" t="s">
        <v>7</v>
      </c>
      <c r="D115" s="15">
        <v>5</v>
      </c>
      <c r="E115" s="17">
        <v>8000</v>
      </c>
      <c r="F115" s="17">
        <f t="shared" si="2"/>
        <v>40000</v>
      </c>
      <c r="G115" s="18">
        <f>SUM(F115:F117)</f>
        <v>82000</v>
      </c>
    </row>
    <row r="116" s="1" customFormat="1" spans="1:7">
      <c r="A116" s="40"/>
      <c r="B116" s="41"/>
      <c r="C116" s="36" t="s">
        <v>22</v>
      </c>
      <c r="D116" s="15">
        <v>1</v>
      </c>
      <c r="E116" s="17">
        <v>20000</v>
      </c>
      <c r="F116" s="17">
        <f t="shared" si="2"/>
        <v>20000</v>
      </c>
      <c r="G116" s="29"/>
    </row>
    <row r="117" s="1" customFormat="1" spans="1:7">
      <c r="A117" s="43"/>
      <c r="B117" s="44"/>
      <c r="C117" s="36" t="s">
        <v>23</v>
      </c>
      <c r="D117" s="15">
        <v>1</v>
      </c>
      <c r="E117" s="17">
        <v>22000</v>
      </c>
      <c r="F117" s="17">
        <f t="shared" si="2"/>
        <v>22000</v>
      </c>
      <c r="G117" s="21"/>
    </row>
    <row r="118" s="1" customFormat="1" spans="1:7">
      <c r="A118" s="45" t="s">
        <v>26</v>
      </c>
      <c r="B118" s="46"/>
      <c r="C118" s="47"/>
      <c r="D118" s="46"/>
      <c r="E118" s="46"/>
      <c r="F118" s="48"/>
      <c r="G118" s="16">
        <f>SUM(G2:G117)</f>
        <v>12478500</v>
      </c>
    </row>
    <row r="119" s="1" customFormat="1" spans="1:7">
      <c r="A119" s="2"/>
      <c r="B119" s="3"/>
      <c r="C119" s="4"/>
      <c r="D119" s="5"/>
      <c r="E119" s="6"/>
      <c r="G119" s="2"/>
    </row>
    <row r="120" s="1" customFormat="1" spans="1:7">
      <c r="A120" s="2"/>
      <c r="B120" s="3"/>
      <c r="C120" s="4"/>
      <c r="D120" s="5"/>
      <c r="E120" s="6"/>
      <c r="G120" s="2"/>
    </row>
    <row r="121" s="1" customFormat="1" spans="1:7">
      <c r="A121" s="2"/>
      <c r="B121" s="3"/>
      <c r="C121" s="4"/>
      <c r="D121" s="5"/>
      <c r="E121" s="6"/>
      <c r="G121" s="2"/>
    </row>
    <row r="122" s="1" customFormat="1" spans="1:7">
      <c r="A122" s="2"/>
      <c r="B122" s="3"/>
      <c r="C122" s="4"/>
      <c r="D122" s="5"/>
      <c r="E122" s="6"/>
      <c r="G122" s="2"/>
    </row>
    <row r="123" s="1" customFormat="1" spans="1:7">
      <c r="A123" s="2"/>
      <c r="B123" s="3"/>
      <c r="C123" s="4"/>
      <c r="D123" s="5"/>
      <c r="E123" s="6"/>
      <c r="G123" s="2"/>
    </row>
    <row r="124" s="1" customFormat="1" spans="1:7">
      <c r="A124" s="2"/>
      <c r="B124" s="3"/>
      <c r="C124" s="4"/>
      <c r="D124" s="5"/>
      <c r="E124" s="6"/>
      <c r="G124" s="2"/>
    </row>
    <row r="125" s="1" customFormat="1" spans="1:7">
      <c r="A125" s="2"/>
      <c r="B125" s="3"/>
      <c r="C125" s="4"/>
      <c r="D125" s="5"/>
      <c r="E125" s="6"/>
      <c r="G125" s="2"/>
    </row>
    <row r="126" s="1" customFormat="1" spans="1:7">
      <c r="A126" s="2"/>
      <c r="B126" s="3"/>
      <c r="C126" s="4"/>
      <c r="D126" s="5"/>
      <c r="E126" s="6"/>
      <c r="G126" s="2"/>
    </row>
    <row r="127" s="1" customFormat="1" spans="1:7">
      <c r="A127" s="2"/>
      <c r="B127" s="3"/>
      <c r="C127" s="4"/>
      <c r="D127" s="5"/>
      <c r="E127" s="6"/>
      <c r="G127" s="2"/>
    </row>
    <row r="128" s="1" customFormat="1" spans="1:7">
      <c r="A128" s="2"/>
      <c r="B128" s="3"/>
      <c r="C128" s="4"/>
      <c r="D128" s="5"/>
      <c r="E128" s="6"/>
      <c r="G128" s="2"/>
    </row>
    <row r="129" s="1" customFormat="1" spans="1:7">
      <c r="A129" s="2"/>
      <c r="B129" s="3"/>
      <c r="C129" s="4"/>
      <c r="D129" s="5"/>
      <c r="E129" s="6"/>
      <c r="G129" s="2"/>
    </row>
    <row r="130" s="1" customFormat="1" spans="1:7">
      <c r="A130" s="2"/>
      <c r="B130" s="3"/>
      <c r="C130" s="4"/>
      <c r="D130" s="5"/>
      <c r="E130" s="6"/>
      <c r="G130" s="2"/>
    </row>
    <row r="131" s="1" customFormat="1" spans="1:7">
      <c r="A131" s="2"/>
      <c r="B131" s="3"/>
      <c r="C131" s="4"/>
      <c r="D131" s="5"/>
      <c r="E131" s="6"/>
      <c r="G131" s="2"/>
    </row>
    <row r="132" s="1" customFormat="1" spans="1:7">
      <c r="A132" s="2"/>
      <c r="B132" s="3"/>
      <c r="C132" s="4"/>
      <c r="D132" s="5"/>
      <c r="E132" s="6"/>
      <c r="G132" s="2"/>
    </row>
    <row r="133" s="1" customFormat="1" spans="1:7">
      <c r="A133" s="2"/>
      <c r="B133" s="3"/>
      <c r="C133" s="4"/>
      <c r="D133" s="5"/>
      <c r="E133" s="6"/>
      <c r="G133" s="2"/>
    </row>
    <row r="134" s="1" customFormat="1" spans="1:7">
      <c r="A134" s="2"/>
      <c r="B134" s="3"/>
      <c r="C134" s="4"/>
      <c r="D134" s="5"/>
      <c r="E134" s="6"/>
      <c r="G134" s="2"/>
    </row>
    <row r="135" s="1" customFormat="1" spans="1:7">
      <c r="A135" s="2"/>
      <c r="B135" s="3"/>
      <c r="C135" s="4"/>
      <c r="D135" s="5"/>
      <c r="E135" s="6"/>
      <c r="G135" s="2"/>
    </row>
    <row r="136" s="1" customFormat="1" spans="1:7">
      <c r="A136" s="2"/>
      <c r="B136" s="3"/>
      <c r="C136" s="4"/>
      <c r="D136" s="5"/>
      <c r="E136" s="6"/>
      <c r="G136" s="2"/>
    </row>
    <row r="137" s="1" customFormat="1" spans="1:7">
      <c r="A137" s="2"/>
      <c r="B137" s="3"/>
      <c r="C137" s="4"/>
      <c r="D137" s="5"/>
      <c r="E137" s="6"/>
      <c r="G137" s="2"/>
    </row>
    <row r="138" s="1" customFormat="1" spans="1:7">
      <c r="A138" s="2"/>
      <c r="B138" s="3"/>
      <c r="C138" s="4"/>
      <c r="D138" s="5"/>
      <c r="E138" s="6"/>
      <c r="G138" s="2"/>
    </row>
    <row r="139" s="1" customFormat="1" spans="1:7">
      <c r="A139" s="2"/>
      <c r="B139" s="3"/>
      <c r="C139" s="4"/>
      <c r="D139" s="5"/>
      <c r="E139" s="6"/>
      <c r="G139" s="2"/>
    </row>
    <row r="140" s="1" customFormat="1" spans="1:7">
      <c r="A140" s="2"/>
      <c r="B140" s="3"/>
      <c r="C140" s="4"/>
      <c r="D140" s="5"/>
      <c r="E140" s="6"/>
      <c r="G140" s="2"/>
    </row>
    <row r="141" s="1" customFormat="1" spans="1:7">
      <c r="A141" s="2"/>
      <c r="B141" s="3"/>
      <c r="C141" s="4"/>
      <c r="D141" s="5"/>
      <c r="E141" s="6"/>
      <c r="G141" s="2"/>
    </row>
    <row r="142" s="1" customFormat="1" spans="1:7">
      <c r="A142" s="2"/>
      <c r="B142" s="3"/>
      <c r="C142" s="4"/>
      <c r="D142" s="5"/>
      <c r="E142" s="6"/>
      <c r="G142" s="2"/>
    </row>
    <row r="143" s="1" customFormat="1" spans="1:7">
      <c r="A143" s="2"/>
      <c r="B143" s="3"/>
      <c r="C143" s="4"/>
      <c r="D143" s="5"/>
      <c r="E143" s="6"/>
      <c r="G143" s="2"/>
    </row>
    <row r="144" s="1" customFormat="1" spans="1:7">
      <c r="A144" s="2"/>
      <c r="B144" s="3"/>
      <c r="C144" s="4"/>
      <c r="D144" s="5"/>
      <c r="E144" s="6"/>
      <c r="G144" s="2"/>
    </row>
    <row r="145" s="1" customFormat="1" spans="1:7">
      <c r="A145" s="2"/>
      <c r="B145" s="3"/>
      <c r="C145" s="4"/>
      <c r="D145" s="5"/>
      <c r="E145" s="6"/>
      <c r="G145" s="2"/>
    </row>
    <row r="146" s="1" customFormat="1" spans="1:7">
      <c r="A146" s="2"/>
      <c r="B146" s="3"/>
      <c r="C146" s="4"/>
      <c r="D146" s="5"/>
      <c r="E146" s="6"/>
      <c r="G146" s="2"/>
    </row>
    <row r="147" s="1" customFormat="1" spans="1:7">
      <c r="A147" s="2"/>
      <c r="B147" s="3"/>
      <c r="C147" s="4"/>
      <c r="D147" s="5"/>
      <c r="E147" s="6"/>
      <c r="G147" s="2"/>
    </row>
    <row r="148" s="1" customFormat="1" spans="1:7">
      <c r="A148" s="2"/>
      <c r="B148" s="3"/>
      <c r="C148" s="4"/>
      <c r="D148" s="5"/>
      <c r="E148" s="6"/>
      <c r="G148" s="2"/>
    </row>
    <row r="149" s="1" customFormat="1" spans="1:7">
      <c r="A149" s="2"/>
      <c r="B149" s="3"/>
      <c r="C149" s="4"/>
      <c r="D149" s="5"/>
      <c r="E149" s="6"/>
      <c r="G149" s="2"/>
    </row>
    <row r="150" s="1" customFormat="1" spans="1:7">
      <c r="A150" s="2"/>
      <c r="B150" s="3"/>
      <c r="C150" s="4"/>
      <c r="D150" s="5"/>
      <c r="E150" s="6"/>
      <c r="G150" s="2"/>
    </row>
    <row r="151" s="1" customFormat="1" spans="1:7">
      <c r="A151" s="2"/>
      <c r="B151" s="3"/>
      <c r="C151" s="4"/>
      <c r="D151" s="5"/>
      <c r="E151" s="6"/>
      <c r="G151" s="2"/>
    </row>
    <row r="152" s="1" customFormat="1" spans="1:7">
      <c r="A152" s="2"/>
      <c r="B152" s="3"/>
      <c r="C152" s="4"/>
      <c r="D152" s="5"/>
      <c r="E152" s="6"/>
      <c r="G152" s="2"/>
    </row>
    <row r="153" s="1" customFormat="1" spans="1:8">
      <c r="A153" s="2"/>
      <c r="B153" s="3"/>
      <c r="C153" s="4"/>
      <c r="D153" s="5"/>
      <c r="E153" s="6"/>
      <c r="G153" s="2"/>
      <c r="H153" s="33"/>
    </row>
  </sheetData>
  <mergeCells count="86">
    <mergeCell ref="A118:F118"/>
    <mergeCell ref="A2:A3"/>
    <mergeCell ref="A4:A6"/>
    <mergeCell ref="A7:A9"/>
    <mergeCell ref="A10:A15"/>
    <mergeCell ref="A16:A18"/>
    <mergeCell ref="A19:A20"/>
    <mergeCell ref="A21:A25"/>
    <mergeCell ref="A26:A28"/>
    <mergeCell ref="A29:A32"/>
    <mergeCell ref="A33:A37"/>
    <mergeCell ref="A38:A41"/>
    <mergeCell ref="A42:A43"/>
    <mergeCell ref="A44:A45"/>
    <mergeCell ref="A46:A54"/>
    <mergeCell ref="A55:A58"/>
    <mergeCell ref="A59:A60"/>
    <mergeCell ref="A61:A63"/>
    <mergeCell ref="A64:A68"/>
    <mergeCell ref="A70:A72"/>
    <mergeCell ref="A73:A79"/>
    <mergeCell ref="A80:A84"/>
    <mergeCell ref="A85:A90"/>
    <mergeCell ref="A91:A93"/>
    <mergeCell ref="A94:A99"/>
    <mergeCell ref="A100:A104"/>
    <mergeCell ref="A105:A110"/>
    <mergeCell ref="A111:A114"/>
    <mergeCell ref="A115:A117"/>
    <mergeCell ref="B2:B3"/>
    <mergeCell ref="B4:B6"/>
    <mergeCell ref="B7:B9"/>
    <mergeCell ref="B10:B15"/>
    <mergeCell ref="B16:B18"/>
    <mergeCell ref="B19:B20"/>
    <mergeCell ref="B21:B25"/>
    <mergeCell ref="B26:B28"/>
    <mergeCell ref="B29:B32"/>
    <mergeCell ref="B33:B37"/>
    <mergeCell ref="B38:B41"/>
    <mergeCell ref="B42:B43"/>
    <mergeCell ref="B44:B45"/>
    <mergeCell ref="B46:B54"/>
    <mergeCell ref="B55:B58"/>
    <mergeCell ref="B59:B60"/>
    <mergeCell ref="B61:B63"/>
    <mergeCell ref="B64:B68"/>
    <mergeCell ref="B70:B72"/>
    <mergeCell ref="B73:B79"/>
    <mergeCell ref="B80:B84"/>
    <mergeCell ref="B85:B90"/>
    <mergeCell ref="B91:B93"/>
    <mergeCell ref="B94:B99"/>
    <mergeCell ref="B100:B104"/>
    <mergeCell ref="B105:B110"/>
    <mergeCell ref="B111:B114"/>
    <mergeCell ref="B115:B117"/>
    <mergeCell ref="G2:G3"/>
    <mergeCell ref="G4:G6"/>
    <mergeCell ref="G7:G9"/>
    <mergeCell ref="G10:G15"/>
    <mergeCell ref="G16:G18"/>
    <mergeCell ref="G19:G20"/>
    <mergeCell ref="G21:G25"/>
    <mergeCell ref="G26:G28"/>
    <mergeCell ref="G29:G32"/>
    <mergeCell ref="G33:G37"/>
    <mergeCell ref="G38:G41"/>
    <mergeCell ref="G42:G43"/>
    <mergeCell ref="G44:G45"/>
    <mergeCell ref="G46:G54"/>
    <mergeCell ref="G55:G58"/>
    <mergeCell ref="G59:G60"/>
    <mergeCell ref="G61:G63"/>
    <mergeCell ref="G64:G68"/>
    <mergeCell ref="G70:G72"/>
    <mergeCell ref="G73:G79"/>
    <mergeCell ref="G80:G84"/>
    <mergeCell ref="G85:G90"/>
    <mergeCell ref="G91:G93"/>
    <mergeCell ref="G94:G99"/>
    <mergeCell ref="G100:G104"/>
    <mergeCell ref="G105:G110"/>
    <mergeCell ref="G111:G114"/>
    <mergeCell ref="G115:G117"/>
    <mergeCell ref="N70:N7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WARUNG EKA (DRINKS, ETC)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 GLK</dc:creator>
  <cp:lastModifiedBy>Balagan Uluwatu</cp:lastModifiedBy>
  <dcterms:created xsi:type="dcterms:W3CDTF">2025-12-01T13:32:56Z</dcterms:created>
  <dcterms:modified xsi:type="dcterms:W3CDTF">2025-12-01T13:33:30Z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9DAB9DEC069C4A6194FA4E0F2A5303E8_11</vt:lpwstr>
  </property>
  <property fmtid="{D5CDD505-2E9C-101B-9397-08002B2CF9AE}" pid="3" name="KSOProductBuildVer">
    <vt:lpwstr>1033-12.2.0.23155</vt:lpwstr>
  </property>
</Properties>
</file>