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13_ncr:1_{AA0FEA08-E3CC-8844-A3F5-326FC8CFE4AF}" xr6:coauthVersionLast="47" xr6:coauthVersionMax="47" xr10:uidLastSave="{00000000-0000-0000-0000-000000000000}"/>
  <bookViews>
    <workbookView xWindow="4680" yWindow="4200" windowWidth="26440" windowHeight="15180" xr2:uid="{A939248C-0E8A-3D4C-B767-89FC14B9F1AB}"/>
  </bookViews>
  <sheets>
    <sheet name="SELERA OR STIR UP (Syrup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G9" i="1"/>
  <c r="G8" i="1"/>
  <c r="G7" i="1"/>
  <c r="G6" i="1"/>
  <c r="H5" i="1"/>
  <c r="G5" i="1"/>
  <c r="D3" i="1"/>
  <c r="G2" i="1"/>
  <c r="H2" i="1" s="1"/>
  <c r="H3" i="1" l="1"/>
  <c r="E4" i="1"/>
  <c r="H10" i="1"/>
  <c r="E11" i="1" s="1"/>
  <c r="F12" i="1" l="1"/>
  <c r="I1" i="1" s="1"/>
</calcChain>
</file>

<file path=xl/sharedStrings.xml><?xml version="1.0" encoding="utf-8"?>
<sst xmlns="http://schemas.openxmlformats.org/spreadsheetml/2006/main" count="23" uniqueCount="19">
  <si>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</si>
  <si>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</si>
  <si>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</si>
  <si>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</si>
  <si>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</si>
  <si>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</si>
  <si>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</si>
  <si>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</si>
  <si>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SO.03-260091</t>
  </si>
  <si>
    <t>KOOL KIWI PET 800 ML</t>
  </si>
  <si>
    <t>SUB TOTAL</t>
  </si>
  <si>
    <t>PPN (11%)</t>
  </si>
  <si>
    <t>SO.03-260108</t>
  </si>
  <si>
    <t>MARVELOUSE MANGO PET 800 ML</t>
  </si>
  <si>
    <t>PARADIESE PEACH PET 800 ML</t>
  </si>
  <si>
    <t>VOILA VANILLA 700 ML</t>
  </si>
  <si>
    <t>PRECIOUS POMELO PET 800 ML</t>
  </si>
  <si>
    <t>CHEERFUL AMARENA CHERRY 700 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</si>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</sst>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p&quot;* #,##0_-;\-&quot;Rp&quot;* #,##0_-;_-&quot;Rp&quot;* &quot;-&quot;??_-;_-@_-"/>
    <numFmt numFmtId="165" formatCode="[$-409]d\-mmm\-yyyy;@"/>
    <numFmt numFmtId="166" formatCode="_ [$IDR]\ * #,##0_ ;_ [$IDR]\ * \-#,##0_ ;_ [$IDR]\ * &quot;-&quot;_ ;_ @_ "/>
    <numFmt numFmtId="167" formatCode="[$Rp-421]#,##0.00;[Red][$Rp-421]#,##0.00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i/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164" fontId="1" fillId="0" borderId="0" xfId="0" applyNumberFormat="1" applyFont="1">
      <alignment vertical="center"/>
    </xf>
    <xf numFmtId="0" fontId="1" fillId="0" borderId="0" xfId="0" applyFont="1">
      <alignment vertical="center"/>
    </xf>
    <xf numFmtId="165" fontId="1" fillId="3" borderId="2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6" fontId="1" fillId="3" borderId="1" xfId="0" applyNumberFormat="1" applyFont="1" applyFill="1" applyBorder="1">
      <alignment vertical="center"/>
    </xf>
    <xf numFmtId="166" fontId="1" fillId="0" borderId="2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3" fillId="3" borderId="3" xfId="0" applyNumberFormat="1" applyFont="1" applyFill="1" applyBorder="1">
      <alignment vertical="center"/>
    </xf>
    <xf numFmtId="167" fontId="3" fillId="3" borderId="4" xfId="0" applyNumberFormat="1" applyFont="1" applyFill="1" applyBorder="1">
      <alignment vertical="center"/>
    </xf>
    <xf numFmtId="167" fontId="3" fillId="3" borderId="5" xfId="0" applyNumberFormat="1" applyFont="1" applyFill="1" applyBorder="1">
      <alignment vertical="center"/>
    </xf>
    <xf numFmtId="165" fontId="1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5" fontId="1" fillId="3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16" fontId="1" fillId="4" borderId="7" xfId="0" applyNumberFormat="1" applyFont="1" applyFill="1" applyBorder="1" applyAlignment="1">
      <alignment horizontal="center" vertical="center"/>
    </xf>
    <xf numFmtId="16" fontId="1" fillId="4" borderId="5" xfId="0" applyNumberFormat="1" applyFont="1" applyFill="1" applyBorder="1" applyAlignment="1">
      <alignment horizontal="center" vertical="center"/>
    </xf>
    <xf numFmtId="16" fontId="1" fillId="4" borderId="5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left" vertical="center"/>
    </xf>
    <xf numFmtId="164" fontId="3" fillId="4" borderId="3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124460</xdr:colOff>
      <xdr:row>1</xdr:row>
      <xdr:rowOff>53975</xdr:rowOff>
    </xdr:from>
    <xdr:to>
      <xdr:col>5</xdr:col>
      <xdr:colOff>0</xdr:colOff>
      <xdr:row>1</xdr:row>
      <xdr:rowOff>5147310</xdr:rowOff>
    </xdr:to>
    <xdr:pic>
      <xdr:nvPicPr>
        <xdr:cNvPr id="2" name="ID_3EE3940CC0654824BC02F57505C85A4B" descr="PHOTO-2026-03-03-23-58-07">
          <a:extLst>
            <a:ext uri="{FF2B5EF4-FFF2-40B4-BE49-F238E27FC236}">
              <a16:creationId xmlns:a16="http://schemas.microsoft.com/office/drawing/2014/main" id="{62B52E0F-E5A8-4E4A-8E4C-04F8AA6BA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6542"/>
        <a:stretch>
          <a:fillRect/>
        </a:stretch>
      </xdr:blipFill>
      <xdr:spPr>
        <a:xfrm>
          <a:off x="7769860" y="485775"/>
          <a:ext cx="3317240" cy="5093335"/>
        </a:xfrm>
        <a:prstGeom prst="rect">
          <a:avLst/>
        </a:prstGeom>
      </xdr:spPr>
    </xdr:pic>
    <xdr:clientData/>
  </xdr:twoCellAnchor>
  <xdr:twoCellAnchor editAs="oneCell">
    <xdr:from>
      <xdr:col>4</xdr:col>
      <xdr:colOff>56865</xdr:colOff>
      <xdr:row>4</xdr:row>
      <xdr:rowOff>37910</xdr:rowOff>
    </xdr:from>
    <xdr:to>
      <xdr:col>4</xdr:col>
      <xdr:colOff>3433202</xdr:colOff>
      <xdr:row>8</xdr:row>
      <xdr:rowOff>947762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C2EF44-3AE8-D04A-B3D3-7354E2514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2265" y="6553010"/>
          <a:ext cx="3376337" cy="48214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43A6-F7DC-9E48-8548-10000ADBDD29}">
  <dimension ref="A1:I36"/>
  <sheetViews>
    <sheetView tabSelected="1" zoomScale="67" zoomScaleNormal="67" workbookViewId="0">
      <pane xSplit="3" ySplit="1" topLeftCell="E2" activePane="bottomRight" state="frozen"/>
      <selection pane="topRight"/>
      <selection pane="bottomLeft"/>
      <selection pane="bottomRight" activeCell="J2" sqref="J2"/>
    </sheetView>
  </sheetViews>
  <sheetFormatPr baseColWidth="10" defaultColWidth="9.1640625" defaultRowHeight="21" x14ac:dyDescent="0.2"/>
  <cols>
    <col min="1" max="1" width="17" style="4" customWidth="1"/>
    <col min="2" max="2" width="18" style="4" customWidth="1"/>
    <col min="3" max="3" width="52.6640625" style="4" customWidth="1"/>
    <col min="4" max="4" width="12.6640625" style="4" customWidth="1"/>
    <col min="5" max="5" width="45.1640625" style="4" customWidth="1"/>
    <col min="6" max="7" width="29" style="4" customWidth="1"/>
    <col min="8" max="8" width="23.1640625" style="4" customWidth="1"/>
    <col min="9" max="9" width="18.33203125" style="4" bestFit="1" customWidth="1"/>
    <col min="10" max="12" width="9.1640625" style="4"/>
    <col min="13" max="13" width="13.1640625" style="4" customWidth="1"/>
    <col min="14" max="16384" width="9.1640625" style="4"/>
  </cols>
  <sheetData>
    <row r="1" spans="1:9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>
        <f>F12</f>
        <v>2886000</v>
      </c>
    </row>
    <row r="2" spans="1:9" ht="409.5" customHeight="1" x14ac:dyDescent="0.2">
      <c r="A2" s="5">
        <v>46083</v>
      </c>
      <c r="B2" s="5" t="s">
        <v>8</v>
      </c>
      <c r="C2" s="6" t="s">
        <v>9</v>
      </c>
      <c r="D2" s="7">
        <v>7</v>
      </c>
      <c r="E2" s="8"/>
      <c r="F2" s="9">
        <v>100000</v>
      </c>
      <c r="G2" s="10">
        <f>D2*F2</f>
        <v>700000</v>
      </c>
      <c r="H2" s="11">
        <f>SUM(G2:G2)</f>
        <v>700000</v>
      </c>
    </row>
    <row r="3" spans="1:9" ht="35" customHeight="1" x14ac:dyDescent="0.2">
      <c r="A3" s="12" t="s">
        <v>10</v>
      </c>
      <c r="B3" s="12"/>
      <c r="C3" s="12"/>
      <c r="D3" s="7">
        <f>SUM(D2:D2)</f>
        <v>7</v>
      </c>
      <c r="E3" s="13"/>
      <c r="F3" s="14" t="s">
        <v>11</v>
      </c>
      <c r="G3" s="14"/>
      <c r="H3" s="15">
        <f>H2*11%</f>
        <v>77000</v>
      </c>
    </row>
    <row r="4" spans="1:9" ht="35" customHeight="1" x14ac:dyDescent="0.2">
      <c r="A4" s="12" t="s">
        <v>7</v>
      </c>
      <c r="B4" s="12"/>
      <c r="C4" s="12"/>
      <c r="D4" s="7"/>
      <c r="E4" s="16">
        <f>SUM(H2:H3)</f>
        <v>777000</v>
      </c>
      <c r="F4" s="17"/>
      <c r="G4" s="17"/>
      <c r="H4" s="18"/>
    </row>
    <row r="5" spans="1:9" ht="77" customHeight="1" x14ac:dyDescent="0.2">
      <c r="A5" s="19">
        <v>46093</v>
      </c>
      <c r="B5" s="19" t="s">
        <v>12</v>
      </c>
      <c r="C5" s="6" t="s">
        <v>13</v>
      </c>
      <c r="D5" s="7">
        <v>4</v>
      </c>
      <c r="E5" s="20"/>
      <c r="F5" s="9">
        <v>100000</v>
      </c>
      <c r="G5" s="10">
        <f>D5*F5</f>
        <v>400000</v>
      </c>
      <c r="H5" s="21">
        <f>SUM(G5:G9)</f>
        <v>1900000</v>
      </c>
    </row>
    <row r="6" spans="1:9" ht="77" customHeight="1" x14ac:dyDescent="0.2">
      <c r="A6" s="22"/>
      <c r="B6" s="22"/>
      <c r="C6" s="6" t="s">
        <v>14</v>
      </c>
      <c r="D6" s="7">
        <v>6</v>
      </c>
      <c r="E6" s="20"/>
      <c r="F6" s="9">
        <v>100000</v>
      </c>
      <c r="G6" s="10">
        <f>D6*F6</f>
        <v>600000</v>
      </c>
      <c r="H6" s="23"/>
    </row>
    <row r="7" spans="1:9" ht="77" customHeight="1" x14ac:dyDescent="0.2">
      <c r="A7" s="22"/>
      <c r="B7" s="22"/>
      <c r="C7" s="6" t="s">
        <v>15</v>
      </c>
      <c r="D7" s="7">
        <v>2</v>
      </c>
      <c r="E7" s="20"/>
      <c r="F7" s="9">
        <v>100000</v>
      </c>
      <c r="G7" s="10">
        <f>D7*F7</f>
        <v>200000</v>
      </c>
      <c r="H7" s="23"/>
    </row>
    <row r="8" spans="1:9" ht="77" customHeight="1" x14ac:dyDescent="0.2">
      <c r="A8" s="22"/>
      <c r="B8" s="22"/>
      <c r="C8" s="6" t="s">
        <v>16</v>
      </c>
      <c r="D8" s="7">
        <v>2</v>
      </c>
      <c r="E8" s="20"/>
      <c r="F8" s="9">
        <v>100000</v>
      </c>
      <c r="G8" s="10">
        <f>D8*F8</f>
        <v>200000</v>
      </c>
      <c r="H8" s="23"/>
    </row>
    <row r="9" spans="1:9" ht="77" customHeight="1" x14ac:dyDescent="0.2">
      <c r="A9" s="22"/>
      <c r="B9" s="22"/>
      <c r="C9" s="24" t="s">
        <v>17</v>
      </c>
      <c r="D9" s="7">
        <v>5</v>
      </c>
      <c r="E9" s="20"/>
      <c r="F9" s="9">
        <v>100000</v>
      </c>
      <c r="G9" s="10">
        <f>D9*F9</f>
        <v>500000</v>
      </c>
      <c r="H9" s="23"/>
    </row>
    <row r="10" spans="1:9" ht="35" customHeight="1" x14ac:dyDescent="0.2">
      <c r="A10" s="12" t="s">
        <v>10</v>
      </c>
      <c r="B10" s="12"/>
      <c r="C10" s="12"/>
      <c r="D10" s="7">
        <f>SUM(D5:D9)</f>
        <v>19</v>
      </c>
      <c r="E10" s="13"/>
      <c r="F10" s="14" t="s">
        <v>11</v>
      </c>
      <c r="G10" s="14"/>
      <c r="H10" s="15">
        <f>H5*11%</f>
        <v>209000</v>
      </c>
    </row>
    <row r="11" spans="1:9" ht="35" customHeight="1" x14ac:dyDescent="0.2">
      <c r="A11" s="12" t="s">
        <v>7</v>
      </c>
      <c r="B11" s="12"/>
      <c r="C11" s="12"/>
      <c r="D11" s="7"/>
      <c r="E11" s="16">
        <f>SUM(H5:H10)</f>
        <v>2109000</v>
      </c>
      <c r="F11" s="17"/>
      <c r="G11" s="17"/>
      <c r="H11" s="18"/>
    </row>
    <row r="12" spans="1:9" ht="64" customHeight="1" x14ac:dyDescent="0.2">
      <c r="A12" s="25"/>
      <c r="B12" s="26"/>
      <c r="C12" s="27"/>
      <c r="D12" s="28"/>
      <c r="E12" s="29" t="s">
        <v>18</v>
      </c>
      <c r="F12" s="30">
        <f>SUM(E4,E11)</f>
        <v>2886000</v>
      </c>
      <c r="G12" s="31"/>
      <c r="H12" s="32"/>
    </row>
    <row r="13" spans="1:9" ht="64" customHeight="1" x14ac:dyDescent="0.2">
      <c r="F13" s="3"/>
    </row>
    <row r="14" spans="1:9" ht="64" customHeight="1" x14ac:dyDescent="0.2"/>
    <row r="15" spans="1:9" ht="64" customHeight="1" x14ac:dyDescent="0.2"/>
    <row r="16" spans="1:9" ht="64" customHeight="1" x14ac:dyDescent="0.2"/>
    <row r="17" ht="35" customHeight="1" x14ac:dyDescent="0.2"/>
    <row r="18" ht="35" customHeight="1" x14ac:dyDescent="0.2"/>
    <row r="19" ht="160" customHeight="1" x14ac:dyDescent="0.2"/>
    <row r="20" ht="160" customHeight="1" x14ac:dyDescent="0.2"/>
    <row r="21" ht="35" customHeight="1" x14ac:dyDescent="0.2"/>
    <row r="22" ht="35" customHeight="1" x14ac:dyDescent="0.2"/>
    <row r="23" ht="321" customHeight="1" x14ac:dyDescent="0.2"/>
    <row r="24" ht="34" customHeight="1" x14ac:dyDescent="0.2"/>
    <row r="25" ht="34" customHeight="1" x14ac:dyDescent="0.2"/>
    <row r="26" ht="34" customHeight="1" x14ac:dyDescent="0.2"/>
    <row r="27" ht="58" customHeight="1" x14ac:dyDescent="0.2"/>
    <row r="28" ht="58" customHeight="1" x14ac:dyDescent="0.2"/>
    <row r="29" ht="58" customHeight="1" x14ac:dyDescent="0.2"/>
    <row r="30" ht="58" customHeight="1" x14ac:dyDescent="0.2"/>
    <row r="31" ht="58" customHeight="1" x14ac:dyDescent="0.2"/>
    <row r="32" ht="58" customHeight="1" x14ac:dyDescent="0.2"/>
    <row r="33" ht="58" customHeight="1" x14ac:dyDescent="0.2"/>
    <row r="34" ht="58" customHeight="1" x14ac:dyDescent="0.2"/>
    <row r="35" ht="58" customHeight="1" x14ac:dyDescent="0.2"/>
    <row r="36" ht="58" customHeight="1" x14ac:dyDescent="0.2"/>
  </sheetData>
  <mergeCells count="14">
    <mergeCell ref="A10:C10"/>
    <mergeCell ref="F10:G10"/>
    <mergeCell ref="A11:C11"/>
    <mergeCell ref="E11:H11"/>
    <mergeCell ref="A12:C12"/>
    <mergeCell ref="F12:H12"/>
    <mergeCell ref="A3:C3"/>
    <mergeCell ref="F3:G3"/>
    <mergeCell ref="A4:C4"/>
    <mergeCell ref="E4:H4"/>
    <mergeCell ref="A5:A9"/>
    <mergeCell ref="B5:B9"/>
    <mergeCell ref="E5:E9"/>
    <mergeCell ref="H5:H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SELERA OR STIR UP (Syrup)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2026-03-27T23:12:01Z</dcterms:created>
  <dcterms:modified xsi:type="dcterms:W3CDTF">2026-03-27T23:12:35Z</dcterms:modified>
</cp:coreProperties>
</file>