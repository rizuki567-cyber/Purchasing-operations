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00"/>
  </bookViews>
  <sheets>
    <sheet name="SURYA CIPTA NIAGA ABADI (BEEF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3" name="ID_B7457DA6CFC04C12B9163F9E9156146E" descr="WhatsApp Image 2025-11-20 at 12.02.23_efaa82e0"/>
        <xdr:cNvPicPr>
          <a:picLocks noChangeAspect="1"/>
        </xdr:cNvPicPr>
      </xdr:nvPicPr>
      <xdr:blipFill>
        <a:blip r:embed="rId1"/>
        <a:srcRect l="3759" t="5246" r="2963" b="2961"/>
        <a:stretch>
          <a:fillRect/>
        </a:stretch>
      </xdr:blipFill>
      <xdr:spPr>
        <a:xfrm rot="16200000">
          <a:off x="6370320" y="-219075"/>
          <a:ext cx="1362075" cy="2397125"/>
        </a:xfrm>
        <a:prstGeom prst="rect">
          <a:avLst/>
        </a:prstGeom>
      </xdr:spPr>
    </xdr:pic>
  </etc:cellImage>
  <etc:cellImage>
    <xdr:pic>
      <xdr:nvPicPr>
        <xdr:cNvPr id="21" name="ID_AD391E00A66A474F8756047855F2805B" descr="WhatsApp Image 2025-11-20 at 11.50.21_059e8d24"/>
        <xdr:cNvPicPr>
          <a:picLocks noChangeAspect="1"/>
        </xdr:cNvPicPr>
      </xdr:nvPicPr>
      <xdr:blipFill>
        <a:blip r:embed="rId2"/>
        <a:srcRect l="4768" t="9023" r="3758" b="1598"/>
        <a:stretch>
          <a:fillRect/>
        </a:stretch>
      </xdr:blipFill>
      <xdr:spPr>
        <a:xfrm rot="16200000">
          <a:off x="6203315" y="24765"/>
          <a:ext cx="1659890" cy="28930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<sst xmlns="http://schemas.openxmlformats.org/spreadsheetml/2006/main" count="18" uniqueCount="15">
  <si>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</si>
  <si>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</si>
  <si>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</si>
  <si>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</si>
  <si>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</si>
  <si>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</si>
  <si>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</si>
  <si>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</si>
  <si>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STATUS</t>
  </si>
  <si>
    <t>2511/FK-0104</t>
  </si>
  <si>
    <t>STRIPLOIN ICHI BROWN</t>
  </si>
  <si>
    <t>PAID</t>
  </si>
  <si>
    <t>TOP SIDE BLACK ANGUS GF ONYX</t>
  </si>
  <si>
    <t>2511/FK-1864</t>
  </si>
  <si>
    <t>TOPSIDE WAGYU ONYX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</si>
</sst>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[$-409]d\-mmm\-yyyy;@"/>
    <numFmt numFmtId="181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0" fillId="3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81" fontId="0" fillId="3" borderId="1" xfId="0" applyNumberFormat="1" applyFill="1" applyBorder="1" applyAlignment="1">
      <alignment vertical="center" wrapText="1"/>
    </xf>
    <xf numFmtId="0" fontId="0" fillId="3" borderId="3" xfId="0" applyNumberFormat="1" applyFill="1" applyBorder="1" applyAlignment="1">
      <alignment horizontal="center" vertical="center" wrapText="1"/>
    </xf>
    <xf numFmtId="180" fontId="0" fillId="3" borderId="4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80" fontId="2" fillId="4" borderId="5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2" fillId="4" borderId="6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181" fontId="0" fillId="3" borderId="1" xfId="0" applyNumberFormat="1" applyFill="1" applyBorder="1" applyAlignment="1">
      <alignment horizontal="left" vertical="center"/>
    </xf>
    <xf numFmtId="181" fontId="0" fillId="3" borderId="7" xfId="0" applyNumberForma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181" fontId="0" fillId="3" borderId="8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vertical="center"/>
    </xf>
    <xf numFmtId="181" fontId="0" fillId="3" borderId="1" xfId="0" applyNumberFormat="1" applyFill="1" applyBorder="1" applyAlignment="1">
      <alignment vertical="center"/>
    </xf>
    <xf numFmtId="181" fontId="3" fillId="4" borderId="5" xfId="0" applyNumberFormat="1" applyFont="1" applyFill="1" applyBorder="1" applyAlignment="1">
      <alignment horizontal="center" vertical="center"/>
    </xf>
    <xf numFmtId="181" fontId="3" fillId="4" borderId="3" xfId="0" applyNumberFormat="1" applyFon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115" zoomScaleNormal="115" topLeftCell="C1" workbookViewId="0">
      <selection activeCell="G7" sqref="G7"/>
    </sheetView>
  </sheetViews>
  <sheetFormatPr defaultColWidth="9.140625" defaultRowHeight="16.8" outlineLevelRow="7"/>
  <cols>
    <col min="1" max="1" width="19" style="1" customWidth="1"/>
    <col min="2" max="2" width="13.7109375" style="2" customWidth="1"/>
    <col min="3" max="3" width="28.859375" customWidth="1"/>
    <col min="4" max="4" width="25.4296875" customWidth="1"/>
    <col min="5" max="5" width="36.5546875" customWidth="1"/>
    <col min="6" max="7" width="18.7109375" customWidth="1"/>
    <col min="8" max="8" width="22.859375" customWidth="1"/>
    <col min="9" max="9" width="15.4296875" customWidth="1"/>
  </cols>
  <sheetData>
    <row r="1" customFormat="1" ht="16" customHeight="1" spans="1:9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customFormat="1" ht="55" customHeight="1" spans="1:9">
      <c r="A2" s="6">
        <v>45962</v>
      </c>
      <c r="B2" s="7" t="s">
        <v>9</v>
      </c>
      <c r="C2" s="8" t="s">
        <v>10</v>
      </c>
      <c r="D2" s="9">
        <v>11.79</v>
      </c>
      <c r="E2" s="15" t="str">
        <f>_xlfn.DISPIMG("ID_B7457DA6CFC04C12B9163F9E9156146E",1)</f>
        <v>=DISPIMG("ID_B7457DA6CFC04C12B9163F9E9156146E",1)</v>
      </c>
      <c r="F2" s="16">
        <v>180000</v>
      </c>
      <c r="G2" s="17">
        <f>D2*F2</f>
        <v>2122200</v>
      </c>
      <c r="H2" s="17">
        <f>SUM(G2:G3)</f>
        <v>5277200</v>
      </c>
      <c r="I2" s="26" t="s">
        <v>11</v>
      </c>
    </row>
    <row r="3" customFormat="1" ht="55" customHeight="1" spans="1:9">
      <c r="A3" s="10"/>
      <c r="B3" s="11"/>
      <c r="C3" s="8" t="s">
        <v>12</v>
      </c>
      <c r="D3" s="9">
        <v>12.62</v>
      </c>
      <c r="E3" s="18"/>
      <c r="F3" s="16">
        <v>250000</v>
      </c>
      <c r="G3" s="17">
        <f>D3*F3</f>
        <v>3155000</v>
      </c>
      <c r="H3" s="19"/>
      <c r="I3" s="27"/>
    </row>
    <row r="4" customFormat="1" ht="55" customHeight="1" spans="1:9">
      <c r="A4" s="6">
        <v>45976</v>
      </c>
      <c r="B4" s="7" t="s">
        <v>13</v>
      </c>
      <c r="C4" s="8" t="s">
        <v>10</v>
      </c>
      <c r="D4" s="9">
        <v>11.28</v>
      </c>
      <c r="E4" s="20" t="str">
        <f>_xlfn.DISPIMG("ID_AD391E00A66A474F8756047855F2805B",1)</f>
        <v>=DISPIMG("ID_AD391E00A66A474F8756047855F2805B",1)</v>
      </c>
      <c r="F4" s="16">
        <v>180000</v>
      </c>
      <c r="G4" s="17">
        <f>D4*F4</f>
        <v>2030400</v>
      </c>
      <c r="H4" s="17">
        <f>SUM(G4:G5)</f>
        <v>8140400</v>
      </c>
      <c r="I4" s="26" t="s">
        <v>11</v>
      </c>
    </row>
    <row r="5" customFormat="1" ht="55" customHeight="1" spans="1:9">
      <c r="A5" s="10"/>
      <c r="B5" s="11"/>
      <c r="C5" s="8" t="s">
        <v>14</v>
      </c>
      <c r="D5" s="9">
        <v>24.44</v>
      </c>
      <c r="E5" s="21"/>
      <c r="F5" s="16">
        <v>250000</v>
      </c>
      <c r="G5" s="17">
        <f>D5*F5</f>
        <v>6110000</v>
      </c>
      <c r="H5" s="19"/>
      <c r="I5" s="27"/>
    </row>
    <row r="6" customFormat="1" ht="26" spans="1:9">
      <c r="A6" s="12" t="s">
        <v>7</v>
      </c>
      <c r="B6" s="13"/>
      <c r="C6" s="14"/>
      <c r="D6" s="13"/>
      <c r="E6" s="22"/>
      <c r="F6" s="23"/>
      <c r="G6" s="24"/>
      <c r="H6" s="25">
        <f>SUM(H4)</f>
        <v>8140400</v>
      </c>
      <c r="I6" s="25"/>
    </row>
    <row r="7" ht="60" customHeight="1"/>
    <row r="8" ht="180" customHeight="1"/>
  </sheetData>
  <mergeCells count="11">
    <mergeCell ref="A6:C6"/>
    <mergeCell ref="A2:A3"/>
    <mergeCell ref="A4:A5"/>
    <mergeCell ref="B2:B3"/>
    <mergeCell ref="B4:B5"/>
    <mergeCell ref="E2:E3"/>
    <mergeCell ref="E4:E5"/>
    <mergeCell ref="H2:H3"/>
    <mergeCell ref="H4:H5"/>
    <mergeCell ref="I2:I3"/>
    <mergeCell ref="I4:I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SURYA CIPTA NIAGA ABADI (BEEF)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2025-12-01T14:56:00Z</dcterms:created>
  <dcterms:modified xsi:type="dcterms:W3CDTF">2025-12-15T13:59:55Z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756277F28B574F62B30CF6F5B9E51196_13</vt:lpwstr>
  </property>
  <property fmtid="{D5CDD505-2E9C-101B-9397-08002B2CF9AE}" pid="3" name="KSOProductBuildVer">
    <vt:lpwstr>1033-12.1.23152.23152</vt:lpwstr>
  </property>
</Properties>
</file>