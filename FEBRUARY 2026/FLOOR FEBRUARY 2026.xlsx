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980" windowHeight="17020" firstSheet="2" activeTab="2"/>
  </bookViews>
  <sheets>
    <sheet name="Anugrah (Bag, Cup, Box)" sheetId="1" r:id="rId1"/>
    <sheet name="UD Abdi Jaya (Bag, Cup, Box)" sheetId="2" r:id="rId2"/>
    <sheet name="PT. SUPARMA JAYA TBK (Tissue)" sheetId="3" r:id="rId3"/>
    <sheet name="Vickel Laundry" sheetId="5" r:id="rId4"/>
    <sheet name="Dishy Soap" sheetId="6" r:id="rId5"/>
    <sheet name="TOTAL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<sst xmlns="http://schemas.openxmlformats.org/spreadsheetml/2006/main" count="70" uniqueCount="38">
  <si>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</si>
  <si>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</si>
  <si>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</si>
  <si>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</si>
  <si>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</si>
  <si>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</si>
  <si>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</si>
  <si>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</si>
  <si>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HAND GLOVE BLACK L</t>
  </si>
  <si>
    <t>HAND GLOVE BLACK M</t>
  </si>
  <si>
    <t>PLASTIC TRASH BAG 90X100</t>
  </si>
  <si>
    <t>VACUUM 16X25</t>
  </si>
  <si>
    <t>DISHWASHING SPONGE</t>
  </si>
  <si>
    <t>DISHWASHING SCRUBBER/ WIRE</t>
  </si>
  <si>
    <t>PORTABLE GAS</t>
  </si>
  <si>
    <t>HAIR NET/ MOP CAP</t>
  </si>
  <si>
    <t>KG PLASTIC</t>
  </si>
  <si>
    <t>GRAND TOTAL</t>
  </si>
  <si>
    <t>0967/JL/UTM/0226</t>
  </si>
  <si>
    <t>LABEL PRICE</t>
  </si>
  <si>
    <t>PIPING BAG</t>
  </si>
  <si>
    <t>SO05LC2602000202/00</t>
  </si>
  <si>
    <t>SEE-U HTM DE / ECONO RED / 20 PK FSC MIX 85% / SUHT-046NN</t>
  </si>
  <si>
    <t>SALES PRICE</t>
  </si>
  <si>
    <t>PPN</t>
  </si>
  <si>
    <t>PPh 22</t>
  </si>
  <si>
    <t>STATUS</t>
  </si>
  <si>
    <t>DESCRIPTION</t>
  </si>
  <si>
    <t>QTY</t>
  </si>
  <si>
    <t>DISHY 5 L DISHWASHIG</t>
  </si>
  <si>
    <t>NO</t>
  </si>
  <si>
    <t>SUPLAYER</t>
  </si>
  <si>
    <t>QYR</t>
  </si>
  <si>
    <t>Anugrah</t>
  </si>
  <si>
    <t>UD Abdi Jaya</t>
  </si>
  <si>
    <t>PT. SUPARMA JAYA TBK</t>
  </si>
  <si>
    <t>Vickel Laundry</t>
  </si>
  <si>
    <t>Dishy Soap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</si>
</sst>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-&quot;Rp&quot;* #,##0_-;\-&quot;Rp&quot;* #,##0_-;_-&quot;Rp&quot;* &quot;-&quot;??_-;_-@_-"/>
    <numFmt numFmtId="181" formatCode="[$-409]d\-mmm\-yyyy;@"/>
    <numFmt numFmtId="182" formatCode="dd\-mmm"/>
    <numFmt numFmtId="183" formatCode="_ [$IDR]\ * #,##0_ ;_ [$IDR]\ * \-#,##0_ ;_ [$IDR]\ * &quot;-&quot;_ ;_ @_ "/>
    <numFmt numFmtId="184" formatCode="[$Rp-421]#,##0.0000;[Red][$Rp-421]#,##0.0000"/>
    <numFmt numFmtId="185" formatCode="[$Rp-421]#,##0.00;[Red][$Rp-421]#,##0.00"/>
  </numFmts>
  <fonts count="33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sz val="16"/>
      <color theme="1"/>
      <name val="Garamond"/>
      <charset val="134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sz val="14"/>
      <color theme="1"/>
      <name val="Garamond"/>
      <charset val="134"/>
    </font>
    <font>
      <sz val="14"/>
      <color theme="1"/>
      <name val="Calibri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8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9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1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180" fontId="0" fillId="3" borderId="1" xfId="0" applyNumberFormat="1" applyFill="1" applyBorder="1" applyAlignment="1">
      <alignment horizontal="left" vertical="center"/>
    </xf>
    <xf numFmtId="180" fontId="0" fillId="3" borderId="1" xfId="0" applyNumberFormat="1" applyFill="1" applyBorder="1"/>
    <xf numFmtId="180" fontId="0" fillId="2" borderId="1" xfId="0" applyNumberFormat="1" applyFill="1" applyBorder="1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81" fontId="0" fillId="0" borderId="0" xfId="0" applyNumberFormat="1" applyFill="1" applyAlignment="1">
      <alignment vertical="center"/>
    </xf>
    <xf numFmtId="18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81" fontId="2" fillId="3" borderId="1" xfId="0" applyNumberFormat="1" applyFont="1" applyFill="1" applyBorder="1" applyAlignment="1">
      <alignment horizontal="center" vertical="center"/>
    </xf>
    <xf numFmtId="180" fontId="2" fillId="3" borderId="2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/>
    </xf>
    <xf numFmtId="181" fontId="3" fillId="3" borderId="1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6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left" vertical="center"/>
    </xf>
    <xf numFmtId="180" fontId="2" fillId="3" borderId="7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0" fontId="3" fillId="3" borderId="8" xfId="0" applyNumberFormat="1" applyFont="1" applyFill="1" applyBorder="1" applyAlignment="1">
      <alignment horizontal="center" vertical="center"/>
    </xf>
    <xf numFmtId="180" fontId="2" fillId="3" borderId="3" xfId="0" applyNumberFormat="1" applyFont="1" applyFill="1" applyBorder="1" applyAlignment="1">
      <alignment horizontal="center" vertical="center"/>
    </xf>
    <xf numFmtId="180" fontId="3" fillId="3" borderId="8" xfId="0" applyNumberFormat="1" applyFont="1" applyFill="1" applyBorder="1" applyAlignment="1">
      <alignment horizontal="center" vertical="center"/>
    </xf>
    <xf numFmtId="180" fontId="3" fillId="3" borderId="9" xfId="0" applyNumberFormat="1" applyFont="1" applyFill="1" applyBorder="1" applyAlignment="1">
      <alignment horizontal="center" vertical="center"/>
    </xf>
    <xf numFmtId="180" fontId="3" fillId="3" borderId="10" xfId="0" applyNumberFormat="1" applyFont="1" applyFill="1" applyBorder="1" applyAlignment="1">
      <alignment horizontal="center" vertical="center"/>
    </xf>
    <xf numFmtId="180" fontId="3" fillId="3" borderId="10" xfId="0" applyNumberFormat="1" applyFont="1" applyFill="1" applyBorder="1" applyAlignment="1">
      <alignment vertical="center"/>
    </xf>
    <xf numFmtId="180" fontId="3" fillId="3" borderId="1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182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83" fontId="0" fillId="0" borderId="1" xfId="0" applyNumberFormat="1" applyFill="1" applyBorder="1" applyAlignment="1">
      <alignment vertical="center"/>
    </xf>
    <xf numFmtId="183" fontId="0" fillId="0" borderId="2" xfId="0" applyNumberFormat="1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180" fontId="0" fillId="0" borderId="7" xfId="0" applyNumberFormat="1" applyFill="1" applyBorder="1" applyAlignment="1">
      <alignment horizontal="center" vertical="center"/>
    </xf>
    <xf numFmtId="180" fontId="0" fillId="0" borderId="1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81" fontId="0" fillId="3" borderId="1" xfId="0" applyNumberFormat="1" applyFill="1" applyBorder="1" applyAlignment="1">
      <alignment horizontal="center" vertical="center"/>
    </xf>
    <xf numFmtId="180" fontId="0" fillId="3" borderId="8" xfId="0" applyNumberFormat="1" applyFill="1" applyBorder="1" applyAlignment="1">
      <alignment horizontal="center" vertical="center" wrapText="1"/>
    </xf>
    <xf numFmtId="0" fontId="0" fillId="0" borderId="8" xfId="0" applyNumberFormat="1" applyFill="1" applyBorder="1" applyAlignment="1">
      <alignment horizontal="center" vertical="center"/>
    </xf>
    <xf numFmtId="180" fontId="0" fillId="3" borderId="10" xfId="0" applyNumberFormat="1" applyFill="1" applyBorder="1" applyAlignment="1">
      <alignment horizontal="center" vertical="center" wrapText="1"/>
    </xf>
    <xf numFmtId="0" fontId="0" fillId="0" borderId="10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80" fontId="0" fillId="0" borderId="1" xfId="0" applyNumberFormat="1" applyBorder="1" applyAlignment="1">
      <alignment horizontal="center"/>
    </xf>
    <xf numFmtId="182" fontId="0" fillId="3" borderId="8" xfId="0" applyNumberForma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center" vertical="center"/>
    </xf>
    <xf numFmtId="182" fontId="0" fillId="3" borderId="10" xfId="0" applyNumberFormat="1" applyFill="1" applyBorder="1" applyAlignment="1">
      <alignment horizontal="center" vertical="center"/>
    </xf>
    <xf numFmtId="0" fontId="0" fillId="3" borderId="0" xfId="0" applyFill="1" applyBorder="1" applyAlignment="1"/>
    <xf numFmtId="0" fontId="0" fillId="3" borderId="9" xfId="0" applyFill="1" applyBorder="1" applyAlignment="1"/>
    <xf numFmtId="0" fontId="0" fillId="3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0" xfId="0" applyFill="1" applyBorder="1" applyAlignment="1"/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84" fontId="0" fillId="0" borderId="8" xfId="0" applyNumberFormat="1" applyFill="1" applyBorder="1" applyAlignment="1">
      <alignment horizontal="center" vertical="center"/>
    </xf>
    <xf numFmtId="185" fontId="0" fillId="0" borderId="1" xfId="1" applyNumberFormat="1" applyFill="1" applyBorder="1" applyAlignment="1">
      <alignment horizontal="center" vertical="center"/>
    </xf>
    <xf numFmtId="184" fontId="0" fillId="0" borderId="10" xfId="0" applyNumberFormat="1" applyFill="1" applyBorder="1" applyAlignment="1">
      <alignment horizontal="center" vertical="center"/>
    </xf>
    <xf numFmtId="184" fontId="0" fillId="0" borderId="1" xfId="0" applyNumberFormat="1" applyBorder="1" applyAlignment="1">
      <alignment horizontal="center"/>
    </xf>
    <xf numFmtId="185" fontId="0" fillId="0" borderId="1" xfId="0" applyNumberFormat="1" applyBorder="1" applyAlignment="1">
      <alignment horizontal="center"/>
    </xf>
    <xf numFmtId="180" fontId="0" fillId="0" borderId="1" xfId="0" applyNumberFormat="1" applyBorder="1" applyAlignment="1"/>
    <xf numFmtId="184" fontId="0" fillId="0" borderId="1" xfId="0" applyNumberFormat="1" applyBorder="1" applyAlignment="1"/>
    <xf numFmtId="185" fontId="0" fillId="0" borderId="1" xfId="0" applyNumberFormat="1" applyBorder="1" applyAlignment="1"/>
    <xf numFmtId="0" fontId="0" fillId="0" borderId="8" xfId="0" applyFill="1" applyBorder="1" applyAlignment="1">
      <alignment horizontal="center" vertical="center"/>
    </xf>
    <xf numFmtId="184" fontId="0" fillId="0" borderId="1" xfId="0" applyNumberFormat="1" applyFill="1" applyBorder="1" applyAlignment="1">
      <alignment vertical="center"/>
    </xf>
    <xf numFmtId="185" fontId="0" fillId="0" borderId="1" xfId="1" applyNumberFormat="1" applyFill="1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180" fontId="0" fillId="0" borderId="10" xfId="0" applyNumberFormat="1" applyBorder="1" applyAlignment="1">
      <alignment horizontal="center"/>
    </xf>
    <xf numFmtId="184" fontId="0" fillId="0" borderId="7" xfId="0" applyNumberFormat="1" applyBorder="1" applyAlignment="1"/>
    <xf numFmtId="180" fontId="8" fillId="5" borderId="7" xfId="0" applyNumberFormat="1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185" fontId="0" fillId="0" borderId="0" xfId="0" applyNumberFormat="1"/>
    <xf numFmtId="0" fontId="9" fillId="0" borderId="0" xfId="0" applyFont="1" applyFill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81" fontId="9" fillId="3" borderId="8" xfId="0" applyNumberFormat="1" applyFont="1" applyFill="1" applyBorder="1" applyAlignment="1">
      <alignment horizontal="center" vertical="center"/>
    </xf>
    <xf numFmtId="0" fontId="9" fillId="3" borderId="8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81" fontId="9" fillId="3" borderId="10" xfId="0" applyNumberFormat="1" applyFont="1" applyFill="1" applyBorder="1" applyAlignment="1">
      <alignment horizontal="center" vertical="center"/>
    </xf>
    <xf numFmtId="0" fontId="9" fillId="3" borderId="10" xfId="0" applyNumberFormat="1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181" fontId="9" fillId="3" borderId="9" xfId="0" applyNumberFormat="1" applyFont="1" applyFill="1" applyBorder="1" applyAlignment="1">
      <alignment horizontal="center" vertical="center"/>
    </xf>
    <xf numFmtId="0" fontId="9" fillId="3" borderId="9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183" fontId="9" fillId="3" borderId="1" xfId="0" applyNumberFormat="1" applyFont="1" applyFill="1" applyBorder="1" applyAlignment="1">
      <alignment horizontal="center" vertical="center"/>
    </xf>
    <xf numFmtId="183" fontId="9" fillId="3" borderId="1" xfId="0" applyNumberFormat="1" applyFont="1" applyFill="1" applyBorder="1" applyAlignment="1">
      <alignment vertical="center"/>
    </xf>
    <xf numFmtId="183" fontId="9" fillId="3" borderId="8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183" fontId="9" fillId="3" borderId="9" xfId="0" applyNumberFormat="1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183" fontId="9" fillId="3" borderId="10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80" fontId="11" fillId="0" borderId="1" xfId="0" applyNumberFormat="1" applyFont="1" applyFill="1" applyBorder="1" applyAlignment="1">
      <alignment vertical="center"/>
    </xf>
    <xf numFmtId="0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80" fontId="9" fillId="3" borderId="4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9" fillId="3" borderId="8" xfId="0" applyNumberFormat="1" applyFont="1" applyFill="1" applyBorder="1" applyAlignment="1">
      <alignment horizontal="center" vertical="center"/>
    </xf>
    <xf numFmtId="0" fontId="9" fillId="4" borderId="7" xfId="0" applyNumberFormat="1" applyFont="1" applyFill="1" applyBorder="1" applyAlignment="1">
      <alignment horizontal="center" vertical="center"/>
    </xf>
    <xf numFmtId="0" fontId="9" fillId="4" borderId="11" xfId="0" applyNumberFormat="1" applyFont="1" applyFill="1" applyBorder="1" applyAlignment="1">
      <alignment horizontal="center" vertical="center"/>
    </xf>
    <xf numFmtId="180" fontId="9" fillId="3" borderId="8" xfId="0" applyNumberFormat="1" applyFont="1" applyFill="1" applyBorder="1" applyAlignment="1">
      <alignment vertical="center"/>
    </xf>
    <xf numFmtId="180" fontId="9" fillId="3" borderId="1" xfId="0" applyNumberFormat="1" applyFont="1" applyFill="1" applyBorder="1" applyAlignment="1">
      <alignment vertical="center"/>
    </xf>
    <xf numFmtId="0" fontId="9" fillId="4" borderId="2" xfId="0" applyNumberFormat="1" applyFont="1" applyFill="1" applyBorder="1" applyAlignment="1">
      <alignment horizontal="center" vertical="center"/>
    </xf>
    <xf numFmtId="180" fontId="11" fillId="4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92710</xdr:colOff>
      <xdr:row>1</xdr:row>
      <xdr:rowOff>27305</xdr:rowOff>
    </xdr:from>
    <xdr:to>
      <xdr:col>4</xdr:col>
      <xdr:colOff>2623820</xdr:colOff>
      <xdr:row>2</xdr:row>
      <xdr:rowOff>1765935</xdr:rowOff>
    </xdr:to>
    <xdr:pic>
      <xdr:nvPicPr>
        <xdr:cNvPr id="4" name="ID_8B1DBF2A2A364397840CF90C1A501718" descr="PHOTO-2026-02-03-23-29-40"/>
        <xdr:cNvPicPr>
          <a:picLocks noChangeAspect="1"/>
        </xdr:cNvPicPr>
      </xdr:nvPicPr>
      <xdr:blipFill>
        <a:blip r:embed="rId1"/>
        <a:srcRect b="21948"/>
        <a:stretch>
          <a:fillRect/>
        </a:stretch>
      </xdr:blipFill>
      <xdr:spPr>
        <a:xfrm>
          <a:off x="7257415" y="230505"/>
          <a:ext cx="2531110" cy="3516630"/>
        </a:xfrm>
        <a:prstGeom prst="rect">
          <a:avLst/>
        </a:prstGeom>
      </xdr:spPr>
    </xdr:pic>
    <xdr:clientData/>
  </xdr:twoCellAnchor>
  <xdr:twoCellAnchor editAs="oneCell">
    <xdr:from>
      <xdr:col>4</xdr:col>
      <xdr:colOff>98425</xdr:colOff>
      <xdr:row>3</xdr:row>
      <xdr:rowOff>27305</xdr:rowOff>
    </xdr:from>
    <xdr:to>
      <xdr:col>4</xdr:col>
      <xdr:colOff>2618105</xdr:colOff>
      <xdr:row>9</xdr:row>
      <xdr:rowOff>496570</xdr:rowOff>
    </xdr:to>
    <xdr:pic>
      <xdr:nvPicPr>
        <xdr:cNvPr id="3" name="ID_D31AE8FD73044E66A508A60D097CFE71" descr="PHOTO-2026-02-05-16-09-30"/>
        <xdr:cNvPicPr>
          <a:picLocks noChangeAspect="1"/>
        </xdr:cNvPicPr>
      </xdr:nvPicPr>
      <xdr:blipFill>
        <a:blip r:embed="rId2"/>
        <a:srcRect b="21488"/>
        <a:stretch>
          <a:fillRect/>
        </a:stretch>
      </xdr:blipFill>
      <xdr:spPr>
        <a:xfrm>
          <a:off x="7263130" y="3786505"/>
          <a:ext cx="2519680" cy="3517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26035</xdr:colOff>
      <xdr:row>1</xdr:row>
      <xdr:rowOff>48260</xdr:rowOff>
    </xdr:from>
    <xdr:to>
      <xdr:col>4</xdr:col>
      <xdr:colOff>4774565</xdr:colOff>
      <xdr:row>2</xdr:row>
      <xdr:rowOff>1617980</xdr:rowOff>
    </xdr:to>
    <xdr:pic>
      <xdr:nvPicPr>
        <xdr:cNvPr id="4" name="ID_A8398339D6F54647816EB0EF118B33E5" descr="PHOTO-2026-02-03-18-23-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8837930" y="-512445"/>
          <a:ext cx="3220720" cy="47485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59055</xdr:colOff>
      <xdr:row>1</xdr:row>
      <xdr:rowOff>22860</xdr:rowOff>
    </xdr:from>
    <xdr:to>
      <xdr:col>4</xdr:col>
      <xdr:colOff>2770505</xdr:colOff>
      <xdr:row>2</xdr:row>
      <xdr:rowOff>2414905</xdr:rowOff>
    </xdr:to>
    <xdr:pic>
      <xdr:nvPicPr>
        <xdr:cNvPr id="3" name="ID_8FF5512763384473938F6E49BD1D9406" descr="PHOTO-2026-02-05-12-06-17"/>
        <xdr:cNvPicPr>
          <a:picLocks noChangeAspect="1"/>
        </xdr:cNvPicPr>
      </xdr:nvPicPr>
      <xdr:blipFill>
        <a:blip r:embed="rId1"/>
        <a:srcRect l="2616" b="22866"/>
        <a:stretch>
          <a:fillRect/>
        </a:stretch>
      </xdr:blipFill>
      <xdr:spPr>
        <a:xfrm>
          <a:off x="6073140" y="226060"/>
          <a:ext cx="2711450" cy="39604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53975</xdr:colOff>
      <xdr:row>1</xdr:row>
      <xdr:rowOff>32385</xdr:rowOff>
    </xdr:from>
    <xdr:to>
      <xdr:col>3</xdr:col>
      <xdr:colOff>5299710</xdr:colOff>
      <xdr:row>1</xdr:row>
      <xdr:rowOff>3726180</xdr:rowOff>
    </xdr:to>
    <xdr:pic>
      <xdr:nvPicPr>
        <xdr:cNvPr id="4" name="ID_DC0FD8F7C5B341FEAA5EFCCD21A4BAAF" descr="PHOTO-2026-02-05-11-41-44"/>
        <xdr:cNvPicPr>
          <a:picLocks noChangeAspect="1"/>
        </xdr:cNvPicPr>
      </xdr:nvPicPr>
      <xdr:blipFill>
        <a:blip r:embed="rId1"/>
        <a:srcRect b="19517"/>
        <a:stretch>
          <a:fillRect/>
        </a:stretch>
      </xdr:blipFill>
      <xdr:spPr>
        <a:xfrm rot="16200000">
          <a:off x="7288530" y="-299085"/>
          <a:ext cx="3693795" cy="5245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zoomScale="70" zoomScaleNormal="70" workbookViewId="0">
      <pane ySplit="1" topLeftCell="A2" activePane="bottomLeft" state="frozen"/>
      <selection/>
      <selection pane="bottomLeft" activeCell="C11" sqref="C11"/>
    </sheetView>
  </sheetViews>
  <sheetFormatPr defaultColWidth="9.140625" defaultRowHeight="20.4" outlineLevelCol="7"/>
  <cols>
    <col min="1" max="1" width="17.4296875" style="94"/>
    <col min="2" max="2" width="13.4296875" style="94" customWidth="1"/>
    <col min="3" max="3" width="36" style="94" customWidth="1"/>
    <col min="4" max="4" width="21.2890625" style="93" customWidth="1"/>
    <col min="5" max="5" width="33.2890625" style="94" customWidth="1"/>
    <col min="6" max="6" width="17.2890625" style="94" customWidth="1"/>
    <col min="7" max="8" width="20.859375" style="94" customWidth="1"/>
    <col min="9" max="9" width="12.859375" style="94"/>
    <col min="10" max="10" width="15" style="94"/>
    <col min="11" max="16384" width="18.0390625" style="94"/>
  </cols>
  <sheetData>
    <row r="1" s="92" customFormat="1" ht="16" customHeight="1" spans="1:8">
      <c r="A1" s="119" t="s">
        <v>0</v>
      </c>
      <c r="B1" s="120" t="s">
        <v>1</v>
      </c>
      <c r="C1" s="120" t="s">
        <v>2</v>
      </c>
      <c r="D1" s="120" t="s">
        <v>3</v>
      </c>
      <c r="E1" s="120" t="s">
        <v>4</v>
      </c>
      <c r="F1" s="120" t="s">
        <v>5</v>
      </c>
      <c r="G1" s="120" t="s">
        <v>6</v>
      </c>
      <c r="H1" s="120" t="s">
        <v>7</v>
      </c>
    </row>
    <row r="2" s="92" customFormat="1" ht="140" customHeight="1" spans="1:8">
      <c r="A2" s="97">
        <v>46056</v>
      </c>
      <c r="B2" s="107">
        <v>3426</v>
      </c>
      <c r="C2" s="121" t="s">
        <v>8</v>
      </c>
      <c r="D2" s="122">
        <v>20</v>
      </c>
      <c r="E2" s="109"/>
      <c r="F2" s="110">
        <v>55000</v>
      </c>
      <c r="G2" s="112">
        <f>SUM(D2*F2)</f>
        <v>1100000</v>
      </c>
      <c r="H2" s="112">
        <f>SUM(G2:G3)</f>
        <v>1650000</v>
      </c>
    </row>
    <row r="3" s="92" customFormat="1" ht="140" customHeight="1" spans="1:8">
      <c r="A3" s="103"/>
      <c r="B3" s="107"/>
      <c r="C3" s="121" t="s">
        <v>9</v>
      </c>
      <c r="D3" s="122">
        <v>10</v>
      </c>
      <c r="E3" s="113"/>
      <c r="F3" s="110">
        <v>55000</v>
      </c>
      <c r="G3" s="112">
        <f>SUM(D3*F3)</f>
        <v>550000</v>
      </c>
      <c r="H3" s="114"/>
    </row>
    <row r="4" s="92" customFormat="1" ht="40" customHeight="1" spans="1:8">
      <c r="A4" s="97">
        <v>46058</v>
      </c>
      <c r="B4" s="98">
        <v>3461</v>
      </c>
      <c r="C4" s="102" t="s">
        <v>10</v>
      </c>
      <c r="D4" s="122">
        <v>450</v>
      </c>
      <c r="E4" s="109"/>
      <c r="F4" s="112">
        <v>1800</v>
      </c>
      <c r="G4" s="112">
        <f>SUM(D4*F4)</f>
        <v>810000</v>
      </c>
      <c r="H4" s="112">
        <f>SUM(G4:G10)</f>
        <v>1641500</v>
      </c>
    </row>
    <row r="5" s="92" customFormat="1" ht="40" customHeight="1" spans="1:8">
      <c r="A5" s="103"/>
      <c r="B5" s="104"/>
      <c r="C5" s="107" t="s">
        <v>11</v>
      </c>
      <c r="D5" s="107">
        <v>100</v>
      </c>
      <c r="E5" s="113"/>
      <c r="F5" s="126">
        <v>630</v>
      </c>
      <c r="G5" s="112">
        <f>SUM(D5*F5)</f>
        <v>63000</v>
      </c>
      <c r="H5" s="114"/>
    </row>
    <row r="6" s="92" customFormat="1" ht="40" customHeight="1" spans="1:8">
      <c r="A6" s="103"/>
      <c r="B6" s="104"/>
      <c r="C6" s="107" t="s">
        <v>12</v>
      </c>
      <c r="D6" s="107">
        <v>36</v>
      </c>
      <c r="E6" s="113"/>
      <c r="F6" s="126">
        <f>G6/D6</f>
        <v>3166.66666666667</v>
      </c>
      <c r="G6" s="112">
        <v>114000</v>
      </c>
      <c r="H6" s="114"/>
    </row>
    <row r="7" s="92" customFormat="1" ht="40" customHeight="1" spans="1:8">
      <c r="A7" s="103"/>
      <c r="B7" s="104"/>
      <c r="C7" s="98" t="s">
        <v>13</v>
      </c>
      <c r="D7" s="123">
        <v>36</v>
      </c>
      <c r="E7" s="113"/>
      <c r="F7" s="126">
        <f>G7/D7</f>
        <v>2666.66666666667</v>
      </c>
      <c r="G7" s="112">
        <v>96000</v>
      </c>
      <c r="H7" s="114"/>
    </row>
    <row r="8" s="92" customFormat="1" ht="40" customHeight="1" spans="1:8">
      <c r="A8" s="103"/>
      <c r="B8" s="104"/>
      <c r="C8" s="123" t="s">
        <v>14</v>
      </c>
      <c r="D8" s="123">
        <v>10</v>
      </c>
      <c r="E8" s="113"/>
      <c r="F8" s="126">
        <v>23000</v>
      </c>
      <c r="G8" s="112">
        <f>F8*D8</f>
        <v>230000</v>
      </c>
      <c r="H8" s="114"/>
    </row>
    <row r="9" s="92" customFormat="1" ht="40" customHeight="1" spans="1:8">
      <c r="A9" s="103"/>
      <c r="B9" s="104"/>
      <c r="C9" s="123" t="s">
        <v>15</v>
      </c>
      <c r="D9" s="123">
        <v>7</v>
      </c>
      <c r="E9" s="113"/>
      <c r="F9" s="126">
        <f>G9/D9</f>
        <v>38000</v>
      </c>
      <c r="G9" s="112">
        <v>266000</v>
      </c>
      <c r="H9" s="114"/>
    </row>
    <row r="10" s="92" customFormat="1" ht="40" customHeight="1" spans="1:8">
      <c r="A10" s="103"/>
      <c r="B10" s="104"/>
      <c r="C10" s="98" t="s">
        <v>16</v>
      </c>
      <c r="D10" s="98">
        <v>5</v>
      </c>
      <c r="E10" s="113"/>
      <c r="F10" s="126">
        <f>G10/D10</f>
        <v>12500</v>
      </c>
      <c r="G10" s="112">
        <v>62500</v>
      </c>
      <c r="H10" s="114"/>
    </row>
    <row r="11" s="92" customFormat="1" ht="258" customHeight="1" spans="1:8">
      <c r="A11" s="106"/>
      <c r="B11" s="107"/>
      <c r="C11" s="107"/>
      <c r="D11" s="107"/>
      <c r="E11" s="117"/>
      <c r="F11" s="127"/>
      <c r="G11" s="110">
        <f>SUM(D11*F11)</f>
        <v>0</v>
      </c>
      <c r="H11" s="110">
        <f>SUM(G11)</f>
        <v>0</v>
      </c>
    </row>
    <row r="12" s="92" customFormat="1" ht="18" customHeight="1" spans="1:8">
      <c r="A12" s="124" t="s">
        <v>17</v>
      </c>
      <c r="B12" s="125"/>
      <c r="C12" s="125"/>
      <c r="D12" s="125"/>
      <c r="E12" s="125"/>
      <c r="F12" s="125"/>
      <c r="G12" s="128"/>
      <c r="H12" s="129">
        <f>SUM(H2:H11)</f>
        <v>3291500</v>
      </c>
    </row>
  </sheetData>
  <mergeCells count="9">
    <mergeCell ref="A12:G12"/>
    <mergeCell ref="A2:A3"/>
    <mergeCell ref="A4:A10"/>
    <mergeCell ref="B2:B3"/>
    <mergeCell ref="B4:B10"/>
    <mergeCell ref="E2:E3"/>
    <mergeCell ref="E4:E10"/>
    <mergeCell ref="H2:H3"/>
    <mergeCell ref="H4:H10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zoomScale="78" zoomScaleNormal="78" topLeftCell="E1" workbookViewId="0">
      <pane ySplit="1" topLeftCell="A2" activePane="bottomLeft" state="frozen"/>
      <selection/>
      <selection pane="bottomLeft" activeCell="C4" sqref="C4"/>
    </sheetView>
  </sheetViews>
  <sheetFormatPr defaultColWidth="9.140625" defaultRowHeight="20.4" outlineLevelRow="7" outlineLevelCol="7"/>
  <cols>
    <col min="1" max="1" width="19.859375" style="93"/>
    <col min="2" max="2" width="21.6875" style="93" customWidth="1"/>
    <col min="3" max="3" width="43.0390625" style="93" customWidth="1"/>
    <col min="4" max="4" width="14.4296875" style="93" customWidth="1"/>
    <col min="5" max="5" width="58.9609375" style="94" customWidth="1"/>
    <col min="6" max="6" width="19.5234375" style="94" customWidth="1"/>
    <col min="7" max="8" width="20.859375" style="94" customWidth="1"/>
    <col min="9" max="9" width="12.859375" style="94"/>
    <col min="10" max="16384" width="9.140625" style="94"/>
  </cols>
  <sheetData>
    <row r="1" s="92" customFormat="1" ht="16" customHeight="1" spans="1:8">
      <c r="A1" s="95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96" t="s">
        <v>5</v>
      </c>
      <c r="G1" s="96" t="s">
        <v>6</v>
      </c>
      <c r="H1" s="96" t="s">
        <v>7</v>
      </c>
    </row>
    <row r="2" s="92" customFormat="1" ht="130" customHeight="1" spans="1:8">
      <c r="A2" s="97">
        <v>46056</v>
      </c>
      <c r="B2" s="98" t="s">
        <v>18</v>
      </c>
      <c r="C2" s="99" t="s">
        <v>19</v>
      </c>
      <c r="D2" s="99">
        <v>3</v>
      </c>
      <c r="E2" s="109"/>
      <c r="F2" s="110">
        <v>45000</v>
      </c>
      <c r="G2" s="111">
        <f>D2*F2</f>
        <v>135000</v>
      </c>
      <c r="H2" s="112">
        <f>SUM(G2:G3)</f>
        <v>515000</v>
      </c>
    </row>
    <row r="3" s="92" customFormat="1" ht="130" customHeight="1" spans="1:8">
      <c r="A3" s="100"/>
      <c r="B3" s="101"/>
      <c r="C3" s="102" t="s">
        <v>20</v>
      </c>
      <c r="D3" s="99">
        <v>10</v>
      </c>
      <c r="E3" s="113"/>
      <c r="F3" s="111">
        <v>38000</v>
      </c>
      <c r="G3" s="111">
        <f>D3*F3</f>
        <v>380000</v>
      </c>
      <c r="H3" s="114"/>
    </row>
    <row r="4" s="92" customFormat="1" ht="83" customHeight="1" spans="1:8">
      <c r="A4" s="97"/>
      <c r="B4" s="98"/>
      <c r="C4" s="102"/>
      <c r="D4" s="99"/>
      <c r="E4" s="109"/>
      <c r="F4" s="111"/>
      <c r="G4" s="111">
        <f>D4*F4</f>
        <v>0</v>
      </c>
      <c r="H4" s="112">
        <f>SUM(G4:G6)</f>
        <v>0</v>
      </c>
    </row>
    <row r="5" s="92" customFormat="1" ht="83" customHeight="1" spans="1:8">
      <c r="A5" s="103"/>
      <c r="B5" s="104"/>
      <c r="C5" s="102"/>
      <c r="D5" s="105"/>
      <c r="E5" s="113"/>
      <c r="F5" s="112"/>
      <c r="G5" s="111">
        <f>D5*F5</f>
        <v>0</v>
      </c>
      <c r="H5" s="114"/>
    </row>
    <row r="6" s="92" customFormat="1" ht="83" customHeight="1" spans="1:8">
      <c r="A6" s="100"/>
      <c r="B6" s="101"/>
      <c r="C6" s="102"/>
      <c r="D6" s="105"/>
      <c r="E6" s="115"/>
      <c r="F6" s="112"/>
      <c r="G6" s="111">
        <f>D6*F6</f>
        <v>0</v>
      </c>
      <c r="H6" s="116"/>
    </row>
    <row r="7" s="92" customFormat="1" ht="200" customHeight="1" spans="1:8">
      <c r="A7" s="106"/>
      <c r="B7" s="107"/>
      <c r="C7" s="102"/>
      <c r="D7" s="105"/>
      <c r="E7" s="117"/>
      <c r="F7" s="112"/>
      <c r="G7" s="112"/>
      <c r="H7" s="110"/>
    </row>
    <row r="8" s="92" customFormat="1" spans="1:8">
      <c r="A8" s="108"/>
      <c r="B8" s="108"/>
      <c r="C8" s="108"/>
      <c r="D8" s="108"/>
      <c r="E8" s="108"/>
      <c r="F8" s="108"/>
      <c r="G8" s="118"/>
      <c r="H8" s="118">
        <f>SUM(H2:H7)</f>
        <v>515000</v>
      </c>
    </row>
  </sheetData>
  <mergeCells count="9">
    <mergeCell ref="A8:E8"/>
    <mergeCell ref="A2:A3"/>
    <mergeCell ref="A4:A6"/>
    <mergeCell ref="B2:B3"/>
    <mergeCell ref="B4:B6"/>
    <mergeCell ref="E2:E3"/>
    <mergeCell ref="E4:E6"/>
    <mergeCell ref="H2:H3"/>
    <mergeCell ref="H4:H6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topLeftCell="D1" workbookViewId="0">
      <pane ySplit="1" topLeftCell="A2" activePane="bottomLeft" state="frozen"/>
      <selection/>
      <selection pane="bottomLeft" activeCell="G8" sqref="G8"/>
    </sheetView>
  </sheetViews>
  <sheetFormatPr defaultColWidth="9.140625" defaultRowHeight="16.8"/>
  <cols>
    <col min="1" max="1" width="11.7109375" customWidth="1"/>
    <col min="2" max="2" width="22.140625" customWidth="1"/>
    <col min="3" max="3" width="22.5703125" customWidth="1"/>
    <col min="4" max="4" width="17.5703125" customWidth="1"/>
    <col min="5" max="5" width="34.5703125" customWidth="1"/>
    <col min="6" max="6" width="19.4296875" customWidth="1"/>
    <col min="7" max="7" width="17.2890625" customWidth="1"/>
    <col min="9" max="9" width="13.0625"/>
  </cols>
  <sheetData>
    <row r="1" ht="16" customHeight="1" spans="1:7">
      <c r="A1" s="50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7</v>
      </c>
    </row>
    <row r="2" ht="123.5" customHeight="1" spans="1:7">
      <c r="A2" s="52">
        <v>46055</v>
      </c>
      <c r="B2" s="39" t="s">
        <v>21</v>
      </c>
      <c r="C2" s="53" t="s">
        <v>22</v>
      </c>
      <c r="D2" s="54">
        <v>80</v>
      </c>
      <c r="E2" s="73"/>
      <c r="F2" s="74">
        <v>6063.9632</v>
      </c>
      <c r="G2" s="75">
        <f>SUM(D2*F2)</f>
        <v>485117.056</v>
      </c>
    </row>
    <row r="3" ht="191" customHeight="1" spans="1:7">
      <c r="A3" s="52"/>
      <c r="B3" s="39"/>
      <c r="C3" s="55"/>
      <c r="D3" s="56"/>
      <c r="E3" s="73"/>
      <c r="F3" s="76"/>
      <c r="G3" s="75"/>
    </row>
    <row r="4" spans="1:9">
      <c r="A4" s="52"/>
      <c r="B4" s="57" t="s">
        <v>23</v>
      </c>
      <c r="C4" s="57"/>
      <c r="D4" s="58"/>
      <c r="E4" s="58"/>
      <c r="F4" s="77"/>
      <c r="G4" s="78">
        <f>SUM(G2:G3)</f>
        <v>485117.056</v>
      </c>
      <c r="I4" s="91"/>
    </row>
    <row r="5" spans="1:9">
      <c r="A5" s="52"/>
      <c r="B5" s="57" t="s">
        <v>24</v>
      </c>
      <c r="C5" s="57"/>
      <c r="D5" s="58"/>
      <c r="E5" s="58"/>
      <c r="F5" s="77"/>
      <c r="G5" s="78">
        <f>G4*11%</f>
        <v>53362.87616</v>
      </c>
      <c r="I5" s="91"/>
    </row>
    <row r="6" spans="1:7">
      <c r="A6" s="52"/>
      <c r="B6" s="57" t="s">
        <v>25</v>
      </c>
      <c r="C6" s="57"/>
      <c r="D6" s="58"/>
      <c r="E6" s="58"/>
      <c r="F6" s="77"/>
      <c r="G6" s="78">
        <f>((G4*100)/111)*0.111%</f>
        <v>485.117056</v>
      </c>
    </row>
    <row r="7" spans="1:7">
      <c r="A7" s="52"/>
      <c r="B7" s="57" t="s">
        <v>7</v>
      </c>
      <c r="C7" s="57"/>
      <c r="D7" s="58"/>
      <c r="E7" s="79"/>
      <c r="F7" s="80"/>
      <c r="G7" s="81">
        <f>SUM(G4:G6)</f>
        <v>538965.049216</v>
      </c>
    </row>
    <row r="8" ht="123.5" customHeight="1" spans="1:7">
      <c r="A8" s="52"/>
      <c r="B8" s="59"/>
      <c r="C8" s="60"/>
      <c r="D8" s="61"/>
      <c r="E8" s="82"/>
      <c r="F8" s="83"/>
      <c r="G8" s="84"/>
    </row>
    <row r="9" ht="123.5" customHeight="1" spans="1:7">
      <c r="A9" s="52"/>
      <c r="B9" s="62"/>
      <c r="C9" s="60"/>
      <c r="D9" s="61"/>
      <c r="E9" s="85"/>
      <c r="F9" s="83"/>
      <c r="G9" s="84"/>
    </row>
    <row r="10" spans="1:7">
      <c r="A10" s="63"/>
      <c r="B10" s="57" t="s">
        <v>23</v>
      </c>
      <c r="C10" s="57"/>
      <c r="D10" s="58"/>
      <c r="E10" s="86"/>
      <c r="F10" s="77"/>
      <c r="G10" s="78">
        <f>SUM(G8:G9)</f>
        <v>0</v>
      </c>
    </row>
    <row r="11" spans="1:7">
      <c r="A11" s="64"/>
      <c r="B11" s="65" t="s">
        <v>24</v>
      </c>
      <c r="C11" s="66"/>
      <c r="D11" s="58"/>
      <c r="E11" s="86"/>
      <c r="F11" s="77"/>
      <c r="G11" s="78"/>
    </row>
    <row r="12" spans="1:7">
      <c r="A12" s="63"/>
      <c r="B12" s="57" t="s">
        <v>25</v>
      </c>
      <c r="C12" s="57"/>
      <c r="D12" s="58"/>
      <c r="E12" s="86"/>
      <c r="F12" s="77"/>
      <c r="G12" s="78">
        <f>((G10*100)/111)*0.111%</f>
        <v>0</v>
      </c>
    </row>
    <row r="13" spans="1:7">
      <c r="A13" s="67"/>
      <c r="B13" s="68" t="s">
        <v>7</v>
      </c>
      <c r="C13" s="69"/>
      <c r="D13" s="58"/>
      <c r="E13" s="79"/>
      <c r="F13" s="87"/>
      <c r="G13" s="81">
        <f>SUM(G10:G12)</f>
        <v>0</v>
      </c>
    </row>
    <row r="14" spans="1:7">
      <c r="A14" s="70" t="s">
        <v>17</v>
      </c>
      <c r="B14" s="71"/>
      <c r="C14" s="71"/>
      <c r="D14" s="72"/>
      <c r="E14" s="88">
        <f>G7+G13</f>
        <v>538965.049216</v>
      </c>
      <c r="F14" s="89"/>
      <c r="G14" s="90"/>
    </row>
  </sheetData>
  <mergeCells count="20">
    <mergeCell ref="B4:C4"/>
    <mergeCell ref="B5:C5"/>
    <mergeCell ref="B6:C6"/>
    <mergeCell ref="B7:C7"/>
    <mergeCell ref="B10:C10"/>
    <mergeCell ref="B11:C11"/>
    <mergeCell ref="B12:C12"/>
    <mergeCell ref="B13:C13"/>
    <mergeCell ref="A14:D14"/>
    <mergeCell ref="E14:G14"/>
    <mergeCell ref="A2:A7"/>
    <mergeCell ref="A8:A9"/>
    <mergeCell ref="B2:B3"/>
    <mergeCell ref="B8:B9"/>
    <mergeCell ref="C2:C3"/>
    <mergeCell ref="D2:D3"/>
    <mergeCell ref="E2:E3"/>
    <mergeCell ref="E8:E9"/>
    <mergeCell ref="F2:F3"/>
    <mergeCell ref="G2:G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zoomScale="70" zoomScaleNormal="70" workbookViewId="0">
      <pane ySplit="1" topLeftCell="A2" activePane="bottomLeft" state="frozen"/>
      <selection/>
      <selection pane="bottomLeft" activeCell="C32" sqref="C32:E32"/>
    </sheetView>
  </sheetViews>
  <sheetFormatPr defaultColWidth="9.140625" defaultRowHeight="16.8" outlineLevelCol="4"/>
  <cols>
    <col min="1" max="1" width="10.5703125" style="12" customWidth="1"/>
    <col min="2" max="2" width="12.6015625" style="36" customWidth="1"/>
    <col min="3" max="3" width="36.125" style="12" customWidth="1"/>
    <col min="4" max="4" width="18.828125" style="12" customWidth="1"/>
    <col min="5" max="5" width="12.2890625" style="12" customWidth="1"/>
    <col min="6" max="16384" width="9.140625" style="12"/>
  </cols>
  <sheetData>
    <row r="1" s="35" customFormat="1" ht="19" customHeight="1" spans="1:5">
      <c r="A1" s="37" t="s">
        <v>0</v>
      </c>
      <c r="B1" s="38" t="s">
        <v>1</v>
      </c>
      <c r="C1" s="37" t="s">
        <v>4</v>
      </c>
      <c r="D1" s="37" t="s">
        <v>7</v>
      </c>
      <c r="E1" s="37" t="s">
        <v>26</v>
      </c>
    </row>
    <row r="2" s="12" customFormat="1" ht="263.65" customHeight="1" spans="1:5">
      <c r="A2" s="39"/>
      <c r="B2" s="40"/>
      <c r="C2" s="41"/>
      <c r="D2" s="42"/>
      <c r="E2" s="41"/>
    </row>
    <row r="3" s="12" customFormat="1" ht="255.1" customHeight="1" spans="1:5">
      <c r="A3" s="39"/>
      <c r="B3" s="40"/>
      <c r="C3" s="41"/>
      <c r="D3" s="43"/>
      <c r="E3" s="48"/>
    </row>
    <row r="4" s="12" customFormat="1" ht="249.95" customHeight="1" spans="1:5">
      <c r="A4" s="39"/>
      <c r="B4" s="40"/>
      <c r="C4" s="41"/>
      <c r="D4" s="43"/>
      <c r="E4" s="48"/>
    </row>
    <row r="5" s="12" customFormat="1" ht="256.25" customHeight="1" spans="1:5">
      <c r="A5" s="39"/>
      <c r="B5" s="40"/>
      <c r="C5" s="41"/>
      <c r="D5" s="43"/>
      <c r="E5" s="48"/>
    </row>
    <row r="6" s="12" customFormat="1" ht="253.85" customHeight="1" spans="1:5">
      <c r="A6" s="39"/>
      <c r="B6" s="40"/>
      <c r="C6" s="41"/>
      <c r="D6" s="43"/>
      <c r="E6" s="48"/>
    </row>
    <row r="7" s="12" customFormat="1" ht="254.65" customHeight="1" spans="1:5">
      <c r="A7" s="39"/>
      <c r="B7" s="40"/>
      <c r="C7" s="41"/>
      <c r="D7" s="43"/>
      <c r="E7" s="48"/>
    </row>
    <row r="8" s="12" customFormat="1" ht="255.35" customHeight="1" spans="1:5">
      <c r="A8" s="39"/>
      <c r="B8" s="40"/>
      <c r="C8" s="41"/>
      <c r="D8" s="43"/>
      <c r="E8" s="48"/>
    </row>
    <row r="9" s="12" customFormat="1" ht="266.95" customHeight="1" spans="1:5">
      <c r="A9" s="39"/>
      <c r="B9" s="40"/>
      <c r="C9" s="41"/>
      <c r="D9" s="43"/>
      <c r="E9" s="48"/>
    </row>
    <row r="10" s="12" customFormat="1" ht="261.95" customHeight="1" spans="1:5">
      <c r="A10" s="39"/>
      <c r="B10" s="40"/>
      <c r="C10" s="41"/>
      <c r="D10" s="43"/>
      <c r="E10" s="48"/>
    </row>
    <row r="11" s="12" customFormat="1" ht="261.9" customHeight="1" spans="1:5">
      <c r="A11" s="39"/>
      <c r="B11" s="40"/>
      <c r="C11" s="41"/>
      <c r="D11" s="43"/>
      <c r="E11" s="48"/>
    </row>
    <row r="12" s="12" customFormat="1" ht="270.7" customHeight="1" spans="1:5">
      <c r="A12" s="39"/>
      <c r="B12" s="40"/>
      <c r="C12" s="41"/>
      <c r="D12" s="43"/>
      <c r="E12" s="48"/>
    </row>
    <row r="13" s="12" customFormat="1" ht="261.1" customHeight="1" spans="1:5">
      <c r="A13" s="39"/>
      <c r="B13" s="40"/>
      <c r="C13" s="41"/>
      <c r="D13" s="43"/>
      <c r="E13" s="48"/>
    </row>
    <row r="14" s="12" customFormat="1" ht="257.15" customHeight="1" spans="1:5">
      <c r="A14" s="39"/>
      <c r="B14" s="40"/>
      <c r="C14" s="41"/>
      <c r="D14" s="43"/>
      <c r="E14" s="48"/>
    </row>
    <row r="15" s="12" customFormat="1" ht="263.55" customHeight="1" spans="1:5">
      <c r="A15" s="39"/>
      <c r="B15" s="40"/>
      <c r="C15" s="41"/>
      <c r="D15" s="43"/>
      <c r="E15" s="48"/>
    </row>
    <row r="16" s="12" customFormat="1" ht="270.35" customHeight="1" spans="1:5">
      <c r="A16" s="39"/>
      <c r="B16" s="40"/>
      <c r="C16" s="41"/>
      <c r="D16" s="43"/>
      <c r="E16" s="48"/>
    </row>
    <row r="17" s="12" customFormat="1" ht="261.7" customHeight="1" spans="1:5">
      <c r="A17" s="39"/>
      <c r="B17" s="40"/>
      <c r="C17" s="41"/>
      <c r="D17" s="43"/>
      <c r="E17" s="48"/>
    </row>
    <row r="18" s="12" customFormat="1" ht="260" customHeight="1" spans="1:5">
      <c r="A18" s="39"/>
      <c r="B18" s="40"/>
      <c r="C18" s="41"/>
      <c r="D18" s="43"/>
      <c r="E18" s="48"/>
    </row>
    <row r="19" s="12" customFormat="1" ht="263.2" customHeight="1" spans="1:5">
      <c r="A19" s="39"/>
      <c r="B19" s="40"/>
      <c r="C19" s="41"/>
      <c r="D19" s="43"/>
      <c r="E19" s="48"/>
    </row>
    <row r="20" s="12" customFormat="1" ht="289.95" customHeight="1" spans="1:5">
      <c r="A20" s="39"/>
      <c r="B20" s="40"/>
      <c r="C20" s="41"/>
      <c r="D20" s="43"/>
      <c r="E20" s="48"/>
    </row>
    <row r="21" s="12" customFormat="1" ht="200" customHeight="1" spans="1:5">
      <c r="A21" s="39"/>
      <c r="B21" s="40"/>
      <c r="C21" s="41"/>
      <c r="D21" s="43"/>
      <c r="E21" s="48"/>
    </row>
    <row r="22" s="12" customFormat="1" ht="200" customHeight="1" spans="1:5">
      <c r="A22" s="39"/>
      <c r="B22" s="40"/>
      <c r="C22" s="41"/>
      <c r="D22" s="43"/>
      <c r="E22" s="48"/>
    </row>
    <row r="23" s="12" customFormat="1" ht="200" customHeight="1" spans="1:5">
      <c r="A23" s="39"/>
      <c r="B23" s="40"/>
      <c r="C23" s="41"/>
      <c r="D23" s="43"/>
      <c r="E23" s="48"/>
    </row>
    <row r="24" s="12" customFormat="1" ht="200" customHeight="1" spans="1:5">
      <c r="A24" s="39"/>
      <c r="B24" s="40"/>
      <c r="C24" s="41"/>
      <c r="D24" s="42"/>
      <c r="E24" s="41"/>
    </row>
    <row r="25" s="12" customFormat="1" ht="200" customHeight="1" spans="1:5">
      <c r="A25" s="39"/>
      <c r="B25" s="40"/>
      <c r="C25" s="41"/>
      <c r="D25" s="42"/>
      <c r="E25" s="41"/>
    </row>
    <row r="26" s="12" customFormat="1" ht="200" customHeight="1" spans="1:5">
      <c r="A26" s="39"/>
      <c r="B26" s="40"/>
      <c r="C26" s="41"/>
      <c r="D26" s="42"/>
      <c r="E26" s="41"/>
    </row>
    <row r="27" s="12" customFormat="1" ht="200" customHeight="1" spans="1:5">
      <c r="A27" s="39">
        <v>45960</v>
      </c>
      <c r="B27" s="40"/>
      <c r="C27" s="41"/>
      <c r="D27" s="42"/>
      <c r="E27" s="41"/>
    </row>
    <row r="28" s="12" customFormat="1" ht="200" customHeight="1" spans="1:5">
      <c r="A28" s="39">
        <v>45961</v>
      </c>
      <c r="B28" s="40"/>
      <c r="C28" s="41"/>
      <c r="D28" s="42"/>
      <c r="E28" s="41"/>
    </row>
    <row r="29" s="12" customFormat="1" ht="200" customHeight="1" spans="1:5">
      <c r="A29" s="39"/>
      <c r="B29" s="40"/>
      <c r="C29" s="41"/>
      <c r="D29" s="42"/>
      <c r="E29" s="41"/>
    </row>
    <row r="30" s="12" customFormat="1" ht="200" customHeight="1" spans="1:5">
      <c r="A30" s="39"/>
      <c r="B30" s="40"/>
      <c r="C30" s="41"/>
      <c r="D30" s="42"/>
      <c r="E30" s="41"/>
    </row>
    <row r="31" s="12" customFormat="1" ht="200" customHeight="1" spans="1:5">
      <c r="A31" s="39"/>
      <c r="B31" s="40"/>
      <c r="C31" s="41"/>
      <c r="D31" s="42"/>
      <c r="E31" s="41"/>
    </row>
    <row r="32" s="12" customFormat="1" spans="1:5">
      <c r="A32" s="44"/>
      <c r="B32" s="45"/>
      <c r="C32" s="46">
        <f>SUM(D2:D31)</f>
        <v>0</v>
      </c>
      <c r="D32" s="47"/>
      <c r="E32" s="49"/>
    </row>
  </sheetData>
  <mergeCells count="2">
    <mergeCell ref="A32:B32"/>
    <mergeCell ref="C32:E3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zoomScale="55" zoomScaleNormal="55" topLeftCell="D1" workbookViewId="0">
      <selection activeCell="G2" sqref="G2"/>
    </sheetView>
  </sheetViews>
  <sheetFormatPr defaultColWidth="9.140625" defaultRowHeight="16.8" outlineLevelRow="6" outlineLevelCol="6"/>
  <cols>
    <col min="1" max="1" width="21.140625" style="13" customWidth="1"/>
    <col min="2" max="2" width="27.5703125" style="12" customWidth="1"/>
    <col min="3" max="3" width="30.75" style="12" customWidth="1"/>
    <col min="4" max="4" width="65.703125" style="12" customWidth="1"/>
    <col min="5" max="7" width="32.3359375" style="12" customWidth="1"/>
    <col min="8" max="16384" width="9.140625" style="12"/>
  </cols>
  <sheetData>
    <row r="1" s="11" customFormat="1" ht="35" customHeight="1" spans="1:7">
      <c r="A1" s="14" t="s">
        <v>0</v>
      </c>
      <c r="B1" s="15" t="s">
        <v>27</v>
      </c>
      <c r="C1" s="15" t="s">
        <v>28</v>
      </c>
      <c r="D1" s="15" t="s">
        <v>4</v>
      </c>
      <c r="E1" s="15" t="s">
        <v>5</v>
      </c>
      <c r="F1" s="15" t="s">
        <v>6</v>
      </c>
      <c r="G1" s="15" t="s">
        <v>7</v>
      </c>
    </row>
    <row r="2" s="12" customFormat="1" ht="296.45" customHeight="1" spans="1:7">
      <c r="A2" s="16">
        <v>46056</v>
      </c>
      <c r="B2" s="17" t="s">
        <v>29</v>
      </c>
      <c r="C2" s="18">
        <v>5</v>
      </c>
      <c r="D2" s="19"/>
      <c r="E2" s="25">
        <v>60000</v>
      </c>
      <c r="F2" s="26">
        <f>C2*E2</f>
        <v>300000</v>
      </c>
      <c r="G2" s="27">
        <f>SUM(F2:F2)</f>
        <v>300000</v>
      </c>
    </row>
    <row r="3" s="12" customFormat="1" ht="80" customHeight="1" spans="1:7">
      <c r="A3" s="20"/>
      <c r="B3" s="21"/>
      <c r="C3" s="22"/>
      <c r="D3" s="23"/>
      <c r="E3" s="28"/>
      <c r="F3" s="29"/>
      <c r="G3" s="30"/>
    </row>
    <row r="4" s="12" customFormat="1" ht="80" customHeight="1" spans="1:7">
      <c r="A4" s="20"/>
      <c r="B4" s="21"/>
      <c r="C4" s="22"/>
      <c r="D4" s="23"/>
      <c r="E4" s="28"/>
      <c r="F4" s="29"/>
      <c r="G4" s="31"/>
    </row>
    <row r="5" s="12" customFormat="1" ht="80" customHeight="1" spans="1:7">
      <c r="A5" s="20"/>
      <c r="B5" s="21"/>
      <c r="C5" s="22"/>
      <c r="D5" s="23"/>
      <c r="E5" s="28"/>
      <c r="F5" s="29"/>
      <c r="G5" s="32"/>
    </row>
    <row r="6" s="12" customFormat="1" ht="26" spans="1:7">
      <c r="A6" s="20"/>
      <c r="B6" s="21"/>
      <c r="C6" s="22"/>
      <c r="D6" s="23"/>
      <c r="E6" s="28"/>
      <c r="F6" s="29"/>
      <c r="G6" s="33"/>
    </row>
    <row r="7" s="12" customFormat="1" ht="39" customHeight="1" spans="1:7">
      <c r="A7" s="20" t="s">
        <v>17</v>
      </c>
      <c r="B7" s="24"/>
      <c r="C7" s="24"/>
      <c r="D7" s="24"/>
      <c r="E7" s="24"/>
      <c r="F7" s="29"/>
      <c r="G7" s="34">
        <f>SUM(G2:G6)</f>
        <v>300000</v>
      </c>
    </row>
  </sheetData>
  <mergeCells count="3">
    <mergeCell ref="A3:A5"/>
    <mergeCell ref="D3:D5"/>
    <mergeCell ref="G3:G5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2" sqref="C2"/>
    </sheetView>
  </sheetViews>
  <sheetFormatPr defaultColWidth="9.140625" defaultRowHeight="16.8" outlineLevelRow="6" outlineLevelCol="2"/>
  <cols>
    <col min="1" max="1" width="9.140625" style="1"/>
    <col min="2" max="2" width="21.859375" style="2" customWidth="1"/>
    <col min="3" max="3" width="28" customWidth="1"/>
  </cols>
  <sheetData>
    <row r="1" ht="25" customHeight="1" spans="1:3">
      <c r="A1" s="3" t="s">
        <v>30</v>
      </c>
      <c r="B1" s="4" t="s">
        <v>31</v>
      </c>
      <c r="C1" s="5" t="s">
        <v>32</v>
      </c>
    </row>
    <row r="2" spans="1:3">
      <c r="A2" s="6">
        <v>1</v>
      </c>
      <c r="B2" s="7" t="s">
        <v>33</v>
      </c>
      <c r="C2" s="8">
        <f>'Anugrah (Bag, Cup, Box)'!H12</f>
        <v>3291500</v>
      </c>
    </row>
    <row r="3" spans="1:3">
      <c r="A3" s="6">
        <v>2</v>
      </c>
      <c r="B3" s="7" t="s">
        <v>34</v>
      </c>
      <c r="C3" s="8">
        <f>'UD Abdi Jaya (Bag, Cup, Box)'!H8</f>
        <v>515000</v>
      </c>
    </row>
    <row r="4" spans="1:3">
      <c r="A4" s="6">
        <v>3</v>
      </c>
      <c r="B4" s="7" t="s">
        <v>35</v>
      </c>
      <c r="C4" s="8">
        <f>'PT. SUPARMA JAYA TBK (Tissue)'!E14</f>
        <v>538965.049216</v>
      </c>
    </row>
    <row r="5" spans="1:3">
      <c r="A5" s="6">
        <v>4</v>
      </c>
      <c r="B5" s="7" t="s">
        <v>36</v>
      </c>
      <c r="C5" s="9">
        <f>'Vickel Laundry'!C32</f>
        <v>0</v>
      </c>
    </row>
    <row r="6" spans="1:3">
      <c r="A6" s="6">
        <v>5</v>
      </c>
      <c r="B6" s="7" t="s">
        <v>37</v>
      </c>
      <c r="C6" s="9">
        <f>'Dishy Soap'!G7</f>
        <v>300000</v>
      </c>
    </row>
    <row r="7" spans="1:3">
      <c r="A7" s="6" t="s">
        <v>7</v>
      </c>
      <c r="B7" s="7"/>
      <c r="C7" s="10">
        <f>SUM(C2:C5)</f>
        <v>4345465.049216</v>
      </c>
    </row>
  </sheetData>
  <mergeCells count="1">
    <mergeCell ref="A7:B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Anugrah (Bag, Cup, Box)</vt:lpstr>
      <vt:lpstr>UD Abdi Jaya (Bag, Cup, Box)</vt:lpstr>
      <vt:lpstr>PT. SUPARMA JAYA TBK (Tissue)</vt:lpstr>
      <vt:lpstr>Vickel Laundry</vt:lpstr>
      <vt:lpstr>Dishy Soap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2025-07-11T08:21:00Z</dcterms:created>
  <dcterms:modified xsi:type="dcterms:W3CDTF">2026-02-05T17:58:01Z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A29148F1284A4E108B88A706AF0A1D4B_12</vt:lpwstr>
  </property>
  <property fmtid="{D5CDD505-2E9C-101B-9397-08002B2CF9AE}" pid="3" name="KSOProductBuildVer">
    <vt:lpwstr>1033-12.1.23155.23155</vt:lpwstr>
  </property>
</Properties>
</file>