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<sst xmlns="http://schemas.openxmlformats.org/spreadsheetml/2006/main" count="17" uniqueCount="15">
  <si>
    <t>DATE</t>
  </si>
  <si>
    <t>INV NO.</t>
  </si>
  <si>
    <t>DESCRIPTIONS</t>
  </si>
  <si>
    <t>QTY</t>
  </si>
  <si>
    <t>BILLS</t>
  </si>
  <si>
    <t>PRICE</t>
  </si>
  <si>
    <t>SUBTOTAL</t>
  </si>
  <si>
    <t>TOTAL</t>
  </si>
  <si>
    <t>STATUS</t>
  </si>
  <si>
    <t>2512/FK-0494</t>
  </si>
  <si>
    <t>TOP SIDE CAP OFF AA6-7</t>
  </si>
  <si>
    <t>PAID</t>
  </si>
  <si>
    <t>STRIPLOIN ICHI BROWN</t>
  </si>
  <si>
    <t>2512/FK-2109</t>
  </si>
  <si>
    <t>TOP SIDE BLACK ANGUS GF ONYX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</si>
</sst>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-409]d\-mmm\-yyyy;@"/>
    <numFmt numFmtId="177" formatCode="_-&quot;Rp&quot;* #,##0_-;\-&quot;Rp&quot;* #,##0_-;_-&quot;Rp&quot;* &quot;-&quot;??_-;_-@_-"/>
    <numFmt numFmtId="178" formatCode="dd\-mmm"/>
    <numFmt numFmtId="179" formatCode="dd\-mmm\-yy"/>
  </numFmts>
  <fonts count="23">
    <font>
      <sz val="11"/>
      <color theme="1"/>
      <name val="Calibri"/>
      <charset val="134"/>
      <scheme val="minor"/>
    </font>
    <font>
      <sz val="18"/>
      <color theme="1"/>
      <name val="Garamond"/>
      <charset val="134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9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12" applyNumberFormat="0" applyAlignment="0" applyProtection="0">
      <alignment vertical="center"/>
    </xf>
    <xf numFmtId="0" fontId="13" fillId="8" borderId="13" applyNumberFormat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4" applyNumberFormat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NumberFormat="1">
      <alignment vertical="center"/>
    </xf>
    <xf numFmtId="176" fontId="1" fillId="2" borderId="1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76" fontId="0" fillId="3" borderId="2" xfId="0" applyNumberFormat="1" applyFill="1" applyBorder="1" applyAlignment="1">
      <alignment horizontal="center" vertical="center"/>
    </xf>
    <xf numFmtId="0" fontId="0" fillId="3" borderId="2" xfId="0" applyNumberFormat="1" applyFill="1" applyBorder="1" applyAlignment="1">
      <alignment horizontal="center" vertical="center"/>
    </xf>
    <xf numFmtId="177" fontId="0" fillId="3" borderId="1" xfId="0" applyNumberFormat="1" applyFill="1" applyBorder="1" applyAlignment="1">
      <alignment vertical="center" wrapText="1"/>
    </xf>
    <xf numFmtId="0" fontId="0" fillId="3" borderId="3" xfId="0" applyNumberFormat="1" applyFill="1" applyBorder="1" applyAlignment="1">
      <alignment horizontal="center" vertical="center" wrapText="1"/>
    </xf>
    <xf numFmtId="176" fontId="0" fillId="3" borderId="4" xfId="0" applyNumberFormat="1" applyFill="1" applyBorder="1" applyAlignment="1">
      <alignment horizontal="center" vertical="center"/>
    </xf>
    <xf numFmtId="0" fontId="0" fillId="3" borderId="4" xfId="0" applyNumberFormat="1" applyFill="1" applyBorder="1" applyAlignment="1">
      <alignment horizontal="center" vertical="center"/>
    </xf>
    <xf numFmtId="176" fontId="0" fillId="3" borderId="2" xfId="0" applyNumberFormat="1" applyFont="1" applyFill="1" applyBorder="1" applyAlignment="1">
      <alignment horizontal="center" vertical="center"/>
    </xf>
    <xf numFmtId="0" fontId="0" fillId="3" borderId="2" xfId="0" applyNumberFormat="1" applyFont="1" applyFill="1" applyBorder="1" applyAlignment="1">
      <alignment horizontal="center" vertical="center"/>
    </xf>
    <xf numFmtId="0" fontId="0" fillId="3" borderId="1" xfId="0" applyNumberFormat="1" applyFont="1" applyFill="1" applyBorder="1" applyAlignment="1">
      <alignment horizontal="center" vertical="center"/>
    </xf>
    <xf numFmtId="176" fontId="0" fillId="3" borderId="4" xfId="0" applyNumberFormat="1" applyFont="1" applyFill="1" applyBorder="1" applyAlignment="1">
      <alignment horizontal="center" vertical="center"/>
    </xf>
    <xf numFmtId="0" fontId="0" fillId="3" borderId="4" xfId="0" applyNumberFormat="1" applyFont="1" applyFill="1" applyBorder="1" applyAlignment="1">
      <alignment horizontal="center" vertical="center"/>
    </xf>
    <xf numFmtId="176" fontId="0" fillId="3" borderId="1" xfId="0" applyNumberFormat="1" applyFont="1" applyFill="1" applyBorder="1" applyAlignment="1">
      <alignment horizontal="center" vertical="center"/>
    </xf>
    <xf numFmtId="176" fontId="2" fillId="4" borderId="5" xfId="0" applyNumberFormat="1" applyFont="1" applyFill="1" applyBorder="1" applyAlignment="1">
      <alignment horizontal="center" vertical="center"/>
    </xf>
    <xf numFmtId="176" fontId="2" fillId="4" borderId="3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177" fontId="0" fillId="3" borderId="1" xfId="0" applyNumberFormat="1" applyFill="1" applyBorder="1" applyAlignment="1">
      <alignment horizontal="left" vertical="center"/>
    </xf>
    <xf numFmtId="177" fontId="0" fillId="3" borderId="6" xfId="0" applyNumberForma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177" fontId="0" fillId="3" borderId="7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vertical="center"/>
    </xf>
    <xf numFmtId="177" fontId="0" fillId="3" borderId="1" xfId="0" applyNumberFormat="1" applyFill="1" applyBorder="1" applyAlignment="1">
      <alignment vertical="center"/>
    </xf>
    <xf numFmtId="177" fontId="0" fillId="3" borderId="1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177" fontId="3" fillId="4" borderId="3" xfId="0" applyNumberFormat="1" applyFon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79" fontId="0" fillId="5" borderId="2" xfId="0" applyNumberForma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177" fontId="3" fillId="4" borderId="8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3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7549515" y="-229235"/>
          <a:ext cx="1480820" cy="2396490"/>
        </a:xfrm>
        <a:prstGeom prst="rect">
          <a:avLst/>
        </a:prstGeom>
      </xdr:spPr>
    </xdr:pic>
    <xdr:clientData/>
  </xdr:twoCellAnchor>
  <xdr:twoCellAnchor editAs="oneCell">
    <xdr:from>
      <xdr:col>4</xdr:col>
      <xdr:colOff>22542</xdr:colOff>
      <xdr:row>3</xdr:row>
      <xdr:rowOff>52387</xdr:rowOff>
    </xdr:from>
    <xdr:to>
      <xdr:col>4</xdr:col>
      <xdr:colOff>2963862</xdr:colOff>
      <xdr:row>4</xdr:row>
      <xdr:rowOff>976312</xdr:rowOff>
    </xdr:to>
    <xdr:pic>
      <xdr:nvPicPr>
        <xdr:cNvPr id="4" name="ID_26F8ADC788744EA38C6F5D37F2623152" descr="PHOTO-2025-12-22-17-17-30"/>
        <xdr:cNvPicPr>
          <a:picLocks noChangeAspect="1"/>
        </xdr:cNvPicPr>
      </xdr:nvPicPr>
      <xdr:blipFill>
        <a:blip r:embed="rId2"/>
        <a:srcRect t="3226" b="7141"/>
        <a:stretch>
          <a:fillRect/>
        </a:stretch>
      </xdr:blipFill>
      <xdr:spPr>
        <a:xfrm rot="16200000">
          <a:off x="7593965" y="1278255"/>
          <a:ext cx="1939925" cy="29413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abSelected="1" topLeftCell="E1" workbookViewId="0">
      <selection activeCell="K3" sqref="K3"/>
    </sheetView>
  </sheetViews>
  <sheetFormatPr defaultColWidth="9.140625" defaultRowHeight="16.8"/>
  <cols>
    <col min="1" max="1" width="19" style="1" customWidth="1"/>
    <col min="2" max="2" width="13.7109375" style="2" customWidth="1"/>
    <col min="3" max="3" width="28.859375" customWidth="1"/>
    <col min="4" max="4" width="25.4296875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customFormat="1" ht="16" customHeight="1" spans="1:9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customFormat="1" ht="60" customHeight="1" spans="1:9">
      <c r="A2" s="6">
        <v>45995</v>
      </c>
      <c r="B2" s="7" t="s">
        <v>9</v>
      </c>
      <c r="C2" s="8" t="s">
        <v>10</v>
      </c>
      <c r="D2" s="9">
        <v>23.74</v>
      </c>
      <c r="E2" s="20"/>
      <c r="F2" s="21">
        <v>250000</v>
      </c>
      <c r="G2" s="22">
        <f t="shared" ref="G2:G6" si="0">D2*F2</f>
        <v>5935000</v>
      </c>
      <c r="H2" s="22">
        <f>SUM(G2:G3)</f>
        <v>7717000</v>
      </c>
      <c r="I2" s="30" t="s">
        <v>11</v>
      </c>
    </row>
    <row r="3" customFormat="1" ht="60" customHeight="1" spans="1:9">
      <c r="A3" s="10"/>
      <c r="B3" s="11"/>
      <c r="C3" s="8" t="s">
        <v>12</v>
      </c>
      <c r="D3" s="9">
        <v>9.9</v>
      </c>
      <c r="E3" s="23"/>
      <c r="F3" s="21">
        <v>180000</v>
      </c>
      <c r="G3" s="22">
        <f t="shared" si="0"/>
        <v>1782000</v>
      </c>
      <c r="H3" s="24"/>
      <c r="I3" s="31"/>
    </row>
    <row r="4" customFormat="1" ht="80" customHeight="1" spans="1:9">
      <c r="A4" s="6">
        <v>46013</v>
      </c>
      <c r="B4" s="7" t="s">
        <v>13</v>
      </c>
      <c r="C4" s="8" t="s">
        <v>14</v>
      </c>
      <c r="D4" s="9">
        <v>9.16</v>
      </c>
      <c r="E4" s="25"/>
      <c r="F4" s="21">
        <v>250000</v>
      </c>
      <c r="G4" s="22">
        <f t="shared" si="0"/>
        <v>2290000</v>
      </c>
      <c r="H4" s="22">
        <f>SUM(G4:G5)</f>
        <v>4072000</v>
      </c>
      <c r="I4" s="32">
        <v>46020</v>
      </c>
    </row>
    <row r="5" customFormat="1" ht="80" customHeight="1" spans="1:9">
      <c r="A5" s="10"/>
      <c r="B5" s="11"/>
      <c r="C5" s="8" t="s">
        <v>12</v>
      </c>
      <c r="D5" s="9">
        <v>9.9</v>
      </c>
      <c r="E5" s="26"/>
      <c r="F5" s="21">
        <v>180000</v>
      </c>
      <c r="G5" s="22">
        <f t="shared" si="0"/>
        <v>1782000</v>
      </c>
      <c r="H5" s="24"/>
      <c r="I5" s="33"/>
    </row>
    <row r="6" customFormat="1" ht="60" customHeight="1" spans="1:9">
      <c r="A6" s="12"/>
      <c r="B6" s="13"/>
      <c r="C6" s="14"/>
      <c r="D6" s="14"/>
      <c r="E6" s="13"/>
      <c r="F6" s="27"/>
      <c r="G6" s="22">
        <f t="shared" si="0"/>
        <v>0</v>
      </c>
      <c r="H6" s="27">
        <f>SUM(D6*F6)</f>
        <v>0</v>
      </c>
      <c r="I6" s="27"/>
    </row>
    <row r="7" customFormat="1" ht="60" customHeight="1" spans="1:9">
      <c r="A7" s="15"/>
      <c r="B7" s="16"/>
      <c r="C7" s="14"/>
      <c r="D7" s="14"/>
      <c r="E7" s="16"/>
      <c r="F7" s="27"/>
      <c r="G7" s="22"/>
      <c r="H7" s="27"/>
      <c r="I7" s="27"/>
    </row>
    <row r="8" customFormat="1" ht="180" customHeight="1" spans="1:9">
      <c r="A8" s="17"/>
      <c r="B8" s="14"/>
      <c r="C8" s="14"/>
      <c r="D8" s="14"/>
      <c r="E8" s="27"/>
      <c r="F8" s="27"/>
      <c r="G8" s="22">
        <f>D8*F8</f>
        <v>0</v>
      </c>
      <c r="H8" s="27">
        <f>SUM(D8*F8)</f>
        <v>0</v>
      </c>
      <c r="I8" s="27"/>
    </row>
    <row r="9" customFormat="1" ht="26" spans="1:9">
      <c r="A9" s="18" t="s">
        <v>7</v>
      </c>
      <c r="B9" s="19"/>
      <c r="C9" s="19"/>
      <c r="D9" s="19"/>
      <c r="E9" s="19"/>
      <c r="F9" s="19"/>
      <c r="G9" s="28">
        <f>SUM(H4:H8)</f>
        <v>4072000</v>
      </c>
      <c r="H9" s="29"/>
      <c r="I9" s="34"/>
    </row>
  </sheetData>
  <mergeCells count="15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andreal</dc:creator>
  <cp:lastModifiedBy>andika putra</cp:lastModifiedBy>
  <dcterms:created xsi:type="dcterms:W3CDTF">2025-12-16T08:10:00Z</dcterms:created>
  <dcterms:modified xsi:type="dcterms:W3CDTF">2025-12-24T05:07:51Z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6BB37E5384F80DF16AC23F69DB453A7F_41</vt:lpwstr>
  </property>
  <property fmtid="{D5CDD505-2E9C-101B-9397-08002B2CF9AE}" pid="3" name="KSOProductBuildVer">
    <vt:lpwstr>1033-12.1.23152.23152</vt:lpwstr>
  </property>
</Properties>
</file>