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<sst xmlns="http://schemas.openxmlformats.org/spreadsheetml/2006/main" count="693" uniqueCount="147">
  <si>
    <t>DATE</t>
  </si>
  <si>
    <t>ITEM</t>
  </si>
  <si>
    <t>QYT</t>
  </si>
  <si>
    <t>PRICE</t>
  </si>
  <si>
    <t>SUBTOTAL</t>
  </si>
  <si>
    <t>TOTAL</t>
  </si>
  <si>
    <t>KITCHEN</t>
  </si>
  <si>
    <t>BAR</t>
  </si>
  <si>
    <t>TOTAL PRICE</t>
  </si>
  <si>
    <t>RED PEPPER</t>
  </si>
  <si>
    <t>BANANA</t>
  </si>
  <si>
    <t>COMBINED TOTAL</t>
  </si>
  <si>
    <t>BAKED BEANS</t>
  </si>
  <si>
    <t>CHICK PEAS</t>
  </si>
  <si>
    <t>OIL</t>
  </si>
  <si>
    <t>LOCAL LEMON</t>
  </si>
  <si>
    <t>AVOCADO</t>
  </si>
  <si>
    <t>MANGO</t>
  </si>
  <si>
    <t>EDAMAME</t>
  </si>
  <si>
    <t>GREEN APPLE</t>
  </si>
  <si>
    <t>WHITE PEAR</t>
  </si>
  <si>
    <t>LIME</t>
  </si>
  <si>
    <t>EGGPLANT</t>
  </si>
  <si>
    <t>GREEN LETTUCE</t>
  </si>
  <si>
    <t>DRAGON FRUIT</t>
  </si>
  <si>
    <t>LUMAJANG ORANGE</t>
  </si>
  <si>
    <t>EGG</t>
  </si>
  <si>
    <t>IMPORTED LEMON</t>
  </si>
  <si>
    <t>POTATO</t>
  </si>
  <si>
    <t>MUSTARD</t>
  </si>
  <si>
    <t>SWEET POTATO</t>
  </si>
  <si>
    <t>MALANG APPLE</t>
  </si>
  <si>
    <t>ONION</t>
  </si>
  <si>
    <t>CUCUMBER</t>
  </si>
  <si>
    <t>SALT</t>
  </si>
  <si>
    <t>CARROT</t>
  </si>
  <si>
    <t>TOTOLE</t>
  </si>
  <si>
    <t>WATERMELON</t>
  </si>
  <si>
    <t>BASMATI RICE SUKRIYA</t>
  </si>
  <si>
    <t>FRESH MILK</t>
  </si>
  <si>
    <t>RED RICE</t>
  </si>
  <si>
    <t>LYCHEE CAN</t>
  </si>
  <si>
    <t>BLACK PEPPER WHOLE</t>
  </si>
  <si>
    <t>SUGAR</t>
  </si>
  <si>
    <t>OLIVE OIL</t>
  </si>
  <si>
    <t>PINEAPPLE</t>
  </si>
  <si>
    <t>TABASCO</t>
  </si>
  <si>
    <t>SUNKIST</t>
  </si>
  <si>
    <t>PARMESAN BLOCK</t>
  </si>
  <si>
    <t>GREEN MUSTARD</t>
  </si>
  <si>
    <t>PARMESAN GRATED</t>
  </si>
  <si>
    <t>SHALLOT</t>
  </si>
  <si>
    <t>STRAWBERRY</t>
  </si>
  <si>
    <t>ENGLISH SPINACH</t>
  </si>
  <si>
    <t>DILL</t>
  </si>
  <si>
    <t>OAT MEAL</t>
  </si>
  <si>
    <t>TOMATO</t>
  </si>
  <si>
    <t>YELLOW PEPPER</t>
  </si>
  <si>
    <t>LEMON</t>
  </si>
  <si>
    <t>BASIL</t>
  </si>
  <si>
    <t>MINT</t>
  </si>
  <si>
    <t>CHERRY RED TOMATO</t>
  </si>
  <si>
    <t>CHERRY YELLOW TOMATO</t>
  </si>
  <si>
    <t>STRAWBERRY (250)</t>
  </si>
  <si>
    <t>QUAIL EGG</t>
  </si>
  <si>
    <t>ICE BERG</t>
  </si>
  <si>
    <t>BABY ROMAINE</t>
  </si>
  <si>
    <t>WILD ROCKET</t>
  </si>
  <si>
    <t>SESAME DRESSING</t>
  </si>
  <si>
    <t>CAKRA FLOUR</t>
  </si>
  <si>
    <t>MOZARELLA</t>
  </si>
  <si>
    <t>VANILA</t>
  </si>
  <si>
    <t>HAM</t>
  </si>
  <si>
    <t>OIL 18 L</t>
  </si>
  <si>
    <t>LOLO ROSSA</t>
  </si>
  <si>
    <t>PLASTIC WRAP</t>
  </si>
  <si>
    <t>SALAD OIL</t>
  </si>
  <si>
    <t>GREEN FIELD FRESH MILK</t>
  </si>
  <si>
    <t>MILAC WHIPPING CREAM</t>
  </si>
  <si>
    <t>SOUR CREAM</t>
  </si>
  <si>
    <t>MAESTRO MAYONNAISE</t>
  </si>
  <si>
    <t>GGARLIC</t>
  </si>
  <si>
    <t>LEEK</t>
  </si>
  <si>
    <t>PARSLEY</t>
  </si>
  <si>
    <t>CORIANDER</t>
  </si>
  <si>
    <t>SHIMEJI</t>
  </si>
  <si>
    <t>FRENCH FRIES (GENTLE CUT)</t>
  </si>
  <si>
    <t>SEGITIGA FLOUR</t>
  </si>
  <si>
    <t>CREME CHEESE</t>
  </si>
  <si>
    <t>GREEN PEPPER</t>
  </si>
  <si>
    <t>MUSHROOM BUTTON</t>
  </si>
  <si>
    <t>THYME</t>
  </si>
  <si>
    <t>GARLIC</t>
  </si>
  <si>
    <t>ZUCCHINI</t>
  </si>
  <si>
    <t>CELERY</t>
  </si>
  <si>
    <t>MAIZENA FLOUR</t>
  </si>
  <si>
    <t>BROWN SUGAR</t>
  </si>
  <si>
    <t>TRASH BAG</t>
  </si>
  <si>
    <t>ONIION</t>
  </si>
  <si>
    <t>HONEY BLOSSOM</t>
  </si>
  <si>
    <t>CAYENNE</t>
  </si>
  <si>
    <t>BLACK SESAME</t>
  </si>
  <si>
    <t>WHITE SESAME</t>
  </si>
  <si>
    <t>ASPARAGUS</t>
  </si>
  <si>
    <t>GREEN BEANS</t>
  </si>
  <si>
    <t>ARAGULA</t>
  </si>
  <si>
    <t>BACON</t>
  </si>
  <si>
    <t>GREEN BANANA</t>
  </si>
  <si>
    <t>PUMPKIN</t>
  </si>
  <si>
    <t>CURLY GREEN LETTUCE</t>
  </si>
  <si>
    <t>ROUND LETTUCE</t>
  </si>
  <si>
    <t>ROCKET</t>
  </si>
  <si>
    <t>GARLIC POWDER</t>
  </si>
  <si>
    <t>ROMAINE</t>
  </si>
  <si>
    <t>ARUGULA</t>
  </si>
  <si>
    <t>ICEBERG</t>
  </si>
  <si>
    <t>VINEGAR DIXI</t>
  </si>
  <si>
    <t>OIL 18L</t>
  </si>
  <si>
    <t>CHILI</t>
  </si>
  <si>
    <t>BIG RED CHILI</t>
  </si>
  <si>
    <t>SPRING ONION</t>
  </si>
  <si>
    <t>BABY CUCUMBER / KYURI</t>
  </si>
  <si>
    <t>MINT LEAVES</t>
  </si>
  <si>
    <t>mango</t>
  </si>
  <si>
    <t>DOLPIN SALT</t>
  </si>
  <si>
    <t>CASHEW NUT</t>
  </si>
  <si>
    <t>CANNED PEELED TOMATO</t>
  </si>
  <si>
    <t>PORTABLE GAS</t>
  </si>
  <si>
    <t>LOLLO ROSSA</t>
  </si>
  <si>
    <t>SEMOLINA</t>
  </si>
  <si>
    <t>GREEN LOLLO ROSSA</t>
  </si>
  <si>
    <t>GELATIN POWDER</t>
  </si>
  <si>
    <t>ROSEMARY</t>
  </si>
  <si>
    <t>MINT LEAF</t>
  </si>
  <si>
    <t>COCONUT FLAKES</t>
  </si>
  <si>
    <t>MUSHROOM SHIMEJI</t>
  </si>
  <si>
    <t>WHITE SESAME SEED</t>
  </si>
  <si>
    <t>BLACK SESAME SEED</t>
  </si>
  <si>
    <t>BBQ SAUCE (DEL MONTE)</t>
  </si>
  <si>
    <t>SPAGHETTI (LA FONTE)</t>
  </si>
  <si>
    <t>SWEETENED CONDENSED MILK</t>
  </si>
  <si>
    <t>NUTELLA</t>
  </si>
  <si>
    <t>FROZEN MIX BERRY</t>
  </si>
  <si>
    <t>FETA CHEESE</t>
  </si>
  <si>
    <t>BUTTER</t>
  </si>
  <si>
    <t>LONG BEANS</t>
  </si>
  <si>
    <t>PENNE LA FONTE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</si>
</sst>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177" fontId="1" fillId="4" borderId="3" xfId="0" applyNumberFormat="1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1" fillId="4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7" fontId="1" fillId="2" borderId="1" xfId="0" applyNumberFormat="1" applyFont="1" applyFill="1" applyBorder="1">
      <alignment vertical="center"/>
    </xf>
    <xf numFmtId="176" fontId="4" fillId="0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6" fontId="4" fillId="0" borderId="4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vertical="center"/>
    </xf>
    <xf numFmtId="177" fontId="0" fillId="4" borderId="3" xfId="0" applyNumberForma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177" fontId="0" fillId="4" borderId="4" xfId="0" applyNumberForma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77" fontId="1" fillId="3" borderId="4" xfId="0" applyNumberFormat="1" applyFont="1" applyFill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Fill="1">
      <alignment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77" fontId="1" fillId="0" borderId="1" xfId="0" applyNumberFormat="1" applyFont="1" applyBorder="1" applyAlignment="1">
      <alignment vertical="center"/>
    </xf>
    <xf numFmtId="0" fontId="1" fillId="0" borderId="0" xfId="0" applyFont="1" applyFill="1" applyBorder="1">
      <alignment vertical="center"/>
    </xf>
    <xf numFmtId="177" fontId="1" fillId="0" borderId="0" xfId="0" applyNumberFormat="1" applyFont="1" applyFill="1" applyBorder="1">
      <alignment vertical="center"/>
    </xf>
    <xf numFmtId="177" fontId="1" fillId="0" borderId="0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0"/>
  <sheetViews>
    <sheetView tabSelected="1" topLeftCell="A267" workbookViewId="0">
      <selection activeCell="H8" sqref="H8"/>
    </sheetView>
  </sheetViews>
  <sheetFormatPr defaultColWidth="9.140625" defaultRowHeight="17.6"/>
  <cols>
    <col min="1" max="1" width="28.3828125" style="3" customWidth="1"/>
    <col min="2" max="2" width="32.1796875" style="4" customWidth="1"/>
    <col min="3" max="3" width="9.140625" style="5"/>
    <col min="4" max="4" width="13.3828125" style="2" customWidth="1"/>
    <col min="5" max="5" width="27.96875" style="2" customWidth="1"/>
    <col min="6" max="6" width="28.1640625" style="2" customWidth="1"/>
    <col min="7" max="7" width="13.75" style="2" customWidth="1"/>
    <col min="8" max="8" width="14.9375" style="2" customWidth="1"/>
    <col min="9" max="11" width="14.9375" style="2"/>
    <col min="12" max="13" width="9.140625" style="2"/>
    <col min="14" max="14" width="12" style="2" customWidth="1"/>
    <col min="15" max="15" width="16.5625" style="2" customWidth="1"/>
    <col min="16" max="16" width="13.75" style="2" customWidth="1"/>
    <col min="17" max="16384" width="9.140625" style="2"/>
  </cols>
  <sheetData>
    <row r="1" s="1" customFormat="1" ht="20.4" spans="1:16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1"/>
      <c r="H1" s="16" t="s">
        <v>6</v>
      </c>
      <c r="I1" s="16" t="s">
        <v>7</v>
      </c>
      <c r="J1" s="24"/>
      <c r="K1" s="6" t="s">
        <v>0</v>
      </c>
      <c r="L1" s="7" t="s">
        <v>1</v>
      </c>
      <c r="M1" s="8" t="s">
        <v>2</v>
      </c>
      <c r="N1" s="9" t="s">
        <v>3</v>
      </c>
      <c r="O1" s="9" t="s">
        <v>8</v>
      </c>
      <c r="P1" s="9" t="s">
        <v>5</v>
      </c>
    </row>
    <row r="2" s="2" customFormat="1" ht="20.4" spans="1:16">
      <c r="A2" s="10">
        <v>45992</v>
      </c>
      <c r="B2" s="11" t="s">
        <v>9</v>
      </c>
      <c r="C2" s="12">
        <v>0.5</v>
      </c>
      <c r="D2" s="13">
        <v>83000</v>
      </c>
      <c r="E2" s="13">
        <f t="shared" ref="E2:E66" si="0">D2*C2</f>
        <v>41500</v>
      </c>
      <c r="F2" s="17">
        <f>SUM(E2:E15)</f>
        <v>1204900</v>
      </c>
      <c r="G2" s="18"/>
      <c r="H2" s="13">
        <f>F667</f>
        <v>46369300</v>
      </c>
      <c r="I2" s="13">
        <f>P35</f>
        <v>1800100</v>
      </c>
      <c r="J2" s="24"/>
      <c r="K2" s="26"/>
      <c r="L2" s="27"/>
      <c r="M2" s="31"/>
      <c r="N2" s="32"/>
      <c r="O2" s="32"/>
      <c r="P2" s="33"/>
    </row>
    <row r="3" s="2" customFormat="1" ht="20.4" spans="1:16">
      <c r="A3" s="14"/>
      <c r="B3" s="11" t="s">
        <v>10</v>
      </c>
      <c r="C3" s="12">
        <v>4</v>
      </c>
      <c r="D3" s="13">
        <v>22000</v>
      </c>
      <c r="E3" s="13">
        <f t="shared" si="0"/>
        <v>88000</v>
      </c>
      <c r="F3" s="19"/>
      <c r="G3" s="18"/>
      <c r="H3" s="20" t="s">
        <v>11</v>
      </c>
      <c r="I3" s="28"/>
      <c r="J3" s="24"/>
      <c r="K3" s="26"/>
      <c r="L3" s="27"/>
      <c r="M3" s="31"/>
      <c r="N3" s="32"/>
      <c r="O3" s="32"/>
      <c r="P3" s="33"/>
    </row>
    <row r="4" s="2" customFormat="1" ht="20.4" spans="1:16">
      <c r="A4" s="14"/>
      <c r="B4" s="11" t="s">
        <v>12</v>
      </c>
      <c r="C4" s="12">
        <v>3</v>
      </c>
      <c r="D4" s="13">
        <v>45000</v>
      </c>
      <c r="E4" s="13">
        <f t="shared" si="0"/>
        <v>135000</v>
      </c>
      <c r="F4" s="19"/>
      <c r="G4" s="18"/>
      <c r="H4" s="21">
        <f>SUM(H2:I2)</f>
        <v>48169400</v>
      </c>
      <c r="I4" s="21"/>
      <c r="J4" s="24"/>
      <c r="K4" s="26"/>
      <c r="L4" s="27"/>
      <c r="M4" s="31"/>
      <c r="N4" s="32"/>
      <c r="O4" s="32"/>
      <c r="P4" s="33"/>
    </row>
    <row r="5" s="2" customFormat="1" ht="20.4" spans="1:16">
      <c r="A5" s="14"/>
      <c r="B5" s="11" t="s">
        <v>13</v>
      </c>
      <c r="C5" s="12">
        <v>4</v>
      </c>
      <c r="D5" s="13">
        <v>110000</v>
      </c>
      <c r="E5" s="13">
        <f t="shared" si="0"/>
        <v>440000</v>
      </c>
      <c r="F5" s="19"/>
      <c r="G5" s="18"/>
      <c r="H5" s="22"/>
      <c r="I5" s="22"/>
      <c r="J5" s="24"/>
      <c r="K5" s="26"/>
      <c r="L5" s="27"/>
      <c r="M5" s="31"/>
      <c r="N5" s="32"/>
      <c r="O5" s="32"/>
      <c r="P5" s="33"/>
    </row>
    <row r="6" s="2" customFormat="1" ht="20.4" spans="1:16">
      <c r="A6" s="14"/>
      <c r="B6" s="11" t="s">
        <v>14</v>
      </c>
      <c r="C6" s="12">
        <v>5</v>
      </c>
      <c r="D6" s="13">
        <v>150000</v>
      </c>
      <c r="E6" s="13">
        <v>150000</v>
      </c>
      <c r="F6" s="19"/>
      <c r="G6" s="18"/>
      <c r="H6" s="23"/>
      <c r="I6" s="23"/>
      <c r="J6" s="24"/>
      <c r="K6" s="26"/>
      <c r="L6" s="27"/>
      <c r="M6" s="31"/>
      <c r="N6" s="32"/>
      <c r="O6" s="32"/>
      <c r="P6" s="33"/>
    </row>
    <row r="7" s="2" customFormat="1" ht="20.4" spans="1:16">
      <c r="A7" s="14"/>
      <c r="B7" s="11" t="s">
        <v>15</v>
      </c>
      <c r="C7" s="12">
        <v>1</v>
      </c>
      <c r="D7" s="13">
        <v>75000</v>
      </c>
      <c r="E7" s="13">
        <f t="shared" si="0"/>
        <v>75000</v>
      </c>
      <c r="F7" s="19"/>
      <c r="G7" s="18"/>
      <c r="H7" s="24"/>
      <c r="I7" s="24"/>
      <c r="J7" s="24"/>
      <c r="K7" s="26"/>
      <c r="L7" s="27"/>
      <c r="M7" s="31"/>
      <c r="N7" s="32"/>
      <c r="O7" s="32"/>
      <c r="P7" s="33"/>
    </row>
    <row r="8" s="2" customFormat="1" ht="20.4" spans="1:16">
      <c r="A8" s="14"/>
      <c r="B8" s="11" t="s">
        <v>16</v>
      </c>
      <c r="C8" s="12">
        <v>1</v>
      </c>
      <c r="D8" s="13">
        <v>39000</v>
      </c>
      <c r="E8" s="13">
        <f t="shared" si="0"/>
        <v>39000</v>
      </c>
      <c r="F8" s="19"/>
      <c r="G8" s="18"/>
      <c r="H8" s="24"/>
      <c r="I8" s="24"/>
      <c r="J8" s="24"/>
      <c r="K8" s="26"/>
      <c r="L8" s="27"/>
      <c r="M8" s="31"/>
      <c r="N8" s="32"/>
      <c r="O8" s="32"/>
      <c r="P8" s="33"/>
    </row>
    <row r="9" s="2" customFormat="1" ht="20.4" spans="1:16">
      <c r="A9" s="14"/>
      <c r="B9" s="11" t="s">
        <v>17</v>
      </c>
      <c r="C9" s="12">
        <v>1</v>
      </c>
      <c r="D9" s="13">
        <v>39000</v>
      </c>
      <c r="E9" s="13">
        <f t="shared" si="0"/>
        <v>39000</v>
      </c>
      <c r="F9" s="19"/>
      <c r="G9" s="18"/>
      <c r="H9" s="24"/>
      <c r="I9" s="24"/>
      <c r="J9" s="24"/>
      <c r="K9" s="26"/>
      <c r="L9" s="27"/>
      <c r="M9" s="31"/>
      <c r="N9" s="32"/>
      <c r="O9" s="32"/>
      <c r="P9" s="33"/>
    </row>
    <row r="10" s="2" customFormat="1" ht="20.4" spans="1:16">
      <c r="A10" s="14"/>
      <c r="B10" s="11" t="s">
        <v>18</v>
      </c>
      <c r="C10" s="12">
        <v>0.5</v>
      </c>
      <c r="D10" s="13">
        <v>45000</v>
      </c>
      <c r="E10" s="13">
        <f t="shared" si="0"/>
        <v>22500</v>
      </c>
      <c r="F10" s="19"/>
      <c r="G10" s="18"/>
      <c r="H10" s="24"/>
      <c r="I10" s="24"/>
      <c r="J10" s="24"/>
      <c r="K10" s="26"/>
      <c r="L10" s="27"/>
      <c r="M10" s="31"/>
      <c r="N10" s="32"/>
      <c r="O10" s="32"/>
      <c r="P10" s="33"/>
    </row>
    <row r="11" s="2" customFormat="1" ht="20.4" spans="1:16">
      <c r="A11" s="14"/>
      <c r="B11" s="11" t="s">
        <v>19</v>
      </c>
      <c r="C11" s="12">
        <v>1</v>
      </c>
      <c r="D11" s="13">
        <v>50000</v>
      </c>
      <c r="E11" s="13">
        <f t="shared" si="0"/>
        <v>50000</v>
      </c>
      <c r="F11" s="19"/>
      <c r="G11" s="18"/>
      <c r="H11" s="24"/>
      <c r="I11" s="24"/>
      <c r="J11" s="24"/>
      <c r="K11" s="26"/>
      <c r="L11" s="27"/>
      <c r="M11" s="31"/>
      <c r="N11" s="32"/>
      <c r="O11" s="32"/>
      <c r="P11" s="33"/>
    </row>
    <row r="12" s="2" customFormat="1" ht="20.4" spans="1:16">
      <c r="A12" s="14"/>
      <c r="B12" s="11" t="s">
        <v>20</v>
      </c>
      <c r="C12" s="12">
        <v>1.7</v>
      </c>
      <c r="D12" s="13">
        <v>40000</v>
      </c>
      <c r="E12" s="13">
        <f t="shared" si="0"/>
        <v>68000</v>
      </c>
      <c r="F12" s="19"/>
      <c r="G12" s="18"/>
      <c r="H12" s="24"/>
      <c r="I12" s="24"/>
      <c r="J12" s="24"/>
      <c r="K12" s="26"/>
      <c r="L12" s="27"/>
      <c r="M12" s="31"/>
      <c r="N12" s="32"/>
      <c r="O12" s="32"/>
      <c r="P12" s="33"/>
    </row>
    <row r="13" s="2" customFormat="1" ht="20.4" spans="1:16">
      <c r="A13" s="14"/>
      <c r="B13" s="11" t="s">
        <v>21</v>
      </c>
      <c r="C13" s="12">
        <v>0.3</v>
      </c>
      <c r="D13" s="13">
        <v>28000</v>
      </c>
      <c r="E13" s="13">
        <f t="shared" si="0"/>
        <v>8400</v>
      </c>
      <c r="F13" s="19"/>
      <c r="G13" s="18"/>
      <c r="H13" s="24"/>
      <c r="I13" s="24"/>
      <c r="J13" s="24"/>
      <c r="K13" s="26"/>
      <c r="L13" s="27"/>
      <c r="M13" s="31"/>
      <c r="N13" s="32"/>
      <c r="O13" s="32"/>
      <c r="P13" s="33"/>
    </row>
    <row r="14" s="2" customFormat="1" ht="20.4" spans="1:16">
      <c r="A14" s="14"/>
      <c r="B14" s="11" t="s">
        <v>22</v>
      </c>
      <c r="C14" s="12">
        <v>1</v>
      </c>
      <c r="D14" s="13">
        <v>10000</v>
      </c>
      <c r="E14" s="13">
        <f t="shared" si="0"/>
        <v>10000</v>
      </c>
      <c r="F14" s="19"/>
      <c r="G14" s="18"/>
      <c r="H14" s="24"/>
      <c r="I14" s="24"/>
      <c r="J14" s="24"/>
      <c r="K14" s="26"/>
      <c r="L14" s="27"/>
      <c r="M14" s="31"/>
      <c r="N14" s="32"/>
      <c r="O14" s="32"/>
      <c r="P14" s="33"/>
    </row>
    <row r="15" s="2" customFormat="1" ht="20.4" spans="1:16">
      <c r="A15" s="15"/>
      <c r="B15" s="11" t="s">
        <v>23</v>
      </c>
      <c r="C15" s="12">
        <v>0.5</v>
      </c>
      <c r="D15" s="13">
        <v>77000</v>
      </c>
      <c r="E15" s="13">
        <f t="shared" si="0"/>
        <v>38500</v>
      </c>
      <c r="F15" s="25"/>
      <c r="G15" s="18"/>
      <c r="H15" s="24"/>
      <c r="I15" s="24"/>
      <c r="J15" s="24"/>
      <c r="K15" s="26"/>
      <c r="L15" s="27"/>
      <c r="M15" s="31"/>
      <c r="N15" s="32"/>
      <c r="O15" s="32"/>
      <c r="P15" s="33"/>
    </row>
    <row r="16" s="2" customFormat="1" spans="1:16">
      <c r="A16" s="10">
        <v>45993</v>
      </c>
      <c r="B16" s="11" t="s">
        <v>24</v>
      </c>
      <c r="C16" s="12">
        <v>2</v>
      </c>
      <c r="D16" s="13">
        <v>28000</v>
      </c>
      <c r="E16" s="13">
        <f t="shared" si="0"/>
        <v>56000</v>
      </c>
      <c r="F16" s="17">
        <f>SUM(E16:E36)</f>
        <v>2570700</v>
      </c>
      <c r="G16" s="18"/>
      <c r="H16" s="3"/>
      <c r="I16" s="3"/>
      <c r="J16" s="3"/>
      <c r="K16" s="10">
        <v>45993</v>
      </c>
      <c r="L16" s="11" t="s">
        <v>25</v>
      </c>
      <c r="M16" s="12">
        <v>3</v>
      </c>
      <c r="N16" s="13">
        <v>28000</v>
      </c>
      <c r="O16" s="13">
        <f t="shared" ref="O16:O50" si="1">SUM(M16*N16)</f>
        <v>84000</v>
      </c>
      <c r="P16" s="17">
        <f>SUM(O16:O24)</f>
        <v>749100</v>
      </c>
    </row>
    <row r="17" s="2" customFormat="1" spans="1:16">
      <c r="A17" s="14"/>
      <c r="B17" s="11" t="s">
        <v>26</v>
      </c>
      <c r="C17" s="12">
        <v>2</v>
      </c>
      <c r="D17" s="13">
        <v>66000</v>
      </c>
      <c r="E17" s="13">
        <f t="shared" si="0"/>
        <v>132000</v>
      </c>
      <c r="F17" s="19"/>
      <c r="G17" s="18"/>
      <c r="H17" s="3"/>
      <c r="I17" s="3"/>
      <c r="J17" s="3"/>
      <c r="K17" s="14"/>
      <c r="L17" s="11" t="s">
        <v>27</v>
      </c>
      <c r="M17" s="12">
        <v>2</v>
      </c>
      <c r="N17" s="13">
        <v>83000</v>
      </c>
      <c r="O17" s="13">
        <f t="shared" si="1"/>
        <v>166000</v>
      </c>
      <c r="P17" s="19"/>
    </row>
    <row r="18" s="2" customFormat="1" spans="1:16">
      <c r="A18" s="14"/>
      <c r="B18" s="11" t="s">
        <v>28</v>
      </c>
      <c r="C18" s="12">
        <v>7</v>
      </c>
      <c r="D18" s="13">
        <v>24000</v>
      </c>
      <c r="E18" s="13">
        <f t="shared" si="0"/>
        <v>168000</v>
      </c>
      <c r="F18" s="19"/>
      <c r="G18" s="18"/>
      <c r="H18" s="3"/>
      <c r="I18" s="3"/>
      <c r="J18" s="3"/>
      <c r="K18" s="14"/>
      <c r="L18" s="11" t="s">
        <v>29</v>
      </c>
      <c r="M18" s="12">
        <v>0.3</v>
      </c>
      <c r="N18" s="13">
        <v>17000</v>
      </c>
      <c r="O18" s="13">
        <f t="shared" si="1"/>
        <v>5100</v>
      </c>
      <c r="P18" s="19"/>
    </row>
    <row r="19" s="2" customFormat="1" spans="1:16">
      <c r="A19" s="14"/>
      <c r="B19" s="11" t="s">
        <v>30</v>
      </c>
      <c r="C19" s="12">
        <v>3</v>
      </c>
      <c r="D19" s="13">
        <v>25000</v>
      </c>
      <c r="E19" s="13">
        <f t="shared" si="0"/>
        <v>75000</v>
      </c>
      <c r="F19" s="19"/>
      <c r="G19" s="18"/>
      <c r="H19" s="3"/>
      <c r="I19" s="3"/>
      <c r="J19" s="3"/>
      <c r="K19" s="14"/>
      <c r="L19" s="11" t="s">
        <v>31</v>
      </c>
      <c r="M19" s="12">
        <v>1</v>
      </c>
      <c r="N19" s="13">
        <v>61000</v>
      </c>
      <c r="O19" s="13">
        <f t="shared" si="1"/>
        <v>61000</v>
      </c>
      <c r="P19" s="19"/>
    </row>
    <row r="20" s="2" customFormat="1" spans="1:16">
      <c r="A20" s="14"/>
      <c r="B20" s="11" t="s">
        <v>32</v>
      </c>
      <c r="C20" s="12">
        <v>1</v>
      </c>
      <c r="D20" s="13">
        <v>39000</v>
      </c>
      <c r="E20" s="13">
        <f t="shared" si="0"/>
        <v>39000</v>
      </c>
      <c r="F20" s="19"/>
      <c r="G20" s="18"/>
      <c r="H20" s="3"/>
      <c r="I20" s="3"/>
      <c r="J20" s="3"/>
      <c r="K20" s="14"/>
      <c r="L20" s="11" t="s">
        <v>33</v>
      </c>
      <c r="M20" s="12">
        <v>1</v>
      </c>
      <c r="N20" s="13">
        <v>17000</v>
      </c>
      <c r="O20" s="13">
        <f t="shared" si="1"/>
        <v>17000</v>
      </c>
      <c r="P20" s="19"/>
    </row>
    <row r="21" s="2" customFormat="1" spans="1:16">
      <c r="A21" s="14"/>
      <c r="B21" s="11" t="s">
        <v>34</v>
      </c>
      <c r="C21" s="12">
        <v>3</v>
      </c>
      <c r="D21" s="13">
        <v>20000</v>
      </c>
      <c r="E21" s="13">
        <f t="shared" si="0"/>
        <v>60000</v>
      </c>
      <c r="F21" s="19"/>
      <c r="G21" s="18"/>
      <c r="H21" s="3"/>
      <c r="I21" s="3"/>
      <c r="J21" s="3"/>
      <c r="K21" s="14"/>
      <c r="L21" s="11" t="s">
        <v>35</v>
      </c>
      <c r="M21" s="12">
        <v>1</v>
      </c>
      <c r="N21" s="13">
        <v>31000</v>
      </c>
      <c r="O21" s="13">
        <f t="shared" si="1"/>
        <v>31000</v>
      </c>
      <c r="P21" s="19"/>
    </row>
    <row r="22" s="2" customFormat="1" spans="1:16">
      <c r="A22" s="14"/>
      <c r="B22" s="11" t="s">
        <v>36</v>
      </c>
      <c r="C22" s="12">
        <v>3</v>
      </c>
      <c r="D22" s="13">
        <v>75000</v>
      </c>
      <c r="E22" s="13">
        <f t="shared" si="0"/>
        <v>225000</v>
      </c>
      <c r="F22" s="19"/>
      <c r="G22" s="18"/>
      <c r="H22" s="3"/>
      <c r="I22" s="3"/>
      <c r="J22" s="3"/>
      <c r="K22" s="14"/>
      <c r="L22" s="11" t="s">
        <v>37</v>
      </c>
      <c r="M22" s="12">
        <v>8</v>
      </c>
      <c r="N22" s="13">
        <v>15000</v>
      </c>
      <c r="O22" s="13">
        <f t="shared" si="1"/>
        <v>120000</v>
      </c>
      <c r="P22" s="19"/>
    </row>
    <row r="23" s="2" customFormat="1" spans="1:16">
      <c r="A23" s="14"/>
      <c r="B23" s="11" t="s">
        <v>38</v>
      </c>
      <c r="C23" s="12">
        <v>3</v>
      </c>
      <c r="D23" s="13">
        <v>80000</v>
      </c>
      <c r="E23" s="13">
        <f t="shared" si="0"/>
        <v>240000</v>
      </c>
      <c r="F23" s="19"/>
      <c r="G23" s="18"/>
      <c r="H23" s="3"/>
      <c r="I23" s="3"/>
      <c r="J23" s="3"/>
      <c r="K23" s="14"/>
      <c r="L23" s="11" t="s">
        <v>39</v>
      </c>
      <c r="M23" s="12">
        <v>5</v>
      </c>
      <c r="N23" s="13">
        <v>35000</v>
      </c>
      <c r="O23" s="13">
        <f t="shared" si="1"/>
        <v>175000</v>
      </c>
      <c r="P23" s="19"/>
    </row>
    <row r="24" s="2" customFormat="1" spans="1:16">
      <c r="A24" s="14"/>
      <c r="B24" s="11" t="s">
        <v>40</v>
      </c>
      <c r="C24" s="12">
        <v>3</v>
      </c>
      <c r="D24" s="13">
        <v>75000</v>
      </c>
      <c r="E24" s="13">
        <f t="shared" si="0"/>
        <v>225000</v>
      </c>
      <c r="F24" s="19"/>
      <c r="G24" s="18"/>
      <c r="H24" s="3"/>
      <c r="I24" s="3"/>
      <c r="J24" s="3"/>
      <c r="K24" s="15"/>
      <c r="L24" s="11" t="s">
        <v>41</v>
      </c>
      <c r="M24" s="12">
        <v>2</v>
      </c>
      <c r="N24" s="13">
        <v>45000</v>
      </c>
      <c r="O24" s="13">
        <f t="shared" si="1"/>
        <v>90000</v>
      </c>
      <c r="P24" s="25"/>
    </row>
    <row r="25" s="2" customFormat="1" spans="1:16">
      <c r="A25" s="14"/>
      <c r="B25" s="11" t="s">
        <v>42</v>
      </c>
      <c r="C25" s="12">
        <v>0.5</v>
      </c>
      <c r="D25" s="13">
        <v>200000</v>
      </c>
      <c r="E25" s="13">
        <f t="shared" si="0"/>
        <v>100000</v>
      </c>
      <c r="F25" s="19"/>
      <c r="G25" s="18"/>
      <c r="H25" s="3"/>
      <c r="I25" s="3"/>
      <c r="J25" s="3"/>
      <c r="K25" s="10">
        <v>45994</v>
      </c>
      <c r="L25" s="11" t="s">
        <v>25</v>
      </c>
      <c r="M25" s="12">
        <v>5</v>
      </c>
      <c r="N25" s="13">
        <v>28000</v>
      </c>
      <c r="O25" s="13">
        <f t="shared" si="1"/>
        <v>140000</v>
      </c>
      <c r="P25" s="17">
        <f>SUM(O25:O34)</f>
        <v>1051000</v>
      </c>
    </row>
    <row r="26" s="2" customFormat="1" spans="1:16">
      <c r="A26" s="14"/>
      <c r="B26" s="11" t="s">
        <v>43</v>
      </c>
      <c r="C26" s="12">
        <v>3</v>
      </c>
      <c r="D26" s="13">
        <v>25000</v>
      </c>
      <c r="E26" s="13">
        <f t="shared" si="0"/>
        <v>75000</v>
      </c>
      <c r="F26" s="19"/>
      <c r="G26" s="18"/>
      <c r="H26" s="3"/>
      <c r="I26" s="3"/>
      <c r="J26" s="3"/>
      <c r="K26" s="14"/>
      <c r="L26" s="11" t="s">
        <v>27</v>
      </c>
      <c r="M26" s="12">
        <v>3</v>
      </c>
      <c r="N26" s="13">
        <v>83000</v>
      </c>
      <c r="O26" s="13">
        <f t="shared" si="1"/>
        <v>249000</v>
      </c>
      <c r="P26" s="19"/>
    </row>
    <row r="27" s="2" customFormat="1" spans="1:16">
      <c r="A27" s="14"/>
      <c r="B27" s="11" t="s">
        <v>44</v>
      </c>
      <c r="C27" s="12">
        <v>1</v>
      </c>
      <c r="D27" s="13">
        <v>450000</v>
      </c>
      <c r="E27" s="13">
        <f t="shared" si="0"/>
        <v>450000</v>
      </c>
      <c r="F27" s="19"/>
      <c r="G27" s="18"/>
      <c r="H27" s="3"/>
      <c r="I27" s="3"/>
      <c r="J27" s="3"/>
      <c r="K27" s="14"/>
      <c r="L27" s="11" t="s">
        <v>45</v>
      </c>
      <c r="M27" s="12">
        <v>8</v>
      </c>
      <c r="N27" s="13">
        <v>10000</v>
      </c>
      <c r="O27" s="13">
        <f t="shared" si="1"/>
        <v>80000</v>
      </c>
      <c r="P27" s="19"/>
    </row>
    <row r="28" s="2" customFormat="1" spans="1:16">
      <c r="A28" s="14"/>
      <c r="B28" s="11" t="s">
        <v>46</v>
      </c>
      <c r="C28" s="12">
        <v>1</v>
      </c>
      <c r="D28" s="13">
        <v>85000</v>
      </c>
      <c r="E28" s="13">
        <f t="shared" si="0"/>
        <v>85000</v>
      </c>
      <c r="F28" s="19"/>
      <c r="G28" s="18"/>
      <c r="H28" s="3"/>
      <c r="I28" s="3"/>
      <c r="J28" s="3"/>
      <c r="K28" s="14"/>
      <c r="L28" s="11" t="s">
        <v>47</v>
      </c>
      <c r="M28" s="12">
        <v>1</v>
      </c>
      <c r="N28" s="13">
        <v>50000</v>
      </c>
      <c r="O28" s="13">
        <f t="shared" si="1"/>
        <v>50000</v>
      </c>
      <c r="P28" s="19"/>
    </row>
    <row r="29" s="2" customFormat="1" spans="1:16">
      <c r="A29" s="14"/>
      <c r="B29" s="11" t="s">
        <v>48</v>
      </c>
      <c r="C29" s="12">
        <v>1</v>
      </c>
      <c r="D29" s="13">
        <v>320000</v>
      </c>
      <c r="E29" s="13">
        <f t="shared" si="0"/>
        <v>320000</v>
      </c>
      <c r="F29" s="19"/>
      <c r="G29" s="18"/>
      <c r="H29" s="3"/>
      <c r="I29" s="3"/>
      <c r="J29" s="3"/>
      <c r="K29" s="14"/>
      <c r="L29" s="11" t="s">
        <v>49</v>
      </c>
      <c r="M29" s="12">
        <v>1</v>
      </c>
      <c r="N29" s="13">
        <v>17000</v>
      </c>
      <c r="O29" s="13">
        <f t="shared" si="1"/>
        <v>17000</v>
      </c>
      <c r="P29" s="19"/>
    </row>
    <row r="30" s="2" customFormat="1" spans="1:16">
      <c r="A30" s="14"/>
      <c r="B30" s="11" t="s">
        <v>50</v>
      </c>
      <c r="C30" s="12">
        <v>1</v>
      </c>
      <c r="D30" s="13">
        <v>85000</v>
      </c>
      <c r="E30" s="13">
        <f t="shared" si="0"/>
        <v>85000</v>
      </c>
      <c r="F30" s="19"/>
      <c r="G30" s="18"/>
      <c r="H30" s="3"/>
      <c r="I30" s="3"/>
      <c r="J30" s="3"/>
      <c r="K30" s="14"/>
      <c r="L30" s="11" t="s">
        <v>19</v>
      </c>
      <c r="M30" s="12">
        <v>2</v>
      </c>
      <c r="N30" s="13">
        <v>61000</v>
      </c>
      <c r="O30" s="13">
        <f t="shared" si="1"/>
        <v>122000</v>
      </c>
      <c r="P30" s="19"/>
    </row>
    <row r="31" s="2" customFormat="1" spans="1:16">
      <c r="A31" s="14"/>
      <c r="B31" s="11" t="s">
        <v>39</v>
      </c>
      <c r="C31" s="12">
        <v>2</v>
      </c>
      <c r="D31" s="13">
        <v>35000</v>
      </c>
      <c r="E31" s="13">
        <f t="shared" si="0"/>
        <v>70000</v>
      </c>
      <c r="F31" s="19"/>
      <c r="G31" s="18"/>
      <c r="H31" s="3"/>
      <c r="I31" s="3"/>
      <c r="J31" s="3"/>
      <c r="K31" s="14"/>
      <c r="L31" s="11" t="s">
        <v>17</v>
      </c>
      <c r="M31" s="12">
        <v>2</v>
      </c>
      <c r="N31" s="13">
        <v>39000</v>
      </c>
      <c r="O31" s="13">
        <f t="shared" si="1"/>
        <v>78000</v>
      </c>
      <c r="P31" s="19"/>
    </row>
    <row r="32" s="2" customFormat="1" spans="1:16">
      <c r="A32" s="14"/>
      <c r="B32" s="11" t="s">
        <v>51</v>
      </c>
      <c r="C32" s="12">
        <v>0.3</v>
      </c>
      <c r="D32" s="13">
        <v>61000</v>
      </c>
      <c r="E32" s="13">
        <f t="shared" si="0"/>
        <v>18300</v>
      </c>
      <c r="F32" s="19"/>
      <c r="G32" s="18"/>
      <c r="H32" s="3"/>
      <c r="I32" s="3"/>
      <c r="J32" s="3"/>
      <c r="K32" s="14"/>
      <c r="L32" s="11" t="s">
        <v>52</v>
      </c>
      <c r="M32" s="12">
        <v>1</v>
      </c>
      <c r="N32" s="13">
        <v>120000</v>
      </c>
      <c r="O32" s="13">
        <f t="shared" si="1"/>
        <v>120000</v>
      </c>
      <c r="P32" s="19"/>
    </row>
    <row r="33" s="2" customFormat="1" spans="1:16">
      <c r="A33" s="14"/>
      <c r="B33" s="11" t="s">
        <v>53</v>
      </c>
      <c r="C33" s="12">
        <v>1</v>
      </c>
      <c r="D33" s="13">
        <v>65000</v>
      </c>
      <c r="E33" s="13">
        <f t="shared" si="0"/>
        <v>65000</v>
      </c>
      <c r="F33" s="19"/>
      <c r="G33" s="18"/>
      <c r="H33" s="3"/>
      <c r="I33" s="3"/>
      <c r="J33" s="3"/>
      <c r="K33" s="14"/>
      <c r="L33" s="11" t="s">
        <v>39</v>
      </c>
      <c r="M33" s="12">
        <v>4</v>
      </c>
      <c r="N33" s="13">
        <v>35000</v>
      </c>
      <c r="O33" s="13">
        <f t="shared" si="1"/>
        <v>140000</v>
      </c>
      <c r="P33" s="19"/>
    </row>
    <row r="34" s="2" customFormat="1" spans="1:16">
      <c r="A34" s="14"/>
      <c r="B34" s="11" t="s">
        <v>54</v>
      </c>
      <c r="C34" s="12">
        <v>0.05</v>
      </c>
      <c r="D34" s="13">
        <v>198000</v>
      </c>
      <c r="E34" s="13">
        <f t="shared" si="0"/>
        <v>9900</v>
      </c>
      <c r="F34" s="19"/>
      <c r="G34" s="18"/>
      <c r="H34" s="3"/>
      <c r="I34" s="3"/>
      <c r="J34" s="3"/>
      <c r="K34" s="15"/>
      <c r="L34" s="11" t="s">
        <v>55</v>
      </c>
      <c r="M34" s="12">
        <v>1</v>
      </c>
      <c r="N34" s="13">
        <v>55000</v>
      </c>
      <c r="O34" s="13">
        <f t="shared" si="1"/>
        <v>55000</v>
      </c>
      <c r="P34" s="25"/>
    </row>
    <row r="35" s="2" customFormat="1" ht="13" customHeight="1" spans="1:16">
      <c r="A35" s="14"/>
      <c r="B35" s="11" t="s">
        <v>56</v>
      </c>
      <c r="C35" s="12">
        <v>1.5</v>
      </c>
      <c r="D35" s="13">
        <v>17000</v>
      </c>
      <c r="E35" s="13">
        <f t="shared" si="0"/>
        <v>25500</v>
      </c>
      <c r="F35" s="19"/>
      <c r="G35" s="18"/>
      <c r="H35" s="3"/>
      <c r="I35" s="3"/>
      <c r="J35" s="3"/>
      <c r="K35" s="29"/>
      <c r="L35" s="30"/>
      <c r="M35" s="12"/>
      <c r="N35" s="34"/>
      <c r="O35" s="34"/>
      <c r="P35" s="35">
        <f>SUM(P16:P34)</f>
        <v>1800100</v>
      </c>
    </row>
    <row r="36" s="2" customFormat="1" spans="1:7">
      <c r="A36" s="15"/>
      <c r="B36" s="11" t="s">
        <v>57</v>
      </c>
      <c r="C36" s="12">
        <v>0.5</v>
      </c>
      <c r="D36" s="13">
        <v>94000</v>
      </c>
      <c r="E36" s="13">
        <f t="shared" si="0"/>
        <v>47000</v>
      </c>
      <c r="F36" s="25"/>
      <c r="G36" s="18"/>
    </row>
    <row r="37" s="2" customFormat="1" spans="1:7">
      <c r="A37" s="10">
        <v>45993</v>
      </c>
      <c r="B37" s="11" t="s">
        <v>16</v>
      </c>
      <c r="C37" s="12">
        <v>1</v>
      </c>
      <c r="D37" s="13">
        <v>39000</v>
      </c>
      <c r="E37" s="13">
        <f t="shared" si="0"/>
        <v>39000</v>
      </c>
      <c r="F37" s="17">
        <f>SUM(E37:E56)</f>
        <v>1499400</v>
      </c>
      <c r="G37" s="18"/>
    </row>
    <row r="38" s="2" customFormat="1" spans="1:7">
      <c r="A38" s="14"/>
      <c r="B38" s="11" t="s">
        <v>47</v>
      </c>
      <c r="C38" s="12">
        <v>1</v>
      </c>
      <c r="D38" s="13">
        <v>50000</v>
      </c>
      <c r="E38" s="13">
        <f t="shared" si="0"/>
        <v>50000</v>
      </c>
      <c r="F38" s="19"/>
      <c r="G38" s="18"/>
    </row>
    <row r="39" s="2" customFormat="1" spans="1:7">
      <c r="A39" s="14"/>
      <c r="B39" s="11" t="s">
        <v>58</v>
      </c>
      <c r="C39" s="12">
        <v>1</v>
      </c>
      <c r="D39" s="13">
        <v>83000</v>
      </c>
      <c r="E39" s="13">
        <f t="shared" si="0"/>
        <v>83000</v>
      </c>
      <c r="F39" s="19"/>
      <c r="G39" s="18"/>
    </row>
    <row r="40" s="2" customFormat="1" spans="1:7">
      <c r="A40" s="14"/>
      <c r="B40" s="11" t="s">
        <v>17</v>
      </c>
      <c r="C40" s="12">
        <v>1</v>
      </c>
      <c r="D40" s="13">
        <v>39000</v>
      </c>
      <c r="E40" s="13">
        <f t="shared" si="0"/>
        <v>39000</v>
      </c>
      <c r="F40" s="19"/>
      <c r="G40" s="18"/>
    </row>
    <row r="41" s="2" customFormat="1" spans="1:7">
      <c r="A41" s="14"/>
      <c r="B41" s="11" t="s">
        <v>59</v>
      </c>
      <c r="C41" s="12">
        <v>0.1</v>
      </c>
      <c r="D41" s="13">
        <v>88000</v>
      </c>
      <c r="E41" s="13">
        <f t="shared" si="0"/>
        <v>8800</v>
      </c>
      <c r="F41" s="19"/>
      <c r="G41" s="18"/>
    </row>
    <row r="42" s="2" customFormat="1" spans="1:7">
      <c r="A42" s="14"/>
      <c r="B42" s="11" t="s">
        <v>60</v>
      </c>
      <c r="C42" s="12">
        <v>0.1</v>
      </c>
      <c r="D42" s="13">
        <v>72000</v>
      </c>
      <c r="E42" s="13">
        <f t="shared" si="0"/>
        <v>7200</v>
      </c>
      <c r="F42" s="19"/>
      <c r="G42" s="18"/>
    </row>
    <row r="43" s="2" customFormat="1" spans="1:7">
      <c r="A43" s="14"/>
      <c r="B43" s="11" t="s">
        <v>61</v>
      </c>
      <c r="C43" s="12">
        <v>0.5</v>
      </c>
      <c r="D43" s="13">
        <v>50000</v>
      </c>
      <c r="E43" s="13">
        <f t="shared" si="0"/>
        <v>25000</v>
      </c>
      <c r="F43" s="19"/>
      <c r="G43" s="18"/>
    </row>
    <row r="44" s="2" customFormat="1" spans="1:7">
      <c r="A44" s="14"/>
      <c r="B44" s="11" t="s">
        <v>62</v>
      </c>
      <c r="C44" s="12">
        <v>0.4</v>
      </c>
      <c r="D44" s="13">
        <v>61000</v>
      </c>
      <c r="E44" s="13">
        <f t="shared" si="0"/>
        <v>24400</v>
      </c>
      <c r="F44" s="19"/>
      <c r="G44" s="18"/>
    </row>
    <row r="45" s="2" customFormat="1" spans="1:7">
      <c r="A45" s="14"/>
      <c r="B45" s="11" t="s">
        <v>63</v>
      </c>
      <c r="C45" s="12">
        <v>0.3</v>
      </c>
      <c r="D45" s="13">
        <v>120000</v>
      </c>
      <c r="E45" s="13">
        <f t="shared" si="0"/>
        <v>36000</v>
      </c>
      <c r="F45" s="19"/>
      <c r="G45" s="18"/>
    </row>
    <row r="46" s="2" customFormat="1" spans="1:7">
      <c r="A46" s="14"/>
      <c r="B46" s="11" t="s">
        <v>64</v>
      </c>
      <c r="C46" s="12">
        <v>30</v>
      </c>
      <c r="D46" s="13">
        <v>1000</v>
      </c>
      <c r="E46" s="13">
        <f t="shared" si="0"/>
        <v>30000</v>
      </c>
      <c r="F46" s="19"/>
      <c r="G46" s="18"/>
    </row>
    <row r="47" s="2" customFormat="1" spans="1:7">
      <c r="A47" s="14"/>
      <c r="B47" s="11" t="s">
        <v>65</v>
      </c>
      <c r="C47" s="12">
        <v>0.5</v>
      </c>
      <c r="D47" s="13">
        <v>70000</v>
      </c>
      <c r="E47" s="13">
        <f t="shared" si="0"/>
        <v>35000</v>
      </c>
      <c r="F47" s="19"/>
      <c r="G47" s="18"/>
    </row>
    <row r="48" s="2" customFormat="1" spans="1:7">
      <c r="A48" s="14"/>
      <c r="B48" s="11" t="s">
        <v>66</v>
      </c>
      <c r="C48" s="12">
        <v>1</v>
      </c>
      <c r="D48" s="13">
        <v>70000</v>
      </c>
      <c r="E48" s="13">
        <f t="shared" si="0"/>
        <v>70000</v>
      </c>
      <c r="F48" s="19"/>
      <c r="G48" s="18"/>
    </row>
    <row r="49" s="2" customFormat="1" spans="1:7">
      <c r="A49" s="14"/>
      <c r="B49" s="11" t="s">
        <v>67</v>
      </c>
      <c r="C49" s="12">
        <v>0.2</v>
      </c>
      <c r="D49" s="13">
        <v>85000</v>
      </c>
      <c r="E49" s="13">
        <f t="shared" si="0"/>
        <v>17000</v>
      </c>
      <c r="F49" s="19"/>
      <c r="G49" s="18"/>
    </row>
    <row r="50" s="2" customFormat="1" spans="1:7">
      <c r="A50" s="14"/>
      <c r="B50" s="11" t="s">
        <v>68</v>
      </c>
      <c r="C50" s="12">
        <v>3</v>
      </c>
      <c r="D50" s="13">
        <v>45000</v>
      </c>
      <c r="E50" s="13">
        <f t="shared" si="0"/>
        <v>135000</v>
      </c>
      <c r="F50" s="19"/>
      <c r="G50" s="18"/>
    </row>
    <row r="51" s="2" customFormat="1" spans="1:7">
      <c r="A51" s="14"/>
      <c r="B51" s="11" t="s">
        <v>69</v>
      </c>
      <c r="C51" s="12">
        <v>2</v>
      </c>
      <c r="D51" s="13">
        <v>25000</v>
      </c>
      <c r="E51" s="13">
        <f t="shared" si="0"/>
        <v>50000</v>
      </c>
      <c r="F51" s="19"/>
      <c r="G51" s="18"/>
    </row>
    <row r="52" s="2" customFormat="1" spans="1:7">
      <c r="A52" s="14"/>
      <c r="B52" s="11" t="s">
        <v>70</v>
      </c>
      <c r="C52" s="12">
        <v>1</v>
      </c>
      <c r="D52" s="13">
        <v>170000</v>
      </c>
      <c r="E52" s="13">
        <f t="shared" si="0"/>
        <v>170000</v>
      </c>
      <c r="F52" s="19"/>
      <c r="G52" s="18"/>
    </row>
    <row r="53" s="2" customFormat="1" spans="1:7">
      <c r="A53" s="14"/>
      <c r="B53" s="11" t="s">
        <v>71</v>
      </c>
      <c r="C53" s="12">
        <v>3</v>
      </c>
      <c r="D53" s="13">
        <v>20000</v>
      </c>
      <c r="E53" s="13">
        <f t="shared" si="0"/>
        <v>60000</v>
      </c>
      <c r="F53" s="19"/>
      <c r="G53" s="18"/>
    </row>
    <row r="54" s="2" customFormat="1" spans="1:7">
      <c r="A54" s="14"/>
      <c r="B54" s="11" t="s">
        <v>72</v>
      </c>
      <c r="C54" s="12">
        <v>1</v>
      </c>
      <c r="D54" s="13">
        <v>65000</v>
      </c>
      <c r="E54" s="13">
        <f t="shared" si="0"/>
        <v>65000</v>
      </c>
      <c r="F54" s="19"/>
      <c r="G54" s="18"/>
    </row>
    <row r="55" s="2" customFormat="1" spans="1:7">
      <c r="A55" s="14"/>
      <c r="B55" s="11" t="s">
        <v>73</v>
      </c>
      <c r="C55" s="12">
        <v>1</v>
      </c>
      <c r="D55" s="13">
        <v>480000</v>
      </c>
      <c r="E55" s="13">
        <f t="shared" si="0"/>
        <v>480000</v>
      </c>
      <c r="F55" s="19"/>
      <c r="G55" s="18"/>
    </row>
    <row r="56" s="2" customFormat="1" spans="1:7">
      <c r="A56" s="15"/>
      <c r="B56" s="11" t="s">
        <v>37</v>
      </c>
      <c r="C56" s="12">
        <v>5</v>
      </c>
      <c r="D56" s="13">
        <v>15000</v>
      </c>
      <c r="E56" s="13">
        <f t="shared" si="0"/>
        <v>75000</v>
      </c>
      <c r="F56" s="25"/>
      <c r="G56" s="18"/>
    </row>
    <row r="57" s="2" customFormat="1" spans="1:7">
      <c r="A57" s="10">
        <v>45994</v>
      </c>
      <c r="B57" s="11" t="s">
        <v>18</v>
      </c>
      <c r="C57" s="12">
        <v>0.5</v>
      </c>
      <c r="D57" s="13">
        <v>30000</v>
      </c>
      <c r="E57" s="13">
        <f t="shared" si="0"/>
        <v>15000</v>
      </c>
      <c r="F57" s="17">
        <f>SUM(E57:E78)</f>
        <v>1827450</v>
      </c>
      <c r="G57" s="18"/>
    </row>
    <row r="58" s="2" customFormat="1" spans="1:7">
      <c r="A58" s="14"/>
      <c r="B58" s="11" t="s">
        <v>16</v>
      </c>
      <c r="C58" s="12">
        <v>0.7</v>
      </c>
      <c r="D58" s="13">
        <v>39000</v>
      </c>
      <c r="E58" s="13">
        <f t="shared" si="0"/>
        <v>27300</v>
      </c>
      <c r="F58" s="19"/>
      <c r="G58" s="18"/>
    </row>
    <row r="59" s="2" customFormat="1" spans="1:7">
      <c r="A59" s="14"/>
      <c r="B59" s="11" t="s">
        <v>17</v>
      </c>
      <c r="C59" s="12">
        <v>1</v>
      </c>
      <c r="D59" s="13">
        <v>39000</v>
      </c>
      <c r="E59" s="13">
        <f t="shared" si="0"/>
        <v>39000</v>
      </c>
      <c r="F59" s="19"/>
      <c r="G59" s="18"/>
    </row>
    <row r="60" s="2" customFormat="1" spans="1:7">
      <c r="A60" s="14"/>
      <c r="B60" s="11" t="s">
        <v>45</v>
      </c>
      <c r="C60" s="12">
        <v>3</v>
      </c>
      <c r="D60" s="13">
        <v>10000</v>
      </c>
      <c r="E60" s="13">
        <f t="shared" si="0"/>
        <v>30000</v>
      </c>
      <c r="F60" s="19"/>
      <c r="G60" s="18"/>
    </row>
    <row r="61" s="2" customFormat="1" spans="1:7">
      <c r="A61" s="14"/>
      <c r="B61" s="11" t="s">
        <v>61</v>
      </c>
      <c r="C61" s="12">
        <v>0.3</v>
      </c>
      <c r="D61" s="13">
        <v>50000</v>
      </c>
      <c r="E61" s="13">
        <f t="shared" si="0"/>
        <v>15000</v>
      </c>
      <c r="F61" s="19"/>
      <c r="G61" s="18"/>
    </row>
    <row r="62" s="2" customFormat="1" spans="1:7">
      <c r="A62" s="14"/>
      <c r="B62" s="11" t="s">
        <v>62</v>
      </c>
      <c r="C62" s="12">
        <v>0.3</v>
      </c>
      <c r="D62" s="13">
        <v>61000</v>
      </c>
      <c r="E62" s="13">
        <f t="shared" si="0"/>
        <v>18300</v>
      </c>
      <c r="F62" s="19"/>
      <c r="G62" s="18"/>
    </row>
    <row r="63" s="2" customFormat="1" spans="1:7">
      <c r="A63" s="14"/>
      <c r="B63" s="11" t="s">
        <v>65</v>
      </c>
      <c r="C63" s="12">
        <v>0.5</v>
      </c>
      <c r="D63" s="13">
        <v>70000</v>
      </c>
      <c r="E63" s="13">
        <f t="shared" si="0"/>
        <v>35000</v>
      </c>
      <c r="F63" s="19"/>
      <c r="G63" s="18"/>
    </row>
    <row r="64" s="2" customFormat="1" spans="1:7">
      <c r="A64" s="14"/>
      <c r="B64" s="11" t="s">
        <v>21</v>
      </c>
      <c r="C64" s="12">
        <v>0.3</v>
      </c>
      <c r="D64" s="13">
        <v>28000</v>
      </c>
      <c r="E64" s="13">
        <f t="shared" si="0"/>
        <v>8400</v>
      </c>
      <c r="F64" s="19"/>
      <c r="G64" s="18"/>
    </row>
    <row r="65" s="2" customFormat="1" spans="1:7">
      <c r="A65" s="14"/>
      <c r="B65" s="11" t="s">
        <v>74</v>
      </c>
      <c r="C65" s="12">
        <v>0.3</v>
      </c>
      <c r="D65" s="13">
        <v>110000</v>
      </c>
      <c r="E65" s="13">
        <f t="shared" si="0"/>
        <v>33000</v>
      </c>
      <c r="F65" s="19"/>
      <c r="G65" s="18"/>
    </row>
    <row r="66" s="2" customFormat="1" spans="1:7">
      <c r="A66" s="14"/>
      <c r="B66" s="11" t="s">
        <v>63</v>
      </c>
      <c r="C66" s="12">
        <v>0.4</v>
      </c>
      <c r="D66" s="13">
        <v>120000</v>
      </c>
      <c r="E66" s="13">
        <f t="shared" si="0"/>
        <v>48000</v>
      </c>
      <c r="F66" s="19"/>
      <c r="G66" s="18"/>
    </row>
    <row r="67" s="2" customFormat="1" spans="1:7">
      <c r="A67" s="14"/>
      <c r="B67" s="11" t="s">
        <v>66</v>
      </c>
      <c r="C67" s="12">
        <v>0.5</v>
      </c>
      <c r="D67" s="13">
        <v>80000</v>
      </c>
      <c r="E67" s="13">
        <f t="shared" ref="E67:E130" si="2">D67*C67</f>
        <v>40000</v>
      </c>
      <c r="F67" s="19"/>
      <c r="G67" s="18"/>
    </row>
    <row r="68" s="2" customFormat="1" spans="1:7">
      <c r="A68" s="14"/>
      <c r="B68" s="11" t="s">
        <v>70</v>
      </c>
      <c r="C68" s="12">
        <v>2</v>
      </c>
      <c r="D68" s="13">
        <v>170000</v>
      </c>
      <c r="E68" s="13">
        <f t="shared" si="2"/>
        <v>340000</v>
      </c>
      <c r="F68" s="19"/>
      <c r="G68" s="18"/>
    </row>
    <row r="69" s="2" customFormat="1" spans="1:7">
      <c r="A69" s="14"/>
      <c r="B69" s="11" t="s">
        <v>26</v>
      </c>
      <c r="C69" s="12">
        <v>2</v>
      </c>
      <c r="D69" s="13">
        <v>66000</v>
      </c>
      <c r="E69" s="13">
        <f t="shared" si="2"/>
        <v>132000</v>
      </c>
      <c r="F69" s="19"/>
      <c r="G69" s="18"/>
    </row>
    <row r="70" s="2" customFormat="1" spans="1:7">
      <c r="A70" s="14"/>
      <c r="B70" s="11" t="s">
        <v>75</v>
      </c>
      <c r="C70" s="12">
        <v>1</v>
      </c>
      <c r="D70" s="13">
        <v>185000</v>
      </c>
      <c r="E70" s="13">
        <f t="shared" si="2"/>
        <v>185000</v>
      </c>
      <c r="F70" s="19"/>
      <c r="G70" s="18"/>
    </row>
    <row r="71" s="2" customFormat="1" spans="1:7">
      <c r="A71" s="14"/>
      <c r="B71" s="11" t="s">
        <v>76</v>
      </c>
      <c r="C71" s="12">
        <v>1</v>
      </c>
      <c r="D71" s="13">
        <v>220000</v>
      </c>
      <c r="E71" s="13">
        <f t="shared" si="2"/>
        <v>220000</v>
      </c>
      <c r="F71" s="19"/>
      <c r="G71" s="18"/>
    </row>
    <row r="72" s="2" customFormat="1" spans="1:7">
      <c r="A72" s="14"/>
      <c r="B72" s="11" t="s">
        <v>28</v>
      </c>
      <c r="C72" s="12">
        <v>5</v>
      </c>
      <c r="D72" s="13">
        <v>22000</v>
      </c>
      <c r="E72" s="13">
        <f t="shared" si="2"/>
        <v>110000</v>
      </c>
      <c r="F72" s="19"/>
      <c r="G72" s="18"/>
    </row>
    <row r="73" s="2" customFormat="1" spans="1:7">
      <c r="A73" s="14"/>
      <c r="B73" s="11" t="s">
        <v>77</v>
      </c>
      <c r="C73" s="12">
        <v>2</v>
      </c>
      <c r="D73" s="13">
        <v>35000</v>
      </c>
      <c r="E73" s="13">
        <f t="shared" si="2"/>
        <v>70000</v>
      </c>
      <c r="F73" s="19"/>
      <c r="G73" s="18"/>
    </row>
    <row r="74" s="2" customFormat="1" spans="1:7">
      <c r="A74" s="14"/>
      <c r="B74" s="11" t="s">
        <v>78</v>
      </c>
      <c r="C74" s="12">
        <v>2</v>
      </c>
      <c r="D74" s="13">
        <v>110000</v>
      </c>
      <c r="E74" s="13">
        <f t="shared" si="2"/>
        <v>220000</v>
      </c>
      <c r="F74" s="19"/>
      <c r="G74" s="18"/>
    </row>
    <row r="75" s="2" customFormat="1" spans="1:7">
      <c r="A75" s="14"/>
      <c r="B75" s="11" t="s">
        <v>79</v>
      </c>
      <c r="C75" s="12">
        <v>1</v>
      </c>
      <c r="D75" s="13">
        <v>175000</v>
      </c>
      <c r="E75" s="13">
        <f t="shared" si="2"/>
        <v>175000</v>
      </c>
      <c r="F75" s="19"/>
      <c r="G75" s="18"/>
    </row>
    <row r="76" s="2" customFormat="1" spans="1:7">
      <c r="A76" s="14"/>
      <c r="B76" s="11" t="s">
        <v>80</v>
      </c>
      <c r="C76" s="12">
        <v>1</v>
      </c>
      <c r="D76" s="13">
        <v>45000</v>
      </c>
      <c r="E76" s="13">
        <f t="shared" si="2"/>
        <v>45000</v>
      </c>
      <c r="F76" s="19"/>
      <c r="G76" s="18"/>
    </row>
    <row r="77" s="2" customFormat="1" spans="1:7">
      <c r="A77" s="14"/>
      <c r="B77" s="11" t="s">
        <v>81</v>
      </c>
      <c r="C77" s="12">
        <v>0.3</v>
      </c>
      <c r="D77" s="13">
        <v>55000</v>
      </c>
      <c r="E77" s="13">
        <f t="shared" si="2"/>
        <v>16500</v>
      </c>
      <c r="F77" s="19"/>
      <c r="G77" s="18"/>
    </row>
    <row r="78" s="2" customFormat="1" spans="1:7">
      <c r="A78" s="15"/>
      <c r="B78" s="11" t="s">
        <v>82</v>
      </c>
      <c r="C78" s="12">
        <v>0.15</v>
      </c>
      <c r="D78" s="13">
        <v>33000</v>
      </c>
      <c r="E78" s="13">
        <f t="shared" si="2"/>
        <v>4950</v>
      </c>
      <c r="F78" s="25"/>
      <c r="G78" s="18"/>
    </row>
    <row r="79" s="2" customFormat="1" spans="1:7">
      <c r="A79" s="10">
        <v>45994</v>
      </c>
      <c r="B79" s="11" t="s">
        <v>83</v>
      </c>
      <c r="C79" s="12">
        <v>0.1</v>
      </c>
      <c r="D79" s="13">
        <v>83000</v>
      </c>
      <c r="E79" s="13">
        <f t="shared" si="2"/>
        <v>8300</v>
      </c>
      <c r="F79" s="17">
        <f>SUM(E79:E86)</f>
        <v>346800</v>
      </c>
      <c r="G79" s="18"/>
    </row>
    <row r="80" s="2" customFormat="1" spans="1:7">
      <c r="A80" s="14"/>
      <c r="B80" s="11" t="s">
        <v>84</v>
      </c>
      <c r="C80" s="12">
        <v>0.05</v>
      </c>
      <c r="D80" s="13">
        <v>110000</v>
      </c>
      <c r="E80" s="13">
        <f t="shared" si="2"/>
        <v>5500</v>
      </c>
      <c r="F80" s="19"/>
      <c r="G80" s="18"/>
    </row>
    <row r="81" s="2" customFormat="1" spans="1:7">
      <c r="A81" s="14"/>
      <c r="B81" s="11" t="s">
        <v>85</v>
      </c>
      <c r="C81" s="12">
        <v>3</v>
      </c>
      <c r="D81" s="13">
        <v>30000</v>
      </c>
      <c r="E81" s="13">
        <f t="shared" si="2"/>
        <v>90000</v>
      </c>
      <c r="F81" s="19"/>
      <c r="G81" s="18"/>
    </row>
    <row r="82" s="2" customFormat="1" spans="1:7">
      <c r="A82" s="14"/>
      <c r="B82" s="11" t="s">
        <v>22</v>
      </c>
      <c r="C82" s="12">
        <v>1</v>
      </c>
      <c r="D82" s="13">
        <v>9000</v>
      </c>
      <c r="E82" s="13">
        <f t="shared" si="2"/>
        <v>9000</v>
      </c>
      <c r="F82" s="19"/>
      <c r="G82" s="18"/>
    </row>
    <row r="83" s="2" customFormat="1" spans="1:7">
      <c r="A83" s="14"/>
      <c r="B83" s="11" t="s">
        <v>33</v>
      </c>
      <c r="C83" s="12">
        <v>1</v>
      </c>
      <c r="D83" s="13">
        <v>17000</v>
      </c>
      <c r="E83" s="13">
        <f t="shared" si="2"/>
        <v>17000</v>
      </c>
      <c r="F83" s="19"/>
      <c r="G83" s="18"/>
    </row>
    <row r="84" s="2" customFormat="1" spans="1:7">
      <c r="A84" s="14"/>
      <c r="B84" s="11" t="s">
        <v>56</v>
      </c>
      <c r="C84" s="12">
        <v>1</v>
      </c>
      <c r="D84" s="13">
        <v>17000</v>
      </c>
      <c r="E84" s="13">
        <f t="shared" si="2"/>
        <v>17000</v>
      </c>
      <c r="F84" s="19"/>
      <c r="G84" s="18"/>
    </row>
    <row r="85" s="2" customFormat="1" spans="1:7">
      <c r="A85" s="14"/>
      <c r="B85" s="11" t="s">
        <v>86</v>
      </c>
      <c r="C85" s="12">
        <v>2</v>
      </c>
      <c r="D85" s="13">
        <v>75000</v>
      </c>
      <c r="E85" s="13">
        <f t="shared" si="2"/>
        <v>150000</v>
      </c>
      <c r="F85" s="19"/>
      <c r="G85" s="18"/>
    </row>
    <row r="86" s="2" customFormat="1" spans="1:7">
      <c r="A86" s="15"/>
      <c r="B86" s="11" t="s">
        <v>87</v>
      </c>
      <c r="C86" s="12">
        <v>2</v>
      </c>
      <c r="D86" s="13">
        <v>25000</v>
      </c>
      <c r="E86" s="13">
        <f t="shared" si="2"/>
        <v>50000</v>
      </c>
      <c r="F86" s="25"/>
      <c r="G86" s="18"/>
    </row>
    <row r="87" s="2" customFormat="1" spans="1:7">
      <c r="A87" s="29">
        <v>45994</v>
      </c>
      <c r="B87" s="11" t="s">
        <v>10</v>
      </c>
      <c r="C87" s="12">
        <v>5</v>
      </c>
      <c r="D87" s="13">
        <v>22000</v>
      </c>
      <c r="E87" s="13">
        <f t="shared" si="2"/>
        <v>110000</v>
      </c>
      <c r="F87" s="41">
        <f>SUM(E87)</f>
        <v>110000</v>
      </c>
      <c r="G87" s="18"/>
    </row>
    <row r="88" s="2" customFormat="1" spans="1:7">
      <c r="A88" s="36">
        <v>45995</v>
      </c>
      <c r="B88" s="37" t="s">
        <v>10</v>
      </c>
      <c r="C88" s="38">
        <v>2.5</v>
      </c>
      <c r="D88" s="39">
        <v>22000</v>
      </c>
      <c r="E88" s="39">
        <f t="shared" si="2"/>
        <v>55000</v>
      </c>
      <c r="F88" s="42">
        <f>SUM(E88:E109)</f>
        <v>1484850</v>
      </c>
      <c r="G88" s="18"/>
    </row>
    <row r="89" s="2" customFormat="1" spans="1:7">
      <c r="A89" s="36"/>
      <c r="B89" s="37" t="s">
        <v>32</v>
      </c>
      <c r="C89" s="38">
        <v>4</v>
      </c>
      <c r="D89" s="39">
        <v>39000</v>
      </c>
      <c r="E89" s="39">
        <f t="shared" si="2"/>
        <v>156000</v>
      </c>
      <c r="F89" s="42"/>
      <c r="G89" s="18"/>
    </row>
    <row r="90" s="2" customFormat="1" spans="1:7">
      <c r="A90" s="36"/>
      <c r="B90" s="37" t="s">
        <v>28</v>
      </c>
      <c r="C90" s="38">
        <v>5</v>
      </c>
      <c r="D90" s="39">
        <v>24000</v>
      </c>
      <c r="E90" s="39">
        <f t="shared" si="2"/>
        <v>120000</v>
      </c>
      <c r="F90" s="42"/>
      <c r="G90" s="18"/>
    </row>
    <row r="91" s="2" customFormat="1" spans="1:7">
      <c r="A91" s="36"/>
      <c r="B91" s="37" t="s">
        <v>26</v>
      </c>
      <c r="C91" s="38">
        <v>5</v>
      </c>
      <c r="D91" s="39">
        <v>66000</v>
      </c>
      <c r="E91" s="39">
        <f t="shared" si="2"/>
        <v>330000</v>
      </c>
      <c r="F91" s="42"/>
      <c r="G91" s="18"/>
    </row>
    <row r="92" s="2" customFormat="1" spans="1:7">
      <c r="A92" s="36"/>
      <c r="B92" s="37" t="s">
        <v>43</v>
      </c>
      <c r="C92" s="38">
        <v>3</v>
      </c>
      <c r="D92" s="39">
        <v>25000</v>
      </c>
      <c r="E92" s="39">
        <f t="shared" si="2"/>
        <v>75000</v>
      </c>
      <c r="F92" s="42"/>
      <c r="G92" s="18"/>
    </row>
    <row r="93" s="2" customFormat="1" spans="1:7">
      <c r="A93" s="36"/>
      <c r="B93" s="37" t="s">
        <v>88</v>
      </c>
      <c r="C93" s="38">
        <v>1</v>
      </c>
      <c r="D93" s="39">
        <v>220000</v>
      </c>
      <c r="E93" s="39">
        <f t="shared" si="2"/>
        <v>220000</v>
      </c>
      <c r="F93" s="42"/>
      <c r="G93" s="18"/>
    </row>
    <row r="94" s="2" customFormat="1" spans="1:11">
      <c r="A94" s="36"/>
      <c r="B94" s="37" t="s">
        <v>83</v>
      </c>
      <c r="C94" s="38">
        <v>0.05</v>
      </c>
      <c r="D94" s="39">
        <v>83000</v>
      </c>
      <c r="E94" s="39">
        <f t="shared" si="2"/>
        <v>4150</v>
      </c>
      <c r="F94" s="42"/>
      <c r="G94" s="18"/>
      <c r="H94" s="43"/>
      <c r="I94" s="43"/>
      <c r="J94" s="43"/>
      <c r="K94" s="43"/>
    </row>
    <row r="95" s="2" customFormat="1" spans="1:7">
      <c r="A95" s="36"/>
      <c r="B95" s="37" t="s">
        <v>35</v>
      </c>
      <c r="C95" s="38">
        <v>1</v>
      </c>
      <c r="D95" s="39">
        <v>31000</v>
      </c>
      <c r="E95" s="39">
        <f t="shared" si="2"/>
        <v>31000</v>
      </c>
      <c r="F95" s="42"/>
      <c r="G95" s="18"/>
    </row>
    <row r="96" s="2" customFormat="1" spans="1:7">
      <c r="A96" s="36"/>
      <c r="B96" s="37" t="s">
        <v>56</v>
      </c>
      <c r="C96" s="38">
        <v>1.5</v>
      </c>
      <c r="D96" s="39">
        <v>17000</v>
      </c>
      <c r="E96" s="39">
        <f t="shared" si="2"/>
        <v>25500</v>
      </c>
      <c r="F96" s="42"/>
      <c r="G96" s="18"/>
    </row>
    <row r="97" s="2" customFormat="1" spans="1:7">
      <c r="A97" s="36"/>
      <c r="B97" s="37" t="s">
        <v>24</v>
      </c>
      <c r="C97" s="38">
        <v>2</v>
      </c>
      <c r="D97" s="39">
        <v>28000</v>
      </c>
      <c r="E97" s="39">
        <f t="shared" si="2"/>
        <v>56000</v>
      </c>
      <c r="F97" s="42"/>
      <c r="G97" s="18"/>
    </row>
    <row r="98" s="2" customFormat="1" spans="1:7">
      <c r="A98" s="36"/>
      <c r="B98" s="37" t="s">
        <v>89</v>
      </c>
      <c r="C98" s="38">
        <v>0.5</v>
      </c>
      <c r="D98" s="39">
        <v>72000</v>
      </c>
      <c r="E98" s="39">
        <f t="shared" si="2"/>
        <v>36000</v>
      </c>
      <c r="F98" s="42"/>
      <c r="G98" s="18"/>
    </row>
    <row r="99" s="2" customFormat="1" spans="1:7">
      <c r="A99" s="36"/>
      <c r="B99" s="37" t="s">
        <v>15</v>
      </c>
      <c r="C99" s="38">
        <v>1</v>
      </c>
      <c r="D99" s="39">
        <v>60000</v>
      </c>
      <c r="E99" s="39">
        <f t="shared" si="2"/>
        <v>60000</v>
      </c>
      <c r="F99" s="42"/>
      <c r="G99" s="18"/>
    </row>
    <row r="100" s="2" customFormat="1" spans="1:7">
      <c r="A100" s="36"/>
      <c r="B100" s="37" t="s">
        <v>17</v>
      </c>
      <c r="C100" s="38">
        <v>1</v>
      </c>
      <c r="D100" s="39">
        <v>39000</v>
      </c>
      <c r="E100" s="39">
        <f t="shared" si="2"/>
        <v>39000</v>
      </c>
      <c r="F100" s="42"/>
      <c r="G100" s="18"/>
    </row>
    <row r="101" s="2" customFormat="1" spans="1:7">
      <c r="A101" s="36"/>
      <c r="B101" s="37" t="s">
        <v>16</v>
      </c>
      <c r="C101" s="38">
        <v>1</v>
      </c>
      <c r="D101" s="39">
        <v>39000</v>
      </c>
      <c r="E101" s="39">
        <f t="shared" si="2"/>
        <v>39000</v>
      </c>
      <c r="F101" s="42"/>
      <c r="G101" s="18"/>
    </row>
    <row r="102" s="2" customFormat="1" spans="1:7">
      <c r="A102" s="36"/>
      <c r="B102" s="37" t="s">
        <v>59</v>
      </c>
      <c r="C102" s="38">
        <v>0.1</v>
      </c>
      <c r="D102" s="39">
        <v>88000</v>
      </c>
      <c r="E102" s="39">
        <f t="shared" si="2"/>
        <v>8800</v>
      </c>
      <c r="F102" s="42"/>
      <c r="G102" s="18"/>
    </row>
    <row r="103" s="2" customFormat="1" spans="1:7">
      <c r="A103" s="36"/>
      <c r="B103" s="37" t="s">
        <v>61</v>
      </c>
      <c r="C103" s="38">
        <v>0.4</v>
      </c>
      <c r="D103" s="39">
        <v>50000</v>
      </c>
      <c r="E103" s="39">
        <f t="shared" si="2"/>
        <v>20000</v>
      </c>
      <c r="F103" s="42"/>
      <c r="G103" s="18"/>
    </row>
    <row r="104" s="2" customFormat="1" spans="1:7">
      <c r="A104" s="36"/>
      <c r="B104" s="37" t="s">
        <v>62</v>
      </c>
      <c r="C104" s="38">
        <v>0.4</v>
      </c>
      <c r="D104" s="39">
        <v>61000</v>
      </c>
      <c r="E104" s="39">
        <f t="shared" si="2"/>
        <v>24400</v>
      </c>
      <c r="F104" s="42"/>
      <c r="G104" s="18"/>
    </row>
    <row r="105" s="2" customFormat="1" spans="1:7">
      <c r="A105" s="36"/>
      <c r="B105" s="37" t="s">
        <v>66</v>
      </c>
      <c r="C105" s="38">
        <v>0.5</v>
      </c>
      <c r="D105" s="39">
        <v>80000</v>
      </c>
      <c r="E105" s="39">
        <f t="shared" si="2"/>
        <v>40000</v>
      </c>
      <c r="F105" s="42"/>
      <c r="G105" s="18"/>
    </row>
    <row r="106" s="2" customFormat="1" spans="1:7">
      <c r="A106" s="36"/>
      <c r="B106" s="37" t="s">
        <v>23</v>
      </c>
      <c r="C106" s="38">
        <v>0.3</v>
      </c>
      <c r="D106" s="39">
        <v>70000</v>
      </c>
      <c r="E106" s="39">
        <f t="shared" si="2"/>
        <v>21000</v>
      </c>
      <c r="F106" s="42"/>
      <c r="G106" s="18"/>
    </row>
    <row r="107" s="2" customFormat="1" spans="1:7">
      <c r="A107" s="36"/>
      <c r="B107" s="37" t="s">
        <v>65</v>
      </c>
      <c r="C107" s="38">
        <v>1</v>
      </c>
      <c r="D107" s="39">
        <v>70000</v>
      </c>
      <c r="E107" s="39">
        <f t="shared" si="2"/>
        <v>70000</v>
      </c>
      <c r="F107" s="42"/>
      <c r="G107" s="18"/>
    </row>
    <row r="108" s="2" customFormat="1" spans="1:7">
      <c r="A108" s="36"/>
      <c r="B108" s="37" t="s">
        <v>52</v>
      </c>
      <c r="C108" s="38">
        <v>0.2</v>
      </c>
      <c r="D108" s="39">
        <v>120000</v>
      </c>
      <c r="E108" s="39">
        <f t="shared" si="2"/>
        <v>24000</v>
      </c>
      <c r="F108" s="42"/>
      <c r="G108" s="18"/>
    </row>
    <row r="109" s="2" customFormat="1" spans="1:7">
      <c r="A109" s="40"/>
      <c r="B109" s="37" t="s">
        <v>64</v>
      </c>
      <c r="C109" s="38">
        <v>30</v>
      </c>
      <c r="D109" s="39">
        <v>1000</v>
      </c>
      <c r="E109" s="39">
        <f t="shared" si="2"/>
        <v>30000</v>
      </c>
      <c r="F109" s="44"/>
      <c r="G109" s="18"/>
    </row>
    <row r="110" s="2" customFormat="1" spans="1:7">
      <c r="A110" s="10">
        <v>45996</v>
      </c>
      <c r="B110" s="11" t="s">
        <v>28</v>
      </c>
      <c r="C110" s="12">
        <v>5</v>
      </c>
      <c r="D110" s="13">
        <v>24000</v>
      </c>
      <c r="E110" s="39">
        <f t="shared" si="2"/>
        <v>120000</v>
      </c>
      <c r="F110" s="17">
        <f>SUM(E110:E131)</f>
        <v>1010650</v>
      </c>
      <c r="G110" s="18"/>
    </row>
    <row r="111" s="2" customFormat="1" spans="1:7">
      <c r="A111" s="14"/>
      <c r="B111" s="11" t="s">
        <v>37</v>
      </c>
      <c r="C111" s="12">
        <v>11.1</v>
      </c>
      <c r="D111" s="13">
        <v>15000</v>
      </c>
      <c r="E111" s="39">
        <f t="shared" si="2"/>
        <v>166500</v>
      </c>
      <c r="F111" s="19"/>
      <c r="G111" s="18"/>
    </row>
    <row r="112" s="2" customFormat="1" spans="1:7">
      <c r="A112" s="14"/>
      <c r="B112" s="11" t="s">
        <v>45</v>
      </c>
      <c r="C112" s="12">
        <v>4</v>
      </c>
      <c r="D112" s="13">
        <v>10000</v>
      </c>
      <c r="E112" s="39">
        <f t="shared" si="2"/>
        <v>40000</v>
      </c>
      <c r="F112" s="19"/>
      <c r="G112" s="18"/>
    </row>
    <row r="113" s="2" customFormat="1" spans="1:7">
      <c r="A113" s="14"/>
      <c r="B113" s="11" t="s">
        <v>16</v>
      </c>
      <c r="C113" s="12">
        <v>1</v>
      </c>
      <c r="D113" s="13">
        <v>39000</v>
      </c>
      <c r="E113" s="39">
        <f t="shared" si="2"/>
        <v>39000</v>
      </c>
      <c r="F113" s="19"/>
      <c r="G113" s="18"/>
    </row>
    <row r="114" s="2" customFormat="1" spans="1:7">
      <c r="A114" s="14"/>
      <c r="B114" s="11" t="s">
        <v>17</v>
      </c>
      <c r="C114" s="12">
        <v>1</v>
      </c>
      <c r="D114" s="13">
        <v>39000</v>
      </c>
      <c r="E114" s="39">
        <f t="shared" si="2"/>
        <v>39000</v>
      </c>
      <c r="F114" s="19"/>
      <c r="G114" s="18"/>
    </row>
    <row r="115" s="2" customFormat="1" spans="1:7">
      <c r="A115" s="14"/>
      <c r="B115" s="11" t="s">
        <v>15</v>
      </c>
      <c r="C115" s="12">
        <v>1</v>
      </c>
      <c r="D115" s="13">
        <v>60000</v>
      </c>
      <c r="E115" s="39">
        <f t="shared" si="2"/>
        <v>60000</v>
      </c>
      <c r="F115" s="19"/>
      <c r="G115" s="18"/>
    </row>
    <row r="116" s="2" customFormat="1" spans="1:7">
      <c r="A116" s="14"/>
      <c r="B116" s="11" t="s">
        <v>18</v>
      </c>
      <c r="C116" s="12">
        <v>0.5</v>
      </c>
      <c r="D116" s="13">
        <v>35000</v>
      </c>
      <c r="E116" s="39">
        <f t="shared" si="2"/>
        <v>17500</v>
      </c>
      <c r="F116" s="19"/>
      <c r="G116" s="18"/>
    </row>
    <row r="117" s="2" customFormat="1" spans="1:7">
      <c r="A117" s="14"/>
      <c r="B117" s="11" t="s">
        <v>90</v>
      </c>
      <c r="C117" s="12">
        <v>3</v>
      </c>
      <c r="D117" s="13">
        <v>55000</v>
      </c>
      <c r="E117" s="39">
        <f t="shared" si="2"/>
        <v>165000</v>
      </c>
      <c r="F117" s="19"/>
      <c r="G117" s="18"/>
    </row>
    <row r="118" s="2" customFormat="1" spans="1:7">
      <c r="A118" s="14"/>
      <c r="B118" s="11" t="s">
        <v>10</v>
      </c>
      <c r="C118" s="12">
        <v>3.8</v>
      </c>
      <c r="D118" s="13">
        <v>22000</v>
      </c>
      <c r="E118" s="39">
        <f t="shared" si="2"/>
        <v>83600</v>
      </c>
      <c r="F118" s="19"/>
      <c r="G118" s="18"/>
    </row>
    <row r="119" s="2" customFormat="1" spans="1:7">
      <c r="A119" s="14"/>
      <c r="B119" s="11" t="s">
        <v>91</v>
      </c>
      <c r="C119" s="12">
        <v>0.06</v>
      </c>
      <c r="D119" s="13">
        <v>300000</v>
      </c>
      <c r="E119" s="39">
        <f t="shared" si="2"/>
        <v>18000</v>
      </c>
      <c r="F119" s="19"/>
      <c r="G119" s="18"/>
    </row>
    <row r="120" s="2" customFormat="1" spans="1:7">
      <c r="A120" s="14"/>
      <c r="B120" s="11" t="s">
        <v>92</v>
      </c>
      <c r="C120" s="12">
        <v>0.2</v>
      </c>
      <c r="D120" s="13">
        <v>55000</v>
      </c>
      <c r="E120" s="39">
        <f t="shared" si="2"/>
        <v>11000</v>
      </c>
      <c r="F120" s="19"/>
      <c r="G120" s="18"/>
    </row>
    <row r="121" s="2" customFormat="1" spans="1:7">
      <c r="A121" s="14"/>
      <c r="B121" s="11" t="s">
        <v>51</v>
      </c>
      <c r="C121" s="12">
        <v>0.2</v>
      </c>
      <c r="D121" s="13">
        <v>61000</v>
      </c>
      <c r="E121" s="39">
        <f t="shared" si="2"/>
        <v>12200</v>
      </c>
      <c r="F121" s="19"/>
      <c r="G121" s="18"/>
    </row>
    <row r="122" s="2" customFormat="1" spans="1:7">
      <c r="A122" s="14"/>
      <c r="B122" s="11" t="s">
        <v>83</v>
      </c>
      <c r="C122" s="12">
        <v>0.05</v>
      </c>
      <c r="D122" s="13">
        <v>83000</v>
      </c>
      <c r="E122" s="39">
        <f t="shared" si="2"/>
        <v>4150</v>
      </c>
      <c r="F122" s="19"/>
      <c r="G122" s="18"/>
    </row>
    <row r="123" s="2" customFormat="1" spans="1:7">
      <c r="A123" s="14"/>
      <c r="B123" s="11" t="s">
        <v>84</v>
      </c>
      <c r="C123" s="12">
        <v>0.07</v>
      </c>
      <c r="D123" s="13">
        <v>110000</v>
      </c>
      <c r="E123" s="39">
        <f t="shared" si="2"/>
        <v>7700</v>
      </c>
      <c r="F123" s="19"/>
      <c r="G123" s="18"/>
    </row>
    <row r="124" s="2" customFormat="1" spans="1:7">
      <c r="A124" s="14"/>
      <c r="B124" s="11" t="s">
        <v>93</v>
      </c>
      <c r="C124" s="12">
        <v>1</v>
      </c>
      <c r="D124" s="13">
        <v>50000</v>
      </c>
      <c r="E124" s="39">
        <f t="shared" si="2"/>
        <v>50000</v>
      </c>
      <c r="F124" s="19"/>
      <c r="G124" s="18"/>
    </row>
    <row r="125" s="2" customFormat="1" spans="1:7">
      <c r="A125" s="14"/>
      <c r="B125" s="11" t="s">
        <v>22</v>
      </c>
      <c r="C125" s="12">
        <v>1</v>
      </c>
      <c r="D125" s="13">
        <v>9000</v>
      </c>
      <c r="E125" s="39">
        <f t="shared" si="2"/>
        <v>9000</v>
      </c>
      <c r="F125" s="19"/>
      <c r="G125" s="18"/>
    </row>
    <row r="126" s="2" customFormat="1" spans="1:7">
      <c r="A126" s="14"/>
      <c r="B126" s="11" t="s">
        <v>33</v>
      </c>
      <c r="C126" s="12">
        <v>1</v>
      </c>
      <c r="D126" s="13">
        <v>17000</v>
      </c>
      <c r="E126" s="39">
        <f t="shared" si="2"/>
        <v>17000</v>
      </c>
      <c r="F126" s="19"/>
      <c r="G126" s="18"/>
    </row>
    <row r="127" s="2" customFormat="1" spans="1:7">
      <c r="A127" s="14"/>
      <c r="B127" s="11" t="s">
        <v>56</v>
      </c>
      <c r="C127" s="12">
        <v>1.5</v>
      </c>
      <c r="D127" s="13">
        <v>17000</v>
      </c>
      <c r="E127" s="39">
        <f t="shared" si="2"/>
        <v>25500</v>
      </c>
      <c r="F127" s="19"/>
      <c r="G127" s="18"/>
    </row>
    <row r="128" s="2" customFormat="1" spans="1:7">
      <c r="A128" s="14"/>
      <c r="B128" s="11" t="s">
        <v>9</v>
      </c>
      <c r="C128" s="12">
        <v>0.5</v>
      </c>
      <c r="D128" s="13">
        <v>83000</v>
      </c>
      <c r="E128" s="39">
        <f t="shared" si="2"/>
        <v>41500</v>
      </c>
      <c r="F128" s="19"/>
      <c r="G128" s="18"/>
    </row>
    <row r="129" s="2" customFormat="1" spans="1:7">
      <c r="A129" s="14"/>
      <c r="B129" s="11" t="s">
        <v>89</v>
      </c>
      <c r="C129" s="12">
        <v>0.5</v>
      </c>
      <c r="D129" s="13">
        <v>72000</v>
      </c>
      <c r="E129" s="39">
        <f t="shared" si="2"/>
        <v>36000</v>
      </c>
      <c r="F129" s="19"/>
      <c r="G129" s="18"/>
    </row>
    <row r="130" s="2" customFormat="1" spans="1:7">
      <c r="A130" s="14"/>
      <c r="B130" s="11" t="s">
        <v>24</v>
      </c>
      <c r="C130" s="12">
        <v>1</v>
      </c>
      <c r="D130" s="13">
        <v>28000</v>
      </c>
      <c r="E130" s="39">
        <f t="shared" si="2"/>
        <v>28000</v>
      </c>
      <c r="F130" s="19"/>
      <c r="G130" s="18"/>
    </row>
    <row r="131" s="2" customFormat="1" spans="1:7">
      <c r="A131" s="15"/>
      <c r="B131" s="11" t="s">
        <v>61</v>
      </c>
      <c r="C131" s="12">
        <v>0.4</v>
      </c>
      <c r="D131" s="13">
        <v>50000</v>
      </c>
      <c r="E131" s="39">
        <f t="shared" ref="E131:E194" si="3">D131*C131</f>
        <v>20000</v>
      </c>
      <c r="F131" s="25"/>
      <c r="G131" s="18"/>
    </row>
    <row r="132" s="2" customFormat="1" spans="1:7">
      <c r="A132" s="10">
        <v>45996</v>
      </c>
      <c r="B132" s="11" t="s">
        <v>62</v>
      </c>
      <c r="C132" s="12">
        <v>0.4</v>
      </c>
      <c r="D132" s="13">
        <v>61000</v>
      </c>
      <c r="E132" s="39">
        <f t="shared" si="3"/>
        <v>24400</v>
      </c>
      <c r="F132" s="17">
        <f>SUM(E132:E139)</f>
        <v>244750</v>
      </c>
      <c r="G132" s="18"/>
    </row>
    <row r="133" s="2" customFormat="1" spans="1:7">
      <c r="A133" s="14"/>
      <c r="B133" s="11" t="s">
        <v>21</v>
      </c>
      <c r="C133" s="12">
        <v>0.2</v>
      </c>
      <c r="D133" s="13">
        <v>28000</v>
      </c>
      <c r="E133" s="39">
        <f t="shared" si="3"/>
        <v>5600</v>
      </c>
      <c r="F133" s="19"/>
      <c r="G133" s="18"/>
    </row>
    <row r="134" s="2" customFormat="1" spans="1:7">
      <c r="A134" s="14"/>
      <c r="B134" s="11" t="s">
        <v>52</v>
      </c>
      <c r="C134" s="12">
        <v>0.2</v>
      </c>
      <c r="D134" s="13">
        <v>120000</v>
      </c>
      <c r="E134" s="39">
        <f t="shared" si="3"/>
        <v>24000</v>
      </c>
      <c r="F134" s="19"/>
      <c r="G134" s="18"/>
    </row>
    <row r="135" s="2" customFormat="1" spans="1:7">
      <c r="A135" s="14"/>
      <c r="B135" s="11" t="s">
        <v>65</v>
      </c>
      <c r="C135" s="12">
        <v>1</v>
      </c>
      <c r="D135" s="13">
        <v>70000</v>
      </c>
      <c r="E135" s="39">
        <f t="shared" si="3"/>
        <v>70000</v>
      </c>
      <c r="F135" s="19"/>
      <c r="G135" s="18"/>
    </row>
    <row r="136" s="2" customFormat="1" spans="1:7">
      <c r="A136" s="14"/>
      <c r="B136" s="11" t="s">
        <v>23</v>
      </c>
      <c r="C136" s="12">
        <v>0.3</v>
      </c>
      <c r="D136" s="13">
        <v>70000</v>
      </c>
      <c r="E136" s="39">
        <f t="shared" si="3"/>
        <v>21000</v>
      </c>
      <c r="F136" s="19"/>
      <c r="G136" s="18"/>
    </row>
    <row r="137" s="2" customFormat="1" spans="1:7">
      <c r="A137" s="14"/>
      <c r="B137" s="11" t="s">
        <v>66</v>
      </c>
      <c r="C137" s="12">
        <v>0.5</v>
      </c>
      <c r="D137" s="13">
        <v>80000</v>
      </c>
      <c r="E137" s="39">
        <f t="shared" si="3"/>
        <v>40000</v>
      </c>
      <c r="F137" s="19"/>
      <c r="G137" s="18"/>
    </row>
    <row r="138" s="2" customFormat="1" spans="1:7">
      <c r="A138" s="14"/>
      <c r="B138" s="11" t="s">
        <v>64</v>
      </c>
      <c r="C138" s="12">
        <v>30</v>
      </c>
      <c r="D138" s="13">
        <v>1000</v>
      </c>
      <c r="E138" s="39">
        <f t="shared" si="3"/>
        <v>30000</v>
      </c>
      <c r="F138" s="19"/>
      <c r="G138" s="18"/>
    </row>
    <row r="139" s="2" customFormat="1" spans="1:7">
      <c r="A139" s="15"/>
      <c r="B139" s="11" t="s">
        <v>67</v>
      </c>
      <c r="C139" s="12">
        <v>0.35</v>
      </c>
      <c r="D139" s="13">
        <v>85000</v>
      </c>
      <c r="E139" s="39">
        <f t="shared" si="3"/>
        <v>29750</v>
      </c>
      <c r="F139" s="25"/>
      <c r="G139" s="18"/>
    </row>
    <row r="140" s="2" customFormat="1" spans="1:7">
      <c r="A140" s="10">
        <v>45997</v>
      </c>
      <c r="B140" s="11" t="s">
        <v>56</v>
      </c>
      <c r="C140" s="12">
        <v>3</v>
      </c>
      <c r="D140" s="13">
        <v>17000</v>
      </c>
      <c r="E140" s="39">
        <f t="shared" si="3"/>
        <v>51000</v>
      </c>
      <c r="F140" s="17">
        <f>SUM(E140:E155)</f>
        <v>752650</v>
      </c>
      <c r="G140" s="18"/>
    </row>
    <row r="141" s="2" customFormat="1" spans="1:7">
      <c r="A141" s="14"/>
      <c r="B141" s="11" t="s">
        <v>83</v>
      </c>
      <c r="C141" s="12">
        <v>0.05</v>
      </c>
      <c r="D141" s="13">
        <v>83000</v>
      </c>
      <c r="E141" s="39">
        <f t="shared" si="3"/>
        <v>4150</v>
      </c>
      <c r="F141" s="19"/>
      <c r="G141" s="18"/>
    </row>
    <row r="142" s="2" customFormat="1" spans="1:7">
      <c r="A142" s="14"/>
      <c r="B142" s="11" t="s">
        <v>94</v>
      </c>
      <c r="C142" s="12">
        <v>0.1</v>
      </c>
      <c r="D142" s="13">
        <v>72000</v>
      </c>
      <c r="E142" s="39">
        <f t="shared" si="3"/>
        <v>7200</v>
      </c>
      <c r="F142" s="19"/>
      <c r="G142" s="18"/>
    </row>
    <row r="143" s="2" customFormat="1" spans="1:7">
      <c r="A143" s="14"/>
      <c r="B143" s="11" t="s">
        <v>26</v>
      </c>
      <c r="C143" s="12">
        <v>3</v>
      </c>
      <c r="D143" s="13">
        <v>66000</v>
      </c>
      <c r="E143" s="39">
        <f t="shared" si="3"/>
        <v>198000</v>
      </c>
      <c r="F143" s="19"/>
      <c r="G143" s="18"/>
    </row>
    <row r="144" s="2" customFormat="1" spans="1:7">
      <c r="A144" s="14"/>
      <c r="B144" s="11" t="s">
        <v>30</v>
      </c>
      <c r="C144" s="12">
        <v>2</v>
      </c>
      <c r="D144" s="13">
        <v>25000</v>
      </c>
      <c r="E144" s="39">
        <f t="shared" si="3"/>
        <v>50000</v>
      </c>
      <c r="F144" s="19"/>
      <c r="G144" s="18"/>
    </row>
    <row r="145" s="2" customFormat="1" spans="1:7">
      <c r="A145" s="14"/>
      <c r="B145" s="11" t="s">
        <v>69</v>
      </c>
      <c r="C145" s="12">
        <v>2</v>
      </c>
      <c r="D145" s="13">
        <v>25000</v>
      </c>
      <c r="E145" s="39">
        <f t="shared" si="3"/>
        <v>50000</v>
      </c>
      <c r="F145" s="19"/>
      <c r="G145" s="18"/>
    </row>
    <row r="146" s="2" customFormat="1" spans="1:7">
      <c r="A146" s="14"/>
      <c r="B146" s="11" t="s">
        <v>95</v>
      </c>
      <c r="C146" s="12">
        <v>1</v>
      </c>
      <c r="D146" s="13">
        <v>25000</v>
      </c>
      <c r="E146" s="39">
        <f t="shared" si="3"/>
        <v>25000</v>
      </c>
      <c r="F146" s="19"/>
      <c r="G146" s="18"/>
    </row>
    <row r="147" s="2" customFormat="1" spans="1:7">
      <c r="A147" s="14"/>
      <c r="B147" s="11" t="s">
        <v>96</v>
      </c>
      <c r="C147" s="12">
        <v>1</v>
      </c>
      <c r="D147" s="13">
        <v>30000</v>
      </c>
      <c r="E147" s="39">
        <f t="shared" si="3"/>
        <v>30000</v>
      </c>
      <c r="F147" s="19"/>
      <c r="G147" s="18"/>
    </row>
    <row r="148" s="2" customFormat="1" spans="1:7">
      <c r="A148" s="14"/>
      <c r="B148" s="11" t="s">
        <v>61</v>
      </c>
      <c r="C148" s="12">
        <v>0.5</v>
      </c>
      <c r="D148" s="13">
        <v>50000</v>
      </c>
      <c r="E148" s="39">
        <f t="shared" si="3"/>
        <v>25000</v>
      </c>
      <c r="F148" s="19"/>
      <c r="G148" s="18"/>
    </row>
    <row r="149" s="2" customFormat="1" spans="1:7">
      <c r="A149" s="14"/>
      <c r="B149" s="11" t="s">
        <v>62</v>
      </c>
      <c r="C149" s="12">
        <v>0.3</v>
      </c>
      <c r="D149" s="13">
        <v>61000</v>
      </c>
      <c r="E149" s="39">
        <f t="shared" si="3"/>
        <v>18300</v>
      </c>
      <c r="F149" s="19"/>
      <c r="G149" s="18"/>
    </row>
    <row r="150" s="2" customFormat="1" spans="1:7">
      <c r="A150" s="14"/>
      <c r="B150" s="11" t="s">
        <v>66</v>
      </c>
      <c r="C150" s="12">
        <v>0.5</v>
      </c>
      <c r="D150" s="13">
        <v>80000</v>
      </c>
      <c r="E150" s="39">
        <f t="shared" si="3"/>
        <v>40000</v>
      </c>
      <c r="F150" s="19"/>
      <c r="G150" s="18"/>
    </row>
    <row r="151" s="2" customFormat="1" spans="1:7">
      <c r="A151" s="14"/>
      <c r="B151" s="11" t="s">
        <v>52</v>
      </c>
      <c r="C151" s="12">
        <v>0.2</v>
      </c>
      <c r="D151" s="13">
        <v>120000</v>
      </c>
      <c r="E151" s="39">
        <f t="shared" si="3"/>
        <v>24000</v>
      </c>
      <c r="F151" s="19"/>
      <c r="G151" s="18"/>
    </row>
    <row r="152" s="2" customFormat="1" spans="1:7">
      <c r="A152" s="14"/>
      <c r="B152" s="11" t="s">
        <v>47</v>
      </c>
      <c r="C152" s="12">
        <v>1</v>
      </c>
      <c r="D152" s="13">
        <v>50000</v>
      </c>
      <c r="E152" s="39">
        <f t="shared" si="3"/>
        <v>50000</v>
      </c>
      <c r="F152" s="19"/>
      <c r="G152" s="18"/>
    </row>
    <row r="153" s="2" customFormat="1" spans="1:7">
      <c r="A153" s="14"/>
      <c r="B153" s="11" t="s">
        <v>19</v>
      </c>
      <c r="C153" s="12">
        <v>1</v>
      </c>
      <c r="D153" s="13">
        <v>61000</v>
      </c>
      <c r="E153" s="39">
        <f t="shared" si="3"/>
        <v>61000</v>
      </c>
      <c r="F153" s="19"/>
      <c r="G153" s="18"/>
    </row>
    <row r="154" s="2" customFormat="1" spans="1:7">
      <c r="A154" s="14"/>
      <c r="B154" s="11" t="s">
        <v>20</v>
      </c>
      <c r="C154" s="12">
        <v>1</v>
      </c>
      <c r="D154" s="13">
        <v>39000</v>
      </c>
      <c r="E154" s="39">
        <f t="shared" si="3"/>
        <v>39000</v>
      </c>
      <c r="F154" s="19"/>
      <c r="G154" s="18"/>
    </row>
    <row r="155" s="2" customFormat="1" spans="1:7">
      <c r="A155" s="15"/>
      <c r="B155" s="11" t="s">
        <v>97</v>
      </c>
      <c r="C155" s="12">
        <v>4</v>
      </c>
      <c r="D155" s="13">
        <v>20000</v>
      </c>
      <c r="E155" s="39">
        <f t="shared" si="3"/>
        <v>80000</v>
      </c>
      <c r="F155" s="25"/>
      <c r="G155" s="18"/>
    </row>
    <row r="156" s="2" customFormat="1" spans="1:7">
      <c r="A156" s="10">
        <v>45998</v>
      </c>
      <c r="B156" s="11" t="s">
        <v>10</v>
      </c>
      <c r="C156" s="12">
        <v>2</v>
      </c>
      <c r="D156" s="13">
        <v>22000</v>
      </c>
      <c r="E156" s="39">
        <f t="shared" si="3"/>
        <v>44000</v>
      </c>
      <c r="F156" s="17">
        <f>SUM(E156:E177)</f>
        <v>994800</v>
      </c>
      <c r="G156" s="18"/>
    </row>
    <row r="157" s="2" customFormat="1" spans="1:7">
      <c r="A157" s="14"/>
      <c r="B157" s="11" t="s">
        <v>26</v>
      </c>
      <c r="C157" s="12">
        <v>2</v>
      </c>
      <c r="D157" s="13">
        <v>66000</v>
      </c>
      <c r="E157" s="39">
        <f t="shared" si="3"/>
        <v>132000</v>
      </c>
      <c r="F157" s="19"/>
      <c r="G157" s="18"/>
    </row>
    <row r="158" s="2" customFormat="1" spans="1:7">
      <c r="A158" s="14"/>
      <c r="B158" s="11" t="s">
        <v>98</v>
      </c>
      <c r="C158" s="12">
        <v>1</v>
      </c>
      <c r="D158" s="13">
        <v>39000</v>
      </c>
      <c r="E158" s="39">
        <f t="shared" si="3"/>
        <v>39000</v>
      </c>
      <c r="F158" s="19"/>
      <c r="G158" s="18"/>
    </row>
    <row r="159" s="2" customFormat="1" spans="1:7">
      <c r="A159" s="14"/>
      <c r="B159" s="11" t="s">
        <v>30</v>
      </c>
      <c r="C159" s="12">
        <v>5</v>
      </c>
      <c r="D159" s="13">
        <v>25000</v>
      </c>
      <c r="E159" s="39">
        <f t="shared" si="3"/>
        <v>125000</v>
      </c>
      <c r="F159" s="19"/>
      <c r="G159" s="18"/>
    </row>
    <row r="160" s="2" customFormat="1" spans="1:7">
      <c r="A160" s="14"/>
      <c r="B160" s="11" t="s">
        <v>99</v>
      </c>
      <c r="C160" s="12">
        <v>2</v>
      </c>
      <c r="D160" s="13">
        <v>45000</v>
      </c>
      <c r="E160" s="39">
        <f t="shared" si="3"/>
        <v>90000</v>
      </c>
      <c r="F160" s="19"/>
      <c r="G160" s="18"/>
    </row>
    <row r="161" s="2" customFormat="1" spans="1:7">
      <c r="A161" s="14"/>
      <c r="B161" s="11" t="s">
        <v>28</v>
      </c>
      <c r="C161" s="12">
        <v>7</v>
      </c>
      <c r="D161" s="13">
        <v>24000</v>
      </c>
      <c r="E161" s="39">
        <f t="shared" si="3"/>
        <v>168000</v>
      </c>
      <c r="F161" s="19"/>
      <c r="G161" s="18"/>
    </row>
    <row r="162" s="2" customFormat="1" spans="1:7">
      <c r="A162" s="14"/>
      <c r="B162" s="11" t="s">
        <v>100</v>
      </c>
      <c r="C162" s="12">
        <v>0.2</v>
      </c>
      <c r="D162" s="13">
        <v>50000</v>
      </c>
      <c r="E162" s="39">
        <f t="shared" si="3"/>
        <v>10000</v>
      </c>
      <c r="F162" s="19"/>
      <c r="G162" s="18"/>
    </row>
    <row r="163" s="2" customFormat="1" spans="1:7">
      <c r="A163" s="14"/>
      <c r="B163" s="11" t="s">
        <v>51</v>
      </c>
      <c r="C163" s="12">
        <v>0.2</v>
      </c>
      <c r="D163" s="13">
        <v>61000</v>
      </c>
      <c r="E163" s="39">
        <f t="shared" si="3"/>
        <v>12200</v>
      </c>
      <c r="F163" s="19"/>
      <c r="G163" s="18"/>
    </row>
    <row r="164" s="2" customFormat="1" spans="1:11">
      <c r="A164" s="14"/>
      <c r="B164" s="11" t="s">
        <v>83</v>
      </c>
      <c r="C164" s="12">
        <v>0.1</v>
      </c>
      <c r="D164" s="13">
        <v>83000</v>
      </c>
      <c r="E164" s="39">
        <f t="shared" si="3"/>
        <v>8300</v>
      </c>
      <c r="F164" s="19"/>
      <c r="G164" s="18"/>
      <c r="H164" s="43"/>
      <c r="I164" s="43"/>
      <c r="J164" s="43"/>
      <c r="K164" s="43"/>
    </row>
    <row r="165" s="2" customFormat="1" spans="1:7">
      <c r="A165" s="14"/>
      <c r="B165" s="11" t="s">
        <v>84</v>
      </c>
      <c r="C165" s="12">
        <v>0.07</v>
      </c>
      <c r="D165" s="13">
        <v>110000</v>
      </c>
      <c r="E165" s="39">
        <f t="shared" si="3"/>
        <v>7700</v>
      </c>
      <c r="F165" s="19"/>
      <c r="G165" s="18"/>
    </row>
    <row r="166" s="2" customFormat="1" spans="1:7">
      <c r="A166" s="14"/>
      <c r="B166" s="11" t="s">
        <v>82</v>
      </c>
      <c r="C166" s="12">
        <v>0.2</v>
      </c>
      <c r="D166" s="13">
        <v>33000</v>
      </c>
      <c r="E166" s="39">
        <f t="shared" si="3"/>
        <v>6600</v>
      </c>
      <c r="F166" s="19"/>
      <c r="G166" s="18"/>
    </row>
    <row r="167" s="2" customFormat="1" spans="1:7">
      <c r="A167" s="14"/>
      <c r="B167" s="11" t="s">
        <v>22</v>
      </c>
      <c r="C167" s="12">
        <v>1</v>
      </c>
      <c r="D167" s="13">
        <v>9000</v>
      </c>
      <c r="E167" s="39">
        <f t="shared" si="3"/>
        <v>9000</v>
      </c>
      <c r="F167" s="19"/>
      <c r="G167" s="18"/>
    </row>
    <row r="168" s="2" customFormat="1" spans="1:7">
      <c r="A168" s="14"/>
      <c r="B168" s="11" t="s">
        <v>93</v>
      </c>
      <c r="C168" s="12">
        <v>1</v>
      </c>
      <c r="D168" s="13">
        <v>50000</v>
      </c>
      <c r="E168" s="39">
        <f t="shared" si="3"/>
        <v>50000</v>
      </c>
      <c r="F168" s="19"/>
      <c r="G168" s="18"/>
    </row>
    <row r="169" s="2" customFormat="1" spans="1:7">
      <c r="A169" s="14"/>
      <c r="B169" s="11" t="s">
        <v>35</v>
      </c>
      <c r="C169" s="12">
        <v>1</v>
      </c>
      <c r="D169" s="13">
        <v>31000</v>
      </c>
      <c r="E169" s="39">
        <f t="shared" si="3"/>
        <v>31000</v>
      </c>
      <c r="F169" s="19"/>
      <c r="G169" s="18"/>
    </row>
    <row r="170" s="2" customFormat="1" spans="1:7">
      <c r="A170" s="14"/>
      <c r="B170" s="11" t="s">
        <v>56</v>
      </c>
      <c r="C170" s="12">
        <v>0.5</v>
      </c>
      <c r="D170" s="13">
        <v>17000</v>
      </c>
      <c r="E170" s="39">
        <f t="shared" si="3"/>
        <v>8500</v>
      </c>
      <c r="F170" s="19"/>
      <c r="G170" s="18"/>
    </row>
    <row r="171" s="2" customFormat="1" spans="1:7">
      <c r="A171" s="14"/>
      <c r="B171" s="11" t="s">
        <v>61</v>
      </c>
      <c r="C171" s="12">
        <v>0.5</v>
      </c>
      <c r="D171" s="13">
        <v>50000</v>
      </c>
      <c r="E171" s="39">
        <f t="shared" si="3"/>
        <v>25000</v>
      </c>
      <c r="F171" s="19"/>
      <c r="G171" s="18"/>
    </row>
    <row r="172" s="2" customFormat="1" spans="1:7">
      <c r="A172" s="14"/>
      <c r="B172" s="11" t="s">
        <v>62</v>
      </c>
      <c r="C172" s="12">
        <v>0.5</v>
      </c>
      <c r="D172" s="13">
        <v>61000</v>
      </c>
      <c r="E172" s="39">
        <f t="shared" si="3"/>
        <v>30500</v>
      </c>
      <c r="F172" s="19"/>
      <c r="G172" s="18"/>
    </row>
    <row r="173" s="2" customFormat="1" spans="1:7">
      <c r="A173" s="14"/>
      <c r="B173" s="11" t="s">
        <v>69</v>
      </c>
      <c r="C173" s="12">
        <v>2</v>
      </c>
      <c r="D173" s="13">
        <v>25000</v>
      </c>
      <c r="E173" s="39">
        <f t="shared" si="3"/>
        <v>50000</v>
      </c>
      <c r="F173" s="19"/>
      <c r="G173" s="18"/>
    </row>
    <row r="174" s="2" customFormat="1" spans="1:7">
      <c r="A174" s="14"/>
      <c r="B174" s="11" t="s">
        <v>23</v>
      </c>
      <c r="C174" s="12">
        <v>0.2</v>
      </c>
      <c r="D174" s="13">
        <v>70000</v>
      </c>
      <c r="E174" s="39">
        <f t="shared" si="3"/>
        <v>14000</v>
      </c>
      <c r="F174" s="19"/>
      <c r="G174" s="18"/>
    </row>
    <row r="175" s="2" customFormat="1" spans="1:7">
      <c r="A175" s="14"/>
      <c r="B175" s="11" t="s">
        <v>52</v>
      </c>
      <c r="C175" s="12">
        <v>0.2</v>
      </c>
      <c r="D175" s="13">
        <v>120000</v>
      </c>
      <c r="E175" s="39">
        <f t="shared" si="3"/>
        <v>24000</v>
      </c>
      <c r="F175" s="19"/>
      <c r="G175" s="18"/>
    </row>
    <row r="176" s="2" customFormat="1" spans="1:7">
      <c r="A176" s="14"/>
      <c r="B176" s="11" t="s">
        <v>65</v>
      </c>
      <c r="C176" s="12">
        <v>1</v>
      </c>
      <c r="D176" s="13">
        <v>70000</v>
      </c>
      <c r="E176" s="39">
        <f t="shared" si="3"/>
        <v>70000</v>
      </c>
      <c r="F176" s="19"/>
      <c r="G176" s="18"/>
    </row>
    <row r="177" s="2" customFormat="1" spans="1:7">
      <c r="A177" s="15"/>
      <c r="B177" s="11" t="s">
        <v>66</v>
      </c>
      <c r="C177" s="12">
        <v>0.5</v>
      </c>
      <c r="D177" s="13">
        <v>80000</v>
      </c>
      <c r="E177" s="39">
        <f t="shared" si="3"/>
        <v>40000</v>
      </c>
      <c r="F177" s="25"/>
      <c r="G177" s="18"/>
    </row>
    <row r="178" s="2" customFormat="1" spans="1:7">
      <c r="A178" s="10">
        <v>45998</v>
      </c>
      <c r="B178" s="11" t="s">
        <v>16</v>
      </c>
      <c r="C178" s="12">
        <v>2</v>
      </c>
      <c r="D178" s="13">
        <v>39000</v>
      </c>
      <c r="E178" s="39">
        <f t="shared" si="3"/>
        <v>78000</v>
      </c>
      <c r="F178" s="17">
        <f>SUM(E178:E186)</f>
        <v>690000</v>
      </c>
      <c r="G178" s="18"/>
    </row>
    <row r="179" s="2" customFormat="1" spans="1:7">
      <c r="A179" s="14"/>
      <c r="B179" s="11" t="s">
        <v>17</v>
      </c>
      <c r="C179" s="12">
        <v>2</v>
      </c>
      <c r="D179" s="13">
        <v>39000</v>
      </c>
      <c r="E179" s="39">
        <f t="shared" si="3"/>
        <v>78000</v>
      </c>
      <c r="F179" s="19"/>
      <c r="G179" s="18"/>
    </row>
    <row r="180" s="2" customFormat="1" spans="1:7">
      <c r="A180" s="14"/>
      <c r="B180" s="11" t="s">
        <v>37</v>
      </c>
      <c r="C180" s="12">
        <v>12</v>
      </c>
      <c r="D180" s="13">
        <v>15000</v>
      </c>
      <c r="E180" s="39">
        <f t="shared" si="3"/>
        <v>180000</v>
      </c>
      <c r="F180" s="19"/>
      <c r="G180" s="18"/>
    </row>
    <row r="181" s="2" customFormat="1" spans="1:7">
      <c r="A181" s="14"/>
      <c r="B181" s="11" t="s">
        <v>20</v>
      </c>
      <c r="C181" s="12">
        <v>2</v>
      </c>
      <c r="D181" s="13">
        <v>39000</v>
      </c>
      <c r="E181" s="39">
        <f t="shared" si="3"/>
        <v>78000</v>
      </c>
      <c r="F181" s="19"/>
      <c r="G181" s="18"/>
    </row>
    <row r="182" s="2" customFormat="1" spans="1:7">
      <c r="A182" s="14"/>
      <c r="B182" s="11" t="s">
        <v>59</v>
      </c>
      <c r="C182" s="12">
        <v>0.1</v>
      </c>
      <c r="D182" s="13">
        <v>88000</v>
      </c>
      <c r="E182" s="39">
        <f t="shared" si="3"/>
        <v>8800</v>
      </c>
      <c r="F182" s="19"/>
      <c r="G182" s="18"/>
    </row>
    <row r="183" s="2" customFormat="1" spans="1:7">
      <c r="A183" s="14"/>
      <c r="B183" s="11" t="s">
        <v>60</v>
      </c>
      <c r="C183" s="12">
        <v>0.1</v>
      </c>
      <c r="D183" s="13">
        <v>72000</v>
      </c>
      <c r="E183" s="39">
        <f t="shared" si="3"/>
        <v>7200</v>
      </c>
      <c r="F183" s="19"/>
      <c r="G183" s="18"/>
    </row>
    <row r="184" s="2" customFormat="1" spans="1:7">
      <c r="A184" s="14"/>
      <c r="B184" s="11" t="s">
        <v>15</v>
      </c>
      <c r="C184" s="12">
        <v>2</v>
      </c>
      <c r="D184" s="13">
        <v>60000</v>
      </c>
      <c r="E184" s="39">
        <f t="shared" si="3"/>
        <v>120000</v>
      </c>
      <c r="F184" s="19"/>
      <c r="G184" s="18"/>
    </row>
    <row r="185" s="2" customFormat="1" spans="1:7">
      <c r="A185" s="14"/>
      <c r="B185" s="11" t="s">
        <v>90</v>
      </c>
      <c r="C185" s="12">
        <v>1</v>
      </c>
      <c r="D185" s="13">
        <v>55000</v>
      </c>
      <c r="E185" s="39">
        <f t="shared" si="3"/>
        <v>55000</v>
      </c>
      <c r="F185" s="19"/>
      <c r="G185" s="18"/>
    </row>
    <row r="186" s="2" customFormat="1" spans="1:7">
      <c r="A186" s="15"/>
      <c r="B186" s="11" t="s">
        <v>50</v>
      </c>
      <c r="C186" s="12">
        <v>1</v>
      </c>
      <c r="D186" s="13">
        <v>85000</v>
      </c>
      <c r="E186" s="39">
        <f t="shared" si="3"/>
        <v>85000</v>
      </c>
      <c r="F186" s="25"/>
      <c r="G186" s="18"/>
    </row>
    <row r="187" s="2" customFormat="1" spans="1:7">
      <c r="A187" s="29">
        <v>46000</v>
      </c>
      <c r="B187" s="11" t="s">
        <v>10</v>
      </c>
      <c r="C187" s="12">
        <v>2.1</v>
      </c>
      <c r="D187" s="13">
        <v>22000</v>
      </c>
      <c r="E187" s="39">
        <f t="shared" si="3"/>
        <v>46200</v>
      </c>
      <c r="F187" s="45">
        <f>SUM(E187:E208)</f>
        <v>1121400</v>
      </c>
      <c r="G187" s="18"/>
    </row>
    <row r="188" s="2" customFormat="1" spans="1:7">
      <c r="A188" s="29"/>
      <c r="B188" s="11" t="s">
        <v>28</v>
      </c>
      <c r="C188" s="12">
        <v>8</v>
      </c>
      <c r="D188" s="13">
        <v>24000</v>
      </c>
      <c r="E188" s="39">
        <f t="shared" si="3"/>
        <v>192000</v>
      </c>
      <c r="F188" s="45"/>
      <c r="G188" s="18"/>
    </row>
    <row r="189" s="2" customFormat="1" spans="1:7">
      <c r="A189" s="29"/>
      <c r="B189" s="11" t="s">
        <v>30</v>
      </c>
      <c r="C189" s="12">
        <v>3</v>
      </c>
      <c r="D189" s="13">
        <v>25000</v>
      </c>
      <c r="E189" s="39">
        <f t="shared" si="3"/>
        <v>75000</v>
      </c>
      <c r="F189" s="45"/>
      <c r="G189" s="18"/>
    </row>
    <row r="190" s="2" customFormat="1" spans="1:7">
      <c r="A190" s="29"/>
      <c r="B190" s="11" t="s">
        <v>32</v>
      </c>
      <c r="C190" s="12">
        <v>1</v>
      </c>
      <c r="D190" s="13">
        <v>39000</v>
      </c>
      <c r="E190" s="39">
        <f t="shared" si="3"/>
        <v>39000</v>
      </c>
      <c r="F190" s="45"/>
      <c r="G190" s="18"/>
    </row>
    <row r="191" s="2" customFormat="1" spans="1:7">
      <c r="A191" s="29"/>
      <c r="B191" s="11" t="s">
        <v>101</v>
      </c>
      <c r="C191" s="12">
        <v>0.5</v>
      </c>
      <c r="D191" s="13">
        <v>200000</v>
      </c>
      <c r="E191" s="39">
        <f t="shared" si="3"/>
        <v>100000</v>
      </c>
      <c r="F191" s="45"/>
      <c r="G191" s="18"/>
    </row>
    <row r="192" s="2" customFormat="1" spans="1:7">
      <c r="A192" s="29"/>
      <c r="B192" s="11" t="s">
        <v>102</v>
      </c>
      <c r="C192" s="12">
        <v>0.44</v>
      </c>
      <c r="D192" s="13">
        <v>100000</v>
      </c>
      <c r="E192" s="39">
        <f t="shared" si="3"/>
        <v>44000</v>
      </c>
      <c r="F192" s="45"/>
      <c r="G192" s="18"/>
    </row>
    <row r="193" s="2" customFormat="1" spans="1:7">
      <c r="A193" s="29"/>
      <c r="B193" s="11" t="s">
        <v>18</v>
      </c>
      <c r="C193" s="12">
        <v>0.5</v>
      </c>
      <c r="D193" s="13">
        <v>35000</v>
      </c>
      <c r="E193" s="39">
        <f t="shared" si="3"/>
        <v>17500</v>
      </c>
      <c r="F193" s="45"/>
      <c r="G193" s="18"/>
    </row>
    <row r="194" s="2" customFormat="1" spans="1:7">
      <c r="A194" s="29"/>
      <c r="B194" s="11" t="s">
        <v>45</v>
      </c>
      <c r="C194" s="12">
        <v>2</v>
      </c>
      <c r="D194" s="13">
        <v>10000</v>
      </c>
      <c r="E194" s="39">
        <f t="shared" si="3"/>
        <v>20000</v>
      </c>
      <c r="F194" s="45"/>
      <c r="G194" s="18"/>
    </row>
    <row r="195" s="2" customFormat="1" spans="1:7">
      <c r="A195" s="29"/>
      <c r="B195" s="11" t="s">
        <v>16</v>
      </c>
      <c r="C195" s="12">
        <v>1</v>
      </c>
      <c r="D195" s="13">
        <v>39000</v>
      </c>
      <c r="E195" s="39">
        <f t="shared" ref="E195:E258" si="4">D195*C195</f>
        <v>39000</v>
      </c>
      <c r="F195" s="45"/>
      <c r="G195" s="18"/>
    </row>
    <row r="196" s="2" customFormat="1" spans="1:7">
      <c r="A196" s="29"/>
      <c r="B196" s="11" t="s">
        <v>17</v>
      </c>
      <c r="C196" s="12">
        <v>1</v>
      </c>
      <c r="D196" s="13">
        <v>39000</v>
      </c>
      <c r="E196" s="39">
        <f t="shared" si="4"/>
        <v>39000</v>
      </c>
      <c r="F196" s="45"/>
      <c r="G196" s="18"/>
    </row>
    <row r="197" s="2" customFormat="1" spans="1:7">
      <c r="A197" s="29"/>
      <c r="B197" s="11" t="s">
        <v>47</v>
      </c>
      <c r="C197" s="12">
        <v>1</v>
      </c>
      <c r="D197" s="13">
        <v>50000</v>
      </c>
      <c r="E197" s="39">
        <f t="shared" si="4"/>
        <v>50000</v>
      </c>
      <c r="F197" s="45"/>
      <c r="G197" s="18"/>
    </row>
    <row r="198" s="2" customFormat="1" spans="1:7">
      <c r="A198" s="29"/>
      <c r="B198" s="11" t="s">
        <v>103</v>
      </c>
      <c r="C198" s="12">
        <v>1</v>
      </c>
      <c r="D198" s="13">
        <v>200000</v>
      </c>
      <c r="E198" s="39">
        <f t="shared" si="4"/>
        <v>200000</v>
      </c>
      <c r="F198" s="45"/>
      <c r="G198" s="18"/>
    </row>
    <row r="199" s="2" customFormat="1" spans="1:7">
      <c r="A199" s="29"/>
      <c r="B199" s="11" t="s">
        <v>83</v>
      </c>
      <c r="C199" s="12">
        <v>0.1</v>
      </c>
      <c r="D199" s="13">
        <v>83000</v>
      </c>
      <c r="E199" s="39">
        <f t="shared" si="4"/>
        <v>8300</v>
      </c>
      <c r="F199" s="45"/>
      <c r="G199" s="18"/>
    </row>
    <row r="200" s="2" customFormat="1" spans="1:7">
      <c r="A200" s="29"/>
      <c r="B200" s="11" t="s">
        <v>84</v>
      </c>
      <c r="C200" s="12">
        <v>0.07</v>
      </c>
      <c r="D200" s="13">
        <v>110000</v>
      </c>
      <c r="E200" s="39">
        <f t="shared" si="4"/>
        <v>7700</v>
      </c>
      <c r="F200" s="45"/>
      <c r="G200" s="18"/>
    </row>
    <row r="201" s="2" customFormat="1" spans="1:7">
      <c r="A201" s="29"/>
      <c r="B201" s="11" t="s">
        <v>92</v>
      </c>
      <c r="C201" s="12">
        <v>0.3</v>
      </c>
      <c r="D201" s="13">
        <v>55000</v>
      </c>
      <c r="E201" s="39">
        <f t="shared" si="4"/>
        <v>16500</v>
      </c>
      <c r="F201" s="45"/>
      <c r="G201" s="18"/>
    </row>
    <row r="202" s="2" customFormat="1" spans="1:7">
      <c r="A202" s="29"/>
      <c r="B202" s="11" t="s">
        <v>89</v>
      </c>
      <c r="C202" s="12">
        <v>1</v>
      </c>
      <c r="D202" s="13">
        <v>72000</v>
      </c>
      <c r="E202" s="39">
        <f t="shared" si="4"/>
        <v>72000</v>
      </c>
      <c r="F202" s="45"/>
      <c r="G202" s="50"/>
    </row>
    <row r="203" s="2" customFormat="1" spans="1:7">
      <c r="A203" s="29"/>
      <c r="B203" s="11" t="s">
        <v>9</v>
      </c>
      <c r="C203" s="12">
        <v>0.5</v>
      </c>
      <c r="D203" s="13">
        <v>83000</v>
      </c>
      <c r="E203" s="39">
        <f t="shared" si="4"/>
        <v>41500</v>
      </c>
      <c r="F203" s="45"/>
      <c r="G203" s="18"/>
    </row>
    <row r="204" s="2" customFormat="1" spans="1:7">
      <c r="A204" s="29"/>
      <c r="B204" s="11" t="s">
        <v>24</v>
      </c>
      <c r="C204" s="12">
        <v>1.4</v>
      </c>
      <c r="D204" s="13">
        <v>28000</v>
      </c>
      <c r="E204" s="39">
        <f t="shared" si="4"/>
        <v>39200</v>
      </c>
      <c r="F204" s="45"/>
      <c r="G204" s="18"/>
    </row>
    <row r="205" s="2" customFormat="1" spans="1:7">
      <c r="A205" s="29"/>
      <c r="B205" s="11" t="s">
        <v>56</v>
      </c>
      <c r="C205" s="12">
        <v>1</v>
      </c>
      <c r="D205" s="13">
        <v>17000</v>
      </c>
      <c r="E205" s="39">
        <f t="shared" si="4"/>
        <v>17000</v>
      </c>
      <c r="F205" s="45"/>
      <c r="G205" s="18"/>
    </row>
    <row r="206" s="2" customFormat="1" spans="1:7">
      <c r="A206" s="29"/>
      <c r="B206" s="11" t="s">
        <v>33</v>
      </c>
      <c r="C206" s="12">
        <v>0.5</v>
      </c>
      <c r="D206" s="13">
        <v>17000</v>
      </c>
      <c r="E206" s="39">
        <f t="shared" si="4"/>
        <v>8500</v>
      </c>
      <c r="F206" s="45"/>
      <c r="G206" s="18"/>
    </row>
    <row r="207" s="2" customFormat="1" spans="1:7">
      <c r="A207" s="29"/>
      <c r="B207" s="11" t="s">
        <v>52</v>
      </c>
      <c r="C207" s="12">
        <v>0.2</v>
      </c>
      <c r="D207" s="13">
        <v>120000</v>
      </c>
      <c r="E207" s="39">
        <f t="shared" si="4"/>
        <v>24000</v>
      </c>
      <c r="F207" s="45"/>
      <c r="G207" s="18"/>
    </row>
    <row r="208" s="2" customFormat="1" spans="1:7">
      <c r="A208" s="29"/>
      <c r="B208" s="11" t="s">
        <v>61</v>
      </c>
      <c r="C208" s="12">
        <v>0.5</v>
      </c>
      <c r="D208" s="13">
        <v>50000</v>
      </c>
      <c r="E208" s="39">
        <f t="shared" si="4"/>
        <v>25000</v>
      </c>
      <c r="F208" s="45"/>
      <c r="G208" s="18"/>
    </row>
    <row r="209" s="2" customFormat="1" spans="1:7">
      <c r="A209" s="14">
        <v>46000</v>
      </c>
      <c r="B209" s="46" t="s">
        <v>62</v>
      </c>
      <c r="C209" s="47">
        <v>0.4</v>
      </c>
      <c r="D209" s="48">
        <v>61000</v>
      </c>
      <c r="E209" s="39">
        <f t="shared" si="4"/>
        <v>24400</v>
      </c>
      <c r="F209" s="19">
        <f>SUM(E209:E214)</f>
        <v>212000</v>
      </c>
      <c r="G209" s="18"/>
    </row>
    <row r="210" s="2" customFormat="1" spans="1:7">
      <c r="A210" s="14"/>
      <c r="B210" s="11" t="s">
        <v>90</v>
      </c>
      <c r="C210" s="12">
        <v>1</v>
      </c>
      <c r="D210" s="13">
        <v>55000</v>
      </c>
      <c r="E210" s="39">
        <f t="shared" si="4"/>
        <v>55000</v>
      </c>
      <c r="F210" s="19"/>
      <c r="G210" s="18"/>
    </row>
    <row r="211" s="2" customFormat="1" spans="1:7">
      <c r="A211" s="14"/>
      <c r="B211" s="11" t="s">
        <v>74</v>
      </c>
      <c r="C211" s="12">
        <v>0.3</v>
      </c>
      <c r="D211" s="13">
        <v>110000</v>
      </c>
      <c r="E211" s="39">
        <f t="shared" si="4"/>
        <v>33000</v>
      </c>
      <c r="F211" s="19"/>
      <c r="G211" s="18"/>
    </row>
    <row r="212" s="2" customFormat="1" spans="1:7">
      <c r="A212" s="14"/>
      <c r="B212" s="11" t="s">
        <v>21</v>
      </c>
      <c r="C212" s="12">
        <v>0.3</v>
      </c>
      <c r="D212" s="13">
        <v>28000</v>
      </c>
      <c r="E212" s="39">
        <f t="shared" si="4"/>
        <v>8400</v>
      </c>
      <c r="F212" s="19"/>
      <c r="G212" s="18"/>
    </row>
    <row r="213" s="2" customFormat="1" spans="1:7">
      <c r="A213" s="14"/>
      <c r="B213" s="11" t="s">
        <v>66</v>
      </c>
      <c r="C213" s="12">
        <v>0.3</v>
      </c>
      <c r="D213" s="13">
        <v>80000</v>
      </c>
      <c r="E213" s="39">
        <f t="shared" si="4"/>
        <v>24000</v>
      </c>
      <c r="F213" s="19"/>
      <c r="G213" s="18"/>
    </row>
    <row r="214" s="2" customFormat="1" spans="1:7">
      <c r="A214" s="15"/>
      <c r="B214" s="11" t="s">
        <v>65</v>
      </c>
      <c r="C214" s="12">
        <v>0.96</v>
      </c>
      <c r="D214" s="13">
        <v>70000</v>
      </c>
      <c r="E214" s="39">
        <f t="shared" si="4"/>
        <v>67200</v>
      </c>
      <c r="F214" s="25"/>
      <c r="G214" s="18"/>
    </row>
    <row r="215" s="2" customFormat="1" spans="1:7">
      <c r="A215" s="10">
        <v>46003</v>
      </c>
      <c r="B215" s="11" t="s">
        <v>62</v>
      </c>
      <c r="C215" s="12">
        <v>0.5</v>
      </c>
      <c r="D215" s="13">
        <v>61000</v>
      </c>
      <c r="E215" s="39">
        <f t="shared" si="4"/>
        <v>30500</v>
      </c>
      <c r="F215" s="17">
        <f>SUM(E215:E235)</f>
        <v>1219600</v>
      </c>
      <c r="G215" s="18"/>
    </row>
    <row r="216" s="2" customFormat="1" spans="1:7">
      <c r="A216" s="14"/>
      <c r="B216" s="11" t="s">
        <v>61</v>
      </c>
      <c r="C216" s="12">
        <v>0.5</v>
      </c>
      <c r="D216" s="13">
        <v>50000</v>
      </c>
      <c r="E216" s="39">
        <f t="shared" si="4"/>
        <v>25000</v>
      </c>
      <c r="F216" s="19"/>
      <c r="G216" s="18"/>
    </row>
    <row r="217" s="2" customFormat="1" spans="1:7">
      <c r="A217" s="14"/>
      <c r="B217" s="11" t="s">
        <v>65</v>
      </c>
      <c r="C217" s="12">
        <v>1</v>
      </c>
      <c r="D217" s="13">
        <v>70000</v>
      </c>
      <c r="E217" s="39">
        <f t="shared" si="4"/>
        <v>70000</v>
      </c>
      <c r="F217" s="19"/>
      <c r="G217" s="18"/>
    </row>
    <row r="218" s="2" customFormat="1" spans="1:7">
      <c r="A218" s="14"/>
      <c r="B218" s="11" t="s">
        <v>74</v>
      </c>
      <c r="C218" s="12">
        <v>0.3</v>
      </c>
      <c r="D218" s="13">
        <v>120000</v>
      </c>
      <c r="E218" s="39">
        <f t="shared" si="4"/>
        <v>36000</v>
      </c>
      <c r="F218" s="19"/>
      <c r="G218" s="18"/>
    </row>
    <row r="219" s="2" customFormat="1" spans="1:7">
      <c r="A219" s="14"/>
      <c r="B219" s="11" t="s">
        <v>52</v>
      </c>
      <c r="C219" s="12">
        <v>0.2</v>
      </c>
      <c r="D219" s="13">
        <v>120000</v>
      </c>
      <c r="E219" s="39">
        <f t="shared" si="4"/>
        <v>24000</v>
      </c>
      <c r="F219" s="19"/>
      <c r="G219" s="18"/>
    </row>
    <row r="220" s="2" customFormat="1" spans="1:7">
      <c r="A220" s="14"/>
      <c r="B220" s="11" t="s">
        <v>104</v>
      </c>
      <c r="C220" s="12">
        <v>0.1</v>
      </c>
      <c r="D220" s="13">
        <v>22000</v>
      </c>
      <c r="E220" s="39">
        <f t="shared" si="4"/>
        <v>2200</v>
      </c>
      <c r="F220" s="19"/>
      <c r="G220" s="18"/>
    </row>
    <row r="221" s="2" customFormat="1" spans="1:7">
      <c r="A221" s="14"/>
      <c r="B221" s="11" t="s">
        <v>105</v>
      </c>
      <c r="C221" s="12">
        <v>0.3</v>
      </c>
      <c r="D221" s="13">
        <v>72000</v>
      </c>
      <c r="E221" s="39">
        <f t="shared" si="4"/>
        <v>21600</v>
      </c>
      <c r="F221" s="19"/>
      <c r="G221" s="18"/>
    </row>
    <row r="222" s="2" customFormat="1" spans="1:7">
      <c r="A222" s="14"/>
      <c r="B222" s="11" t="s">
        <v>66</v>
      </c>
      <c r="C222" s="12">
        <v>0.5</v>
      </c>
      <c r="D222" s="13">
        <v>80000</v>
      </c>
      <c r="E222" s="39">
        <f t="shared" si="4"/>
        <v>40000</v>
      </c>
      <c r="F222" s="19"/>
      <c r="G222" s="18"/>
    </row>
    <row r="223" s="2" customFormat="1" spans="1:7">
      <c r="A223" s="14"/>
      <c r="B223" s="11" t="s">
        <v>57</v>
      </c>
      <c r="C223" s="12">
        <v>0.5</v>
      </c>
      <c r="D223" s="13">
        <v>94000</v>
      </c>
      <c r="E223" s="39">
        <f t="shared" si="4"/>
        <v>47000</v>
      </c>
      <c r="F223" s="19"/>
      <c r="G223" s="18"/>
    </row>
    <row r="224" s="2" customFormat="1" spans="1:7">
      <c r="A224" s="14"/>
      <c r="B224" s="11" t="s">
        <v>106</v>
      </c>
      <c r="C224" s="12">
        <v>2</v>
      </c>
      <c r="D224" s="13">
        <v>60000</v>
      </c>
      <c r="E224" s="39">
        <f t="shared" si="4"/>
        <v>120000</v>
      </c>
      <c r="F224" s="19"/>
      <c r="G224" s="18"/>
    </row>
    <row r="225" s="2" customFormat="1" spans="1:7">
      <c r="A225" s="14"/>
      <c r="B225" s="11" t="s">
        <v>93</v>
      </c>
      <c r="C225" s="12">
        <v>1.5</v>
      </c>
      <c r="D225" s="13">
        <v>50000</v>
      </c>
      <c r="E225" s="39">
        <f t="shared" si="4"/>
        <v>75000</v>
      </c>
      <c r="F225" s="19"/>
      <c r="G225" s="18"/>
    </row>
    <row r="226" s="2" customFormat="1" spans="1:7">
      <c r="A226" s="14"/>
      <c r="B226" s="11" t="s">
        <v>35</v>
      </c>
      <c r="C226" s="12">
        <v>1</v>
      </c>
      <c r="D226" s="13">
        <v>31000</v>
      </c>
      <c r="E226" s="39">
        <f t="shared" si="4"/>
        <v>31000</v>
      </c>
      <c r="F226" s="19"/>
      <c r="G226" s="18"/>
    </row>
    <row r="227" s="2" customFormat="1" spans="1:7">
      <c r="A227" s="14"/>
      <c r="B227" s="11" t="s">
        <v>85</v>
      </c>
      <c r="C227" s="12">
        <v>2</v>
      </c>
      <c r="D227" s="13">
        <v>25000</v>
      </c>
      <c r="E227" s="39">
        <f t="shared" si="4"/>
        <v>50000</v>
      </c>
      <c r="F227" s="19"/>
      <c r="G227" s="18"/>
    </row>
    <row r="228" s="2" customFormat="1" spans="1:7">
      <c r="A228" s="14"/>
      <c r="B228" s="11" t="s">
        <v>83</v>
      </c>
      <c r="C228" s="12">
        <v>0.1</v>
      </c>
      <c r="D228" s="13">
        <v>83000</v>
      </c>
      <c r="E228" s="39">
        <f t="shared" si="4"/>
        <v>8300</v>
      </c>
      <c r="F228" s="19"/>
      <c r="G228" s="18"/>
    </row>
    <row r="229" s="2" customFormat="1" spans="1:7">
      <c r="A229" s="14"/>
      <c r="B229" s="11" t="s">
        <v>84</v>
      </c>
      <c r="C229" s="12">
        <v>0.1</v>
      </c>
      <c r="D229" s="13">
        <v>110000</v>
      </c>
      <c r="E229" s="39">
        <f t="shared" si="4"/>
        <v>11000</v>
      </c>
      <c r="F229" s="19"/>
      <c r="G229" s="18"/>
    </row>
    <row r="230" s="2" customFormat="1" spans="1:7">
      <c r="A230" s="14"/>
      <c r="B230" s="11" t="s">
        <v>28</v>
      </c>
      <c r="C230" s="12">
        <v>5</v>
      </c>
      <c r="D230" s="13">
        <v>24000</v>
      </c>
      <c r="E230" s="39">
        <f t="shared" si="4"/>
        <v>120000</v>
      </c>
      <c r="F230" s="19"/>
      <c r="G230" s="18"/>
    </row>
    <row r="231" s="2" customFormat="1" spans="1:7">
      <c r="A231" s="14"/>
      <c r="B231" s="11" t="s">
        <v>30</v>
      </c>
      <c r="C231" s="12">
        <v>5</v>
      </c>
      <c r="D231" s="13">
        <v>20000</v>
      </c>
      <c r="E231" s="39">
        <f t="shared" si="4"/>
        <v>100000</v>
      </c>
      <c r="F231" s="19"/>
      <c r="G231" s="18"/>
    </row>
    <row r="232" s="2" customFormat="1" spans="1:7">
      <c r="A232" s="14"/>
      <c r="B232" s="11" t="s">
        <v>26</v>
      </c>
      <c r="C232" s="12">
        <v>3</v>
      </c>
      <c r="D232" s="13">
        <v>66000</v>
      </c>
      <c r="E232" s="39">
        <f t="shared" si="4"/>
        <v>198000</v>
      </c>
      <c r="F232" s="19"/>
      <c r="G232" s="18"/>
    </row>
    <row r="233" s="2" customFormat="1" spans="1:7">
      <c r="A233" s="14"/>
      <c r="B233" s="11" t="s">
        <v>69</v>
      </c>
      <c r="C233" s="49">
        <v>2</v>
      </c>
      <c r="D233" s="13">
        <v>35000</v>
      </c>
      <c r="E233" s="39">
        <f t="shared" si="4"/>
        <v>70000</v>
      </c>
      <c r="F233" s="19"/>
      <c r="G233" s="18"/>
    </row>
    <row r="234" s="2" customFormat="1" spans="1:7">
      <c r="A234" s="14"/>
      <c r="B234" s="11" t="s">
        <v>95</v>
      </c>
      <c r="C234" s="49">
        <v>2</v>
      </c>
      <c r="D234" s="13">
        <v>35000</v>
      </c>
      <c r="E234" s="39">
        <f t="shared" si="4"/>
        <v>70000</v>
      </c>
      <c r="F234" s="19"/>
      <c r="G234" s="18"/>
    </row>
    <row r="235" s="2" customFormat="1" spans="1:7">
      <c r="A235" s="15"/>
      <c r="B235" s="11" t="s">
        <v>87</v>
      </c>
      <c r="C235" s="49">
        <v>2</v>
      </c>
      <c r="D235" s="13">
        <v>35000</v>
      </c>
      <c r="E235" s="39">
        <f t="shared" si="4"/>
        <v>70000</v>
      </c>
      <c r="F235" s="25"/>
      <c r="G235" s="18"/>
    </row>
    <row r="236" s="2" customFormat="1" spans="1:7">
      <c r="A236" s="10">
        <v>46003</v>
      </c>
      <c r="B236" s="11" t="s">
        <v>26</v>
      </c>
      <c r="C236" s="49">
        <v>3</v>
      </c>
      <c r="D236" s="13">
        <v>66000</v>
      </c>
      <c r="E236" s="39">
        <f t="shared" si="4"/>
        <v>198000</v>
      </c>
      <c r="F236" s="17">
        <f>SUM(E236:E257)</f>
        <v>1087250</v>
      </c>
      <c r="G236" s="18"/>
    </row>
    <row r="237" s="2" customFormat="1" spans="1:7">
      <c r="A237" s="14"/>
      <c r="B237" s="11" t="s">
        <v>43</v>
      </c>
      <c r="C237" s="49">
        <v>2</v>
      </c>
      <c r="D237" s="13">
        <v>30000</v>
      </c>
      <c r="E237" s="39">
        <f t="shared" si="4"/>
        <v>60000</v>
      </c>
      <c r="F237" s="19"/>
      <c r="G237" s="18"/>
    </row>
    <row r="238" s="2" customFormat="1" spans="1:7">
      <c r="A238" s="14"/>
      <c r="B238" s="11" t="s">
        <v>28</v>
      </c>
      <c r="C238" s="49">
        <v>5</v>
      </c>
      <c r="D238" s="13">
        <v>24000</v>
      </c>
      <c r="E238" s="39">
        <f t="shared" si="4"/>
        <v>120000</v>
      </c>
      <c r="F238" s="19"/>
      <c r="G238" s="18"/>
    </row>
    <row r="239" s="2" customFormat="1" spans="1:7">
      <c r="A239" s="14"/>
      <c r="B239" s="11" t="s">
        <v>107</v>
      </c>
      <c r="C239" s="49">
        <v>2.2</v>
      </c>
      <c r="D239" s="13">
        <v>22000</v>
      </c>
      <c r="E239" s="39">
        <f t="shared" si="4"/>
        <v>48400</v>
      </c>
      <c r="F239" s="19"/>
      <c r="G239" s="18"/>
    </row>
    <row r="240" s="2" customFormat="1" spans="1:7">
      <c r="A240" s="14"/>
      <c r="B240" s="11" t="s">
        <v>103</v>
      </c>
      <c r="C240" s="49">
        <v>1</v>
      </c>
      <c r="D240" s="13">
        <v>200000</v>
      </c>
      <c r="E240" s="39">
        <f t="shared" si="4"/>
        <v>200000</v>
      </c>
      <c r="F240" s="19"/>
      <c r="G240" s="18"/>
    </row>
    <row r="241" s="2" customFormat="1" spans="1:7">
      <c r="A241" s="14"/>
      <c r="B241" s="11" t="s">
        <v>56</v>
      </c>
      <c r="C241" s="49">
        <v>2</v>
      </c>
      <c r="D241" s="13">
        <v>17000</v>
      </c>
      <c r="E241" s="39">
        <f t="shared" si="4"/>
        <v>34000</v>
      </c>
      <c r="F241" s="19"/>
      <c r="G241" s="18"/>
    </row>
    <row r="242" s="2" customFormat="1" spans="1:7">
      <c r="A242" s="14"/>
      <c r="B242" s="11" t="s">
        <v>24</v>
      </c>
      <c r="C242" s="49">
        <v>2</v>
      </c>
      <c r="D242" s="13">
        <v>28000</v>
      </c>
      <c r="E242" s="39">
        <f t="shared" si="4"/>
        <v>56000</v>
      </c>
      <c r="F242" s="19"/>
      <c r="G242" s="18"/>
    </row>
    <row r="243" s="2" customFormat="1" spans="1:7">
      <c r="A243" s="14"/>
      <c r="B243" s="11" t="s">
        <v>83</v>
      </c>
      <c r="C243" s="49">
        <v>0.1</v>
      </c>
      <c r="D243" s="13">
        <v>83000</v>
      </c>
      <c r="E243" s="39">
        <f t="shared" si="4"/>
        <v>8300</v>
      </c>
      <c r="F243" s="19"/>
      <c r="G243" s="18"/>
    </row>
    <row r="244" s="2" customFormat="1" spans="1:7">
      <c r="A244" s="14"/>
      <c r="B244" s="11" t="s">
        <v>84</v>
      </c>
      <c r="C244" s="49">
        <v>0.1</v>
      </c>
      <c r="D244" s="13">
        <v>110000</v>
      </c>
      <c r="E244" s="39">
        <f t="shared" si="4"/>
        <v>11000</v>
      </c>
      <c r="F244" s="19"/>
      <c r="G244" s="18"/>
    </row>
    <row r="245" s="2" customFormat="1" spans="1:7">
      <c r="A245" s="14"/>
      <c r="B245" s="11" t="s">
        <v>82</v>
      </c>
      <c r="C245" s="49">
        <v>0.1</v>
      </c>
      <c r="D245" s="13">
        <v>39000</v>
      </c>
      <c r="E245" s="39">
        <f t="shared" si="4"/>
        <v>3900</v>
      </c>
      <c r="F245" s="19"/>
      <c r="G245" s="18"/>
    </row>
    <row r="246" s="2" customFormat="1" spans="1:7">
      <c r="A246" s="14"/>
      <c r="B246" s="11" t="s">
        <v>90</v>
      </c>
      <c r="C246" s="49">
        <v>1</v>
      </c>
      <c r="D246" s="13">
        <v>55000</v>
      </c>
      <c r="E246" s="39">
        <f t="shared" si="4"/>
        <v>55000</v>
      </c>
      <c r="F246" s="19"/>
      <c r="G246" s="18"/>
    </row>
    <row r="247" s="2" customFormat="1" spans="1:7">
      <c r="A247" s="14"/>
      <c r="B247" s="11" t="s">
        <v>108</v>
      </c>
      <c r="C247" s="49">
        <v>1</v>
      </c>
      <c r="D247" s="13">
        <v>15000</v>
      </c>
      <c r="E247" s="39">
        <f t="shared" si="4"/>
        <v>15000</v>
      </c>
      <c r="F247" s="19"/>
      <c r="G247" s="18"/>
    </row>
    <row r="248" s="2" customFormat="1" spans="1:7">
      <c r="A248" s="14"/>
      <c r="B248" s="11" t="s">
        <v>17</v>
      </c>
      <c r="C248" s="49">
        <v>1</v>
      </c>
      <c r="D248" s="13">
        <v>39000</v>
      </c>
      <c r="E248" s="39">
        <f t="shared" si="4"/>
        <v>39000</v>
      </c>
      <c r="F248" s="19"/>
      <c r="G248" s="18"/>
    </row>
    <row r="249" s="2" customFormat="1" spans="1:7">
      <c r="A249" s="14"/>
      <c r="B249" s="11" t="s">
        <v>16</v>
      </c>
      <c r="C249" s="49">
        <v>1</v>
      </c>
      <c r="D249" s="13">
        <v>39000</v>
      </c>
      <c r="E249" s="39">
        <f t="shared" si="4"/>
        <v>39000</v>
      </c>
      <c r="F249" s="19"/>
      <c r="G249" s="18"/>
    </row>
    <row r="250" s="2" customFormat="1" spans="1:7">
      <c r="A250" s="14"/>
      <c r="B250" s="11" t="s">
        <v>18</v>
      </c>
      <c r="C250" s="49">
        <v>0.43</v>
      </c>
      <c r="D250" s="13">
        <v>45000</v>
      </c>
      <c r="E250" s="39">
        <f t="shared" si="4"/>
        <v>19350</v>
      </c>
      <c r="F250" s="19"/>
      <c r="G250" s="18"/>
    </row>
    <row r="251" s="2" customFormat="1" spans="1:7">
      <c r="A251" s="14"/>
      <c r="B251" s="11" t="s">
        <v>60</v>
      </c>
      <c r="C251" s="49">
        <v>0.1</v>
      </c>
      <c r="D251" s="13">
        <v>72000</v>
      </c>
      <c r="E251" s="39">
        <f t="shared" si="4"/>
        <v>7200</v>
      </c>
      <c r="F251" s="19"/>
      <c r="G251" s="18"/>
    </row>
    <row r="252" s="2" customFormat="1" spans="1:7">
      <c r="A252" s="14"/>
      <c r="B252" s="11" t="s">
        <v>66</v>
      </c>
      <c r="C252" s="49">
        <v>0.5</v>
      </c>
      <c r="D252" s="13">
        <v>80000</v>
      </c>
      <c r="E252" s="39">
        <f t="shared" si="4"/>
        <v>40000</v>
      </c>
      <c r="F252" s="19"/>
      <c r="G252" s="18"/>
    </row>
    <row r="253" s="2" customFormat="1" spans="1:7">
      <c r="A253" s="14"/>
      <c r="B253" s="11" t="s">
        <v>109</v>
      </c>
      <c r="C253" s="49">
        <v>0.3</v>
      </c>
      <c r="D253" s="13">
        <v>70000</v>
      </c>
      <c r="E253" s="39">
        <f t="shared" si="4"/>
        <v>21000</v>
      </c>
      <c r="F253" s="19"/>
      <c r="G253" s="18"/>
    </row>
    <row r="254" s="2" customFormat="1" spans="1:7">
      <c r="A254" s="14"/>
      <c r="B254" s="11" t="s">
        <v>110</v>
      </c>
      <c r="C254" s="49">
        <v>0.5</v>
      </c>
      <c r="D254" s="13">
        <v>70000</v>
      </c>
      <c r="E254" s="39">
        <f t="shared" si="4"/>
        <v>35000</v>
      </c>
      <c r="F254" s="19"/>
      <c r="G254" s="18"/>
    </row>
    <row r="255" s="2" customFormat="1" spans="1:7">
      <c r="A255" s="14"/>
      <c r="B255" s="11" t="s">
        <v>111</v>
      </c>
      <c r="C255" s="12">
        <v>0.3</v>
      </c>
      <c r="D255" s="13">
        <v>72000</v>
      </c>
      <c r="E255" s="39">
        <f t="shared" si="4"/>
        <v>21600</v>
      </c>
      <c r="F255" s="19"/>
      <c r="G255" s="18"/>
    </row>
    <row r="256" s="2" customFormat="1" spans="1:7">
      <c r="A256" s="14"/>
      <c r="B256" s="11" t="s">
        <v>61</v>
      </c>
      <c r="C256" s="12">
        <v>0.5</v>
      </c>
      <c r="D256" s="13">
        <v>50000</v>
      </c>
      <c r="E256" s="39">
        <f t="shared" si="4"/>
        <v>25000</v>
      </c>
      <c r="F256" s="19"/>
      <c r="G256" s="18"/>
    </row>
    <row r="257" s="2" customFormat="1" spans="1:7">
      <c r="A257" s="15"/>
      <c r="B257" s="11" t="s">
        <v>62</v>
      </c>
      <c r="C257" s="12">
        <v>0.5</v>
      </c>
      <c r="D257" s="13">
        <v>61000</v>
      </c>
      <c r="E257" s="39">
        <f t="shared" si="4"/>
        <v>30500</v>
      </c>
      <c r="F257" s="25"/>
      <c r="G257" s="18"/>
    </row>
    <row r="258" s="2" customFormat="1" spans="1:7">
      <c r="A258" s="14">
        <v>46006</v>
      </c>
      <c r="B258" s="11" t="s">
        <v>16</v>
      </c>
      <c r="C258" s="12">
        <v>1</v>
      </c>
      <c r="D258" s="13">
        <v>39000</v>
      </c>
      <c r="E258" s="39">
        <f t="shared" si="4"/>
        <v>39000</v>
      </c>
      <c r="F258" s="19">
        <f>SUM(E258:E269)</f>
        <v>402400</v>
      </c>
      <c r="G258" s="18"/>
    </row>
    <row r="259" s="2" customFormat="1" spans="1:7">
      <c r="A259" s="14"/>
      <c r="B259" s="11" t="s">
        <v>45</v>
      </c>
      <c r="C259" s="12">
        <v>3</v>
      </c>
      <c r="D259" s="13">
        <v>10000</v>
      </c>
      <c r="E259" s="39">
        <f t="shared" ref="E259:E322" si="5">D259*C259</f>
        <v>30000</v>
      </c>
      <c r="F259" s="19"/>
      <c r="G259" s="18"/>
    </row>
    <row r="260" s="2" customFormat="1" spans="1:7">
      <c r="A260" s="14"/>
      <c r="B260" s="11" t="s">
        <v>112</v>
      </c>
      <c r="C260" s="12">
        <v>2</v>
      </c>
      <c r="D260" s="13">
        <v>45000</v>
      </c>
      <c r="E260" s="39">
        <f t="shared" si="5"/>
        <v>90000</v>
      </c>
      <c r="F260" s="19"/>
      <c r="G260" s="18"/>
    </row>
    <row r="261" s="2" customFormat="1" spans="1:7">
      <c r="A261" s="14"/>
      <c r="B261" s="11" t="s">
        <v>113</v>
      </c>
      <c r="C261" s="12">
        <v>0.3</v>
      </c>
      <c r="D261" s="13">
        <v>80000</v>
      </c>
      <c r="E261" s="39">
        <f t="shared" si="5"/>
        <v>24000</v>
      </c>
      <c r="F261" s="19"/>
      <c r="G261" s="18"/>
    </row>
    <row r="262" s="2" customFormat="1" spans="1:7">
      <c r="A262" s="14"/>
      <c r="B262" s="11" t="s">
        <v>114</v>
      </c>
      <c r="C262" s="12">
        <v>0.2</v>
      </c>
      <c r="D262" s="13">
        <v>72000</v>
      </c>
      <c r="E262" s="39">
        <f t="shared" si="5"/>
        <v>14400</v>
      </c>
      <c r="F262" s="19"/>
      <c r="G262" s="18"/>
    </row>
    <row r="263" s="2" customFormat="1" spans="1:7">
      <c r="A263" s="14"/>
      <c r="B263" s="11" t="s">
        <v>21</v>
      </c>
      <c r="C263" s="12">
        <v>0.2</v>
      </c>
      <c r="D263" s="13">
        <v>28000</v>
      </c>
      <c r="E263" s="39">
        <f t="shared" si="5"/>
        <v>5600</v>
      </c>
      <c r="F263" s="19"/>
      <c r="G263" s="18"/>
    </row>
    <row r="264" s="2" customFormat="1" spans="1:7">
      <c r="A264" s="14"/>
      <c r="B264" s="11" t="s">
        <v>61</v>
      </c>
      <c r="C264" s="12">
        <v>0.4</v>
      </c>
      <c r="D264" s="13">
        <v>50000</v>
      </c>
      <c r="E264" s="39">
        <f t="shared" si="5"/>
        <v>20000</v>
      </c>
      <c r="F264" s="19"/>
      <c r="G264" s="18"/>
    </row>
    <row r="265" s="2" customFormat="1" spans="1:7">
      <c r="A265" s="14"/>
      <c r="B265" s="11" t="s">
        <v>62</v>
      </c>
      <c r="C265" s="12">
        <v>0.4</v>
      </c>
      <c r="D265" s="13">
        <v>61000</v>
      </c>
      <c r="E265" s="39">
        <f t="shared" si="5"/>
        <v>24400</v>
      </c>
      <c r="F265" s="19"/>
      <c r="G265" s="18"/>
    </row>
    <row r="266" s="2" customFormat="1" spans="1:7">
      <c r="A266" s="14"/>
      <c r="B266" s="11" t="s">
        <v>64</v>
      </c>
      <c r="C266" s="12">
        <v>30</v>
      </c>
      <c r="D266" s="13">
        <v>1000</v>
      </c>
      <c r="E266" s="39">
        <f t="shared" si="5"/>
        <v>30000</v>
      </c>
      <c r="F266" s="19"/>
      <c r="G266" s="18"/>
    </row>
    <row r="267" s="2" customFormat="1" spans="1:7">
      <c r="A267" s="14"/>
      <c r="B267" s="11" t="s">
        <v>96</v>
      </c>
      <c r="C267" s="12">
        <v>1</v>
      </c>
      <c r="D267" s="13">
        <v>40000</v>
      </c>
      <c r="E267" s="39">
        <f t="shared" si="5"/>
        <v>40000</v>
      </c>
      <c r="F267" s="19"/>
      <c r="G267" s="18"/>
    </row>
    <row r="268" s="2" customFormat="1" spans="1:7">
      <c r="A268" s="14"/>
      <c r="B268" s="11" t="s">
        <v>69</v>
      </c>
      <c r="C268" s="12">
        <v>2</v>
      </c>
      <c r="D268" s="13">
        <v>25000</v>
      </c>
      <c r="E268" s="39">
        <f t="shared" si="5"/>
        <v>50000</v>
      </c>
      <c r="F268" s="19"/>
      <c r="G268" s="18"/>
    </row>
    <row r="269" s="2" customFormat="1" spans="1:7">
      <c r="A269" s="15"/>
      <c r="B269" s="11" t="s">
        <v>115</v>
      </c>
      <c r="C269" s="12">
        <v>0.5</v>
      </c>
      <c r="D269" s="13">
        <v>70000</v>
      </c>
      <c r="E269" s="39">
        <f t="shared" si="5"/>
        <v>35000</v>
      </c>
      <c r="F269" s="25"/>
      <c r="G269" s="18"/>
    </row>
    <row r="270" s="2" customFormat="1" spans="1:7">
      <c r="A270" s="10">
        <v>46006</v>
      </c>
      <c r="B270" s="11" t="s">
        <v>82</v>
      </c>
      <c r="C270" s="12">
        <v>0.1</v>
      </c>
      <c r="D270" s="13">
        <v>39000</v>
      </c>
      <c r="E270" s="39">
        <f t="shared" si="5"/>
        <v>3900</v>
      </c>
      <c r="F270" s="17">
        <f>SUM(E270:E282)</f>
        <v>1364700</v>
      </c>
      <c r="G270" s="18"/>
    </row>
    <row r="271" s="2" customFormat="1" spans="1:7">
      <c r="A271" s="14"/>
      <c r="B271" s="11" t="s">
        <v>94</v>
      </c>
      <c r="C271" s="12">
        <v>0.1</v>
      </c>
      <c r="D271" s="13">
        <v>72000</v>
      </c>
      <c r="E271" s="39">
        <f t="shared" si="5"/>
        <v>7200</v>
      </c>
      <c r="F271" s="19"/>
      <c r="G271" s="18"/>
    </row>
    <row r="272" s="2" customFormat="1" spans="1:7">
      <c r="A272" s="14"/>
      <c r="B272" s="11" t="s">
        <v>54</v>
      </c>
      <c r="C272" s="12">
        <v>0.1</v>
      </c>
      <c r="D272" s="13">
        <v>198000</v>
      </c>
      <c r="E272" s="39">
        <f t="shared" si="5"/>
        <v>19800</v>
      </c>
      <c r="F272" s="19"/>
      <c r="G272" s="18"/>
    </row>
    <row r="273" s="2" customFormat="1" spans="1:7">
      <c r="A273" s="14"/>
      <c r="B273" s="11" t="s">
        <v>93</v>
      </c>
      <c r="C273" s="12">
        <v>2</v>
      </c>
      <c r="D273" s="13">
        <v>50000</v>
      </c>
      <c r="E273" s="39">
        <f t="shared" si="5"/>
        <v>100000</v>
      </c>
      <c r="F273" s="19"/>
      <c r="G273" s="18"/>
    </row>
    <row r="274" s="2" customFormat="1" spans="1:7">
      <c r="A274" s="14"/>
      <c r="B274" s="11" t="s">
        <v>101</v>
      </c>
      <c r="C274" s="12">
        <v>0.5</v>
      </c>
      <c r="D274" s="13">
        <v>140000</v>
      </c>
      <c r="E274" s="39">
        <f t="shared" si="5"/>
        <v>70000</v>
      </c>
      <c r="F274" s="19"/>
      <c r="G274" s="18"/>
    </row>
    <row r="275" s="2" customFormat="1" spans="1:7">
      <c r="A275" s="14"/>
      <c r="B275" s="11" t="s">
        <v>102</v>
      </c>
      <c r="C275" s="12">
        <v>0.5</v>
      </c>
      <c r="D275" s="13">
        <v>120000</v>
      </c>
      <c r="E275" s="39">
        <f t="shared" si="5"/>
        <v>60000</v>
      </c>
      <c r="F275" s="19"/>
      <c r="G275" s="18"/>
    </row>
    <row r="276" s="2" customFormat="1" spans="1:7">
      <c r="A276" s="14"/>
      <c r="B276" s="11" t="s">
        <v>116</v>
      </c>
      <c r="C276" s="12">
        <v>2</v>
      </c>
      <c r="D276" s="13">
        <v>30000</v>
      </c>
      <c r="E276" s="39">
        <f t="shared" si="5"/>
        <v>60000</v>
      </c>
      <c r="F276" s="19"/>
      <c r="G276" s="18"/>
    </row>
    <row r="277" s="2" customFormat="1" spans="1:7">
      <c r="A277" s="14"/>
      <c r="B277" s="11" t="s">
        <v>32</v>
      </c>
      <c r="C277" s="12">
        <v>3</v>
      </c>
      <c r="D277" s="13">
        <v>39000</v>
      </c>
      <c r="E277" s="39">
        <f t="shared" si="5"/>
        <v>117000</v>
      </c>
      <c r="F277" s="19"/>
      <c r="G277" s="18"/>
    </row>
    <row r="278" s="2" customFormat="1" spans="1:7">
      <c r="A278" s="14"/>
      <c r="B278" s="11" t="s">
        <v>26</v>
      </c>
      <c r="C278" s="12">
        <v>3</v>
      </c>
      <c r="D278" s="13">
        <v>66000</v>
      </c>
      <c r="E278" s="39">
        <f t="shared" si="5"/>
        <v>198000</v>
      </c>
      <c r="F278" s="19"/>
      <c r="G278" s="18"/>
    </row>
    <row r="279" s="2" customFormat="1" spans="1:7">
      <c r="A279" s="14"/>
      <c r="B279" s="11" t="s">
        <v>117</v>
      </c>
      <c r="C279" s="12">
        <v>1</v>
      </c>
      <c r="D279" s="13">
        <v>480000</v>
      </c>
      <c r="E279" s="39">
        <f t="shared" si="5"/>
        <v>480000</v>
      </c>
      <c r="F279" s="19"/>
      <c r="G279" s="18"/>
    </row>
    <row r="280" s="2" customFormat="1" spans="1:7">
      <c r="A280" s="14"/>
      <c r="B280" s="11" t="s">
        <v>90</v>
      </c>
      <c r="C280" s="12">
        <v>3</v>
      </c>
      <c r="D280" s="13">
        <v>55000</v>
      </c>
      <c r="E280" s="39">
        <f t="shared" si="5"/>
        <v>165000</v>
      </c>
      <c r="F280" s="19"/>
      <c r="G280" s="50"/>
    </row>
    <row r="281" s="2" customFormat="1" spans="1:7">
      <c r="A281" s="14"/>
      <c r="B281" s="11" t="s">
        <v>59</v>
      </c>
      <c r="C281" s="12">
        <v>0.1</v>
      </c>
      <c r="D281" s="13">
        <v>88000</v>
      </c>
      <c r="E281" s="39">
        <f t="shared" si="5"/>
        <v>8800</v>
      </c>
      <c r="F281" s="19"/>
      <c r="G281" s="18"/>
    </row>
    <row r="282" s="2" customFormat="1" spans="1:7">
      <c r="A282" s="15"/>
      <c r="B282" s="11" t="s">
        <v>43</v>
      </c>
      <c r="C282" s="12">
        <v>3</v>
      </c>
      <c r="D282" s="13">
        <v>25000</v>
      </c>
      <c r="E282" s="39">
        <f t="shared" si="5"/>
        <v>75000</v>
      </c>
      <c r="F282" s="25"/>
      <c r="G282" s="18"/>
    </row>
    <row r="283" s="2" customFormat="1" spans="1:7">
      <c r="A283" s="51">
        <v>46007</v>
      </c>
      <c r="B283" s="37" t="s">
        <v>28</v>
      </c>
      <c r="C283" s="12">
        <v>7</v>
      </c>
      <c r="D283" s="13">
        <v>24000</v>
      </c>
      <c r="E283" s="39">
        <f t="shared" si="5"/>
        <v>168000</v>
      </c>
      <c r="F283" s="17">
        <f>SUM(E283:E303)</f>
        <v>1344110</v>
      </c>
      <c r="G283" s="18"/>
    </row>
    <row r="284" s="2" customFormat="1" spans="1:7">
      <c r="A284" s="36"/>
      <c r="B284" s="37" t="s">
        <v>30</v>
      </c>
      <c r="C284" s="12">
        <v>3</v>
      </c>
      <c r="D284" s="13">
        <v>20000</v>
      </c>
      <c r="E284" s="39">
        <f t="shared" si="5"/>
        <v>60000</v>
      </c>
      <c r="F284" s="19"/>
      <c r="G284" s="18"/>
    </row>
    <row r="285" s="2" customFormat="1" spans="1:7">
      <c r="A285" s="36"/>
      <c r="B285" s="37" t="s">
        <v>26</v>
      </c>
      <c r="C285" s="12">
        <v>2</v>
      </c>
      <c r="D285" s="13">
        <v>66000</v>
      </c>
      <c r="E285" s="39">
        <f t="shared" si="5"/>
        <v>132000</v>
      </c>
      <c r="F285" s="19"/>
      <c r="G285" s="18"/>
    </row>
    <row r="286" s="2" customFormat="1" spans="1:7">
      <c r="A286" s="36"/>
      <c r="B286" s="37" t="s">
        <v>38</v>
      </c>
      <c r="C286" s="12">
        <v>3</v>
      </c>
      <c r="D286" s="13">
        <v>85000</v>
      </c>
      <c r="E286" s="39">
        <f t="shared" si="5"/>
        <v>255000</v>
      </c>
      <c r="F286" s="19"/>
      <c r="G286" s="18"/>
    </row>
    <row r="287" s="2" customFormat="1" spans="1:7">
      <c r="A287" s="36"/>
      <c r="B287" s="37" t="s">
        <v>10</v>
      </c>
      <c r="C287" s="12">
        <v>6</v>
      </c>
      <c r="D287" s="13">
        <v>25000</v>
      </c>
      <c r="E287" s="39">
        <f t="shared" si="5"/>
        <v>150000</v>
      </c>
      <c r="F287" s="19"/>
      <c r="G287" s="18"/>
    </row>
    <row r="288" s="2" customFormat="1" spans="1:7">
      <c r="A288" s="36"/>
      <c r="B288" s="11" t="s">
        <v>118</v>
      </c>
      <c r="C288" s="12">
        <v>0.2</v>
      </c>
      <c r="D288" s="13">
        <v>90000</v>
      </c>
      <c r="E288" s="39">
        <f t="shared" si="5"/>
        <v>18000</v>
      </c>
      <c r="F288" s="19"/>
      <c r="G288" s="18"/>
    </row>
    <row r="289" s="2" customFormat="1" spans="1:7">
      <c r="A289" s="36"/>
      <c r="B289" s="11" t="s">
        <v>119</v>
      </c>
      <c r="C289" s="12">
        <v>0.2</v>
      </c>
      <c r="D289" s="13">
        <v>72000</v>
      </c>
      <c r="E289" s="39">
        <f t="shared" si="5"/>
        <v>14400</v>
      </c>
      <c r="F289" s="19"/>
      <c r="G289" s="18"/>
    </row>
    <row r="290" s="2" customFormat="1" spans="1:7">
      <c r="A290" s="36"/>
      <c r="B290" s="11" t="s">
        <v>51</v>
      </c>
      <c r="C290" s="12">
        <v>0.4</v>
      </c>
      <c r="D290" s="13">
        <v>70000</v>
      </c>
      <c r="E290" s="39">
        <f t="shared" si="5"/>
        <v>28000</v>
      </c>
      <c r="F290" s="19"/>
      <c r="G290" s="18"/>
    </row>
    <row r="291" s="2" customFormat="1" spans="1:7">
      <c r="A291" s="36"/>
      <c r="B291" s="11" t="s">
        <v>120</v>
      </c>
      <c r="C291" s="12">
        <v>0.08</v>
      </c>
      <c r="D291" s="13">
        <v>132000</v>
      </c>
      <c r="E291" s="39">
        <f t="shared" si="5"/>
        <v>10560</v>
      </c>
      <c r="F291" s="19"/>
      <c r="G291" s="18"/>
    </row>
    <row r="292" s="2" customFormat="1" spans="1:7">
      <c r="A292" s="36"/>
      <c r="B292" s="11" t="s">
        <v>83</v>
      </c>
      <c r="C292" s="12">
        <v>0.1</v>
      </c>
      <c r="D292" s="13">
        <v>83000</v>
      </c>
      <c r="E292" s="39">
        <f t="shared" si="5"/>
        <v>8300</v>
      </c>
      <c r="F292" s="19"/>
      <c r="G292" s="18"/>
    </row>
    <row r="293" s="2" customFormat="1" spans="1:7">
      <c r="A293" s="36"/>
      <c r="B293" s="11" t="s">
        <v>84</v>
      </c>
      <c r="C293" s="12">
        <v>0.06</v>
      </c>
      <c r="D293" s="13">
        <v>110000</v>
      </c>
      <c r="E293" s="39">
        <f t="shared" si="5"/>
        <v>6600</v>
      </c>
      <c r="F293" s="19"/>
      <c r="G293" s="18"/>
    </row>
    <row r="294" s="2" customFormat="1" spans="1:7">
      <c r="A294" s="36"/>
      <c r="B294" s="11" t="s">
        <v>56</v>
      </c>
      <c r="C294" s="12">
        <v>1</v>
      </c>
      <c r="D294" s="13">
        <v>25000</v>
      </c>
      <c r="E294" s="39">
        <f t="shared" si="5"/>
        <v>25000</v>
      </c>
      <c r="F294" s="19"/>
      <c r="G294" s="18"/>
    </row>
    <row r="295" s="2" customFormat="1" spans="1:7">
      <c r="A295" s="36"/>
      <c r="B295" s="11" t="s">
        <v>22</v>
      </c>
      <c r="C295" s="12">
        <v>1</v>
      </c>
      <c r="D295" s="13">
        <v>9000</v>
      </c>
      <c r="E295" s="39">
        <f t="shared" si="5"/>
        <v>9000</v>
      </c>
      <c r="F295" s="19"/>
      <c r="G295" s="18"/>
    </row>
    <row r="296" s="2" customFormat="1" spans="1:7">
      <c r="A296" s="36"/>
      <c r="B296" s="11" t="s">
        <v>24</v>
      </c>
      <c r="C296" s="12">
        <v>2</v>
      </c>
      <c r="D296" s="13">
        <v>28000</v>
      </c>
      <c r="E296" s="39">
        <f t="shared" si="5"/>
        <v>56000</v>
      </c>
      <c r="F296" s="19"/>
      <c r="G296" s="18"/>
    </row>
    <row r="297" s="2" customFormat="1" spans="1:7">
      <c r="A297" s="36"/>
      <c r="B297" s="11" t="s">
        <v>103</v>
      </c>
      <c r="C297" s="12">
        <v>1</v>
      </c>
      <c r="D297" s="13">
        <v>200000</v>
      </c>
      <c r="E297" s="39">
        <f t="shared" si="5"/>
        <v>200000</v>
      </c>
      <c r="F297" s="19"/>
      <c r="G297" s="18"/>
    </row>
    <row r="298" s="2" customFormat="1" spans="1:7">
      <c r="A298" s="36"/>
      <c r="B298" s="11" t="s">
        <v>121</v>
      </c>
      <c r="C298" s="12">
        <v>0.25</v>
      </c>
      <c r="D298" s="13">
        <v>17000</v>
      </c>
      <c r="E298" s="39">
        <f t="shared" si="5"/>
        <v>4250</v>
      </c>
      <c r="F298" s="19"/>
      <c r="G298" s="18"/>
    </row>
    <row r="299" s="2" customFormat="1" spans="1:7">
      <c r="A299" s="36"/>
      <c r="B299" s="11" t="s">
        <v>95</v>
      </c>
      <c r="C299" s="12">
        <v>1</v>
      </c>
      <c r="D299" s="13">
        <v>45000</v>
      </c>
      <c r="E299" s="39">
        <f t="shared" si="5"/>
        <v>45000</v>
      </c>
      <c r="F299" s="19"/>
      <c r="G299" s="18"/>
    </row>
    <row r="300" s="2" customFormat="1" spans="1:7">
      <c r="A300" s="36"/>
      <c r="B300" s="11" t="s">
        <v>59</v>
      </c>
      <c r="C300" s="12">
        <v>0.1</v>
      </c>
      <c r="D300" s="13">
        <v>88000</v>
      </c>
      <c r="E300" s="39">
        <f t="shared" si="5"/>
        <v>8800</v>
      </c>
      <c r="F300" s="19"/>
      <c r="G300" s="18"/>
    </row>
    <row r="301" s="2" customFormat="1" spans="1:7">
      <c r="A301" s="36"/>
      <c r="B301" s="11" t="s">
        <v>122</v>
      </c>
      <c r="C301" s="12">
        <v>0.1</v>
      </c>
      <c r="D301" s="13">
        <v>72000</v>
      </c>
      <c r="E301" s="39">
        <f t="shared" si="5"/>
        <v>7200</v>
      </c>
      <c r="F301" s="19"/>
      <c r="G301" s="18"/>
    </row>
    <row r="302" s="2" customFormat="1" spans="1:7">
      <c r="A302" s="36"/>
      <c r="B302" s="11" t="s">
        <v>90</v>
      </c>
      <c r="C302" s="12">
        <v>1</v>
      </c>
      <c r="D302" s="13">
        <v>55000</v>
      </c>
      <c r="E302" s="39">
        <f t="shared" si="5"/>
        <v>55000</v>
      </c>
      <c r="F302" s="19"/>
      <c r="G302" s="18"/>
    </row>
    <row r="303" s="2" customFormat="1" spans="1:7">
      <c r="A303" s="40"/>
      <c r="B303" s="11" t="s">
        <v>27</v>
      </c>
      <c r="C303" s="12">
        <v>1</v>
      </c>
      <c r="D303" s="13">
        <v>83000</v>
      </c>
      <c r="E303" s="39">
        <f t="shared" si="5"/>
        <v>83000</v>
      </c>
      <c r="F303" s="25"/>
      <c r="G303" s="18"/>
    </row>
    <row r="304" s="2" customFormat="1" spans="1:11">
      <c r="A304" s="10">
        <v>46007</v>
      </c>
      <c r="B304" s="11" t="s">
        <v>123</v>
      </c>
      <c r="C304" s="12">
        <v>1</v>
      </c>
      <c r="D304" s="13">
        <v>39000</v>
      </c>
      <c r="E304" s="39">
        <f t="shared" si="5"/>
        <v>39000</v>
      </c>
      <c r="F304" s="17">
        <f>SUM(E304:E313)</f>
        <v>736400</v>
      </c>
      <c r="G304" s="18"/>
      <c r="H304" s="43"/>
      <c r="I304" s="43"/>
      <c r="J304" s="43"/>
      <c r="K304" s="43"/>
    </row>
    <row r="305" s="2" customFormat="1" spans="1:7">
      <c r="A305" s="14"/>
      <c r="B305" s="11" t="s">
        <v>78</v>
      </c>
      <c r="C305" s="12">
        <v>3</v>
      </c>
      <c r="D305" s="13">
        <v>115000</v>
      </c>
      <c r="E305" s="39">
        <f t="shared" si="5"/>
        <v>345000</v>
      </c>
      <c r="F305" s="19"/>
      <c r="G305" s="18"/>
    </row>
    <row r="306" s="2" customFormat="1" spans="1:7">
      <c r="A306" s="14"/>
      <c r="B306" s="11" t="s">
        <v>80</v>
      </c>
      <c r="C306" s="12">
        <v>2</v>
      </c>
      <c r="D306" s="13">
        <v>45000</v>
      </c>
      <c r="E306" s="39">
        <f t="shared" si="5"/>
        <v>90000</v>
      </c>
      <c r="F306" s="19"/>
      <c r="G306" s="18"/>
    </row>
    <row r="307" s="2" customFormat="1" spans="1:7">
      <c r="A307" s="14"/>
      <c r="B307" s="11" t="s">
        <v>61</v>
      </c>
      <c r="C307" s="12">
        <v>0.4</v>
      </c>
      <c r="D307" s="13">
        <v>50000</v>
      </c>
      <c r="E307" s="39">
        <f t="shared" si="5"/>
        <v>20000</v>
      </c>
      <c r="F307" s="19"/>
      <c r="G307" s="18"/>
    </row>
    <row r="308" s="2" customFormat="1" spans="1:7">
      <c r="A308" s="14"/>
      <c r="B308" s="11" t="s">
        <v>62</v>
      </c>
      <c r="C308" s="12">
        <v>0.4</v>
      </c>
      <c r="D308" s="13">
        <v>61000</v>
      </c>
      <c r="E308" s="39">
        <f t="shared" si="5"/>
        <v>24400</v>
      </c>
      <c r="F308" s="19"/>
      <c r="G308" s="18"/>
    </row>
    <row r="309" s="2" customFormat="1" spans="1:7">
      <c r="A309" s="14"/>
      <c r="B309" s="11" t="s">
        <v>115</v>
      </c>
      <c r="C309" s="12">
        <v>0.5</v>
      </c>
      <c r="D309" s="13">
        <v>70000</v>
      </c>
      <c r="E309" s="39">
        <f t="shared" si="5"/>
        <v>35000</v>
      </c>
      <c r="F309" s="19"/>
      <c r="G309" s="18"/>
    </row>
    <row r="310" s="2" customFormat="1" spans="1:7">
      <c r="A310" s="14"/>
      <c r="B310" s="11" t="s">
        <v>66</v>
      </c>
      <c r="C310" s="12">
        <v>0.3</v>
      </c>
      <c r="D310" s="13">
        <v>80000</v>
      </c>
      <c r="E310" s="39">
        <f t="shared" si="5"/>
        <v>24000</v>
      </c>
      <c r="F310" s="19"/>
      <c r="G310" s="18"/>
    </row>
    <row r="311" s="2" customFormat="1" spans="1:7">
      <c r="A311" s="14"/>
      <c r="B311" s="11" t="s">
        <v>52</v>
      </c>
      <c r="C311" s="12">
        <v>0.2</v>
      </c>
      <c r="D311" s="13">
        <v>120000</v>
      </c>
      <c r="E311" s="39">
        <f t="shared" si="5"/>
        <v>24000</v>
      </c>
      <c r="F311" s="19"/>
      <c r="G311" s="18"/>
    </row>
    <row r="312" s="2" customFormat="1" spans="1:7">
      <c r="A312" s="14"/>
      <c r="B312" s="11" t="s">
        <v>18</v>
      </c>
      <c r="C312" s="12">
        <v>1</v>
      </c>
      <c r="D312" s="13">
        <v>45000</v>
      </c>
      <c r="E312" s="39">
        <f t="shared" si="5"/>
        <v>45000</v>
      </c>
      <c r="F312" s="19"/>
      <c r="G312" s="18"/>
    </row>
    <row r="313" s="2" customFormat="1" spans="1:7">
      <c r="A313" s="15"/>
      <c r="B313" s="11" t="s">
        <v>20</v>
      </c>
      <c r="C313" s="12">
        <v>2</v>
      </c>
      <c r="D313" s="13">
        <v>45000</v>
      </c>
      <c r="E313" s="39">
        <f t="shared" si="5"/>
        <v>90000</v>
      </c>
      <c r="F313" s="25"/>
      <c r="G313" s="18"/>
    </row>
    <row r="314" s="2" customFormat="1" spans="1:7">
      <c r="A314" s="10">
        <v>46008</v>
      </c>
      <c r="B314" s="11" t="s">
        <v>61</v>
      </c>
      <c r="C314" s="12">
        <v>0.5</v>
      </c>
      <c r="D314" s="13">
        <v>50000</v>
      </c>
      <c r="E314" s="39">
        <f t="shared" si="5"/>
        <v>25000</v>
      </c>
      <c r="F314" s="17">
        <f>SUM(E314:E335)</f>
        <v>975300</v>
      </c>
      <c r="G314" s="18"/>
    </row>
    <row r="315" s="2" customFormat="1" spans="1:7">
      <c r="A315" s="14"/>
      <c r="B315" s="11" t="s">
        <v>62</v>
      </c>
      <c r="C315" s="12">
        <v>0.5</v>
      </c>
      <c r="D315" s="13">
        <v>61000</v>
      </c>
      <c r="E315" s="39">
        <f t="shared" si="5"/>
        <v>30500</v>
      </c>
      <c r="F315" s="19"/>
      <c r="G315" s="18"/>
    </row>
    <row r="316" s="2" customFormat="1" spans="1:7">
      <c r="A316" s="14"/>
      <c r="B316" s="11" t="s">
        <v>115</v>
      </c>
      <c r="C316" s="12">
        <v>0.5</v>
      </c>
      <c r="D316" s="13">
        <v>70000</v>
      </c>
      <c r="E316" s="39">
        <f t="shared" si="5"/>
        <v>35000</v>
      </c>
      <c r="F316" s="19"/>
      <c r="G316" s="18"/>
    </row>
    <row r="317" s="2" customFormat="1" spans="1:7">
      <c r="A317" s="14"/>
      <c r="B317" s="11" t="s">
        <v>17</v>
      </c>
      <c r="C317" s="12">
        <v>1</v>
      </c>
      <c r="D317" s="13">
        <v>39000</v>
      </c>
      <c r="E317" s="39">
        <f t="shared" si="5"/>
        <v>39000</v>
      </c>
      <c r="F317" s="19"/>
      <c r="G317" s="18"/>
    </row>
    <row r="318" s="2" customFormat="1" spans="1:7">
      <c r="A318" s="14"/>
      <c r="B318" s="11" t="s">
        <v>27</v>
      </c>
      <c r="C318" s="12">
        <v>1</v>
      </c>
      <c r="D318" s="13">
        <v>83000</v>
      </c>
      <c r="E318" s="39">
        <f t="shared" si="5"/>
        <v>83000</v>
      </c>
      <c r="F318" s="19"/>
      <c r="G318" s="18"/>
    </row>
    <row r="319" s="2" customFormat="1" spans="1:7">
      <c r="A319" s="14"/>
      <c r="B319" s="11" t="s">
        <v>16</v>
      </c>
      <c r="C319" s="12">
        <v>1</v>
      </c>
      <c r="D319" s="13">
        <v>39000</v>
      </c>
      <c r="E319" s="39">
        <f t="shared" si="5"/>
        <v>39000</v>
      </c>
      <c r="F319" s="19"/>
      <c r="G319" s="18"/>
    </row>
    <row r="320" s="2" customFormat="1" spans="1:7">
      <c r="A320" s="14"/>
      <c r="B320" s="11" t="s">
        <v>69</v>
      </c>
      <c r="C320" s="12">
        <v>5</v>
      </c>
      <c r="D320" s="13">
        <v>25000</v>
      </c>
      <c r="E320" s="39">
        <f t="shared" si="5"/>
        <v>125000</v>
      </c>
      <c r="F320" s="19"/>
      <c r="G320" s="18"/>
    </row>
    <row r="321" s="2" customFormat="1" spans="1:7">
      <c r="A321" s="14"/>
      <c r="B321" s="11" t="s">
        <v>104</v>
      </c>
      <c r="C321" s="12">
        <v>0.3</v>
      </c>
      <c r="D321" s="13">
        <v>22000</v>
      </c>
      <c r="E321" s="39">
        <f t="shared" si="5"/>
        <v>6600</v>
      </c>
      <c r="F321" s="19"/>
      <c r="G321" s="18"/>
    </row>
    <row r="322" s="2" customFormat="1" spans="1:7">
      <c r="A322" s="14"/>
      <c r="B322" s="11" t="s">
        <v>64</v>
      </c>
      <c r="C322" s="12">
        <v>25</v>
      </c>
      <c r="D322" s="13">
        <v>1000</v>
      </c>
      <c r="E322" s="39">
        <f t="shared" si="5"/>
        <v>25000</v>
      </c>
      <c r="F322" s="19"/>
      <c r="G322" s="18"/>
    </row>
    <row r="323" s="2" customFormat="1" spans="1:7">
      <c r="A323" s="14"/>
      <c r="B323" s="11" t="s">
        <v>66</v>
      </c>
      <c r="C323" s="12">
        <v>0.5</v>
      </c>
      <c r="D323" s="13">
        <v>80000</v>
      </c>
      <c r="E323" s="39">
        <f t="shared" ref="E323:E386" si="6">D323*C323</f>
        <v>40000</v>
      </c>
      <c r="F323" s="19"/>
      <c r="G323" s="18"/>
    </row>
    <row r="324" s="2" customFormat="1" spans="1:7">
      <c r="A324" s="14"/>
      <c r="B324" s="11" t="s">
        <v>56</v>
      </c>
      <c r="C324" s="12">
        <v>1</v>
      </c>
      <c r="D324" s="13">
        <v>25000</v>
      </c>
      <c r="E324" s="39">
        <f t="shared" si="6"/>
        <v>25000</v>
      </c>
      <c r="F324" s="19"/>
      <c r="G324" s="18"/>
    </row>
    <row r="325" s="2" customFormat="1" spans="1:7">
      <c r="A325" s="14"/>
      <c r="B325" s="11" t="s">
        <v>89</v>
      </c>
      <c r="C325" s="12">
        <v>0.5</v>
      </c>
      <c r="D325" s="13">
        <v>72000</v>
      </c>
      <c r="E325" s="39">
        <f t="shared" si="6"/>
        <v>36000</v>
      </c>
      <c r="F325" s="19"/>
      <c r="G325" s="18"/>
    </row>
    <row r="326" s="2" customFormat="1" spans="1:7">
      <c r="A326" s="14"/>
      <c r="B326" s="11" t="s">
        <v>24</v>
      </c>
      <c r="C326" s="12">
        <v>1</v>
      </c>
      <c r="D326" s="13">
        <v>28000</v>
      </c>
      <c r="E326" s="39">
        <f t="shared" si="6"/>
        <v>28000</v>
      </c>
      <c r="F326" s="19"/>
      <c r="G326" s="18"/>
    </row>
    <row r="327" s="2" customFormat="1" spans="1:7">
      <c r="A327" s="14"/>
      <c r="B327" s="11" t="s">
        <v>91</v>
      </c>
      <c r="C327" s="12">
        <v>0.1</v>
      </c>
      <c r="D327" s="13">
        <v>200000</v>
      </c>
      <c r="E327" s="39">
        <f t="shared" si="6"/>
        <v>20000</v>
      </c>
      <c r="F327" s="19"/>
      <c r="G327" s="18"/>
    </row>
    <row r="328" s="2" customFormat="1" spans="1:7">
      <c r="A328" s="14"/>
      <c r="B328" s="11" t="s">
        <v>84</v>
      </c>
      <c r="C328" s="12">
        <v>0.1</v>
      </c>
      <c r="D328" s="13">
        <v>110000</v>
      </c>
      <c r="E328" s="39">
        <f t="shared" si="6"/>
        <v>11000</v>
      </c>
      <c r="F328" s="19"/>
      <c r="G328" s="18"/>
    </row>
    <row r="329" s="2" customFormat="1" spans="1:7">
      <c r="A329" s="14"/>
      <c r="B329" s="11" t="s">
        <v>83</v>
      </c>
      <c r="C329" s="12">
        <v>0.1</v>
      </c>
      <c r="D329" s="13">
        <v>83000</v>
      </c>
      <c r="E329" s="39">
        <f t="shared" si="6"/>
        <v>8300</v>
      </c>
      <c r="F329" s="19"/>
      <c r="G329" s="18"/>
    </row>
    <row r="330" s="2" customFormat="1" spans="1:7">
      <c r="A330" s="14"/>
      <c r="B330" s="11" t="s">
        <v>54</v>
      </c>
      <c r="C330" s="12">
        <v>0.1</v>
      </c>
      <c r="D330" s="13">
        <v>198000</v>
      </c>
      <c r="E330" s="39">
        <f t="shared" si="6"/>
        <v>19800</v>
      </c>
      <c r="F330" s="19"/>
      <c r="G330" s="18"/>
    </row>
    <row r="331" s="2" customFormat="1" spans="1:7">
      <c r="A331" s="14"/>
      <c r="B331" s="11" t="s">
        <v>82</v>
      </c>
      <c r="C331" s="12">
        <v>0.1</v>
      </c>
      <c r="D331" s="13">
        <v>39000</v>
      </c>
      <c r="E331" s="39">
        <f t="shared" si="6"/>
        <v>3900</v>
      </c>
      <c r="F331" s="19"/>
      <c r="G331" s="18"/>
    </row>
    <row r="332" s="2" customFormat="1" spans="1:7">
      <c r="A332" s="14"/>
      <c r="B332" s="11" t="s">
        <v>94</v>
      </c>
      <c r="C332" s="12">
        <v>0.1</v>
      </c>
      <c r="D332" s="13">
        <v>72000</v>
      </c>
      <c r="E332" s="39">
        <f t="shared" si="6"/>
        <v>7200</v>
      </c>
      <c r="F332" s="19"/>
      <c r="G332" s="18"/>
    </row>
    <row r="333" s="2" customFormat="1" spans="1:7">
      <c r="A333" s="14"/>
      <c r="B333" s="11" t="s">
        <v>26</v>
      </c>
      <c r="C333" s="12">
        <v>3</v>
      </c>
      <c r="D333" s="13">
        <v>66000</v>
      </c>
      <c r="E333" s="39">
        <f t="shared" si="6"/>
        <v>198000</v>
      </c>
      <c r="F333" s="19"/>
      <c r="G333" s="18"/>
    </row>
    <row r="334" s="2" customFormat="1" spans="1:7">
      <c r="A334" s="14"/>
      <c r="B334" s="11" t="s">
        <v>124</v>
      </c>
      <c r="C334" s="12">
        <v>2</v>
      </c>
      <c r="D334" s="13">
        <v>25000</v>
      </c>
      <c r="E334" s="39">
        <f t="shared" si="6"/>
        <v>50000</v>
      </c>
      <c r="F334" s="19"/>
      <c r="G334" s="18"/>
    </row>
    <row r="335" s="2" customFormat="1" spans="1:7">
      <c r="A335" s="15"/>
      <c r="B335" s="11" t="s">
        <v>28</v>
      </c>
      <c r="C335" s="12">
        <v>5</v>
      </c>
      <c r="D335" s="13">
        <v>24000</v>
      </c>
      <c r="E335" s="39">
        <f t="shared" si="6"/>
        <v>120000</v>
      </c>
      <c r="F335" s="25"/>
      <c r="G335" s="18"/>
    </row>
    <row r="336" s="2" customFormat="1" spans="1:7">
      <c r="A336" s="10">
        <v>46010</v>
      </c>
      <c r="B336" s="11" t="s">
        <v>93</v>
      </c>
      <c r="C336" s="12">
        <v>2</v>
      </c>
      <c r="D336" s="13">
        <v>50000</v>
      </c>
      <c r="E336" s="39">
        <f t="shared" si="6"/>
        <v>100000</v>
      </c>
      <c r="F336" s="17">
        <f>SUM(E336:E357)</f>
        <v>2268100</v>
      </c>
      <c r="G336" s="18"/>
    </row>
    <row r="337" s="2" customFormat="1" spans="1:7">
      <c r="A337" s="14"/>
      <c r="B337" s="11" t="s">
        <v>22</v>
      </c>
      <c r="C337" s="12">
        <v>1</v>
      </c>
      <c r="D337" s="13">
        <v>9000</v>
      </c>
      <c r="E337" s="39">
        <f t="shared" si="6"/>
        <v>9000</v>
      </c>
      <c r="F337" s="19"/>
      <c r="G337" s="18"/>
    </row>
    <row r="338" s="2" customFormat="1" spans="1:7">
      <c r="A338" s="14"/>
      <c r="B338" s="11" t="s">
        <v>56</v>
      </c>
      <c r="C338" s="12">
        <v>1</v>
      </c>
      <c r="D338" s="13">
        <v>25000</v>
      </c>
      <c r="E338" s="39">
        <f t="shared" si="6"/>
        <v>25000</v>
      </c>
      <c r="F338" s="19"/>
      <c r="G338" s="18"/>
    </row>
    <row r="339" s="2" customFormat="1" spans="1:7">
      <c r="A339" s="14"/>
      <c r="B339" s="11" t="s">
        <v>9</v>
      </c>
      <c r="C339" s="12">
        <v>0.5</v>
      </c>
      <c r="D339" s="13">
        <v>83000</v>
      </c>
      <c r="E339" s="39">
        <f t="shared" si="6"/>
        <v>41500</v>
      </c>
      <c r="F339" s="19"/>
      <c r="G339" s="18"/>
    </row>
    <row r="340" s="2" customFormat="1" spans="1:7">
      <c r="A340" s="14"/>
      <c r="B340" s="11" t="s">
        <v>57</v>
      </c>
      <c r="C340" s="12">
        <v>0.5</v>
      </c>
      <c r="D340" s="13">
        <v>94000</v>
      </c>
      <c r="E340" s="39">
        <f t="shared" si="6"/>
        <v>47000</v>
      </c>
      <c r="F340" s="19"/>
      <c r="G340" s="18"/>
    </row>
    <row r="341" s="2" customFormat="1" spans="1:7">
      <c r="A341" s="14"/>
      <c r="B341" s="11" t="s">
        <v>89</v>
      </c>
      <c r="C341" s="12">
        <v>0.5</v>
      </c>
      <c r="D341" s="13">
        <v>72000</v>
      </c>
      <c r="E341" s="39">
        <f t="shared" si="6"/>
        <v>36000</v>
      </c>
      <c r="F341" s="19"/>
      <c r="G341" s="18"/>
    </row>
    <row r="342" s="2" customFormat="1" spans="1:7">
      <c r="A342" s="14"/>
      <c r="B342" s="11" t="s">
        <v>24</v>
      </c>
      <c r="C342" s="12">
        <v>2</v>
      </c>
      <c r="D342" s="13">
        <v>28000</v>
      </c>
      <c r="E342" s="39">
        <f t="shared" si="6"/>
        <v>56000</v>
      </c>
      <c r="F342" s="19"/>
      <c r="G342" s="18"/>
    </row>
    <row r="343" s="2" customFormat="1" spans="1:7">
      <c r="A343" s="14"/>
      <c r="B343" s="11" t="s">
        <v>119</v>
      </c>
      <c r="C343" s="12">
        <v>0.3</v>
      </c>
      <c r="D343" s="13">
        <v>72000</v>
      </c>
      <c r="E343" s="39">
        <f t="shared" si="6"/>
        <v>21600</v>
      </c>
      <c r="F343" s="19"/>
      <c r="G343" s="18"/>
    </row>
    <row r="344" s="2" customFormat="1" spans="1:7">
      <c r="A344" s="14"/>
      <c r="B344" s="11" t="s">
        <v>118</v>
      </c>
      <c r="C344" s="12">
        <v>0.3</v>
      </c>
      <c r="D344" s="13">
        <v>90000</v>
      </c>
      <c r="E344" s="39">
        <f t="shared" si="6"/>
        <v>27000</v>
      </c>
      <c r="F344" s="19"/>
      <c r="G344" s="18"/>
    </row>
    <row r="345" s="2" customFormat="1" spans="1:7">
      <c r="A345" s="14"/>
      <c r="B345" s="11" t="s">
        <v>26</v>
      </c>
      <c r="C345" s="12">
        <v>3</v>
      </c>
      <c r="D345" s="13">
        <v>66000</v>
      </c>
      <c r="E345" s="39">
        <f t="shared" si="6"/>
        <v>198000</v>
      </c>
      <c r="F345" s="19"/>
      <c r="G345" s="18"/>
    </row>
    <row r="346" s="2" customFormat="1" spans="1:7">
      <c r="A346" s="14"/>
      <c r="B346" s="11" t="s">
        <v>28</v>
      </c>
      <c r="C346" s="12">
        <v>7</v>
      </c>
      <c r="D346" s="13">
        <v>24000</v>
      </c>
      <c r="E346" s="39">
        <f t="shared" si="6"/>
        <v>168000</v>
      </c>
      <c r="F346" s="19"/>
      <c r="G346" s="18"/>
    </row>
    <row r="347" s="2" customFormat="1" spans="1:7">
      <c r="A347" s="14"/>
      <c r="B347" s="11" t="s">
        <v>10</v>
      </c>
      <c r="C347" s="12">
        <v>3</v>
      </c>
      <c r="D347" s="13">
        <v>25000</v>
      </c>
      <c r="E347" s="39">
        <f t="shared" si="6"/>
        <v>75000</v>
      </c>
      <c r="F347" s="19"/>
      <c r="G347" s="18"/>
    </row>
    <row r="348" s="2" customFormat="1" spans="1:7">
      <c r="A348" s="14"/>
      <c r="B348" s="11" t="s">
        <v>36</v>
      </c>
      <c r="C348" s="12">
        <v>2</v>
      </c>
      <c r="D348" s="13">
        <v>75000</v>
      </c>
      <c r="E348" s="39">
        <f t="shared" si="6"/>
        <v>150000</v>
      </c>
      <c r="F348" s="19"/>
      <c r="G348" s="18"/>
    </row>
    <row r="349" s="2" customFormat="1" spans="1:7">
      <c r="A349" s="14"/>
      <c r="B349" s="11" t="s">
        <v>43</v>
      </c>
      <c r="C349" s="12">
        <v>2</v>
      </c>
      <c r="D349" s="13">
        <v>30000</v>
      </c>
      <c r="E349" s="39">
        <f t="shared" si="6"/>
        <v>60000</v>
      </c>
      <c r="F349" s="19"/>
      <c r="G349" s="18"/>
    </row>
    <row r="350" s="2" customFormat="1" spans="1:7">
      <c r="A350" s="14"/>
      <c r="B350" s="11" t="s">
        <v>125</v>
      </c>
      <c r="C350" s="12">
        <v>1</v>
      </c>
      <c r="D350" s="13">
        <v>180000</v>
      </c>
      <c r="E350" s="39">
        <f t="shared" si="6"/>
        <v>180000</v>
      </c>
      <c r="F350" s="19"/>
      <c r="G350" s="18"/>
    </row>
    <row r="351" s="2" customFormat="1" spans="1:7">
      <c r="A351" s="14"/>
      <c r="B351" s="11" t="s">
        <v>32</v>
      </c>
      <c r="C351" s="12">
        <v>1</v>
      </c>
      <c r="D351" s="13">
        <v>39000</v>
      </c>
      <c r="E351" s="39">
        <f t="shared" si="6"/>
        <v>39000</v>
      </c>
      <c r="F351" s="19"/>
      <c r="G351" s="18"/>
    </row>
    <row r="352" s="2" customFormat="1" spans="1:7">
      <c r="A352" s="14"/>
      <c r="B352" s="11" t="s">
        <v>126</v>
      </c>
      <c r="C352" s="12">
        <v>2</v>
      </c>
      <c r="D352" s="13">
        <v>170000</v>
      </c>
      <c r="E352" s="39">
        <f t="shared" si="6"/>
        <v>340000</v>
      </c>
      <c r="F352" s="19"/>
      <c r="G352" s="18"/>
    </row>
    <row r="353" s="2" customFormat="1" spans="1:7">
      <c r="A353" s="14"/>
      <c r="B353" s="11" t="s">
        <v>127</v>
      </c>
      <c r="C353" s="12">
        <v>2</v>
      </c>
      <c r="D353" s="13">
        <v>40000</v>
      </c>
      <c r="E353" s="39">
        <f t="shared" si="6"/>
        <v>80000</v>
      </c>
      <c r="F353" s="19"/>
      <c r="G353" s="18"/>
    </row>
    <row r="354" s="2" customFormat="1" spans="1:7">
      <c r="A354" s="14"/>
      <c r="B354" s="11" t="s">
        <v>44</v>
      </c>
      <c r="C354" s="12">
        <v>1</v>
      </c>
      <c r="D354" s="13">
        <v>450000</v>
      </c>
      <c r="E354" s="39">
        <f t="shared" si="6"/>
        <v>450000</v>
      </c>
      <c r="F354" s="19"/>
      <c r="G354" s="18"/>
    </row>
    <row r="355" s="2" customFormat="1" spans="1:7">
      <c r="A355" s="14"/>
      <c r="B355" s="11" t="s">
        <v>116</v>
      </c>
      <c r="C355" s="12">
        <v>2</v>
      </c>
      <c r="D355" s="13">
        <v>30000</v>
      </c>
      <c r="E355" s="39">
        <f t="shared" si="6"/>
        <v>60000</v>
      </c>
      <c r="F355" s="19"/>
      <c r="G355" s="18"/>
    </row>
    <row r="356" s="2" customFormat="1" spans="1:7">
      <c r="A356" s="14"/>
      <c r="B356" s="11" t="s">
        <v>23</v>
      </c>
      <c r="C356" s="12">
        <v>0.5</v>
      </c>
      <c r="D356" s="13">
        <v>70000</v>
      </c>
      <c r="E356" s="39">
        <f t="shared" si="6"/>
        <v>35000</v>
      </c>
      <c r="F356" s="19"/>
      <c r="G356" s="18"/>
    </row>
    <row r="357" s="2" customFormat="1" spans="1:7">
      <c r="A357" s="15"/>
      <c r="B357" s="11" t="s">
        <v>110</v>
      </c>
      <c r="C357" s="12">
        <v>1</v>
      </c>
      <c r="D357" s="13">
        <v>70000</v>
      </c>
      <c r="E357" s="39">
        <f t="shared" si="6"/>
        <v>70000</v>
      </c>
      <c r="F357" s="25"/>
      <c r="G357" s="18"/>
    </row>
    <row r="358" s="2" customFormat="1" spans="1:7">
      <c r="A358" s="10">
        <v>46010</v>
      </c>
      <c r="B358" s="11" t="s">
        <v>66</v>
      </c>
      <c r="C358" s="12">
        <v>0.5</v>
      </c>
      <c r="D358" s="13">
        <v>80000</v>
      </c>
      <c r="E358" s="39">
        <f t="shared" si="6"/>
        <v>40000</v>
      </c>
      <c r="F358" s="17">
        <f>SUM(E358:E365)</f>
        <v>343000</v>
      </c>
      <c r="G358" s="18"/>
    </row>
    <row r="359" s="2" customFormat="1" spans="1:7">
      <c r="A359" s="14"/>
      <c r="B359" s="11" t="s">
        <v>52</v>
      </c>
      <c r="C359" s="12">
        <v>0.2</v>
      </c>
      <c r="D359" s="13">
        <v>120000</v>
      </c>
      <c r="E359" s="39">
        <f t="shared" si="6"/>
        <v>24000</v>
      </c>
      <c r="F359" s="19"/>
      <c r="G359" s="18"/>
    </row>
    <row r="360" s="2" customFormat="1" spans="1:7">
      <c r="A360" s="14"/>
      <c r="B360" s="11" t="s">
        <v>61</v>
      </c>
      <c r="C360" s="12">
        <v>0.5</v>
      </c>
      <c r="D360" s="13">
        <v>50000</v>
      </c>
      <c r="E360" s="39">
        <f t="shared" si="6"/>
        <v>25000</v>
      </c>
      <c r="F360" s="19"/>
      <c r="G360" s="18"/>
    </row>
    <row r="361" s="2" customFormat="1" spans="1:7">
      <c r="A361" s="14"/>
      <c r="B361" s="11" t="s">
        <v>62</v>
      </c>
      <c r="C361" s="12">
        <v>0.5</v>
      </c>
      <c r="D361" s="13">
        <v>61000</v>
      </c>
      <c r="E361" s="39">
        <f t="shared" si="6"/>
        <v>30500</v>
      </c>
      <c r="F361" s="19"/>
      <c r="G361" s="18"/>
    </row>
    <row r="362" s="2" customFormat="1" spans="1:7">
      <c r="A362" s="14"/>
      <c r="B362" s="11" t="s">
        <v>64</v>
      </c>
      <c r="C362" s="12">
        <v>25</v>
      </c>
      <c r="D362" s="13">
        <v>800</v>
      </c>
      <c r="E362" s="39">
        <f t="shared" si="6"/>
        <v>20000</v>
      </c>
      <c r="F362" s="19"/>
      <c r="G362" s="18"/>
    </row>
    <row r="363" s="2" customFormat="1" spans="1:7">
      <c r="A363" s="14"/>
      <c r="B363" s="11" t="s">
        <v>17</v>
      </c>
      <c r="C363" s="12">
        <v>1.5</v>
      </c>
      <c r="D363" s="13">
        <v>39000</v>
      </c>
      <c r="E363" s="39">
        <f t="shared" si="6"/>
        <v>58500</v>
      </c>
      <c r="F363" s="19"/>
      <c r="G363" s="18"/>
    </row>
    <row r="364" s="2" customFormat="1" spans="1:7">
      <c r="A364" s="14"/>
      <c r="B364" s="11" t="s">
        <v>19</v>
      </c>
      <c r="C364" s="12">
        <v>1</v>
      </c>
      <c r="D364" s="13">
        <v>45000</v>
      </c>
      <c r="E364" s="39">
        <f t="shared" si="6"/>
        <v>45000</v>
      </c>
      <c r="F364" s="19"/>
      <c r="G364" s="18"/>
    </row>
    <row r="365" s="2" customFormat="1" spans="1:7">
      <c r="A365" s="15"/>
      <c r="B365" s="11" t="s">
        <v>97</v>
      </c>
      <c r="C365" s="12">
        <v>5</v>
      </c>
      <c r="D365" s="13">
        <v>20000</v>
      </c>
      <c r="E365" s="39">
        <f t="shared" si="6"/>
        <v>100000</v>
      </c>
      <c r="F365" s="25"/>
      <c r="G365" s="18"/>
    </row>
    <row r="366" s="2" customFormat="1" spans="1:7">
      <c r="A366" s="10">
        <v>46011</v>
      </c>
      <c r="B366" s="11" t="s">
        <v>26</v>
      </c>
      <c r="C366" s="12">
        <v>3</v>
      </c>
      <c r="D366" s="13">
        <v>66000</v>
      </c>
      <c r="E366" s="39">
        <f t="shared" si="6"/>
        <v>198000</v>
      </c>
      <c r="F366" s="17">
        <f>SUM(E366:E386)</f>
        <v>1297500</v>
      </c>
      <c r="G366" s="18"/>
    </row>
    <row r="367" s="2" customFormat="1" spans="1:7">
      <c r="A367" s="14"/>
      <c r="B367" s="11" t="s">
        <v>32</v>
      </c>
      <c r="C367" s="12">
        <v>1</v>
      </c>
      <c r="D367" s="13">
        <v>39000</v>
      </c>
      <c r="E367" s="39">
        <f t="shared" si="6"/>
        <v>39000</v>
      </c>
      <c r="F367" s="19"/>
      <c r="G367" s="18"/>
    </row>
    <row r="368" s="2" customFormat="1" spans="1:7">
      <c r="A368" s="14"/>
      <c r="B368" s="11" t="s">
        <v>30</v>
      </c>
      <c r="C368" s="12">
        <v>5</v>
      </c>
      <c r="D368" s="13">
        <v>20000</v>
      </c>
      <c r="E368" s="39">
        <f t="shared" si="6"/>
        <v>100000</v>
      </c>
      <c r="F368" s="19"/>
      <c r="G368" s="18"/>
    </row>
    <row r="369" s="2" customFormat="1" spans="1:7">
      <c r="A369" s="14"/>
      <c r="B369" s="11" t="s">
        <v>28</v>
      </c>
      <c r="C369" s="12">
        <v>5</v>
      </c>
      <c r="D369" s="13">
        <v>24000</v>
      </c>
      <c r="E369" s="39">
        <f t="shared" si="6"/>
        <v>120000</v>
      </c>
      <c r="F369" s="19"/>
      <c r="G369" s="18"/>
    </row>
    <row r="370" s="2" customFormat="1" spans="1:7">
      <c r="A370" s="14"/>
      <c r="B370" s="11" t="s">
        <v>10</v>
      </c>
      <c r="C370" s="12">
        <v>2.3</v>
      </c>
      <c r="D370" s="13">
        <v>25000</v>
      </c>
      <c r="E370" s="39">
        <f t="shared" si="6"/>
        <v>57500</v>
      </c>
      <c r="F370" s="19"/>
      <c r="G370" s="18"/>
    </row>
    <row r="371" s="2" customFormat="1" spans="1:7">
      <c r="A371" s="14"/>
      <c r="B371" s="11" t="s">
        <v>99</v>
      </c>
      <c r="C371" s="12">
        <v>2</v>
      </c>
      <c r="D371" s="13">
        <v>45000</v>
      </c>
      <c r="E371" s="39">
        <f t="shared" si="6"/>
        <v>90000</v>
      </c>
      <c r="F371" s="19"/>
      <c r="G371" s="18"/>
    </row>
    <row r="372" s="2" customFormat="1" spans="1:7">
      <c r="A372" s="14"/>
      <c r="B372" s="11" t="s">
        <v>27</v>
      </c>
      <c r="C372" s="12">
        <v>1</v>
      </c>
      <c r="D372" s="13">
        <v>83000</v>
      </c>
      <c r="E372" s="39">
        <f t="shared" si="6"/>
        <v>83000</v>
      </c>
      <c r="F372" s="19"/>
      <c r="G372" s="18"/>
    </row>
    <row r="373" s="2" customFormat="1" spans="1:7">
      <c r="A373" s="14"/>
      <c r="B373" s="11" t="s">
        <v>35</v>
      </c>
      <c r="C373" s="12">
        <v>1</v>
      </c>
      <c r="D373" s="13">
        <v>31000</v>
      </c>
      <c r="E373" s="39">
        <f t="shared" si="6"/>
        <v>31000</v>
      </c>
      <c r="F373" s="19"/>
      <c r="G373" s="18"/>
    </row>
    <row r="374" s="2" customFormat="1" spans="1:7">
      <c r="A374" s="14"/>
      <c r="B374" s="11" t="s">
        <v>33</v>
      </c>
      <c r="C374" s="12">
        <v>1</v>
      </c>
      <c r="D374" s="13">
        <v>17000</v>
      </c>
      <c r="E374" s="39">
        <f t="shared" si="6"/>
        <v>17000</v>
      </c>
      <c r="F374" s="19"/>
      <c r="G374" s="18"/>
    </row>
    <row r="375" s="2" customFormat="1" spans="1:7">
      <c r="A375" s="14"/>
      <c r="B375" s="11" t="s">
        <v>56</v>
      </c>
      <c r="C375" s="12">
        <v>1.5</v>
      </c>
      <c r="D375" s="13">
        <v>25000</v>
      </c>
      <c r="E375" s="39">
        <f t="shared" si="6"/>
        <v>37500</v>
      </c>
      <c r="F375" s="19"/>
      <c r="G375" s="18"/>
    </row>
    <row r="376" s="2" customFormat="1" spans="1:7">
      <c r="A376" s="14"/>
      <c r="B376" s="11" t="s">
        <v>103</v>
      </c>
      <c r="C376" s="12">
        <v>1</v>
      </c>
      <c r="D376" s="13">
        <v>200000</v>
      </c>
      <c r="E376" s="39">
        <f t="shared" si="6"/>
        <v>200000</v>
      </c>
      <c r="F376" s="19"/>
      <c r="G376" s="18"/>
    </row>
    <row r="377" s="2" customFormat="1" spans="1:7">
      <c r="A377" s="14"/>
      <c r="B377" s="11" t="s">
        <v>82</v>
      </c>
      <c r="C377" s="12">
        <v>0.1</v>
      </c>
      <c r="D377" s="13">
        <v>39000</v>
      </c>
      <c r="E377" s="39">
        <f t="shared" si="6"/>
        <v>3900</v>
      </c>
      <c r="F377" s="19"/>
      <c r="G377" s="18"/>
    </row>
    <row r="378" s="2" customFormat="1" spans="1:7">
      <c r="A378" s="14"/>
      <c r="B378" s="11" t="s">
        <v>61</v>
      </c>
      <c r="C378" s="12">
        <v>0.5</v>
      </c>
      <c r="D378" s="13">
        <v>50000</v>
      </c>
      <c r="E378" s="39">
        <f t="shared" si="6"/>
        <v>25000</v>
      </c>
      <c r="F378" s="19"/>
      <c r="G378" s="18"/>
    </row>
    <row r="379" s="2" customFormat="1" spans="1:7">
      <c r="A379" s="14"/>
      <c r="B379" s="11" t="s">
        <v>62</v>
      </c>
      <c r="C379" s="12">
        <v>0.5</v>
      </c>
      <c r="D379" s="13">
        <v>61000</v>
      </c>
      <c r="E379" s="39">
        <f t="shared" si="6"/>
        <v>30500</v>
      </c>
      <c r="F379" s="19"/>
      <c r="G379" s="18"/>
    </row>
    <row r="380" s="2" customFormat="1" spans="1:7">
      <c r="A380" s="14"/>
      <c r="B380" s="11" t="s">
        <v>115</v>
      </c>
      <c r="C380" s="12">
        <v>1</v>
      </c>
      <c r="D380" s="13">
        <v>70000</v>
      </c>
      <c r="E380" s="39">
        <f t="shared" si="6"/>
        <v>70000</v>
      </c>
      <c r="F380" s="19"/>
      <c r="G380" s="18"/>
    </row>
    <row r="381" s="2" customFormat="1" spans="1:7">
      <c r="A381" s="14"/>
      <c r="B381" s="11" t="s">
        <v>128</v>
      </c>
      <c r="C381" s="12">
        <v>0.3</v>
      </c>
      <c r="D381" s="13">
        <v>110000</v>
      </c>
      <c r="E381" s="39">
        <f t="shared" si="6"/>
        <v>33000</v>
      </c>
      <c r="F381" s="19"/>
      <c r="G381" s="18"/>
    </row>
    <row r="382" s="2" customFormat="1" spans="1:7">
      <c r="A382" s="14"/>
      <c r="B382" s="11" t="s">
        <v>52</v>
      </c>
      <c r="C382" s="12">
        <v>0.2</v>
      </c>
      <c r="D382" s="13">
        <v>120000</v>
      </c>
      <c r="E382" s="39">
        <f t="shared" si="6"/>
        <v>24000</v>
      </c>
      <c r="F382" s="19"/>
      <c r="G382" s="18"/>
    </row>
    <row r="383" s="2" customFormat="1" spans="1:7">
      <c r="A383" s="14"/>
      <c r="B383" s="11" t="s">
        <v>66</v>
      </c>
      <c r="C383" s="12">
        <v>0.5</v>
      </c>
      <c r="D383" s="13">
        <v>70000</v>
      </c>
      <c r="E383" s="39">
        <f t="shared" si="6"/>
        <v>35000</v>
      </c>
      <c r="F383" s="19"/>
      <c r="G383" s="18"/>
    </row>
    <row r="384" s="2" customFormat="1" spans="1:7">
      <c r="A384" s="14"/>
      <c r="B384" s="11" t="s">
        <v>21</v>
      </c>
      <c r="C384" s="12">
        <v>0.2</v>
      </c>
      <c r="D384" s="13">
        <v>28000</v>
      </c>
      <c r="E384" s="39">
        <f t="shared" si="6"/>
        <v>5600</v>
      </c>
      <c r="F384" s="19"/>
      <c r="G384" s="50"/>
    </row>
    <row r="385" s="2" customFormat="1" spans="1:7">
      <c r="A385" s="14"/>
      <c r="B385" s="11" t="s">
        <v>16</v>
      </c>
      <c r="C385" s="12">
        <v>1.5</v>
      </c>
      <c r="D385" s="13">
        <v>39000</v>
      </c>
      <c r="E385" s="39">
        <f t="shared" si="6"/>
        <v>58500</v>
      </c>
      <c r="F385" s="19"/>
      <c r="G385" s="18"/>
    </row>
    <row r="386" s="2" customFormat="1" spans="1:7">
      <c r="A386" s="15"/>
      <c r="B386" s="11" t="s">
        <v>17</v>
      </c>
      <c r="C386" s="12">
        <v>1</v>
      </c>
      <c r="D386" s="13">
        <v>39000</v>
      </c>
      <c r="E386" s="39">
        <f t="shared" si="6"/>
        <v>39000</v>
      </c>
      <c r="F386" s="25"/>
      <c r="G386" s="18"/>
    </row>
    <row r="387" s="2" customFormat="1" spans="1:7">
      <c r="A387" s="29">
        <v>46011</v>
      </c>
      <c r="B387" s="11" t="s">
        <v>18</v>
      </c>
      <c r="C387" s="12">
        <v>1</v>
      </c>
      <c r="D387" s="13">
        <v>40000</v>
      </c>
      <c r="E387" s="39">
        <f t="shared" ref="E387:E450" si="7">D387*C387</f>
        <v>40000</v>
      </c>
      <c r="F387" s="41">
        <f>SUM(E387)</f>
        <v>40000</v>
      </c>
      <c r="G387" s="18"/>
    </row>
    <row r="388" s="2" customFormat="1" spans="1:7">
      <c r="A388" s="10">
        <v>46012</v>
      </c>
      <c r="B388" s="11" t="s">
        <v>32</v>
      </c>
      <c r="C388" s="12">
        <v>1.5</v>
      </c>
      <c r="D388" s="13">
        <v>39000</v>
      </c>
      <c r="E388" s="39">
        <f t="shared" si="7"/>
        <v>58500</v>
      </c>
      <c r="F388" s="17">
        <f>SUM(E388:E409)</f>
        <v>1300600</v>
      </c>
      <c r="G388" s="18"/>
    </row>
    <row r="389" s="2" customFormat="1" spans="1:7">
      <c r="A389" s="14"/>
      <c r="B389" s="11" t="s">
        <v>28</v>
      </c>
      <c r="C389" s="12">
        <v>5</v>
      </c>
      <c r="D389" s="13">
        <v>22000</v>
      </c>
      <c r="E389" s="39">
        <f t="shared" si="7"/>
        <v>110000</v>
      </c>
      <c r="F389" s="19"/>
      <c r="G389" s="18"/>
    </row>
    <row r="390" s="2" customFormat="1" spans="1:7">
      <c r="A390" s="14"/>
      <c r="B390" s="11" t="s">
        <v>26</v>
      </c>
      <c r="C390" s="12">
        <v>3</v>
      </c>
      <c r="D390" s="13">
        <v>66000</v>
      </c>
      <c r="E390" s="39">
        <f t="shared" si="7"/>
        <v>198000</v>
      </c>
      <c r="F390" s="19"/>
      <c r="G390" s="18"/>
    </row>
    <row r="391" s="2" customFormat="1" spans="1:7">
      <c r="A391" s="14"/>
      <c r="B391" s="11" t="s">
        <v>107</v>
      </c>
      <c r="C391" s="12">
        <v>2.9</v>
      </c>
      <c r="D391" s="13">
        <v>25000</v>
      </c>
      <c r="E391" s="39">
        <f t="shared" si="7"/>
        <v>72500</v>
      </c>
      <c r="F391" s="19"/>
      <c r="G391" s="18"/>
    </row>
    <row r="392" s="2" customFormat="1" spans="1:7">
      <c r="A392" s="14"/>
      <c r="B392" s="11" t="s">
        <v>124</v>
      </c>
      <c r="C392" s="12">
        <v>2</v>
      </c>
      <c r="D392" s="13">
        <v>25000</v>
      </c>
      <c r="E392" s="39">
        <f t="shared" si="7"/>
        <v>50000</v>
      </c>
      <c r="F392" s="19"/>
      <c r="G392" s="18"/>
    </row>
    <row r="393" s="2" customFormat="1" spans="1:7">
      <c r="A393" s="14"/>
      <c r="B393" s="11" t="s">
        <v>102</v>
      </c>
      <c r="C393" s="12">
        <v>0.5</v>
      </c>
      <c r="D393" s="13">
        <v>120000</v>
      </c>
      <c r="E393" s="39">
        <f t="shared" si="7"/>
        <v>60000</v>
      </c>
      <c r="F393" s="19"/>
      <c r="G393" s="18"/>
    </row>
    <row r="394" s="2" customFormat="1" spans="1:7">
      <c r="A394" s="14"/>
      <c r="B394" s="11" t="s">
        <v>101</v>
      </c>
      <c r="C394" s="12">
        <v>0.5</v>
      </c>
      <c r="D394" s="13">
        <v>140000</v>
      </c>
      <c r="E394" s="39">
        <f t="shared" si="7"/>
        <v>70000</v>
      </c>
      <c r="F394" s="19"/>
      <c r="G394" s="18"/>
    </row>
    <row r="395" s="2" customFormat="1" spans="1:7">
      <c r="A395" s="14"/>
      <c r="B395" s="11" t="s">
        <v>24</v>
      </c>
      <c r="C395" s="12">
        <v>2.2</v>
      </c>
      <c r="D395" s="13">
        <v>28000</v>
      </c>
      <c r="E395" s="39">
        <f t="shared" si="7"/>
        <v>61600</v>
      </c>
      <c r="F395" s="19"/>
      <c r="G395" s="18"/>
    </row>
    <row r="396" s="2" customFormat="1" spans="1:7">
      <c r="A396" s="14"/>
      <c r="B396" s="11" t="s">
        <v>9</v>
      </c>
      <c r="C396" s="12">
        <v>0.5</v>
      </c>
      <c r="D396" s="13">
        <v>83000</v>
      </c>
      <c r="E396" s="39">
        <f t="shared" si="7"/>
        <v>41500</v>
      </c>
      <c r="F396" s="19"/>
      <c r="G396" s="18"/>
    </row>
    <row r="397" s="2" customFormat="1" spans="1:7">
      <c r="A397" s="14"/>
      <c r="B397" s="11" t="s">
        <v>93</v>
      </c>
      <c r="C397" s="12">
        <v>1</v>
      </c>
      <c r="D397" s="13">
        <v>50000</v>
      </c>
      <c r="E397" s="39">
        <f t="shared" si="7"/>
        <v>50000</v>
      </c>
      <c r="F397" s="19"/>
      <c r="G397" s="18"/>
    </row>
    <row r="398" s="2" customFormat="1" spans="1:7">
      <c r="A398" s="14"/>
      <c r="B398" s="11" t="s">
        <v>129</v>
      </c>
      <c r="C398" s="12">
        <v>2</v>
      </c>
      <c r="D398" s="13">
        <v>75000</v>
      </c>
      <c r="E398" s="39">
        <f t="shared" si="7"/>
        <v>150000</v>
      </c>
      <c r="F398" s="19"/>
      <c r="G398" s="18"/>
    </row>
    <row r="399" s="2" customFormat="1" spans="1:7">
      <c r="A399" s="14"/>
      <c r="B399" s="11" t="s">
        <v>90</v>
      </c>
      <c r="C399" s="12">
        <v>1</v>
      </c>
      <c r="D399" s="13">
        <v>55000</v>
      </c>
      <c r="E399" s="39">
        <f t="shared" si="7"/>
        <v>55000</v>
      </c>
      <c r="F399" s="19"/>
      <c r="G399" s="18"/>
    </row>
    <row r="400" s="2" customFormat="1" spans="1:7">
      <c r="A400" s="14"/>
      <c r="B400" s="11" t="s">
        <v>59</v>
      </c>
      <c r="C400" s="12">
        <v>0.1</v>
      </c>
      <c r="D400" s="13">
        <v>88000</v>
      </c>
      <c r="E400" s="39">
        <f t="shared" si="7"/>
        <v>8800</v>
      </c>
      <c r="F400" s="19"/>
      <c r="G400" s="18"/>
    </row>
    <row r="401" s="2" customFormat="1" spans="1:7">
      <c r="A401" s="14"/>
      <c r="B401" s="11" t="s">
        <v>60</v>
      </c>
      <c r="C401" s="12">
        <v>0.1</v>
      </c>
      <c r="D401" s="13">
        <v>72000</v>
      </c>
      <c r="E401" s="39">
        <f t="shared" si="7"/>
        <v>7200</v>
      </c>
      <c r="F401" s="19"/>
      <c r="G401" s="18"/>
    </row>
    <row r="402" s="2" customFormat="1" spans="1:7">
      <c r="A402" s="14"/>
      <c r="B402" s="11" t="s">
        <v>16</v>
      </c>
      <c r="C402" s="12">
        <v>1</v>
      </c>
      <c r="D402" s="13">
        <v>39000</v>
      </c>
      <c r="E402" s="39">
        <f t="shared" si="7"/>
        <v>39000</v>
      </c>
      <c r="F402" s="19"/>
      <c r="G402" s="18"/>
    </row>
    <row r="403" s="2" customFormat="1" spans="1:7">
      <c r="A403" s="14"/>
      <c r="B403" s="11" t="s">
        <v>17</v>
      </c>
      <c r="C403" s="12">
        <v>1</v>
      </c>
      <c r="D403" s="13">
        <v>39000</v>
      </c>
      <c r="E403" s="39">
        <f t="shared" si="7"/>
        <v>39000</v>
      </c>
      <c r="F403" s="19"/>
      <c r="G403" s="18"/>
    </row>
    <row r="404" s="2" customFormat="1" spans="1:7">
      <c r="A404" s="14"/>
      <c r="B404" s="11" t="s">
        <v>27</v>
      </c>
      <c r="C404" s="12">
        <v>1</v>
      </c>
      <c r="D404" s="13">
        <v>83000</v>
      </c>
      <c r="E404" s="39">
        <f t="shared" si="7"/>
        <v>83000</v>
      </c>
      <c r="F404" s="19"/>
      <c r="G404" s="18"/>
    </row>
    <row r="405" s="2" customFormat="1" spans="1:7">
      <c r="A405" s="14"/>
      <c r="B405" s="11" t="s">
        <v>45</v>
      </c>
      <c r="C405" s="12">
        <v>2</v>
      </c>
      <c r="D405" s="13">
        <v>10000</v>
      </c>
      <c r="E405" s="39">
        <f t="shared" si="7"/>
        <v>20000</v>
      </c>
      <c r="F405" s="19"/>
      <c r="G405" s="18"/>
    </row>
    <row r="406" s="2" customFormat="1" spans="1:7">
      <c r="A406" s="14"/>
      <c r="B406" s="11" t="s">
        <v>61</v>
      </c>
      <c r="C406" s="12">
        <v>0.5</v>
      </c>
      <c r="D406" s="13">
        <v>50000</v>
      </c>
      <c r="E406" s="39">
        <f t="shared" si="7"/>
        <v>25000</v>
      </c>
      <c r="F406" s="19"/>
      <c r="G406" s="18"/>
    </row>
    <row r="407" s="2" customFormat="1" spans="1:7">
      <c r="A407" s="14"/>
      <c r="B407" s="11" t="s">
        <v>62</v>
      </c>
      <c r="C407" s="12">
        <v>0.5</v>
      </c>
      <c r="D407" s="13">
        <v>61000</v>
      </c>
      <c r="E407" s="39">
        <f t="shared" si="7"/>
        <v>30500</v>
      </c>
      <c r="F407" s="19"/>
      <c r="G407" s="18"/>
    </row>
    <row r="408" s="2" customFormat="1" spans="1:7">
      <c r="A408" s="14"/>
      <c r="B408" s="11" t="s">
        <v>113</v>
      </c>
      <c r="C408" s="12">
        <v>0.5</v>
      </c>
      <c r="D408" s="13">
        <v>70000</v>
      </c>
      <c r="E408" s="39">
        <f t="shared" si="7"/>
        <v>35000</v>
      </c>
      <c r="F408" s="19"/>
      <c r="G408" s="18"/>
    </row>
    <row r="409" s="2" customFormat="1" spans="1:7">
      <c r="A409" s="15"/>
      <c r="B409" s="11" t="s">
        <v>130</v>
      </c>
      <c r="C409" s="12">
        <v>0.3</v>
      </c>
      <c r="D409" s="13">
        <v>120000</v>
      </c>
      <c r="E409" s="39">
        <f t="shared" si="7"/>
        <v>36000</v>
      </c>
      <c r="F409" s="25"/>
      <c r="G409" s="18"/>
    </row>
    <row r="410" s="2" customFormat="1" spans="1:7">
      <c r="A410" s="29">
        <v>46012</v>
      </c>
      <c r="B410" s="11" t="s">
        <v>52</v>
      </c>
      <c r="C410" s="12">
        <v>0.2</v>
      </c>
      <c r="D410" s="13">
        <v>120000</v>
      </c>
      <c r="E410" s="39">
        <f t="shared" si="7"/>
        <v>24000</v>
      </c>
      <c r="F410" s="41">
        <f>SUM(E410)</f>
        <v>24000</v>
      </c>
      <c r="G410" s="18"/>
    </row>
    <row r="411" s="2" customFormat="1" spans="1:7">
      <c r="A411" s="29">
        <v>46012</v>
      </c>
      <c r="B411" s="11" t="s">
        <v>53</v>
      </c>
      <c r="C411" s="12">
        <v>0.5</v>
      </c>
      <c r="D411" s="13">
        <v>60000</v>
      </c>
      <c r="E411" s="39">
        <f t="shared" si="7"/>
        <v>30000</v>
      </c>
      <c r="F411" s="41">
        <f>SUM(E411)</f>
        <v>30000</v>
      </c>
      <c r="G411" s="18"/>
    </row>
    <row r="412" s="2" customFormat="1" spans="1:7">
      <c r="A412" s="10">
        <v>46013</v>
      </c>
      <c r="B412" s="11" t="s">
        <v>62</v>
      </c>
      <c r="C412" s="12">
        <v>0.5</v>
      </c>
      <c r="D412" s="13">
        <v>61000</v>
      </c>
      <c r="E412" s="39">
        <f t="shared" si="7"/>
        <v>30500</v>
      </c>
      <c r="F412" s="17">
        <f>SUM(E412:E433)</f>
        <v>1007750</v>
      </c>
      <c r="G412" s="18"/>
    </row>
    <row r="413" s="2" customFormat="1" spans="1:7">
      <c r="A413" s="14"/>
      <c r="B413" s="11" t="s">
        <v>61</v>
      </c>
      <c r="C413" s="12">
        <v>0.5</v>
      </c>
      <c r="D413" s="13">
        <v>50000</v>
      </c>
      <c r="E413" s="39">
        <f t="shared" si="7"/>
        <v>25000</v>
      </c>
      <c r="F413" s="19"/>
      <c r="G413" s="18"/>
    </row>
    <row r="414" s="2" customFormat="1" spans="1:7">
      <c r="A414" s="14"/>
      <c r="B414" s="11" t="s">
        <v>115</v>
      </c>
      <c r="C414" s="12">
        <v>1</v>
      </c>
      <c r="D414" s="13">
        <v>70000</v>
      </c>
      <c r="E414" s="39">
        <f t="shared" si="7"/>
        <v>70000</v>
      </c>
      <c r="F414" s="19"/>
      <c r="G414" s="18"/>
    </row>
    <row r="415" s="2" customFormat="1" spans="1:7">
      <c r="A415" s="14"/>
      <c r="B415" s="11" t="s">
        <v>52</v>
      </c>
      <c r="C415" s="12">
        <v>0.2</v>
      </c>
      <c r="D415" s="13">
        <v>120000</v>
      </c>
      <c r="E415" s="39">
        <f t="shared" si="7"/>
        <v>24000</v>
      </c>
      <c r="F415" s="19"/>
      <c r="G415" s="18"/>
    </row>
    <row r="416" s="2" customFormat="1" spans="1:7">
      <c r="A416" s="14"/>
      <c r="B416" s="11" t="s">
        <v>17</v>
      </c>
      <c r="C416" s="12">
        <v>1</v>
      </c>
      <c r="D416" s="13">
        <v>39000</v>
      </c>
      <c r="E416" s="39">
        <f t="shared" si="7"/>
        <v>39000</v>
      </c>
      <c r="F416" s="19"/>
      <c r="G416" s="18"/>
    </row>
    <row r="417" s="2" customFormat="1" spans="1:7">
      <c r="A417" s="14"/>
      <c r="B417" s="11" t="s">
        <v>16</v>
      </c>
      <c r="C417" s="12">
        <v>1</v>
      </c>
      <c r="D417" s="13">
        <v>39000</v>
      </c>
      <c r="E417" s="39">
        <f t="shared" si="7"/>
        <v>39000</v>
      </c>
      <c r="F417" s="19"/>
      <c r="G417" s="18"/>
    </row>
    <row r="418" s="2" customFormat="1" spans="1:7">
      <c r="A418" s="14"/>
      <c r="B418" s="11" t="s">
        <v>69</v>
      </c>
      <c r="C418" s="12">
        <v>2</v>
      </c>
      <c r="D418" s="13">
        <v>25000</v>
      </c>
      <c r="E418" s="39">
        <f t="shared" si="7"/>
        <v>50000</v>
      </c>
      <c r="F418" s="19"/>
      <c r="G418" s="18"/>
    </row>
    <row r="419" s="2" customFormat="1" spans="1:7">
      <c r="A419" s="14"/>
      <c r="B419" s="11" t="s">
        <v>22</v>
      </c>
      <c r="C419" s="12">
        <v>1</v>
      </c>
      <c r="D419" s="13">
        <v>9000</v>
      </c>
      <c r="E419" s="39">
        <f t="shared" si="7"/>
        <v>9000</v>
      </c>
      <c r="F419" s="19"/>
      <c r="G419" s="18"/>
    </row>
    <row r="420" s="2" customFormat="1" spans="1:7">
      <c r="A420" s="14"/>
      <c r="B420" s="11" t="s">
        <v>24</v>
      </c>
      <c r="C420" s="12">
        <v>1</v>
      </c>
      <c r="D420" s="13">
        <v>28000</v>
      </c>
      <c r="E420" s="39">
        <f t="shared" si="7"/>
        <v>28000</v>
      </c>
      <c r="F420" s="19"/>
      <c r="G420" s="18"/>
    </row>
    <row r="421" s="2" customFormat="1" spans="1:7">
      <c r="A421" s="14"/>
      <c r="B421" s="11" t="s">
        <v>35</v>
      </c>
      <c r="C421" s="12">
        <v>1</v>
      </c>
      <c r="D421" s="13">
        <v>31000</v>
      </c>
      <c r="E421" s="39">
        <f t="shared" si="7"/>
        <v>31000</v>
      </c>
      <c r="F421" s="19"/>
      <c r="G421" s="18"/>
    </row>
    <row r="422" s="2" customFormat="1" spans="1:7">
      <c r="A422" s="14"/>
      <c r="B422" s="11" t="s">
        <v>89</v>
      </c>
      <c r="C422" s="12">
        <v>0.5</v>
      </c>
      <c r="D422" s="13">
        <v>72000</v>
      </c>
      <c r="E422" s="39">
        <f t="shared" si="7"/>
        <v>36000</v>
      </c>
      <c r="F422" s="19"/>
      <c r="G422" s="18"/>
    </row>
    <row r="423" s="2" customFormat="1" spans="1:7">
      <c r="A423" s="14"/>
      <c r="B423" s="11" t="s">
        <v>57</v>
      </c>
      <c r="C423" s="12">
        <v>0.5</v>
      </c>
      <c r="D423" s="13">
        <v>94000</v>
      </c>
      <c r="E423" s="39">
        <f t="shared" si="7"/>
        <v>47000</v>
      </c>
      <c r="F423" s="19"/>
      <c r="G423" s="18"/>
    </row>
    <row r="424" s="2" customFormat="1" spans="1:7">
      <c r="A424" s="14"/>
      <c r="B424" s="11" t="s">
        <v>51</v>
      </c>
      <c r="C424" s="12">
        <v>0.1</v>
      </c>
      <c r="D424" s="13">
        <v>70000</v>
      </c>
      <c r="E424" s="39">
        <f t="shared" si="7"/>
        <v>7000</v>
      </c>
      <c r="F424" s="19"/>
      <c r="G424" s="18"/>
    </row>
    <row r="425" s="2" customFormat="1" spans="1:7">
      <c r="A425" s="14"/>
      <c r="B425" s="11" t="s">
        <v>56</v>
      </c>
      <c r="C425" s="12">
        <v>2</v>
      </c>
      <c r="D425" s="13">
        <v>25000</v>
      </c>
      <c r="E425" s="39">
        <f t="shared" si="7"/>
        <v>50000</v>
      </c>
      <c r="F425" s="19"/>
      <c r="G425" s="18"/>
    </row>
    <row r="426" s="2" customFormat="1" spans="1:7">
      <c r="A426" s="14"/>
      <c r="B426" s="11" t="s">
        <v>26</v>
      </c>
      <c r="C426" s="12">
        <v>3</v>
      </c>
      <c r="D426" s="13">
        <v>66000</v>
      </c>
      <c r="E426" s="39">
        <f t="shared" si="7"/>
        <v>198000</v>
      </c>
      <c r="F426" s="19"/>
      <c r="G426" s="18"/>
    </row>
    <row r="427" s="2" customFormat="1" spans="1:7">
      <c r="A427" s="14"/>
      <c r="B427" s="11" t="s">
        <v>94</v>
      </c>
      <c r="C427" s="12">
        <v>0.1</v>
      </c>
      <c r="D427" s="13">
        <v>72000</v>
      </c>
      <c r="E427" s="39">
        <f t="shared" si="7"/>
        <v>7200</v>
      </c>
      <c r="F427" s="19"/>
      <c r="G427" s="18"/>
    </row>
    <row r="428" s="2" customFormat="1" spans="1:7">
      <c r="A428" s="14"/>
      <c r="B428" s="11" t="s">
        <v>83</v>
      </c>
      <c r="C428" s="12">
        <v>0.1</v>
      </c>
      <c r="D428" s="13">
        <v>83000</v>
      </c>
      <c r="E428" s="39">
        <f t="shared" si="7"/>
        <v>8300</v>
      </c>
      <c r="F428" s="19"/>
      <c r="G428" s="18"/>
    </row>
    <row r="429" s="2" customFormat="1" spans="1:7">
      <c r="A429" s="14"/>
      <c r="B429" s="11" t="s">
        <v>84</v>
      </c>
      <c r="C429" s="12">
        <v>0.1</v>
      </c>
      <c r="D429" s="13">
        <v>110000</v>
      </c>
      <c r="E429" s="39">
        <f t="shared" si="7"/>
        <v>11000</v>
      </c>
      <c r="F429" s="19"/>
      <c r="G429" s="18"/>
    </row>
    <row r="430" s="2" customFormat="1" spans="1:7">
      <c r="A430" s="14"/>
      <c r="B430" s="11" t="s">
        <v>32</v>
      </c>
      <c r="C430" s="12">
        <v>2</v>
      </c>
      <c r="D430" s="13">
        <v>39000</v>
      </c>
      <c r="E430" s="39">
        <f t="shared" si="7"/>
        <v>78000</v>
      </c>
      <c r="F430" s="19"/>
      <c r="G430" s="18"/>
    </row>
    <row r="431" s="2" customFormat="1" spans="1:7">
      <c r="A431" s="14"/>
      <c r="B431" s="11" t="s">
        <v>10</v>
      </c>
      <c r="C431" s="12">
        <v>3.79</v>
      </c>
      <c r="D431" s="13">
        <v>25000</v>
      </c>
      <c r="E431" s="39">
        <f t="shared" si="7"/>
        <v>94750</v>
      </c>
      <c r="F431" s="19"/>
      <c r="G431" s="18"/>
    </row>
    <row r="432" s="2" customFormat="1" spans="1:7">
      <c r="A432" s="14"/>
      <c r="B432" s="11" t="s">
        <v>28</v>
      </c>
      <c r="C432" s="12">
        <v>5</v>
      </c>
      <c r="D432" s="13">
        <v>22000</v>
      </c>
      <c r="E432" s="39">
        <f t="shared" si="7"/>
        <v>110000</v>
      </c>
      <c r="F432" s="19"/>
      <c r="G432" s="18"/>
    </row>
    <row r="433" s="2" customFormat="1" spans="1:7">
      <c r="A433" s="15"/>
      <c r="B433" s="11" t="s">
        <v>53</v>
      </c>
      <c r="C433" s="12">
        <v>0.25</v>
      </c>
      <c r="D433" s="13">
        <v>60000</v>
      </c>
      <c r="E433" s="39">
        <f t="shared" si="7"/>
        <v>15000</v>
      </c>
      <c r="F433" s="25"/>
      <c r="G433" s="18"/>
    </row>
    <row r="434" s="2" customFormat="1" spans="1:7">
      <c r="A434" s="10">
        <v>46014</v>
      </c>
      <c r="B434" s="11" t="s">
        <v>107</v>
      </c>
      <c r="C434" s="12">
        <v>2.7</v>
      </c>
      <c r="D434" s="13">
        <v>25000</v>
      </c>
      <c r="E434" s="39">
        <f t="shared" si="7"/>
        <v>67500</v>
      </c>
      <c r="F434" s="17">
        <f>SUM(E434:E455)</f>
        <v>1623100</v>
      </c>
      <c r="G434" s="18"/>
    </row>
    <row r="435" s="2" customFormat="1" spans="1:7">
      <c r="A435" s="14"/>
      <c r="B435" s="11" t="s">
        <v>40</v>
      </c>
      <c r="C435" s="12">
        <v>2</v>
      </c>
      <c r="D435" s="13">
        <v>50000</v>
      </c>
      <c r="E435" s="39">
        <f t="shared" si="7"/>
        <v>100000</v>
      </c>
      <c r="F435" s="19"/>
      <c r="G435" s="18"/>
    </row>
    <row r="436" s="2" customFormat="1" spans="1:7">
      <c r="A436" s="14"/>
      <c r="B436" s="11" t="s">
        <v>99</v>
      </c>
      <c r="C436" s="12">
        <v>2</v>
      </c>
      <c r="D436" s="13">
        <v>50000</v>
      </c>
      <c r="E436" s="39">
        <f t="shared" si="7"/>
        <v>100000</v>
      </c>
      <c r="F436" s="19"/>
      <c r="G436" s="18"/>
    </row>
    <row r="437" s="2" customFormat="1" spans="1:7">
      <c r="A437" s="14"/>
      <c r="B437" s="11" t="s">
        <v>28</v>
      </c>
      <c r="C437" s="12">
        <v>7</v>
      </c>
      <c r="D437" s="13">
        <v>24000</v>
      </c>
      <c r="E437" s="39">
        <f t="shared" si="7"/>
        <v>168000</v>
      </c>
      <c r="F437" s="19"/>
      <c r="G437" s="18"/>
    </row>
    <row r="438" s="2" customFormat="1" spans="1:7">
      <c r="A438" s="14"/>
      <c r="B438" s="11" t="s">
        <v>30</v>
      </c>
      <c r="C438" s="12">
        <v>5</v>
      </c>
      <c r="D438" s="13">
        <v>20000</v>
      </c>
      <c r="E438" s="39">
        <f t="shared" si="7"/>
        <v>100000</v>
      </c>
      <c r="F438" s="19"/>
      <c r="G438" s="18"/>
    </row>
    <row r="439" s="2" customFormat="1" spans="1:7">
      <c r="A439" s="14"/>
      <c r="B439" s="11" t="s">
        <v>26</v>
      </c>
      <c r="C439" s="12">
        <v>3</v>
      </c>
      <c r="D439" s="13">
        <v>66000</v>
      </c>
      <c r="E439" s="39">
        <f t="shared" si="7"/>
        <v>198000</v>
      </c>
      <c r="F439" s="19"/>
      <c r="G439" s="18"/>
    </row>
    <row r="440" s="2" customFormat="1" spans="1:7">
      <c r="A440" s="14"/>
      <c r="B440" s="11" t="s">
        <v>82</v>
      </c>
      <c r="C440" s="12">
        <v>0.2</v>
      </c>
      <c r="D440" s="13">
        <v>39000</v>
      </c>
      <c r="E440" s="39">
        <f t="shared" si="7"/>
        <v>7800</v>
      </c>
      <c r="F440" s="19"/>
      <c r="G440" s="18"/>
    </row>
    <row r="441" s="2" customFormat="1" spans="1:7">
      <c r="A441" s="14"/>
      <c r="B441" s="11" t="s">
        <v>51</v>
      </c>
      <c r="C441" s="12">
        <v>0.2</v>
      </c>
      <c r="D441" s="13">
        <v>70000</v>
      </c>
      <c r="E441" s="39">
        <f t="shared" si="7"/>
        <v>14000</v>
      </c>
      <c r="F441" s="19"/>
      <c r="G441" s="18"/>
    </row>
    <row r="442" s="2" customFormat="1" spans="1:7">
      <c r="A442" s="14"/>
      <c r="B442" s="11" t="s">
        <v>93</v>
      </c>
      <c r="C442" s="12">
        <v>1</v>
      </c>
      <c r="D442" s="13">
        <v>50000</v>
      </c>
      <c r="E442" s="39">
        <f t="shared" si="7"/>
        <v>50000</v>
      </c>
      <c r="F442" s="19"/>
      <c r="G442" s="18"/>
    </row>
    <row r="443" s="2" customFormat="1" spans="1:7">
      <c r="A443" s="14"/>
      <c r="B443" s="11" t="s">
        <v>24</v>
      </c>
      <c r="C443" s="12">
        <v>1</v>
      </c>
      <c r="D443" s="13">
        <v>28000</v>
      </c>
      <c r="E443" s="39">
        <f t="shared" si="7"/>
        <v>28000</v>
      </c>
      <c r="F443" s="19"/>
      <c r="G443" s="18"/>
    </row>
    <row r="444" s="2" customFormat="1" spans="1:7">
      <c r="A444" s="14"/>
      <c r="B444" s="11" t="s">
        <v>85</v>
      </c>
      <c r="C444" s="12">
        <v>2</v>
      </c>
      <c r="D444" s="13">
        <v>30000</v>
      </c>
      <c r="E444" s="39">
        <f t="shared" si="7"/>
        <v>60000</v>
      </c>
      <c r="F444" s="19"/>
      <c r="G444" s="18"/>
    </row>
    <row r="445" s="2" customFormat="1" spans="1:7">
      <c r="A445" s="14"/>
      <c r="B445" s="11" t="s">
        <v>103</v>
      </c>
      <c r="C445" s="12">
        <v>1</v>
      </c>
      <c r="D445" s="13">
        <v>200000</v>
      </c>
      <c r="E445" s="39">
        <f t="shared" si="7"/>
        <v>200000</v>
      </c>
      <c r="F445" s="19"/>
      <c r="G445" s="18"/>
    </row>
    <row r="446" s="2" customFormat="1" spans="1:7">
      <c r="A446" s="14"/>
      <c r="B446" s="11" t="s">
        <v>69</v>
      </c>
      <c r="C446" s="12">
        <v>5</v>
      </c>
      <c r="D446" s="13">
        <v>25000</v>
      </c>
      <c r="E446" s="39">
        <f t="shared" si="7"/>
        <v>125000</v>
      </c>
      <c r="F446" s="19"/>
      <c r="G446" s="18"/>
    </row>
    <row r="447" s="2" customFormat="1" spans="1:7">
      <c r="A447" s="14"/>
      <c r="B447" s="11" t="s">
        <v>37</v>
      </c>
      <c r="C447" s="12">
        <v>8.5</v>
      </c>
      <c r="D447" s="13">
        <v>15000</v>
      </c>
      <c r="E447" s="39">
        <f t="shared" si="7"/>
        <v>127500</v>
      </c>
      <c r="F447" s="19"/>
      <c r="G447" s="18"/>
    </row>
    <row r="448" s="2" customFormat="1" spans="1:7">
      <c r="A448" s="14"/>
      <c r="B448" s="11" t="s">
        <v>131</v>
      </c>
      <c r="C448" s="12">
        <v>0.1</v>
      </c>
      <c r="D448" s="13">
        <v>800000</v>
      </c>
      <c r="E448" s="39">
        <f t="shared" si="7"/>
        <v>80000</v>
      </c>
      <c r="F448" s="19"/>
      <c r="G448" s="18"/>
    </row>
    <row r="449" s="2" customFormat="1" spans="1:7">
      <c r="A449" s="14"/>
      <c r="B449" s="11" t="s">
        <v>52</v>
      </c>
      <c r="C449" s="12">
        <v>0.2</v>
      </c>
      <c r="D449" s="13">
        <v>120000</v>
      </c>
      <c r="E449" s="39">
        <f t="shared" si="7"/>
        <v>24000</v>
      </c>
      <c r="F449" s="19"/>
      <c r="G449" s="18"/>
    </row>
    <row r="450" s="2" customFormat="1" spans="1:7">
      <c r="A450" s="14"/>
      <c r="B450" s="11" t="s">
        <v>130</v>
      </c>
      <c r="C450" s="12">
        <v>0.3</v>
      </c>
      <c r="D450" s="13">
        <v>70000</v>
      </c>
      <c r="E450" s="39">
        <f t="shared" si="7"/>
        <v>21000</v>
      </c>
      <c r="F450" s="19"/>
      <c r="G450" s="18"/>
    </row>
    <row r="451" s="2" customFormat="1" spans="1:7">
      <c r="A451" s="14"/>
      <c r="B451" s="11" t="s">
        <v>61</v>
      </c>
      <c r="C451" s="12">
        <v>0.3</v>
      </c>
      <c r="D451" s="13">
        <v>50000</v>
      </c>
      <c r="E451" s="39">
        <f t="shared" ref="E451:E514" si="8">D451*C451</f>
        <v>15000</v>
      </c>
      <c r="F451" s="19"/>
      <c r="G451" s="18"/>
    </row>
    <row r="452" s="2" customFormat="1" spans="1:7">
      <c r="A452" s="14"/>
      <c r="B452" s="11" t="s">
        <v>62</v>
      </c>
      <c r="C452" s="12">
        <v>0.3</v>
      </c>
      <c r="D452" s="13">
        <v>61000</v>
      </c>
      <c r="E452" s="39">
        <f t="shared" si="8"/>
        <v>18300</v>
      </c>
      <c r="F452" s="19"/>
      <c r="G452" s="18"/>
    </row>
    <row r="453" s="2" customFormat="1" spans="1:7">
      <c r="A453" s="14"/>
      <c r="B453" s="11" t="s">
        <v>47</v>
      </c>
      <c r="C453" s="12">
        <v>1</v>
      </c>
      <c r="D453" s="13">
        <v>50000</v>
      </c>
      <c r="E453" s="39">
        <f t="shared" si="8"/>
        <v>50000</v>
      </c>
      <c r="F453" s="19"/>
      <c r="G453" s="18"/>
    </row>
    <row r="454" s="2" customFormat="1" spans="1:7">
      <c r="A454" s="14"/>
      <c r="B454" s="11" t="s">
        <v>17</v>
      </c>
      <c r="C454" s="12">
        <v>1</v>
      </c>
      <c r="D454" s="13">
        <v>39000</v>
      </c>
      <c r="E454" s="39">
        <f t="shared" si="8"/>
        <v>39000</v>
      </c>
      <c r="F454" s="19"/>
      <c r="G454" s="18"/>
    </row>
    <row r="455" s="2" customFormat="1" spans="1:7">
      <c r="A455" s="15"/>
      <c r="B455" s="11" t="s">
        <v>45</v>
      </c>
      <c r="C455" s="12">
        <v>3</v>
      </c>
      <c r="D455" s="13">
        <v>10000</v>
      </c>
      <c r="E455" s="39">
        <f t="shared" si="8"/>
        <v>30000</v>
      </c>
      <c r="F455" s="25"/>
      <c r="G455" s="18"/>
    </row>
    <row r="456" s="2" customFormat="1" spans="1:7">
      <c r="A456" s="10">
        <v>46014</v>
      </c>
      <c r="B456" s="11" t="s">
        <v>16</v>
      </c>
      <c r="C456" s="12">
        <v>1</v>
      </c>
      <c r="D456" s="13">
        <v>39000</v>
      </c>
      <c r="E456" s="39">
        <f t="shared" si="8"/>
        <v>39000</v>
      </c>
      <c r="F456" s="17">
        <f>SUM(E456:E464)</f>
        <v>636000</v>
      </c>
      <c r="G456" s="18"/>
    </row>
    <row r="457" s="2" customFormat="1" spans="1:7">
      <c r="A457" s="14"/>
      <c r="B457" s="11" t="s">
        <v>59</v>
      </c>
      <c r="C457" s="12">
        <v>0.1</v>
      </c>
      <c r="D457" s="13">
        <v>88000</v>
      </c>
      <c r="E457" s="39">
        <f t="shared" si="8"/>
        <v>8800</v>
      </c>
      <c r="F457" s="19"/>
      <c r="G457" s="18"/>
    </row>
    <row r="458" s="2" customFormat="1" spans="1:7">
      <c r="A458" s="14"/>
      <c r="B458" s="11" t="s">
        <v>18</v>
      </c>
      <c r="C458" s="12">
        <v>1</v>
      </c>
      <c r="D458" s="13">
        <v>45000</v>
      </c>
      <c r="E458" s="39">
        <f t="shared" si="8"/>
        <v>45000</v>
      </c>
      <c r="F458" s="19"/>
      <c r="G458" s="18"/>
    </row>
    <row r="459" s="2" customFormat="1" spans="1:7">
      <c r="A459" s="14"/>
      <c r="B459" s="11" t="s">
        <v>90</v>
      </c>
      <c r="C459" s="12">
        <v>3</v>
      </c>
      <c r="D459" s="13">
        <v>55000</v>
      </c>
      <c r="E459" s="39">
        <f t="shared" si="8"/>
        <v>165000</v>
      </c>
      <c r="F459" s="19"/>
      <c r="G459" s="18"/>
    </row>
    <row r="460" s="2" customFormat="1" spans="1:7">
      <c r="A460" s="14"/>
      <c r="B460" s="11" t="s">
        <v>120</v>
      </c>
      <c r="C460" s="12">
        <v>0.1</v>
      </c>
      <c r="D460" s="13">
        <v>132000</v>
      </c>
      <c r="E460" s="39">
        <f t="shared" si="8"/>
        <v>13200</v>
      </c>
      <c r="F460" s="19"/>
      <c r="G460" s="18"/>
    </row>
    <row r="461" s="2" customFormat="1" spans="1:7">
      <c r="A461" s="14"/>
      <c r="B461" s="11" t="s">
        <v>56</v>
      </c>
      <c r="C461" s="12">
        <v>1</v>
      </c>
      <c r="D461" s="13">
        <v>25000</v>
      </c>
      <c r="E461" s="39">
        <f t="shared" si="8"/>
        <v>25000</v>
      </c>
      <c r="F461" s="19"/>
      <c r="G461" s="18"/>
    </row>
    <row r="462" s="2" customFormat="1" spans="1:7">
      <c r="A462" s="14"/>
      <c r="B462" s="11" t="s">
        <v>64</v>
      </c>
      <c r="C462" s="12">
        <v>25</v>
      </c>
      <c r="D462" s="13">
        <v>1000</v>
      </c>
      <c r="E462" s="39">
        <f t="shared" si="8"/>
        <v>25000</v>
      </c>
      <c r="F462" s="19"/>
      <c r="G462" s="18"/>
    </row>
    <row r="463" s="2" customFormat="1" spans="1:7">
      <c r="A463" s="14"/>
      <c r="B463" s="11" t="s">
        <v>36</v>
      </c>
      <c r="C463" s="12">
        <v>3</v>
      </c>
      <c r="D463" s="13">
        <v>75000</v>
      </c>
      <c r="E463" s="39">
        <f t="shared" si="8"/>
        <v>225000</v>
      </c>
      <c r="F463" s="19"/>
      <c r="G463" s="18"/>
    </row>
    <row r="464" s="2" customFormat="1" spans="1:7">
      <c r="A464" s="15"/>
      <c r="B464" s="11" t="s">
        <v>43</v>
      </c>
      <c r="C464" s="12">
        <v>3</v>
      </c>
      <c r="D464" s="13">
        <v>30000</v>
      </c>
      <c r="E464" s="39">
        <f t="shared" si="8"/>
        <v>90000</v>
      </c>
      <c r="F464" s="25"/>
      <c r="G464" s="18"/>
    </row>
    <row r="465" s="2" customFormat="1" spans="1:7">
      <c r="A465" s="10">
        <v>46015</v>
      </c>
      <c r="B465" s="11" t="s">
        <v>32</v>
      </c>
      <c r="C465" s="12">
        <v>2</v>
      </c>
      <c r="D465" s="13">
        <v>35000</v>
      </c>
      <c r="E465" s="39">
        <f t="shared" si="8"/>
        <v>70000</v>
      </c>
      <c r="F465" s="17">
        <f>SUM(E465:E486)</f>
        <v>1375500</v>
      </c>
      <c r="G465" s="18"/>
    </row>
    <row r="466" s="2" customFormat="1" spans="1:7">
      <c r="A466" s="14"/>
      <c r="B466" s="11" t="s">
        <v>30</v>
      </c>
      <c r="C466" s="12">
        <v>5</v>
      </c>
      <c r="D466" s="13">
        <v>20000</v>
      </c>
      <c r="E466" s="39">
        <f t="shared" si="8"/>
        <v>100000</v>
      </c>
      <c r="F466" s="19"/>
      <c r="G466" s="18"/>
    </row>
    <row r="467" s="2" customFormat="1" spans="1:7">
      <c r="A467" s="14"/>
      <c r="B467" s="11" t="s">
        <v>28</v>
      </c>
      <c r="C467" s="12">
        <v>7</v>
      </c>
      <c r="D467" s="13">
        <v>22000</v>
      </c>
      <c r="E467" s="39">
        <f t="shared" si="8"/>
        <v>154000</v>
      </c>
      <c r="F467" s="19"/>
      <c r="G467" s="18"/>
    </row>
    <row r="468" s="2" customFormat="1" spans="1:7">
      <c r="A468" s="14"/>
      <c r="B468" s="11" t="s">
        <v>26</v>
      </c>
      <c r="C468" s="12">
        <v>4</v>
      </c>
      <c r="D468" s="13">
        <v>66000</v>
      </c>
      <c r="E468" s="39">
        <f t="shared" si="8"/>
        <v>264000</v>
      </c>
      <c r="F468" s="19"/>
      <c r="G468" s="18"/>
    </row>
    <row r="469" s="2" customFormat="1" spans="1:7">
      <c r="A469" s="14"/>
      <c r="B469" s="11" t="s">
        <v>22</v>
      </c>
      <c r="C469" s="12">
        <v>1.5</v>
      </c>
      <c r="D469" s="13">
        <v>10000</v>
      </c>
      <c r="E469" s="39">
        <f t="shared" si="8"/>
        <v>15000</v>
      </c>
      <c r="F469" s="19"/>
      <c r="G469" s="18"/>
    </row>
    <row r="470" s="2" customFormat="1" spans="1:7">
      <c r="A470" s="14"/>
      <c r="B470" s="11" t="s">
        <v>56</v>
      </c>
      <c r="C470" s="12">
        <v>2</v>
      </c>
      <c r="D470" s="13">
        <v>20000</v>
      </c>
      <c r="E470" s="39">
        <f t="shared" si="8"/>
        <v>40000</v>
      </c>
      <c r="F470" s="19"/>
      <c r="G470" s="18"/>
    </row>
    <row r="471" s="2" customFormat="1" spans="1:11">
      <c r="A471" s="14"/>
      <c r="B471" s="11" t="s">
        <v>24</v>
      </c>
      <c r="C471" s="12">
        <v>2</v>
      </c>
      <c r="D471" s="13">
        <v>25000</v>
      </c>
      <c r="E471" s="39">
        <f t="shared" si="8"/>
        <v>50000</v>
      </c>
      <c r="F471" s="19"/>
      <c r="G471" s="18"/>
      <c r="H471" s="52"/>
      <c r="I471" s="52"/>
      <c r="J471" s="52"/>
      <c r="K471" s="52"/>
    </row>
    <row r="472" s="2" customFormat="1" spans="1:11">
      <c r="A472" s="14"/>
      <c r="B472" s="11" t="s">
        <v>132</v>
      </c>
      <c r="C472" s="12">
        <v>0.07</v>
      </c>
      <c r="D472" s="13">
        <v>150000</v>
      </c>
      <c r="E472" s="39">
        <f t="shared" si="8"/>
        <v>10500</v>
      </c>
      <c r="F472" s="19"/>
      <c r="G472" s="18"/>
      <c r="H472" s="52"/>
      <c r="I472" s="52"/>
      <c r="J472" s="52"/>
      <c r="K472" s="52"/>
    </row>
    <row r="473" s="2" customFormat="1" spans="1:11">
      <c r="A473" s="14"/>
      <c r="B473" s="11" t="s">
        <v>92</v>
      </c>
      <c r="C473" s="12">
        <v>0.2</v>
      </c>
      <c r="D473" s="13">
        <v>50000</v>
      </c>
      <c r="E473" s="39">
        <f t="shared" si="8"/>
        <v>10000</v>
      </c>
      <c r="F473" s="19"/>
      <c r="G473" s="18"/>
      <c r="H473" s="52"/>
      <c r="I473" s="52"/>
      <c r="J473" s="52"/>
      <c r="K473" s="52"/>
    </row>
    <row r="474" s="2" customFormat="1" spans="1:11">
      <c r="A474" s="14"/>
      <c r="B474" s="11" t="s">
        <v>61</v>
      </c>
      <c r="C474" s="12">
        <v>0.5</v>
      </c>
      <c r="D474" s="13">
        <v>50000</v>
      </c>
      <c r="E474" s="39">
        <f t="shared" si="8"/>
        <v>25000</v>
      </c>
      <c r="F474" s="19"/>
      <c r="G474" s="18"/>
      <c r="H474" s="52"/>
      <c r="I474" s="52"/>
      <c r="J474" s="52"/>
      <c r="K474" s="52"/>
    </row>
    <row r="475" s="2" customFormat="1" spans="1:11">
      <c r="A475" s="14"/>
      <c r="B475" s="11" t="s">
        <v>62</v>
      </c>
      <c r="C475" s="12">
        <v>0.5</v>
      </c>
      <c r="D475" s="13">
        <v>65000</v>
      </c>
      <c r="E475" s="39">
        <f t="shared" si="8"/>
        <v>32500</v>
      </c>
      <c r="F475" s="19"/>
      <c r="G475" s="18"/>
      <c r="H475" s="52"/>
      <c r="I475" s="52"/>
      <c r="J475" s="52"/>
      <c r="K475" s="52"/>
    </row>
    <row r="476" s="2" customFormat="1" spans="1:11">
      <c r="A476" s="14"/>
      <c r="B476" s="11" t="s">
        <v>115</v>
      </c>
      <c r="C476" s="12">
        <v>1</v>
      </c>
      <c r="D476" s="13">
        <v>70000</v>
      </c>
      <c r="E476" s="39">
        <f t="shared" si="8"/>
        <v>70000</v>
      </c>
      <c r="F476" s="19"/>
      <c r="G476" s="18"/>
      <c r="H476" s="52"/>
      <c r="I476" s="52"/>
      <c r="J476" s="52"/>
      <c r="K476" s="52"/>
    </row>
    <row r="477" s="2" customFormat="1" spans="1:11">
      <c r="A477" s="14"/>
      <c r="B477" s="11" t="s">
        <v>21</v>
      </c>
      <c r="C477" s="12">
        <v>0.3</v>
      </c>
      <c r="D477" s="13">
        <v>30000</v>
      </c>
      <c r="E477" s="39">
        <f t="shared" si="8"/>
        <v>9000</v>
      </c>
      <c r="F477" s="19"/>
      <c r="G477" s="18"/>
      <c r="H477" s="52"/>
      <c r="I477" s="52"/>
      <c r="J477" s="52"/>
      <c r="K477" s="52"/>
    </row>
    <row r="478" s="2" customFormat="1" spans="1:11">
      <c r="A478" s="14"/>
      <c r="B478" s="11" t="s">
        <v>66</v>
      </c>
      <c r="C478" s="12">
        <v>1</v>
      </c>
      <c r="D478" s="13">
        <v>75000</v>
      </c>
      <c r="E478" s="39">
        <f t="shared" si="8"/>
        <v>75000</v>
      </c>
      <c r="F478" s="19"/>
      <c r="G478" s="18"/>
      <c r="H478" s="52"/>
      <c r="I478" s="52"/>
      <c r="J478" s="52"/>
      <c r="K478" s="52"/>
    </row>
    <row r="479" s="2" customFormat="1" spans="1:11">
      <c r="A479" s="14"/>
      <c r="B479" s="11" t="s">
        <v>16</v>
      </c>
      <c r="C479" s="12">
        <v>2</v>
      </c>
      <c r="D479" s="13">
        <v>35000</v>
      </c>
      <c r="E479" s="39">
        <f t="shared" si="8"/>
        <v>70000</v>
      </c>
      <c r="F479" s="19"/>
      <c r="G479" s="18"/>
      <c r="H479" s="52"/>
      <c r="I479" s="52"/>
      <c r="J479" s="52"/>
      <c r="K479" s="52"/>
    </row>
    <row r="480" s="2" customFormat="1" spans="1:11">
      <c r="A480" s="14"/>
      <c r="B480" s="11" t="s">
        <v>90</v>
      </c>
      <c r="C480" s="12">
        <v>1</v>
      </c>
      <c r="D480" s="13">
        <v>50000</v>
      </c>
      <c r="E480" s="39">
        <f t="shared" si="8"/>
        <v>50000</v>
      </c>
      <c r="F480" s="19"/>
      <c r="G480" s="18"/>
      <c r="H480" s="52"/>
      <c r="I480" s="52"/>
      <c r="J480" s="52"/>
      <c r="K480" s="52"/>
    </row>
    <row r="481" s="2" customFormat="1" spans="1:11">
      <c r="A481" s="14"/>
      <c r="B481" s="11" t="s">
        <v>24</v>
      </c>
      <c r="C481" s="12">
        <v>2</v>
      </c>
      <c r="D481" s="13">
        <v>25000</v>
      </c>
      <c r="E481" s="39">
        <f t="shared" si="8"/>
        <v>50000</v>
      </c>
      <c r="F481" s="19"/>
      <c r="G481" s="18"/>
      <c r="H481" s="52"/>
      <c r="I481" s="52"/>
      <c r="J481" s="52"/>
      <c r="K481" s="52"/>
    </row>
    <row r="482" s="2" customFormat="1" spans="1:11">
      <c r="A482" s="14"/>
      <c r="B482" s="11" t="s">
        <v>107</v>
      </c>
      <c r="C482" s="12">
        <v>6.6</v>
      </c>
      <c r="D482" s="13">
        <v>20000</v>
      </c>
      <c r="E482" s="39">
        <f t="shared" si="8"/>
        <v>132000</v>
      </c>
      <c r="F482" s="19"/>
      <c r="G482" s="18"/>
      <c r="H482" s="52"/>
      <c r="I482" s="52"/>
      <c r="J482" s="52"/>
      <c r="K482" s="52"/>
    </row>
    <row r="483" s="2" customFormat="1" spans="1:11">
      <c r="A483" s="14"/>
      <c r="B483" s="11" t="s">
        <v>133</v>
      </c>
      <c r="C483" s="12">
        <v>0.1</v>
      </c>
      <c r="D483" s="13">
        <v>65000</v>
      </c>
      <c r="E483" s="39">
        <f t="shared" si="8"/>
        <v>6500</v>
      </c>
      <c r="F483" s="19"/>
      <c r="G483" s="18"/>
      <c r="H483" s="52"/>
      <c r="I483" s="52"/>
      <c r="J483" s="52"/>
      <c r="K483" s="52"/>
    </row>
    <row r="484" s="2" customFormat="1" spans="1:11">
      <c r="A484" s="14"/>
      <c r="B484" s="11" t="s">
        <v>87</v>
      </c>
      <c r="C484" s="12">
        <v>5</v>
      </c>
      <c r="D484" s="13">
        <v>25000</v>
      </c>
      <c r="E484" s="39">
        <f t="shared" si="8"/>
        <v>125000</v>
      </c>
      <c r="F484" s="19"/>
      <c r="G484" s="18"/>
      <c r="H484" s="52"/>
      <c r="I484" s="52"/>
      <c r="J484" s="52"/>
      <c r="K484" s="52"/>
    </row>
    <row r="485" s="2" customFormat="1" spans="1:11">
      <c r="A485" s="14"/>
      <c r="B485" s="11" t="s">
        <v>84</v>
      </c>
      <c r="C485" s="12">
        <v>0.08</v>
      </c>
      <c r="D485" s="13">
        <v>100000</v>
      </c>
      <c r="E485" s="39">
        <f t="shared" si="8"/>
        <v>8000</v>
      </c>
      <c r="F485" s="19"/>
      <c r="G485" s="18"/>
      <c r="H485" s="52"/>
      <c r="I485" s="52"/>
      <c r="J485" s="52"/>
      <c r="K485" s="52"/>
    </row>
    <row r="486" s="2" customFormat="1" spans="1:11">
      <c r="A486" s="15"/>
      <c r="B486" s="11" t="s">
        <v>59</v>
      </c>
      <c r="C486" s="12">
        <v>0.1</v>
      </c>
      <c r="D486" s="13">
        <v>90000</v>
      </c>
      <c r="E486" s="39">
        <f t="shared" si="8"/>
        <v>9000</v>
      </c>
      <c r="F486" s="25"/>
      <c r="G486" s="18"/>
      <c r="H486" s="52"/>
      <c r="I486" s="52"/>
      <c r="J486" s="52"/>
      <c r="K486" s="52"/>
    </row>
    <row r="487" s="2" customFormat="1" spans="1:11">
      <c r="A487" s="10">
        <v>46016</v>
      </c>
      <c r="B487" s="11" t="s">
        <v>10</v>
      </c>
      <c r="C487" s="12">
        <v>3</v>
      </c>
      <c r="D487" s="13">
        <v>25000</v>
      </c>
      <c r="E487" s="39">
        <f t="shared" si="8"/>
        <v>75000</v>
      </c>
      <c r="F487" s="17">
        <f>SUM(E487:E508)</f>
        <v>1181160</v>
      </c>
      <c r="G487" s="18"/>
      <c r="H487" s="52"/>
      <c r="I487" s="52"/>
      <c r="J487" s="52"/>
      <c r="K487" s="52"/>
    </row>
    <row r="488" s="2" customFormat="1" spans="1:11">
      <c r="A488" s="14"/>
      <c r="B488" s="11" t="s">
        <v>28</v>
      </c>
      <c r="C488" s="12">
        <v>5</v>
      </c>
      <c r="D488" s="13">
        <v>22000</v>
      </c>
      <c r="E488" s="39">
        <f t="shared" si="8"/>
        <v>110000</v>
      </c>
      <c r="F488" s="19"/>
      <c r="G488" s="18"/>
      <c r="H488" s="52"/>
      <c r="I488" s="52"/>
      <c r="J488" s="52"/>
      <c r="K488" s="52"/>
    </row>
    <row r="489" s="2" customFormat="1" spans="1:11">
      <c r="A489" s="14"/>
      <c r="B489" s="11" t="s">
        <v>32</v>
      </c>
      <c r="C489" s="12">
        <v>1</v>
      </c>
      <c r="D489" s="13">
        <v>39000</v>
      </c>
      <c r="E489" s="39">
        <f t="shared" si="8"/>
        <v>39000</v>
      </c>
      <c r="F489" s="19"/>
      <c r="G489" s="18"/>
      <c r="H489" s="52"/>
      <c r="I489" s="52"/>
      <c r="J489" s="52"/>
      <c r="K489" s="52"/>
    </row>
    <row r="490" s="2" customFormat="1" spans="1:11">
      <c r="A490" s="14"/>
      <c r="B490" s="11" t="s">
        <v>36</v>
      </c>
      <c r="C490" s="12">
        <v>2</v>
      </c>
      <c r="D490" s="13">
        <v>80000</v>
      </c>
      <c r="E490" s="39">
        <f t="shared" si="8"/>
        <v>160000</v>
      </c>
      <c r="F490" s="19"/>
      <c r="G490" s="18"/>
      <c r="H490" s="52"/>
      <c r="I490" s="52"/>
      <c r="J490" s="52"/>
      <c r="K490" s="52"/>
    </row>
    <row r="491" s="2" customFormat="1" spans="1:7">
      <c r="A491" s="14"/>
      <c r="B491" s="11" t="s">
        <v>26</v>
      </c>
      <c r="C491" s="12">
        <v>2</v>
      </c>
      <c r="D491" s="13">
        <v>66000</v>
      </c>
      <c r="E491" s="39">
        <f t="shared" si="8"/>
        <v>132000</v>
      </c>
      <c r="F491" s="19"/>
      <c r="G491" s="18"/>
    </row>
    <row r="492" s="2" customFormat="1" spans="1:7">
      <c r="A492" s="14"/>
      <c r="B492" s="11" t="s">
        <v>134</v>
      </c>
      <c r="C492" s="12">
        <v>0.5</v>
      </c>
      <c r="D492" s="13">
        <v>180000</v>
      </c>
      <c r="E492" s="39">
        <f t="shared" si="8"/>
        <v>90000</v>
      </c>
      <c r="F492" s="19"/>
      <c r="G492" s="18"/>
    </row>
    <row r="493" s="2" customFormat="1" spans="1:7">
      <c r="A493" s="14"/>
      <c r="B493" s="11" t="s">
        <v>135</v>
      </c>
      <c r="C493" s="12">
        <v>2</v>
      </c>
      <c r="D493" s="13">
        <v>35000</v>
      </c>
      <c r="E493" s="39">
        <f t="shared" si="8"/>
        <v>70000</v>
      </c>
      <c r="F493" s="19"/>
      <c r="G493" s="18"/>
    </row>
    <row r="494" s="2" customFormat="1" spans="1:7">
      <c r="A494" s="14"/>
      <c r="B494" s="11" t="s">
        <v>22</v>
      </c>
      <c r="C494" s="12">
        <v>0.5</v>
      </c>
      <c r="D494" s="13">
        <v>9000</v>
      </c>
      <c r="E494" s="39">
        <f t="shared" si="8"/>
        <v>4500</v>
      </c>
      <c r="F494" s="19"/>
      <c r="G494" s="18"/>
    </row>
    <row r="495" s="2" customFormat="1" spans="1:7">
      <c r="A495" s="14"/>
      <c r="B495" s="11" t="s">
        <v>56</v>
      </c>
      <c r="C495" s="12">
        <v>1</v>
      </c>
      <c r="D495" s="13">
        <v>25000</v>
      </c>
      <c r="E495" s="39">
        <f t="shared" si="8"/>
        <v>25000</v>
      </c>
      <c r="F495" s="19"/>
      <c r="G495" s="18"/>
    </row>
    <row r="496" s="2" customFormat="1" spans="1:7">
      <c r="A496" s="14"/>
      <c r="B496" s="11" t="s">
        <v>9</v>
      </c>
      <c r="C496" s="12">
        <v>0.5</v>
      </c>
      <c r="D496" s="13">
        <v>83000</v>
      </c>
      <c r="E496" s="39">
        <f t="shared" si="8"/>
        <v>41500</v>
      </c>
      <c r="F496" s="19"/>
      <c r="G496" s="18"/>
    </row>
    <row r="497" s="2" customFormat="1" spans="1:7">
      <c r="A497" s="14"/>
      <c r="B497" s="11" t="s">
        <v>89</v>
      </c>
      <c r="C497" s="12">
        <v>1</v>
      </c>
      <c r="D497" s="13">
        <v>72000</v>
      </c>
      <c r="E497" s="39">
        <f t="shared" si="8"/>
        <v>72000</v>
      </c>
      <c r="F497" s="19"/>
      <c r="G497" s="18"/>
    </row>
    <row r="498" s="2" customFormat="1" spans="1:7">
      <c r="A498" s="14"/>
      <c r="B498" s="11" t="s">
        <v>24</v>
      </c>
      <c r="C498" s="12">
        <v>1</v>
      </c>
      <c r="D498" s="13">
        <v>28000</v>
      </c>
      <c r="E498" s="39">
        <f t="shared" si="8"/>
        <v>28000</v>
      </c>
      <c r="F498" s="19"/>
      <c r="G498" s="18"/>
    </row>
    <row r="499" s="2" customFormat="1" spans="1:7">
      <c r="A499" s="14"/>
      <c r="B499" s="11" t="s">
        <v>119</v>
      </c>
      <c r="C499" s="12">
        <v>0.3</v>
      </c>
      <c r="D499" s="13">
        <v>72000</v>
      </c>
      <c r="E499" s="39">
        <f t="shared" si="8"/>
        <v>21600</v>
      </c>
      <c r="F499" s="19"/>
      <c r="G499" s="18"/>
    </row>
    <row r="500" s="2" customFormat="1" spans="1:7">
      <c r="A500" s="14"/>
      <c r="B500" s="11" t="s">
        <v>83</v>
      </c>
      <c r="C500" s="12">
        <v>0.1</v>
      </c>
      <c r="D500" s="13">
        <v>83000</v>
      </c>
      <c r="E500" s="39">
        <f t="shared" si="8"/>
        <v>8300</v>
      </c>
      <c r="F500" s="19"/>
      <c r="G500" s="18"/>
    </row>
    <row r="501" s="2" customFormat="1" spans="1:7">
      <c r="A501" s="14"/>
      <c r="B501" s="11" t="s">
        <v>120</v>
      </c>
      <c r="C501" s="12">
        <v>0.08</v>
      </c>
      <c r="D501" s="13">
        <v>132000</v>
      </c>
      <c r="E501" s="39">
        <f t="shared" si="8"/>
        <v>10560</v>
      </c>
      <c r="F501" s="19"/>
      <c r="G501" s="18"/>
    </row>
    <row r="502" s="2" customFormat="1" spans="1:7">
      <c r="A502" s="14"/>
      <c r="B502" s="11" t="s">
        <v>17</v>
      </c>
      <c r="C502" s="12">
        <v>2</v>
      </c>
      <c r="D502" s="13">
        <v>39000</v>
      </c>
      <c r="E502" s="39">
        <f t="shared" si="8"/>
        <v>78000</v>
      </c>
      <c r="F502" s="19"/>
      <c r="G502" s="18"/>
    </row>
    <row r="503" s="2" customFormat="1" spans="1:7">
      <c r="A503" s="14"/>
      <c r="B503" s="11" t="s">
        <v>47</v>
      </c>
      <c r="C503" s="12">
        <v>1</v>
      </c>
      <c r="D503" s="13">
        <v>50000</v>
      </c>
      <c r="E503" s="39">
        <f t="shared" si="8"/>
        <v>50000</v>
      </c>
      <c r="F503" s="19"/>
      <c r="G503" s="18"/>
    </row>
    <row r="504" s="2" customFormat="1" spans="1:7">
      <c r="A504" s="14"/>
      <c r="B504" s="11" t="s">
        <v>115</v>
      </c>
      <c r="C504" s="12">
        <v>0.5</v>
      </c>
      <c r="D504" s="13">
        <v>70000</v>
      </c>
      <c r="E504" s="39">
        <f t="shared" si="8"/>
        <v>35000</v>
      </c>
      <c r="F504" s="19"/>
      <c r="G504" s="18"/>
    </row>
    <row r="505" s="2" customFormat="1" spans="1:7">
      <c r="A505" s="14"/>
      <c r="B505" s="11" t="s">
        <v>128</v>
      </c>
      <c r="C505" s="12">
        <v>0.3</v>
      </c>
      <c r="D505" s="13">
        <v>120000</v>
      </c>
      <c r="E505" s="39">
        <f t="shared" si="8"/>
        <v>36000</v>
      </c>
      <c r="F505" s="19"/>
      <c r="G505" s="18"/>
    </row>
    <row r="506" s="2" customFormat="1" spans="1:7">
      <c r="A506" s="14"/>
      <c r="B506" s="11" t="s">
        <v>67</v>
      </c>
      <c r="C506" s="12">
        <v>0.2</v>
      </c>
      <c r="D506" s="13">
        <v>85000</v>
      </c>
      <c r="E506" s="39">
        <f t="shared" si="8"/>
        <v>17000</v>
      </c>
      <c r="F506" s="19"/>
      <c r="G506" s="18"/>
    </row>
    <row r="507" s="2" customFormat="1" spans="1:7">
      <c r="A507" s="14"/>
      <c r="B507" s="11" t="s">
        <v>61</v>
      </c>
      <c r="C507" s="12">
        <v>0.7</v>
      </c>
      <c r="D507" s="13">
        <v>50000</v>
      </c>
      <c r="E507" s="39">
        <f t="shared" si="8"/>
        <v>35000</v>
      </c>
      <c r="F507" s="19"/>
      <c r="G507" s="18"/>
    </row>
    <row r="508" s="2" customFormat="1" spans="1:7">
      <c r="A508" s="15"/>
      <c r="B508" s="11" t="s">
        <v>62</v>
      </c>
      <c r="C508" s="12">
        <v>0.7</v>
      </c>
      <c r="D508" s="13">
        <v>61000</v>
      </c>
      <c r="E508" s="39">
        <f t="shared" si="8"/>
        <v>42700</v>
      </c>
      <c r="F508" s="25"/>
      <c r="G508" s="18"/>
    </row>
    <row r="509" s="2" customFormat="1" spans="1:7">
      <c r="A509" s="10">
        <v>46017</v>
      </c>
      <c r="B509" s="11" t="s">
        <v>52</v>
      </c>
      <c r="C509" s="12">
        <v>0.4</v>
      </c>
      <c r="D509" s="13">
        <v>120000</v>
      </c>
      <c r="E509" s="39">
        <f t="shared" si="8"/>
        <v>48000</v>
      </c>
      <c r="F509" s="17">
        <f>SUM(E509:E530)</f>
        <v>1621100</v>
      </c>
      <c r="G509" s="18"/>
    </row>
    <row r="510" s="2" customFormat="1" spans="1:7">
      <c r="A510" s="14"/>
      <c r="B510" s="11" t="s">
        <v>115</v>
      </c>
      <c r="C510" s="12">
        <v>0.5</v>
      </c>
      <c r="D510" s="13">
        <v>70000</v>
      </c>
      <c r="E510" s="39">
        <f t="shared" si="8"/>
        <v>35000</v>
      </c>
      <c r="F510" s="19"/>
      <c r="G510" s="18"/>
    </row>
    <row r="511" s="2" customFormat="1" spans="1:7">
      <c r="A511" s="14"/>
      <c r="B511" s="11" t="s">
        <v>66</v>
      </c>
      <c r="C511" s="12">
        <v>0.5</v>
      </c>
      <c r="D511" s="13">
        <v>80000</v>
      </c>
      <c r="E511" s="39">
        <f t="shared" si="8"/>
        <v>40000</v>
      </c>
      <c r="F511" s="19"/>
      <c r="G511" s="18"/>
    </row>
    <row r="512" s="2" customFormat="1" spans="1:7">
      <c r="A512" s="14"/>
      <c r="B512" s="11" t="s">
        <v>23</v>
      </c>
      <c r="C512" s="12">
        <v>0.5</v>
      </c>
      <c r="D512" s="13">
        <v>17000</v>
      </c>
      <c r="E512" s="39">
        <f t="shared" si="8"/>
        <v>8500</v>
      </c>
      <c r="F512" s="19"/>
      <c r="G512" s="18"/>
    </row>
    <row r="513" s="2" customFormat="1" spans="1:7">
      <c r="A513" s="14"/>
      <c r="B513" s="11" t="s">
        <v>67</v>
      </c>
      <c r="C513" s="12">
        <v>0.3</v>
      </c>
      <c r="D513" s="13">
        <v>110000</v>
      </c>
      <c r="E513" s="39">
        <f t="shared" si="8"/>
        <v>33000</v>
      </c>
      <c r="F513" s="19"/>
      <c r="G513" s="18"/>
    </row>
    <row r="514" s="2" customFormat="1" spans="1:7">
      <c r="A514" s="14"/>
      <c r="B514" s="11" t="s">
        <v>61</v>
      </c>
      <c r="C514" s="12">
        <v>0.5</v>
      </c>
      <c r="D514" s="13">
        <v>50000</v>
      </c>
      <c r="E514" s="39">
        <f t="shared" si="8"/>
        <v>25000</v>
      </c>
      <c r="F514" s="19"/>
      <c r="G514" s="18"/>
    </row>
    <row r="515" s="2" customFormat="1" spans="1:7">
      <c r="A515" s="14"/>
      <c r="B515" s="11" t="s">
        <v>62</v>
      </c>
      <c r="C515" s="12">
        <v>0.5</v>
      </c>
      <c r="D515" s="13">
        <v>61000</v>
      </c>
      <c r="E515" s="39">
        <f t="shared" ref="E515:E578" si="9">D515*C515</f>
        <v>30500</v>
      </c>
      <c r="F515" s="19"/>
      <c r="G515" s="18"/>
    </row>
    <row r="516" s="2" customFormat="1" spans="1:7">
      <c r="A516" s="14"/>
      <c r="B516" s="11" t="s">
        <v>64</v>
      </c>
      <c r="C516" s="12">
        <v>25</v>
      </c>
      <c r="D516" s="13">
        <v>1000</v>
      </c>
      <c r="E516" s="39">
        <f t="shared" si="9"/>
        <v>25000</v>
      </c>
      <c r="F516" s="19"/>
      <c r="G516" s="18"/>
    </row>
    <row r="517" s="2" customFormat="1" spans="1:7">
      <c r="A517" s="14"/>
      <c r="B517" s="11" t="s">
        <v>21</v>
      </c>
      <c r="C517" s="12">
        <v>0.2</v>
      </c>
      <c r="D517" s="13">
        <v>28000</v>
      </c>
      <c r="E517" s="39">
        <f t="shared" si="9"/>
        <v>5600</v>
      </c>
      <c r="F517" s="19"/>
      <c r="G517" s="18"/>
    </row>
    <row r="518" s="2" customFormat="1" spans="1:7">
      <c r="A518" s="14"/>
      <c r="B518" s="11" t="s">
        <v>37</v>
      </c>
      <c r="C518" s="12">
        <v>9.4</v>
      </c>
      <c r="D518" s="13">
        <v>15000</v>
      </c>
      <c r="E518" s="39">
        <f t="shared" si="9"/>
        <v>141000</v>
      </c>
      <c r="F518" s="19"/>
      <c r="G518" s="18"/>
    </row>
    <row r="519" s="2" customFormat="1" spans="1:7">
      <c r="A519" s="14"/>
      <c r="B519" s="11" t="s">
        <v>45</v>
      </c>
      <c r="C519" s="12">
        <v>3</v>
      </c>
      <c r="D519" s="13">
        <v>10000</v>
      </c>
      <c r="E519" s="39">
        <f t="shared" si="9"/>
        <v>30000</v>
      </c>
      <c r="F519" s="19"/>
      <c r="G519" s="18"/>
    </row>
    <row r="520" s="2" customFormat="1" spans="1:7">
      <c r="A520" s="14"/>
      <c r="B520" s="11" t="s">
        <v>16</v>
      </c>
      <c r="C520" s="12">
        <v>2</v>
      </c>
      <c r="D520" s="13">
        <v>39000</v>
      </c>
      <c r="E520" s="39">
        <f t="shared" si="9"/>
        <v>78000</v>
      </c>
      <c r="F520" s="19"/>
      <c r="G520" s="18"/>
    </row>
    <row r="521" s="2" customFormat="1" spans="1:7">
      <c r="A521" s="14"/>
      <c r="B521" s="11" t="s">
        <v>17</v>
      </c>
      <c r="C521" s="12">
        <v>2</v>
      </c>
      <c r="D521" s="13">
        <v>39000</v>
      </c>
      <c r="E521" s="39">
        <f t="shared" si="9"/>
        <v>78000</v>
      </c>
      <c r="F521" s="19"/>
      <c r="G521" s="18"/>
    </row>
    <row r="522" s="2" customFormat="1" spans="1:7">
      <c r="A522" s="14"/>
      <c r="B522" s="11" t="s">
        <v>18</v>
      </c>
      <c r="C522" s="12">
        <v>1</v>
      </c>
      <c r="D522" s="13">
        <v>40000</v>
      </c>
      <c r="E522" s="39">
        <f t="shared" si="9"/>
        <v>40000</v>
      </c>
      <c r="F522" s="19"/>
      <c r="G522" s="18"/>
    </row>
    <row r="523" s="2" customFormat="1" spans="1:7">
      <c r="A523" s="14"/>
      <c r="B523" s="11" t="s">
        <v>90</v>
      </c>
      <c r="C523" s="12">
        <v>1</v>
      </c>
      <c r="D523" s="13">
        <v>55000</v>
      </c>
      <c r="E523" s="39">
        <f t="shared" si="9"/>
        <v>55000</v>
      </c>
      <c r="F523" s="19"/>
      <c r="G523" s="18"/>
    </row>
    <row r="524" s="2" customFormat="1" spans="1:7">
      <c r="A524" s="14"/>
      <c r="B524" s="11" t="s">
        <v>69</v>
      </c>
      <c r="C524" s="12">
        <v>5</v>
      </c>
      <c r="D524" s="13">
        <v>25000</v>
      </c>
      <c r="E524" s="39">
        <f t="shared" si="9"/>
        <v>125000</v>
      </c>
      <c r="F524" s="19"/>
      <c r="G524" s="18"/>
    </row>
    <row r="525" s="2" customFormat="1" spans="1:7">
      <c r="A525" s="14"/>
      <c r="B525" s="11" t="s">
        <v>28</v>
      </c>
      <c r="C525" s="12">
        <v>7</v>
      </c>
      <c r="D525" s="13">
        <v>24000</v>
      </c>
      <c r="E525" s="39">
        <f t="shared" si="9"/>
        <v>168000</v>
      </c>
      <c r="F525" s="19"/>
      <c r="G525" s="18"/>
    </row>
    <row r="526" s="2" customFormat="1" spans="1:7">
      <c r="A526" s="14"/>
      <c r="B526" s="11" t="s">
        <v>30</v>
      </c>
      <c r="C526" s="12">
        <v>5</v>
      </c>
      <c r="D526" s="13">
        <v>20000</v>
      </c>
      <c r="E526" s="39">
        <f t="shared" si="9"/>
        <v>100000</v>
      </c>
      <c r="F526" s="19"/>
      <c r="G526" s="18"/>
    </row>
    <row r="527" s="2" customFormat="1" spans="1:7">
      <c r="A527" s="14"/>
      <c r="B527" s="11" t="s">
        <v>10</v>
      </c>
      <c r="C527" s="12">
        <v>5.5</v>
      </c>
      <c r="D527" s="13">
        <v>25000</v>
      </c>
      <c r="E527" s="39">
        <f t="shared" si="9"/>
        <v>137500</v>
      </c>
      <c r="F527" s="19"/>
      <c r="G527" s="18"/>
    </row>
    <row r="528" s="2" customFormat="1" spans="1:7">
      <c r="A528" s="14"/>
      <c r="B528" s="11" t="s">
        <v>38</v>
      </c>
      <c r="C528" s="12">
        <v>2</v>
      </c>
      <c r="D528" s="13">
        <v>85000</v>
      </c>
      <c r="E528" s="39">
        <f t="shared" si="9"/>
        <v>170000</v>
      </c>
      <c r="F528" s="19"/>
      <c r="G528" s="18"/>
    </row>
    <row r="529" s="2" customFormat="1" spans="1:7">
      <c r="A529" s="14"/>
      <c r="B529" s="11" t="s">
        <v>124</v>
      </c>
      <c r="C529" s="12">
        <v>2</v>
      </c>
      <c r="D529" s="13">
        <v>25000</v>
      </c>
      <c r="E529" s="39">
        <f t="shared" si="9"/>
        <v>50000</v>
      </c>
      <c r="F529" s="19"/>
      <c r="G529" s="18"/>
    </row>
    <row r="530" s="2" customFormat="1" spans="1:7">
      <c r="A530" s="15"/>
      <c r="B530" s="11" t="s">
        <v>26</v>
      </c>
      <c r="C530" s="12">
        <v>3</v>
      </c>
      <c r="D530" s="13">
        <v>66000</v>
      </c>
      <c r="E530" s="39">
        <f t="shared" si="9"/>
        <v>198000</v>
      </c>
      <c r="F530" s="25"/>
      <c r="G530" s="18"/>
    </row>
    <row r="531" s="2" customFormat="1" spans="1:7">
      <c r="A531" s="10">
        <v>46017</v>
      </c>
      <c r="B531" s="11" t="s">
        <v>35</v>
      </c>
      <c r="C531" s="12">
        <v>2</v>
      </c>
      <c r="D531" s="13">
        <v>31000</v>
      </c>
      <c r="E531" s="39">
        <f t="shared" si="9"/>
        <v>62000</v>
      </c>
      <c r="F531" s="17">
        <f>SUM(E531:E536)</f>
        <v>118200</v>
      </c>
      <c r="G531" s="18"/>
    </row>
    <row r="532" s="2" customFormat="1" spans="1:7">
      <c r="A532" s="14"/>
      <c r="B532" s="11" t="s">
        <v>92</v>
      </c>
      <c r="C532" s="12">
        <v>0.3</v>
      </c>
      <c r="D532" s="13">
        <v>55000</v>
      </c>
      <c r="E532" s="39">
        <f t="shared" si="9"/>
        <v>16500</v>
      </c>
      <c r="F532" s="19"/>
      <c r="G532" s="18"/>
    </row>
    <row r="533" s="2" customFormat="1" spans="1:7">
      <c r="A533" s="14"/>
      <c r="B533" s="11" t="s">
        <v>51</v>
      </c>
      <c r="C533" s="12">
        <v>0.3</v>
      </c>
      <c r="D533" s="13">
        <v>55000</v>
      </c>
      <c r="E533" s="39">
        <f t="shared" si="9"/>
        <v>16500</v>
      </c>
      <c r="F533" s="19"/>
      <c r="G533" s="18"/>
    </row>
    <row r="534" s="2" customFormat="1" spans="1:7">
      <c r="A534" s="14"/>
      <c r="B534" s="11" t="s">
        <v>82</v>
      </c>
      <c r="C534" s="12">
        <v>0.1</v>
      </c>
      <c r="D534" s="13">
        <v>39000</v>
      </c>
      <c r="E534" s="39">
        <f t="shared" si="9"/>
        <v>3900</v>
      </c>
      <c r="F534" s="19"/>
      <c r="G534" s="18"/>
    </row>
    <row r="535" s="2" customFormat="1" spans="1:7">
      <c r="A535" s="14"/>
      <c r="B535" s="11" t="s">
        <v>83</v>
      </c>
      <c r="C535" s="12">
        <v>0.1</v>
      </c>
      <c r="D535" s="13">
        <v>83000</v>
      </c>
      <c r="E535" s="39">
        <f t="shared" si="9"/>
        <v>8300</v>
      </c>
      <c r="F535" s="19"/>
      <c r="G535" s="18"/>
    </row>
    <row r="536" s="2" customFormat="1" spans="1:7">
      <c r="A536" s="14"/>
      <c r="B536" s="11" t="s">
        <v>84</v>
      </c>
      <c r="C536" s="12">
        <v>0.1</v>
      </c>
      <c r="D536" s="13">
        <v>110000</v>
      </c>
      <c r="E536" s="39">
        <f t="shared" si="9"/>
        <v>11000</v>
      </c>
      <c r="F536" s="25"/>
      <c r="G536" s="18"/>
    </row>
    <row r="537" s="2" customFormat="1" spans="1:7">
      <c r="A537" s="10">
        <v>46018</v>
      </c>
      <c r="B537" s="53" t="s">
        <v>28</v>
      </c>
      <c r="C537" s="54">
        <v>10</v>
      </c>
      <c r="D537" s="13">
        <v>22000</v>
      </c>
      <c r="E537" s="39">
        <f t="shared" si="9"/>
        <v>220000</v>
      </c>
      <c r="F537" s="55">
        <f>SUM(E537:E558)</f>
        <v>1544900</v>
      </c>
      <c r="G537" s="18"/>
    </row>
    <row r="538" s="2" customFormat="1" spans="1:7">
      <c r="A538" s="14"/>
      <c r="B538" s="53" t="s">
        <v>30</v>
      </c>
      <c r="C538" s="54">
        <v>3</v>
      </c>
      <c r="D538" s="13">
        <v>20000</v>
      </c>
      <c r="E538" s="39">
        <f t="shared" si="9"/>
        <v>60000</v>
      </c>
      <c r="F538" s="56"/>
      <c r="G538" s="18"/>
    </row>
    <row r="539" s="2" customFormat="1" spans="1:7">
      <c r="A539" s="14"/>
      <c r="B539" s="11" t="s">
        <v>26</v>
      </c>
      <c r="C539" s="12">
        <v>5</v>
      </c>
      <c r="D539" s="13">
        <v>66000</v>
      </c>
      <c r="E539" s="39">
        <f t="shared" si="9"/>
        <v>330000</v>
      </c>
      <c r="F539" s="56"/>
      <c r="G539" s="18"/>
    </row>
    <row r="540" s="2" customFormat="1" spans="1:7">
      <c r="A540" s="14"/>
      <c r="B540" s="11" t="s">
        <v>127</v>
      </c>
      <c r="C540" s="12">
        <v>2</v>
      </c>
      <c r="D540" s="13">
        <v>40000</v>
      </c>
      <c r="E540" s="39">
        <f t="shared" si="9"/>
        <v>80000</v>
      </c>
      <c r="F540" s="56"/>
      <c r="G540" s="18"/>
    </row>
    <row r="541" s="2" customFormat="1" spans="1:7">
      <c r="A541" s="14"/>
      <c r="B541" s="11" t="s">
        <v>93</v>
      </c>
      <c r="C541" s="12">
        <v>1</v>
      </c>
      <c r="D541" s="13">
        <v>50000</v>
      </c>
      <c r="E541" s="39">
        <f t="shared" si="9"/>
        <v>50000</v>
      </c>
      <c r="F541" s="56"/>
      <c r="G541" s="18"/>
    </row>
    <row r="542" s="2" customFormat="1" spans="1:7">
      <c r="A542" s="14"/>
      <c r="B542" s="11" t="s">
        <v>83</v>
      </c>
      <c r="C542" s="12">
        <v>0.1</v>
      </c>
      <c r="D542" s="13">
        <v>83000</v>
      </c>
      <c r="E542" s="39">
        <f t="shared" si="9"/>
        <v>8300</v>
      </c>
      <c r="F542" s="56"/>
      <c r="G542" s="18"/>
    </row>
    <row r="543" s="2" customFormat="1" spans="1:7">
      <c r="A543" s="14"/>
      <c r="B543" s="11" t="s">
        <v>84</v>
      </c>
      <c r="C543" s="12">
        <v>0.05</v>
      </c>
      <c r="D543" s="13">
        <v>110000</v>
      </c>
      <c r="E543" s="39">
        <f t="shared" si="9"/>
        <v>5500</v>
      </c>
      <c r="F543" s="56"/>
      <c r="G543" s="18"/>
    </row>
    <row r="544" s="2" customFormat="1" spans="1:7">
      <c r="A544" s="14"/>
      <c r="B544" s="11" t="s">
        <v>119</v>
      </c>
      <c r="C544" s="12">
        <v>0.3</v>
      </c>
      <c r="D544" s="13">
        <v>72000</v>
      </c>
      <c r="E544" s="39">
        <f t="shared" si="9"/>
        <v>21600</v>
      </c>
      <c r="F544" s="56"/>
      <c r="G544" s="18"/>
    </row>
    <row r="545" s="2" customFormat="1" spans="1:7">
      <c r="A545" s="14"/>
      <c r="B545" s="11" t="s">
        <v>56</v>
      </c>
      <c r="C545" s="12">
        <v>2</v>
      </c>
      <c r="D545" s="13">
        <v>25000</v>
      </c>
      <c r="E545" s="39">
        <f t="shared" si="9"/>
        <v>50000</v>
      </c>
      <c r="F545" s="56"/>
      <c r="G545" s="18"/>
    </row>
    <row r="546" s="2" customFormat="1" spans="1:7">
      <c r="A546" s="14"/>
      <c r="B546" s="11" t="s">
        <v>9</v>
      </c>
      <c r="C546" s="12">
        <v>0.5</v>
      </c>
      <c r="D546" s="13">
        <v>83000</v>
      </c>
      <c r="E546" s="39">
        <f t="shared" si="9"/>
        <v>41500</v>
      </c>
      <c r="F546" s="56"/>
      <c r="G546" s="18"/>
    </row>
    <row r="547" s="2" customFormat="1" spans="1:7">
      <c r="A547" s="14"/>
      <c r="B547" s="11" t="s">
        <v>57</v>
      </c>
      <c r="C547" s="12">
        <v>0.5</v>
      </c>
      <c r="D547" s="13">
        <v>94000</v>
      </c>
      <c r="E547" s="39">
        <f t="shared" si="9"/>
        <v>47000</v>
      </c>
      <c r="F547" s="56"/>
      <c r="G547" s="18"/>
    </row>
    <row r="548" s="2" customFormat="1" spans="1:7">
      <c r="A548" s="14"/>
      <c r="B548" s="11" t="s">
        <v>24</v>
      </c>
      <c r="C548" s="12">
        <v>2</v>
      </c>
      <c r="D548" s="13">
        <v>28000</v>
      </c>
      <c r="E548" s="39">
        <f t="shared" si="9"/>
        <v>56000</v>
      </c>
      <c r="F548" s="56"/>
      <c r="G548" s="18"/>
    </row>
    <row r="549" s="2" customFormat="1" spans="1:7">
      <c r="A549" s="14"/>
      <c r="B549" s="11" t="s">
        <v>135</v>
      </c>
      <c r="C549" s="12">
        <v>3</v>
      </c>
      <c r="D549" s="13">
        <v>35000</v>
      </c>
      <c r="E549" s="39">
        <f t="shared" si="9"/>
        <v>105000</v>
      </c>
      <c r="F549" s="56"/>
      <c r="G549" s="18"/>
    </row>
    <row r="550" s="2" customFormat="1" spans="1:7">
      <c r="A550" s="14"/>
      <c r="B550" s="11" t="s">
        <v>58</v>
      </c>
      <c r="C550" s="12">
        <v>1</v>
      </c>
      <c r="D550" s="13">
        <v>83000</v>
      </c>
      <c r="E550" s="39">
        <f t="shared" si="9"/>
        <v>83000</v>
      </c>
      <c r="F550" s="56"/>
      <c r="G550" s="18"/>
    </row>
    <row r="551" s="2" customFormat="1" spans="1:7">
      <c r="A551" s="14"/>
      <c r="B551" s="11" t="s">
        <v>16</v>
      </c>
      <c r="C551" s="12">
        <v>1.5</v>
      </c>
      <c r="D551" s="13">
        <v>39000</v>
      </c>
      <c r="E551" s="39">
        <f t="shared" si="9"/>
        <v>58500</v>
      </c>
      <c r="F551" s="56"/>
      <c r="G551" s="18"/>
    </row>
    <row r="552" s="2" customFormat="1" spans="1:7">
      <c r="A552" s="14"/>
      <c r="B552" s="11" t="s">
        <v>47</v>
      </c>
      <c r="C552" s="12">
        <v>1</v>
      </c>
      <c r="D552" s="13">
        <v>50000</v>
      </c>
      <c r="E552" s="39">
        <f t="shared" si="9"/>
        <v>50000</v>
      </c>
      <c r="F552" s="56"/>
      <c r="G552" s="18"/>
    </row>
    <row r="553" s="2" customFormat="1" spans="1:7">
      <c r="A553" s="14"/>
      <c r="B553" s="11" t="s">
        <v>61</v>
      </c>
      <c r="C553" s="12">
        <v>0.5</v>
      </c>
      <c r="D553" s="13">
        <v>50000</v>
      </c>
      <c r="E553" s="39">
        <f t="shared" si="9"/>
        <v>25000</v>
      </c>
      <c r="F553" s="56"/>
      <c r="G553" s="18"/>
    </row>
    <row r="554" s="2" customFormat="1" spans="1:7">
      <c r="A554" s="14"/>
      <c r="B554" s="11" t="s">
        <v>62</v>
      </c>
      <c r="C554" s="12">
        <v>0.5</v>
      </c>
      <c r="D554" s="13">
        <v>61000</v>
      </c>
      <c r="E554" s="39">
        <f t="shared" si="9"/>
        <v>30500</v>
      </c>
      <c r="F554" s="56"/>
      <c r="G554" s="18"/>
    </row>
    <row r="555" s="2" customFormat="1" spans="1:7">
      <c r="A555" s="14"/>
      <c r="B555" s="11" t="s">
        <v>115</v>
      </c>
      <c r="C555" s="12">
        <v>0.5</v>
      </c>
      <c r="D555" s="13">
        <v>70000</v>
      </c>
      <c r="E555" s="39">
        <f t="shared" si="9"/>
        <v>35000</v>
      </c>
      <c r="F555" s="56"/>
      <c r="G555" s="18"/>
    </row>
    <row r="556" s="2" customFormat="1" spans="1:7">
      <c r="A556" s="14"/>
      <c r="B556" s="11" t="s">
        <v>66</v>
      </c>
      <c r="C556" s="12">
        <v>0.5</v>
      </c>
      <c r="D556" s="13">
        <v>80000</v>
      </c>
      <c r="E556" s="39">
        <f t="shared" si="9"/>
        <v>40000</v>
      </c>
      <c r="F556" s="56"/>
      <c r="G556" s="18"/>
    </row>
    <row r="557" s="2" customFormat="1" spans="1:7">
      <c r="A557" s="14"/>
      <c r="B557" s="11" t="s">
        <v>20</v>
      </c>
      <c r="C557" s="12">
        <v>2</v>
      </c>
      <c r="D557" s="13">
        <v>39000</v>
      </c>
      <c r="E557" s="39">
        <f t="shared" si="9"/>
        <v>78000</v>
      </c>
      <c r="F557" s="56"/>
      <c r="G557" s="18"/>
    </row>
    <row r="558" s="2" customFormat="1" spans="1:7">
      <c r="A558" s="14"/>
      <c r="B558" s="11" t="s">
        <v>95</v>
      </c>
      <c r="C558" s="12">
        <v>2</v>
      </c>
      <c r="D558" s="13">
        <v>35000</v>
      </c>
      <c r="E558" s="39">
        <f t="shared" si="9"/>
        <v>70000</v>
      </c>
      <c r="F558" s="57"/>
      <c r="G558" s="18"/>
    </row>
    <row r="559" s="2" customFormat="1" spans="1:6">
      <c r="A559" s="10">
        <v>46020</v>
      </c>
      <c r="B559" s="11" t="s">
        <v>124</v>
      </c>
      <c r="C559" s="12">
        <v>3</v>
      </c>
      <c r="D559" s="13">
        <v>25000</v>
      </c>
      <c r="E559" s="39">
        <f t="shared" si="9"/>
        <v>75000</v>
      </c>
      <c r="F559" s="17">
        <f>SUM(E559:E580)</f>
        <v>1946040</v>
      </c>
    </row>
    <row r="560" s="2" customFormat="1" spans="1:6">
      <c r="A560" s="14"/>
      <c r="B560" s="11" t="s">
        <v>36</v>
      </c>
      <c r="C560" s="12">
        <v>2</v>
      </c>
      <c r="D560" s="13">
        <v>75000</v>
      </c>
      <c r="E560" s="39">
        <f t="shared" si="9"/>
        <v>150000</v>
      </c>
      <c r="F560" s="19"/>
    </row>
    <row r="561" s="2" customFormat="1" spans="1:6">
      <c r="A561" s="14"/>
      <c r="B561" s="11" t="s">
        <v>136</v>
      </c>
      <c r="C561" s="12">
        <v>0.5</v>
      </c>
      <c r="D561" s="13">
        <v>100000</v>
      </c>
      <c r="E561" s="39">
        <f t="shared" si="9"/>
        <v>50000</v>
      </c>
      <c r="F561" s="19"/>
    </row>
    <row r="562" s="2" customFormat="1" spans="1:6">
      <c r="A562" s="14"/>
      <c r="B562" s="11" t="s">
        <v>137</v>
      </c>
      <c r="C562" s="12">
        <v>0.5</v>
      </c>
      <c r="D562" s="13">
        <v>150000</v>
      </c>
      <c r="E562" s="39">
        <f t="shared" si="9"/>
        <v>75000</v>
      </c>
      <c r="F562" s="19"/>
    </row>
    <row r="563" s="2" customFormat="1" spans="1:6">
      <c r="A563" s="14"/>
      <c r="B563" s="11" t="s">
        <v>10</v>
      </c>
      <c r="C563" s="12">
        <v>6</v>
      </c>
      <c r="D563" s="13">
        <v>25000</v>
      </c>
      <c r="E563" s="39">
        <f t="shared" si="9"/>
        <v>150000</v>
      </c>
      <c r="F563" s="19"/>
    </row>
    <row r="564" s="2" customFormat="1" spans="1:6">
      <c r="A564" s="14"/>
      <c r="B564" s="11" t="s">
        <v>26</v>
      </c>
      <c r="C564" s="12">
        <v>4</v>
      </c>
      <c r="D564" s="13">
        <v>66000</v>
      </c>
      <c r="E564" s="39">
        <f t="shared" si="9"/>
        <v>264000</v>
      </c>
      <c r="F564" s="19"/>
    </row>
    <row r="565" s="2" customFormat="1" spans="1:6">
      <c r="A565" s="14"/>
      <c r="B565" s="11" t="s">
        <v>28</v>
      </c>
      <c r="C565" s="12">
        <v>10</v>
      </c>
      <c r="D565" s="13">
        <v>24000</v>
      </c>
      <c r="E565" s="39">
        <f t="shared" si="9"/>
        <v>240000</v>
      </c>
      <c r="F565" s="19"/>
    </row>
    <row r="566" s="2" customFormat="1" spans="1:6">
      <c r="A566" s="14"/>
      <c r="B566" s="11" t="s">
        <v>32</v>
      </c>
      <c r="C566" s="12">
        <v>5</v>
      </c>
      <c r="D566" s="13">
        <v>39000</v>
      </c>
      <c r="E566" s="39">
        <f t="shared" si="9"/>
        <v>195000</v>
      </c>
      <c r="F566" s="19"/>
    </row>
    <row r="567" s="2" customFormat="1" spans="1:6">
      <c r="A567" s="14"/>
      <c r="B567" s="11" t="s">
        <v>90</v>
      </c>
      <c r="C567" s="12">
        <v>1</v>
      </c>
      <c r="D567" s="13">
        <v>55000</v>
      </c>
      <c r="E567" s="39">
        <f t="shared" si="9"/>
        <v>55000</v>
      </c>
      <c r="F567" s="19"/>
    </row>
    <row r="568" s="2" customFormat="1" spans="1:6">
      <c r="A568" s="14"/>
      <c r="B568" s="11" t="s">
        <v>138</v>
      </c>
      <c r="C568" s="12">
        <v>2</v>
      </c>
      <c r="D568" s="13">
        <v>55000</v>
      </c>
      <c r="E568" s="39">
        <f t="shared" si="9"/>
        <v>110000</v>
      </c>
      <c r="F568" s="19"/>
    </row>
    <row r="569" s="2" customFormat="1" spans="1:6">
      <c r="A569" s="14"/>
      <c r="B569" s="11" t="s">
        <v>139</v>
      </c>
      <c r="C569" s="12">
        <v>2</v>
      </c>
      <c r="D569" s="13">
        <v>25000</v>
      </c>
      <c r="E569" s="39">
        <f t="shared" si="9"/>
        <v>50000</v>
      </c>
      <c r="F569" s="19"/>
    </row>
    <row r="570" s="2" customFormat="1" spans="1:6">
      <c r="A570" s="14"/>
      <c r="B570" s="11" t="s">
        <v>56</v>
      </c>
      <c r="C570" s="12">
        <v>2</v>
      </c>
      <c r="D570" s="13">
        <v>25000</v>
      </c>
      <c r="E570" s="39">
        <f t="shared" si="9"/>
        <v>50000</v>
      </c>
      <c r="F570" s="19"/>
    </row>
    <row r="571" s="2" customFormat="1" spans="1:6">
      <c r="A571" s="14"/>
      <c r="B571" s="11" t="s">
        <v>89</v>
      </c>
      <c r="C571" s="12">
        <v>0.5</v>
      </c>
      <c r="D571" s="13">
        <v>72000</v>
      </c>
      <c r="E571" s="39">
        <f t="shared" si="9"/>
        <v>36000</v>
      </c>
      <c r="F571" s="19"/>
    </row>
    <row r="572" s="2" customFormat="1" spans="1:6">
      <c r="A572" s="14"/>
      <c r="B572" s="11" t="s">
        <v>103</v>
      </c>
      <c r="C572" s="12">
        <v>1</v>
      </c>
      <c r="D572" s="13">
        <v>200000</v>
      </c>
      <c r="E572" s="39">
        <f t="shared" si="9"/>
        <v>200000</v>
      </c>
      <c r="F572" s="19"/>
    </row>
    <row r="573" s="2" customFormat="1" spans="1:6">
      <c r="A573" s="14"/>
      <c r="B573" s="11" t="s">
        <v>51</v>
      </c>
      <c r="C573" s="12">
        <v>0.3</v>
      </c>
      <c r="D573" s="13">
        <v>70000</v>
      </c>
      <c r="E573" s="39">
        <f t="shared" si="9"/>
        <v>21000</v>
      </c>
      <c r="F573" s="19"/>
    </row>
    <row r="574" s="2" customFormat="1" spans="1:6">
      <c r="A574" s="14"/>
      <c r="B574" s="11" t="s">
        <v>92</v>
      </c>
      <c r="C574" s="12">
        <v>0.3</v>
      </c>
      <c r="D574" s="13">
        <v>55000</v>
      </c>
      <c r="E574" s="39">
        <f t="shared" si="9"/>
        <v>16500</v>
      </c>
      <c r="F574" s="19"/>
    </row>
    <row r="575" s="2" customFormat="1" spans="1:6">
      <c r="A575" s="14"/>
      <c r="B575" s="11" t="s">
        <v>119</v>
      </c>
      <c r="C575" s="12">
        <v>0.2</v>
      </c>
      <c r="D575" s="13">
        <v>72000</v>
      </c>
      <c r="E575" s="39">
        <f t="shared" si="9"/>
        <v>14400</v>
      </c>
      <c r="F575" s="19"/>
    </row>
    <row r="576" s="2" customFormat="1" spans="1:6">
      <c r="A576" s="14"/>
      <c r="B576" s="11" t="s">
        <v>82</v>
      </c>
      <c r="C576" s="12">
        <v>0.1</v>
      </c>
      <c r="D576" s="13">
        <v>39000</v>
      </c>
      <c r="E576" s="39">
        <f t="shared" si="9"/>
        <v>3900</v>
      </c>
      <c r="F576" s="19"/>
    </row>
    <row r="577" s="2" customFormat="1" spans="1:6">
      <c r="A577" s="14"/>
      <c r="B577" s="11" t="s">
        <v>120</v>
      </c>
      <c r="C577" s="12">
        <v>0.07</v>
      </c>
      <c r="D577" s="13">
        <v>132000</v>
      </c>
      <c r="E577" s="39">
        <f t="shared" si="9"/>
        <v>9240</v>
      </c>
      <c r="F577" s="19"/>
    </row>
    <row r="578" s="2" customFormat="1" spans="1:6">
      <c r="A578" s="14"/>
      <c r="B578" s="11" t="s">
        <v>140</v>
      </c>
      <c r="C578" s="12">
        <v>1</v>
      </c>
      <c r="D578" s="13">
        <v>25000</v>
      </c>
      <c r="E578" s="39">
        <f t="shared" si="9"/>
        <v>25000</v>
      </c>
      <c r="F578" s="19"/>
    </row>
    <row r="579" s="2" customFormat="1" spans="1:6">
      <c r="A579" s="14"/>
      <c r="B579" s="11" t="s">
        <v>17</v>
      </c>
      <c r="C579" s="12">
        <v>2</v>
      </c>
      <c r="D579" s="13">
        <v>39000</v>
      </c>
      <c r="E579" s="39">
        <f t="shared" ref="E579:E642" si="10">D579*C579</f>
        <v>78000</v>
      </c>
      <c r="F579" s="19"/>
    </row>
    <row r="580" s="2" customFormat="1" spans="1:6">
      <c r="A580" s="14"/>
      <c r="B580" s="11" t="s">
        <v>16</v>
      </c>
      <c r="C580" s="12">
        <v>2</v>
      </c>
      <c r="D580" s="13">
        <v>39000</v>
      </c>
      <c r="E580" s="39">
        <f t="shared" si="10"/>
        <v>78000</v>
      </c>
      <c r="F580" s="25"/>
    </row>
    <row r="581" s="2" customFormat="1" spans="1:6">
      <c r="A581" s="29">
        <v>46020</v>
      </c>
      <c r="B581" s="11" t="s">
        <v>129</v>
      </c>
      <c r="C581" s="12">
        <v>2</v>
      </c>
      <c r="D581" s="13">
        <v>75000</v>
      </c>
      <c r="E581" s="39">
        <f t="shared" si="10"/>
        <v>150000</v>
      </c>
      <c r="F581" s="19">
        <f>SUM(E581:E591)</f>
        <v>1196000</v>
      </c>
    </row>
    <row r="582" s="2" customFormat="1" spans="1:6">
      <c r="A582" s="29"/>
      <c r="B582" s="11" t="s">
        <v>69</v>
      </c>
      <c r="C582" s="12">
        <v>5</v>
      </c>
      <c r="D582" s="13">
        <v>25000</v>
      </c>
      <c r="E582" s="39">
        <f t="shared" si="10"/>
        <v>125000</v>
      </c>
      <c r="F582" s="19"/>
    </row>
    <row r="583" s="2" customFormat="1" spans="1:6">
      <c r="A583" s="29"/>
      <c r="B583" s="11" t="s">
        <v>19</v>
      </c>
      <c r="C583" s="12">
        <v>1</v>
      </c>
      <c r="D583" s="13">
        <v>65000</v>
      </c>
      <c r="E583" s="39">
        <f t="shared" si="10"/>
        <v>65000</v>
      </c>
      <c r="F583" s="19"/>
    </row>
    <row r="584" s="2" customFormat="1" spans="1:6">
      <c r="A584" s="29"/>
      <c r="B584" s="11" t="s">
        <v>141</v>
      </c>
      <c r="C584" s="12">
        <v>1</v>
      </c>
      <c r="D584" s="13">
        <v>165000</v>
      </c>
      <c r="E584" s="39">
        <f t="shared" si="10"/>
        <v>165000</v>
      </c>
      <c r="F584" s="19"/>
    </row>
    <row r="585" s="2" customFormat="1" spans="1:6">
      <c r="A585" s="29"/>
      <c r="B585" s="11" t="s">
        <v>67</v>
      </c>
      <c r="C585" s="12">
        <v>0.3</v>
      </c>
      <c r="D585" s="13">
        <v>120000</v>
      </c>
      <c r="E585" s="39">
        <f t="shared" si="10"/>
        <v>36000</v>
      </c>
      <c r="F585" s="19"/>
    </row>
    <row r="586" s="2" customFormat="1" spans="1:6">
      <c r="A586" s="29"/>
      <c r="B586" s="11" t="s">
        <v>64</v>
      </c>
      <c r="C586" s="12">
        <v>15</v>
      </c>
      <c r="D586" s="13">
        <v>1000</v>
      </c>
      <c r="E586" s="39">
        <f t="shared" si="10"/>
        <v>15000</v>
      </c>
      <c r="F586" s="19"/>
    </row>
    <row r="587" s="2" customFormat="1" spans="1:6">
      <c r="A587" s="29"/>
      <c r="B587" s="11" t="s">
        <v>115</v>
      </c>
      <c r="C587" s="12">
        <v>1</v>
      </c>
      <c r="D587" s="13">
        <v>70000</v>
      </c>
      <c r="E587" s="39">
        <f t="shared" si="10"/>
        <v>70000</v>
      </c>
      <c r="F587" s="19"/>
    </row>
    <row r="588" s="2" customFormat="1" spans="1:6">
      <c r="A588" s="29"/>
      <c r="B588" s="11" t="s">
        <v>61</v>
      </c>
      <c r="C588" s="12">
        <v>0.5</v>
      </c>
      <c r="D588" s="13">
        <v>75000</v>
      </c>
      <c r="E588" s="39">
        <f t="shared" si="10"/>
        <v>37500</v>
      </c>
      <c r="F588" s="19"/>
    </row>
    <row r="589" s="2" customFormat="1" spans="1:6">
      <c r="A589" s="29"/>
      <c r="B589" s="11" t="s">
        <v>62</v>
      </c>
      <c r="C589" s="12">
        <v>0.5</v>
      </c>
      <c r="D589" s="13">
        <v>85000</v>
      </c>
      <c r="E589" s="39">
        <f t="shared" si="10"/>
        <v>42500</v>
      </c>
      <c r="F589" s="19"/>
    </row>
    <row r="590" s="2" customFormat="1" spans="1:6">
      <c r="A590" s="29"/>
      <c r="B590" s="11" t="s">
        <v>142</v>
      </c>
      <c r="C590" s="12">
        <v>1</v>
      </c>
      <c r="D590" s="13">
        <v>140000</v>
      </c>
      <c r="E590" s="39">
        <f t="shared" si="10"/>
        <v>140000</v>
      </c>
      <c r="F590" s="19"/>
    </row>
    <row r="591" s="2" customFormat="1" spans="1:6">
      <c r="A591" s="29"/>
      <c r="B591" s="11" t="s">
        <v>131</v>
      </c>
      <c r="C591" s="12">
        <v>1</v>
      </c>
      <c r="D591" s="13">
        <v>350000</v>
      </c>
      <c r="E591" s="39">
        <f t="shared" si="10"/>
        <v>350000</v>
      </c>
      <c r="F591" s="25"/>
    </row>
    <row r="592" s="2" customFormat="1" spans="1:6">
      <c r="A592" s="10">
        <v>46386</v>
      </c>
      <c r="B592" s="11" t="s">
        <v>28</v>
      </c>
      <c r="C592" s="12">
        <v>15</v>
      </c>
      <c r="D592" s="13">
        <v>22000</v>
      </c>
      <c r="E592" s="39">
        <f t="shared" si="10"/>
        <v>330000</v>
      </c>
      <c r="F592" s="17">
        <f>SUM(E592:E613)</f>
        <v>2141340</v>
      </c>
    </row>
    <row r="593" s="2" customFormat="1" spans="1:6">
      <c r="A593" s="14"/>
      <c r="B593" s="11" t="s">
        <v>26</v>
      </c>
      <c r="C593" s="12">
        <v>7</v>
      </c>
      <c r="D593" s="13">
        <v>66000</v>
      </c>
      <c r="E593" s="39">
        <f t="shared" si="10"/>
        <v>462000</v>
      </c>
      <c r="F593" s="19"/>
    </row>
    <row r="594" s="2" customFormat="1" spans="1:6">
      <c r="A594" s="14"/>
      <c r="B594" s="11" t="s">
        <v>36</v>
      </c>
      <c r="C594" s="12">
        <v>2</v>
      </c>
      <c r="D594" s="13">
        <v>75000</v>
      </c>
      <c r="E594" s="39">
        <f t="shared" si="10"/>
        <v>150000</v>
      </c>
      <c r="F594" s="19"/>
    </row>
    <row r="595" s="2" customFormat="1" spans="1:6">
      <c r="A595" s="14"/>
      <c r="B595" s="11" t="s">
        <v>43</v>
      </c>
      <c r="C595" s="12">
        <v>2</v>
      </c>
      <c r="D595" s="13">
        <v>30000</v>
      </c>
      <c r="E595" s="39">
        <f t="shared" si="10"/>
        <v>60000</v>
      </c>
      <c r="F595" s="19"/>
    </row>
    <row r="596" s="2" customFormat="1" spans="1:6">
      <c r="A596" s="14"/>
      <c r="B596" s="11" t="s">
        <v>80</v>
      </c>
      <c r="C596" s="12">
        <v>2</v>
      </c>
      <c r="D596" s="13">
        <v>45000</v>
      </c>
      <c r="E596" s="39">
        <f t="shared" si="10"/>
        <v>90000</v>
      </c>
      <c r="F596" s="19"/>
    </row>
    <row r="597" s="2" customFormat="1" spans="1:6">
      <c r="A597" s="14"/>
      <c r="B597" s="11" t="s">
        <v>35</v>
      </c>
      <c r="C597" s="12">
        <v>1.5</v>
      </c>
      <c r="D597" s="13">
        <v>28000</v>
      </c>
      <c r="E597" s="39">
        <f t="shared" si="10"/>
        <v>42000</v>
      </c>
      <c r="F597" s="19"/>
    </row>
    <row r="598" s="2" customFormat="1" spans="1:6">
      <c r="A598" s="14"/>
      <c r="B598" s="11" t="s">
        <v>89</v>
      </c>
      <c r="C598" s="12">
        <v>0.4</v>
      </c>
      <c r="D598" s="13">
        <v>72000</v>
      </c>
      <c r="E598" s="39">
        <f t="shared" si="10"/>
        <v>28800</v>
      </c>
      <c r="F598" s="19"/>
    </row>
    <row r="599" s="2" customFormat="1" spans="1:6">
      <c r="A599" s="14"/>
      <c r="B599" s="11" t="s">
        <v>9</v>
      </c>
      <c r="C599" s="12">
        <v>0.5</v>
      </c>
      <c r="D599" s="13">
        <v>83000</v>
      </c>
      <c r="E599" s="39">
        <f t="shared" si="10"/>
        <v>41500</v>
      </c>
      <c r="F599" s="19"/>
    </row>
    <row r="600" s="2" customFormat="1" spans="1:6">
      <c r="A600" s="14"/>
      <c r="B600" s="11" t="s">
        <v>57</v>
      </c>
      <c r="C600" s="12">
        <v>0.5</v>
      </c>
      <c r="D600" s="13">
        <v>94000</v>
      </c>
      <c r="E600" s="39">
        <f t="shared" si="10"/>
        <v>47000</v>
      </c>
      <c r="F600" s="19"/>
    </row>
    <row r="601" s="2" customFormat="1" spans="1:6">
      <c r="A601" s="14"/>
      <c r="B601" s="11" t="s">
        <v>92</v>
      </c>
      <c r="C601" s="12">
        <v>0.3</v>
      </c>
      <c r="D601" s="13">
        <v>55000</v>
      </c>
      <c r="E601" s="39">
        <f t="shared" si="10"/>
        <v>16500</v>
      </c>
      <c r="F601" s="19"/>
    </row>
    <row r="602" s="2" customFormat="1" spans="1:6">
      <c r="A602" s="14"/>
      <c r="B602" s="11" t="s">
        <v>51</v>
      </c>
      <c r="C602" s="12">
        <v>0.3</v>
      </c>
      <c r="D602" s="13">
        <v>70000</v>
      </c>
      <c r="E602" s="39">
        <f t="shared" si="10"/>
        <v>21000</v>
      </c>
      <c r="F602" s="19"/>
    </row>
    <row r="603" s="2" customFormat="1" spans="1:6">
      <c r="A603" s="14"/>
      <c r="B603" s="11" t="s">
        <v>119</v>
      </c>
      <c r="C603" s="12">
        <v>0.2</v>
      </c>
      <c r="D603" s="13">
        <v>72000</v>
      </c>
      <c r="E603" s="39">
        <f t="shared" si="10"/>
        <v>14400</v>
      </c>
      <c r="F603" s="19"/>
    </row>
    <row r="604" s="2" customFormat="1" spans="1:6">
      <c r="A604" s="14"/>
      <c r="B604" s="11" t="s">
        <v>85</v>
      </c>
      <c r="C604" s="12">
        <v>3</v>
      </c>
      <c r="D604" s="13">
        <v>35000</v>
      </c>
      <c r="E604" s="39">
        <f t="shared" si="10"/>
        <v>105000</v>
      </c>
      <c r="F604" s="19"/>
    </row>
    <row r="605" s="2" customFormat="1" spans="1:6">
      <c r="A605" s="14"/>
      <c r="B605" s="11" t="s">
        <v>54</v>
      </c>
      <c r="C605" s="12">
        <v>0.08</v>
      </c>
      <c r="D605" s="13">
        <v>198000</v>
      </c>
      <c r="E605" s="39">
        <f t="shared" si="10"/>
        <v>15840</v>
      </c>
      <c r="F605" s="19"/>
    </row>
    <row r="606" s="2" customFormat="1" spans="1:6">
      <c r="A606" s="14"/>
      <c r="B606" s="11" t="s">
        <v>120</v>
      </c>
      <c r="C606" s="12">
        <v>0.08</v>
      </c>
      <c r="D606" s="13">
        <v>110000</v>
      </c>
      <c r="E606" s="39">
        <f t="shared" si="10"/>
        <v>8800</v>
      </c>
      <c r="F606" s="19"/>
    </row>
    <row r="607" s="2" customFormat="1" spans="1:6">
      <c r="A607" s="14"/>
      <c r="B607" s="11" t="s">
        <v>132</v>
      </c>
      <c r="C607" s="12">
        <v>0.1</v>
      </c>
      <c r="D607" s="13">
        <v>165000</v>
      </c>
      <c r="E607" s="39">
        <f t="shared" si="10"/>
        <v>16500</v>
      </c>
      <c r="F607" s="19"/>
    </row>
    <row r="608" s="2" customFormat="1" spans="1:6">
      <c r="A608" s="14"/>
      <c r="B608" s="11" t="s">
        <v>91</v>
      </c>
      <c r="C608" s="12">
        <v>0.1</v>
      </c>
      <c r="D608" s="13">
        <v>200000</v>
      </c>
      <c r="E608" s="39">
        <f t="shared" si="10"/>
        <v>20000</v>
      </c>
      <c r="F608" s="19"/>
    </row>
    <row r="609" s="2" customFormat="1" spans="1:6">
      <c r="A609" s="14"/>
      <c r="B609" s="11" t="s">
        <v>143</v>
      </c>
      <c r="C609" s="12">
        <v>2</v>
      </c>
      <c r="D609" s="13">
        <v>100000</v>
      </c>
      <c r="E609" s="39">
        <f t="shared" si="10"/>
        <v>200000</v>
      </c>
      <c r="F609" s="19"/>
    </row>
    <row r="610" s="2" customFormat="1" spans="1:6">
      <c r="A610" s="14"/>
      <c r="B610" s="11" t="s">
        <v>59</v>
      </c>
      <c r="C610" s="12">
        <v>0.1</v>
      </c>
      <c r="D610" s="13">
        <v>88000</v>
      </c>
      <c r="E610" s="39">
        <f t="shared" si="10"/>
        <v>8800</v>
      </c>
      <c r="F610" s="19"/>
    </row>
    <row r="611" s="2" customFormat="1" spans="1:6">
      <c r="A611" s="14"/>
      <c r="B611" s="11" t="s">
        <v>133</v>
      </c>
      <c r="C611" s="12">
        <v>0.1</v>
      </c>
      <c r="D611" s="13">
        <v>72000</v>
      </c>
      <c r="E611" s="39">
        <f t="shared" si="10"/>
        <v>7200</v>
      </c>
      <c r="F611" s="19"/>
    </row>
    <row r="612" s="2" customFormat="1" spans="1:6">
      <c r="A612" s="14"/>
      <c r="B612" s="11" t="s">
        <v>144</v>
      </c>
      <c r="C612" s="12">
        <v>2</v>
      </c>
      <c r="D612" s="13">
        <v>200000</v>
      </c>
      <c r="E612" s="39">
        <f t="shared" si="10"/>
        <v>400000</v>
      </c>
      <c r="F612" s="19"/>
    </row>
    <row r="613" s="2" customFormat="1" spans="1:6">
      <c r="A613" s="14"/>
      <c r="B613" s="11" t="s">
        <v>24</v>
      </c>
      <c r="C613" s="12">
        <v>2</v>
      </c>
      <c r="D613" s="13">
        <v>28000</v>
      </c>
      <c r="E613" s="39">
        <f t="shared" si="10"/>
        <v>56000</v>
      </c>
      <c r="F613" s="25"/>
    </row>
    <row r="614" s="2" customFormat="1" spans="1:6">
      <c r="A614" s="10">
        <v>46386</v>
      </c>
      <c r="B614" s="11" t="s">
        <v>64</v>
      </c>
      <c r="C614" s="12">
        <v>30</v>
      </c>
      <c r="D614" s="13">
        <v>1000</v>
      </c>
      <c r="E614" s="39">
        <f t="shared" si="10"/>
        <v>30000</v>
      </c>
      <c r="F614" s="17">
        <f>SUM(E614:E623)</f>
        <v>676500</v>
      </c>
    </row>
    <row r="615" s="2" customFormat="1" spans="1:6">
      <c r="A615" s="14"/>
      <c r="B615" s="11" t="s">
        <v>115</v>
      </c>
      <c r="C615" s="12">
        <v>1</v>
      </c>
      <c r="D615" s="13">
        <v>70000</v>
      </c>
      <c r="E615" s="39">
        <f t="shared" si="10"/>
        <v>70000</v>
      </c>
      <c r="F615" s="19"/>
    </row>
    <row r="616" s="2" customFormat="1" spans="1:6">
      <c r="A616" s="14"/>
      <c r="B616" s="11" t="s">
        <v>113</v>
      </c>
      <c r="C616" s="12">
        <v>1.5</v>
      </c>
      <c r="D616" s="13">
        <v>70000</v>
      </c>
      <c r="E616" s="39">
        <f t="shared" si="10"/>
        <v>105000</v>
      </c>
      <c r="F616" s="19"/>
    </row>
    <row r="617" s="2" customFormat="1" spans="1:6">
      <c r="A617" s="14"/>
      <c r="B617" s="11" t="s">
        <v>61</v>
      </c>
      <c r="C617" s="12">
        <v>0.5</v>
      </c>
      <c r="D617" s="13">
        <v>50000</v>
      </c>
      <c r="E617" s="39">
        <f t="shared" si="10"/>
        <v>25000</v>
      </c>
      <c r="F617" s="19"/>
    </row>
    <row r="618" s="2" customFormat="1" spans="1:6">
      <c r="A618" s="14"/>
      <c r="B618" s="11" t="s">
        <v>62</v>
      </c>
      <c r="C618" s="12">
        <v>0.5</v>
      </c>
      <c r="D618" s="13">
        <v>61000</v>
      </c>
      <c r="E618" s="39">
        <f t="shared" si="10"/>
        <v>30500</v>
      </c>
      <c r="F618" s="19"/>
    </row>
    <row r="619" s="2" customFormat="1" spans="1:6">
      <c r="A619" s="14"/>
      <c r="B619" s="11" t="s">
        <v>47</v>
      </c>
      <c r="C619" s="12">
        <v>1</v>
      </c>
      <c r="D619" s="13">
        <v>50000</v>
      </c>
      <c r="E619" s="39">
        <f t="shared" si="10"/>
        <v>50000</v>
      </c>
      <c r="F619" s="19"/>
    </row>
    <row r="620" s="2" customFormat="1" spans="1:6">
      <c r="A620" s="14"/>
      <c r="B620" s="11" t="s">
        <v>17</v>
      </c>
      <c r="C620" s="12">
        <v>2</v>
      </c>
      <c r="D620" s="13">
        <v>39000</v>
      </c>
      <c r="E620" s="39">
        <f t="shared" si="10"/>
        <v>78000</v>
      </c>
      <c r="F620" s="19"/>
    </row>
    <row r="621" s="2" customFormat="1" spans="1:6">
      <c r="A621" s="14"/>
      <c r="B621" s="11" t="s">
        <v>16</v>
      </c>
      <c r="C621" s="12">
        <v>2</v>
      </c>
      <c r="D621" s="13">
        <v>39000</v>
      </c>
      <c r="E621" s="39">
        <f t="shared" si="10"/>
        <v>78000</v>
      </c>
      <c r="F621" s="19"/>
    </row>
    <row r="622" s="2" customFormat="1" spans="1:6">
      <c r="A622" s="14"/>
      <c r="B622" s="11" t="s">
        <v>90</v>
      </c>
      <c r="C622" s="12">
        <v>3</v>
      </c>
      <c r="D622" s="13">
        <v>55000</v>
      </c>
      <c r="E622" s="39">
        <f t="shared" si="10"/>
        <v>165000</v>
      </c>
      <c r="F622" s="19"/>
    </row>
    <row r="623" s="2" customFormat="1" spans="1:6">
      <c r="A623" s="14"/>
      <c r="B623" s="11" t="s">
        <v>18</v>
      </c>
      <c r="C623" s="12">
        <v>1</v>
      </c>
      <c r="D623" s="13">
        <v>45000</v>
      </c>
      <c r="E623" s="39">
        <f t="shared" si="10"/>
        <v>45000</v>
      </c>
      <c r="F623" s="25"/>
    </row>
    <row r="624" s="2" customFormat="1" spans="1:6">
      <c r="A624" s="10">
        <v>46387</v>
      </c>
      <c r="B624" s="11" t="s">
        <v>22</v>
      </c>
      <c r="C624" s="12">
        <v>2</v>
      </c>
      <c r="D624" s="13">
        <v>9000</v>
      </c>
      <c r="E624" s="39">
        <f t="shared" si="10"/>
        <v>18000</v>
      </c>
      <c r="F624" s="17">
        <f>SUM(E624:E645)</f>
        <v>3414100</v>
      </c>
    </row>
    <row r="625" s="2" customFormat="1" spans="1:6">
      <c r="A625" s="14"/>
      <c r="B625" s="11" t="s">
        <v>93</v>
      </c>
      <c r="C625" s="12">
        <v>3</v>
      </c>
      <c r="D625" s="13">
        <v>50000</v>
      </c>
      <c r="E625" s="39">
        <f t="shared" si="10"/>
        <v>150000</v>
      </c>
      <c r="F625" s="19"/>
    </row>
    <row r="626" s="2" customFormat="1" spans="1:6">
      <c r="A626" s="14"/>
      <c r="B626" s="11" t="s">
        <v>56</v>
      </c>
      <c r="C626" s="12">
        <v>3</v>
      </c>
      <c r="D626" s="13">
        <v>25000</v>
      </c>
      <c r="E626" s="39">
        <f t="shared" si="10"/>
        <v>75000</v>
      </c>
      <c r="F626" s="19"/>
    </row>
    <row r="627" s="2" customFormat="1" spans="1:6">
      <c r="A627" s="14"/>
      <c r="B627" s="11" t="s">
        <v>9</v>
      </c>
      <c r="C627" s="12">
        <v>1</v>
      </c>
      <c r="D627" s="13">
        <v>83000</v>
      </c>
      <c r="E627" s="39">
        <f t="shared" si="10"/>
        <v>83000</v>
      </c>
      <c r="F627" s="19"/>
    </row>
    <row r="628" s="2" customFormat="1" spans="1:6">
      <c r="A628" s="14"/>
      <c r="B628" s="11" t="s">
        <v>57</v>
      </c>
      <c r="C628" s="12">
        <v>1</v>
      </c>
      <c r="D628" s="13">
        <v>94000</v>
      </c>
      <c r="E628" s="39">
        <f t="shared" si="10"/>
        <v>94000</v>
      </c>
      <c r="F628" s="19"/>
    </row>
    <row r="629" s="2" customFormat="1" spans="1:6">
      <c r="A629" s="14"/>
      <c r="B629" s="30" t="s">
        <v>89</v>
      </c>
      <c r="C629" s="12">
        <v>2</v>
      </c>
      <c r="D629" s="58">
        <v>72000</v>
      </c>
      <c r="E629" s="39">
        <f t="shared" si="10"/>
        <v>144000</v>
      </c>
      <c r="F629" s="19"/>
    </row>
    <row r="630" s="2" customFormat="1" spans="1:6">
      <c r="A630" s="14"/>
      <c r="B630" s="30" t="s">
        <v>94</v>
      </c>
      <c r="C630" s="12">
        <v>0.1</v>
      </c>
      <c r="D630" s="58">
        <v>72000</v>
      </c>
      <c r="E630" s="39">
        <f t="shared" si="10"/>
        <v>7200</v>
      </c>
      <c r="F630" s="19"/>
    </row>
    <row r="631" s="2" customFormat="1" spans="1:6">
      <c r="A631" s="14"/>
      <c r="B631" s="30" t="s">
        <v>82</v>
      </c>
      <c r="C631" s="12">
        <v>0.2</v>
      </c>
      <c r="D631" s="58">
        <v>39000</v>
      </c>
      <c r="E631" s="39">
        <f t="shared" si="10"/>
        <v>7800</v>
      </c>
      <c r="F631" s="19"/>
    </row>
    <row r="632" s="2" customFormat="1" spans="1:6">
      <c r="A632" s="14"/>
      <c r="B632" s="30" t="s">
        <v>83</v>
      </c>
      <c r="C632" s="12">
        <v>0.2</v>
      </c>
      <c r="D632" s="58">
        <v>83000</v>
      </c>
      <c r="E632" s="39">
        <f t="shared" si="10"/>
        <v>16600</v>
      </c>
      <c r="F632" s="19"/>
    </row>
    <row r="633" s="2" customFormat="1" spans="1:6">
      <c r="A633" s="14"/>
      <c r="B633" s="30" t="s">
        <v>84</v>
      </c>
      <c r="C633" s="12">
        <v>0.2</v>
      </c>
      <c r="D633" s="58">
        <v>110000</v>
      </c>
      <c r="E633" s="39">
        <f t="shared" si="10"/>
        <v>22000</v>
      </c>
      <c r="F633" s="19"/>
    </row>
    <row r="634" s="2" customFormat="1" spans="1:6">
      <c r="A634" s="14"/>
      <c r="B634" s="30" t="s">
        <v>32</v>
      </c>
      <c r="C634" s="12">
        <v>5</v>
      </c>
      <c r="D634" s="58">
        <v>39000</v>
      </c>
      <c r="E634" s="39">
        <f t="shared" si="10"/>
        <v>195000</v>
      </c>
      <c r="F634" s="19"/>
    </row>
    <row r="635" s="2" customFormat="1" spans="1:6">
      <c r="A635" s="14"/>
      <c r="B635" s="30" t="s">
        <v>28</v>
      </c>
      <c r="C635" s="12">
        <v>20</v>
      </c>
      <c r="D635" s="58">
        <v>22000</v>
      </c>
      <c r="E635" s="39">
        <f t="shared" si="10"/>
        <v>440000</v>
      </c>
      <c r="F635" s="19"/>
    </row>
    <row r="636" s="2" customFormat="1" spans="1:6">
      <c r="A636" s="14"/>
      <c r="B636" s="30" t="s">
        <v>30</v>
      </c>
      <c r="C636" s="12">
        <v>10</v>
      </c>
      <c r="D636" s="58">
        <v>25000</v>
      </c>
      <c r="E636" s="39">
        <f t="shared" si="10"/>
        <v>250000</v>
      </c>
      <c r="F636" s="19"/>
    </row>
    <row r="637" s="2" customFormat="1" spans="1:6">
      <c r="A637" s="14"/>
      <c r="B637" s="30" t="s">
        <v>26</v>
      </c>
      <c r="C637" s="12">
        <v>10</v>
      </c>
      <c r="D637" s="58">
        <v>66000</v>
      </c>
      <c r="E637" s="39">
        <f t="shared" si="10"/>
        <v>660000</v>
      </c>
      <c r="F637" s="19"/>
    </row>
    <row r="638" s="2" customFormat="1" spans="1:6">
      <c r="A638" s="14"/>
      <c r="B638" s="30" t="s">
        <v>36</v>
      </c>
      <c r="C638" s="12">
        <v>2</v>
      </c>
      <c r="D638" s="58">
        <v>160000</v>
      </c>
      <c r="E638" s="39">
        <f t="shared" si="10"/>
        <v>320000</v>
      </c>
      <c r="F638" s="19"/>
    </row>
    <row r="639" s="2" customFormat="1" spans="1:6">
      <c r="A639" s="14"/>
      <c r="B639" s="30" t="s">
        <v>12</v>
      </c>
      <c r="C639" s="12">
        <v>3</v>
      </c>
      <c r="D639" s="58">
        <v>45000</v>
      </c>
      <c r="E639" s="39">
        <f t="shared" si="10"/>
        <v>135000</v>
      </c>
      <c r="F639" s="19"/>
    </row>
    <row r="640" s="2" customFormat="1" spans="1:6">
      <c r="A640" s="14"/>
      <c r="B640" s="30" t="s">
        <v>16</v>
      </c>
      <c r="C640" s="12">
        <v>3</v>
      </c>
      <c r="D640" s="58">
        <v>39000</v>
      </c>
      <c r="E640" s="39">
        <f t="shared" si="10"/>
        <v>117000</v>
      </c>
      <c r="F640" s="19"/>
    </row>
    <row r="641" s="2" customFormat="1" spans="1:6">
      <c r="A641" s="14"/>
      <c r="B641" s="30" t="s">
        <v>17</v>
      </c>
      <c r="C641" s="12">
        <v>3</v>
      </c>
      <c r="D641" s="58">
        <v>39000</v>
      </c>
      <c r="E641" s="39">
        <f t="shared" si="10"/>
        <v>117000</v>
      </c>
      <c r="F641" s="19"/>
    </row>
    <row r="642" s="2" customFormat="1" spans="1:6">
      <c r="A642" s="14"/>
      <c r="B642" s="30" t="s">
        <v>52</v>
      </c>
      <c r="C642" s="12">
        <v>0.5</v>
      </c>
      <c r="D642" s="58">
        <v>120000</v>
      </c>
      <c r="E642" s="39">
        <f t="shared" si="10"/>
        <v>60000</v>
      </c>
      <c r="F642" s="19"/>
    </row>
    <row r="643" s="2" customFormat="1" spans="1:6">
      <c r="A643" s="14"/>
      <c r="B643" s="30" t="s">
        <v>66</v>
      </c>
      <c r="C643" s="12">
        <v>4</v>
      </c>
      <c r="D643" s="58">
        <v>80000</v>
      </c>
      <c r="E643" s="39">
        <f t="shared" ref="E643:E652" si="11">D643*C643</f>
        <v>320000</v>
      </c>
      <c r="F643" s="19"/>
    </row>
    <row r="644" s="2" customFormat="1" spans="1:6">
      <c r="A644" s="14"/>
      <c r="B644" s="30" t="s">
        <v>115</v>
      </c>
      <c r="C644" s="12">
        <v>2</v>
      </c>
      <c r="D644" s="58">
        <v>70000</v>
      </c>
      <c r="E644" s="39">
        <f t="shared" si="11"/>
        <v>140000</v>
      </c>
      <c r="F644" s="19"/>
    </row>
    <row r="645" s="2" customFormat="1" spans="1:6">
      <c r="A645" s="14"/>
      <c r="B645" s="30" t="s">
        <v>111</v>
      </c>
      <c r="C645" s="12">
        <v>0.5</v>
      </c>
      <c r="D645" s="58">
        <v>85000</v>
      </c>
      <c r="E645" s="39">
        <f t="shared" si="11"/>
        <v>42500</v>
      </c>
      <c r="F645" s="25"/>
    </row>
    <row r="646" s="2" customFormat="1" spans="1:6">
      <c r="A646" s="10">
        <v>46387</v>
      </c>
      <c r="B646" s="30" t="s">
        <v>23</v>
      </c>
      <c r="C646" s="12">
        <v>1</v>
      </c>
      <c r="D646" s="58">
        <v>70000</v>
      </c>
      <c r="E646" s="39">
        <f t="shared" si="11"/>
        <v>70000</v>
      </c>
      <c r="F646" s="17">
        <f>SUM(E646:E659)</f>
        <v>1114300</v>
      </c>
    </row>
    <row r="647" s="2" customFormat="1" spans="1:6">
      <c r="A647" s="14"/>
      <c r="B647" s="30" t="s">
        <v>128</v>
      </c>
      <c r="C647" s="12">
        <v>0.5</v>
      </c>
      <c r="D647" s="58">
        <v>120000</v>
      </c>
      <c r="E647" s="39">
        <f t="shared" si="11"/>
        <v>60000</v>
      </c>
      <c r="F647" s="19"/>
    </row>
    <row r="648" s="2" customFormat="1" spans="1:6">
      <c r="A648" s="14"/>
      <c r="B648" s="30" t="s">
        <v>21</v>
      </c>
      <c r="C648" s="12">
        <v>0.2</v>
      </c>
      <c r="D648" s="58">
        <v>28000</v>
      </c>
      <c r="E648" s="39">
        <f t="shared" si="11"/>
        <v>5600</v>
      </c>
      <c r="F648" s="19"/>
    </row>
    <row r="649" s="2" customFormat="1" spans="1:6">
      <c r="A649" s="14"/>
      <c r="B649" s="30" t="s">
        <v>64</v>
      </c>
      <c r="C649" s="12">
        <v>120</v>
      </c>
      <c r="D649" s="58">
        <v>1000</v>
      </c>
      <c r="E649" s="39">
        <f t="shared" si="11"/>
        <v>120000</v>
      </c>
      <c r="F649" s="19"/>
    </row>
    <row r="650" s="2" customFormat="1" spans="1:6">
      <c r="A650" s="14"/>
      <c r="B650" s="30" t="s">
        <v>24</v>
      </c>
      <c r="C650" s="12">
        <v>3</v>
      </c>
      <c r="D650" s="58">
        <v>28000</v>
      </c>
      <c r="E650" s="39">
        <f t="shared" si="11"/>
        <v>84000</v>
      </c>
      <c r="F650" s="19"/>
    </row>
    <row r="651" s="2" customFormat="1" spans="1:6">
      <c r="A651" s="14"/>
      <c r="B651" s="30" t="s">
        <v>107</v>
      </c>
      <c r="C651" s="12">
        <v>5.3</v>
      </c>
      <c r="D651" s="58">
        <v>25000</v>
      </c>
      <c r="E651" s="39">
        <f t="shared" si="11"/>
        <v>132500</v>
      </c>
      <c r="F651" s="19"/>
    </row>
    <row r="652" s="2" customFormat="1" spans="1:6">
      <c r="A652" s="14"/>
      <c r="B652" s="30" t="s">
        <v>61</v>
      </c>
      <c r="C652" s="12">
        <v>1.2</v>
      </c>
      <c r="D652" s="58">
        <v>50000</v>
      </c>
      <c r="E652" s="39">
        <f t="shared" si="11"/>
        <v>60000</v>
      </c>
      <c r="F652" s="19"/>
    </row>
    <row r="653" s="2" customFormat="1" spans="1:6">
      <c r="A653" s="14"/>
      <c r="B653" s="30" t="s">
        <v>62</v>
      </c>
      <c r="C653" s="12">
        <v>1.2</v>
      </c>
      <c r="D653" s="58">
        <v>61000</v>
      </c>
      <c r="E653" s="39">
        <v>72000</v>
      </c>
      <c r="F653" s="19"/>
    </row>
    <row r="654" s="2" customFormat="1" spans="1:6">
      <c r="A654" s="14"/>
      <c r="B654" s="30" t="s">
        <v>145</v>
      </c>
      <c r="C654" s="12">
        <v>0.2</v>
      </c>
      <c r="D654" s="58">
        <v>22000</v>
      </c>
      <c r="E654" s="39">
        <f t="shared" ref="E654:E660" si="12">D654*C654</f>
        <v>4400</v>
      </c>
      <c r="F654" s="19"/>
    </row>
    <row r="655" s="2" customFormat="1" spans="1:6">
      <c r="A655" s="14"/>
      <c r="B655" s="30" t="s">
        <v>20</v>
      </c>
      <c r="C655" s="12">
        <v>3</v>
      </c>
      <c r="D655" s="58">
        <v>39000</v>
      </c>
      <c r="E655" s="39">
        <f t="shared" si="12"/>
        <v>117000</v>
      </c>
      <c r="F655" s="19"/>
    </row>
    <row r="656" s="2" customFormat="1" spans="1:6">
      <c r="A656" s="14"/>
      <c r="B656" s="30" t="s">
        <v>146</v>
      </c>
      <c r="C656" s="12">
        <v>2</v>
      </c>
      <c r="D656" s="58">
        <v>30000</v>
      </c>
      <c r="E656" s="39">
        <f t="shared" si="12"/>
        <v>60000</v>
      </c>
      <c r="F656" s="19"/>
    </row>
    <row r="657" s="2" customFormat="1" spans="1:6">
      <c r="A657" s="14"/>
      <c r="B657" s="30" t="s">
        <v>103</v>
      </c>
      <c r="C657" s="12">
        <v>1</v>
      </c>
      <c r="D657" s="58">
        <v>200000</v>
      </c>
      <c r="E657" s="39">
        <f t="shared" si="12"/>
        <v>200000</v>
      </c>
      <c r="F657" s="19"/>
    </row>
    <row r="658" s="2" customFormat="1" spans="1:6">
      <c r="A658" s="14"/>
      <c r="B658" s="30" t="s">
        <v>119</v>
      </c>
      <c r="C658" s="12">
        <v>0.4</v>
      </c>
      <c r="D658" s="58">
        <v>72000</v>
      </c>
      <c r="E658" s="39">
        <f t="shared" si="12"/>
        <v>28800</v>
      </c>
      <c r="F658" s="19"/>
    </row>
    <row r="659" s="2" customFormat="1" spans="1:6">
      <c r="A659" s="14"/>
      <c r="B659" s="30" t="s">
        <v>97</v>
      </c>
      <c r="C659" s="12">
        <v>5</v>
      </c>
      <c r="D659" s="58">
        <v>20000</v>
      </c>
      <c r="E659" s="39">
        <f t="shared" si="12"/>
        <v>100000</v>
      </c>
      <c r="F659" s="25"/>
    </row>
    <row r="660" s="2" customFormat="1" spans="1:6">
      <c r="A660" s="10">
        <v>46387</v>
      </c>
      <c r="B660" s="30" t="s">
        <v>90</v>
      </c>
      <c r="C660" s="12">
        <v>3</v>
      </c>
      <c r="D660" s="58">
        <v>90000</v>
      </c>
      <c r="E660" s="39">
        <f t="shared" si="12"/>
        <v>270000</v>
      </c>
      <c r="F660" s="41">
        <f>SUM(E660)</f>
        <v>270000</v>
      </c>
    </row>
    <row r="661" s="2" customFormat="1" spans="1:6">
      <c r="A661" s="10"/>
      <c r="B661" s="30"/>
      <c r="C661" s="12"/>
      <c r="D661" s="58"/>
      <c r="E661" s="58"/>
      <c r="F661" s="60"/>
    </row>
    <row r="662" s="2" customFormat="1" spans="1:6">
      <c r="A662" s="10"/>
      <c r="B662" s="30"/>
      <c r="C662" s="12"/>
      <c r="D662" s="58"/>
      <c r="E662" s="58"/>
      <c r="F662" s="60"/>
    </row>
    <row r="663" s="2" customFormat="1" spans="1:6">
      <c r="A663" s="10"/>
      <c r="B663" s="30"/>
      <c r="C663" s="12"/>
      <c r="D663" s="58"/>
      <c r="E663" s="58"/>
      <c r="F663" s="60"/>
    </row>
    <row r="664" s="2" customFormat="1" spans="1:6">
      <c r="A664" s="10"/>
      <c r="B664" s="30"/>
      <c r="C664" s="12"/>
      <c r="D664" s="59"/>
      <c r="E664" s="58"/>
      <c r="F664" s="60"/>
    </row>
    <row r="665" s="2" customFormat="1" spans="1:11">
      <c r="A665" s="10"/>
      <c r="B665" s="30"/>
      <c r="C665" s="12"/>
      <c r="D665" s="59"/>
      <c r="E665" s="58"/>
      <c r="F665" s="60"/>
      <c r="G665" s="61"/>
      <c r="H665" s="62"/>
      <c r="I665" s="62"/>
      <c r="J665" s="62"/>
      <c r="K665" s="62"/>
    </row>
    <row r="666" s="2" customFormat="1" spans="1:11">
      <c r="A666" s="10"/>
      <c r="B666" s="30"/>
      <c r="C666" s="12"/>
      <c r="D666" s="59"/>
      <c r="E666" s="58"/>
      <c r="F666" s="60"/>
      <c r="G666" s="61"/>
      <c r="H666" s="61"/>
      <c r="I666" s="61"/>
      <c r="J666" s="61"/>
      <c r="K666" s="61"/>
    </row>
    <row r="667" s="2" customFormat="1" spans="1:11">
      <c r="A667" s="10"/>
      <c r="B667" s="30"/>
      <c r="C667" s="12"/>
      <c r="D667" s="34"/>
      <c r="E667" s="34"/>
      <c r="F667" s="35">
        <f>SUM(F2:F666)</f>
        <v>46369300</v>
      </c>
      <c r="G667" s="63"/>
      <c r="H667" s="61"/>
      <c r="I667" s="61"/>
      <c r="J667" s="61"/>
      <c r="K667" s="61"/>
    </row>
    <row r="668" s="2" customFormat="1" spans="1:3">
      <c r="A668" s="3"/>
      <c r="B668" s="4"/>
      <c r="C668" s="5"/>
    </row>
    <row r="670" s="2" customFormat="1" spans="1:6">
      <c r="A670" s="3"/>
      <c r="B670" s="4"/>
      <c r="C670" s="5"/>
      <c r="F670" s="43"/>
    </row>
  </sheetData>
  <mergeCells count="82">
    <mergeCell ref="H3:I3"/>
    <mergeCell ref="H4:I4"/>
    <mergeCell ref="A2:A15"/>
    <mergeCell ref="A16:A36"/>
    <mergeCell ref="A37:A56"/>
    <mergeCell ref="A57:A78"/>
    <mergeCell ref="A79:A86"/>
    <mergeCell ref="A88:A109"/>
    <mergeCell ref="A110:A131"/>
    <mergeCell ref="A132:A139"/>
    <mergeCell ref="A140:A155"/>
    <mergeCell ref="A156:A177"/>
    <mergeCell ref="A178:A186"/>
    <mergeCell ref="A187:A208"/>
    <mergeCell ref="A209:A214"/>
    <mergeCell ref="A215:A235"/>
    <mergeCell ref="A236:A257"/>
    <mergeCell ref="A258:A269"/>
    <mergeCell ref="A270:A282"/>
    <mergeCell ref="A283:A303"/>
    <mergeCell ref="A304:A313"/>
    <mergeCell ref="A314:A335"/>
    <mergeCell ref="A336:A357"/>
    <mergeCell ref="A358:A365"/>
    <mergeCell ref="A366:A386"/>
    <mergeCell ref="A388:A409"/>
    <mergeCell ref="A412:A433"/>
    <mergeCell ref="A434:A455"/>
    <mergeCell ref="A456:A464"/>
    <mergeCell ref="A465:A486"/>
    <mergeCell ref="A487:A508"/>
    <mergeCell ref="A509:A530"/>
    <mergeCell ref="A531:A536"/>
    <mergeCell ref="A537:A558"/>
    <mergeCell ref="A559:A580"/>
    <mergeCell ref="A581:A591"/>
    <mergeCell ref="A592:A613"/>
    <mergeCell ref="A614:A623"/>
    <mergeCell ref="A624:A645"/>
    <mergeCell ref="A646:A659"/>
    <mergeCell ref="F2:F15"/>
    <mergeCell ref="F16:F36"/>
    <mergeCell ref="F37:F56"/>
    <mergeCell ref="F57:F78"/>
    <mergeCell ref="F79:F86"/>
    <mergeCell ref="F88:F109"/>
    <mergeCell ref="F110:F131"/>
    <mergeCell ref="F132:F139"/>
    <mergeCell ref="F140:F155"/>
    <mergeCell ref="F156:F177"/>
    <mergeCell ref="F178:F186"/>
    <mergeCell ref="F187:F208"/>
    <mergeCell ref="F209:F214"/>
    <mergeCell ref="F215:F235"/>
    <mergeCell ref="F236:F257"/>
    <mergeCell ref="F258:F269"/>
    <mergeCell ref="F270:F282"/>
    <mergeCell ref="F283:F303"/>
    <mergeCell ref="F304:F313"/>
    <mergeCell ref="F314:F335"/>
    <mergeCell ref="F336:F357"/>
    <mergeCell ref="F358:F365"/>
    <mergeCell ref="F366:F386"/>
    <mergeCell ref="F388:F409"/>
    <mergeCell ref="F412:F433"/>
    <mergeCell ref="F434:F455"/>
    <mergeCell ref="F456:F464"/>
    <mergeCell ref="F465:F486"/>
    <mergeCell ref="F487:F508"/>
    <mergeCell ref="F509:F530"/>
    <mergeCell ref="F531:F536"/>
    <mergeCell ref="F537:F558"/>
    <mergeCell ref="F559:F580"/>
    <mergeCell ref="F581:F591"/>
    <mergeCell ref="F592:F613"/>
    <mergeCell ref="F614:F623"/>
    <mergeCell ref="F624:F645"/>
    <mergeCell ref="F646:F659"/>
    <mergeCell ref="K16:K24"/>
    <mergeCell ref="K25:K34"/>
    <mergeCell ref="P16:P24"/>
    <mergeCell ref="P25:P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2025-12-16T16:10:00Z</dcterms:created>
  <dcterms:modified xsi:type="dcterms:W3CDTF">2026-01-02T16:53:02Z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