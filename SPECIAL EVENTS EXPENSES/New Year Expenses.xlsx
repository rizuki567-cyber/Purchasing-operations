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New year expenses" sheetId="2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589E6B1C21148AE99526AF67611A84C" descr="WhatsApp Image 2025-11-22 at 17.08.02_02bf6d7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59450" y="541020"/>
          <a:ext cx="2849245" cy="5125720"/>
        </a:xfrm>
        <a:prstGeom prst="rect">
          <a:avLst/>
        </a:prstGeom>
      </xdr:spPr>
    </xdr:pic>
  </etc:cellImage>
  <etc:cellImage>
    <xdr:pic>
      <xdr:nvPicPr>
        <xdr:cNvPr id="3" name="ID_4670CFCA6631443A8C592991E285D7D6" descr="WhatsApp Image 2025-11-21 at 17.16.31_bae62e2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96890" y="300355"/>
          <a:ext cx="2766060" cy="497395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<sst xmlns="http://schemas.openxmlformats.org/spreadsheetml/2006/main" count="15" uniqueCount="13">
  <si>
    <t>DATE</t>
  </si>
  <si>
    <t>INV NO.</t>
  </si>
  <si>
    <t>DESCRIPTIONS</t>
  </si>
  <si>
    <t>QTY</t>
  </si>
  <si>
    <t>BILLS</t>
  </si>
  <si>
    <t>PRICE</t>
  </si>
  <si>
    <t>SUB TOTAL</t>
  </si>
  <si>
    <t>TOTAL</t>
  </si>
  <si>
    <t>SOURCE OF FUND</t>
  </si>
  <si>
    <t>N/A</t>
  </si>
  <si>
    <t>DOWN PAYMENT FOR MUSICIAN HALF</t>
  </si>
  <si>
    <t>ACCOUNTING</t>
  </si>
  <si>
    <t>PAYMENT FOR DJ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</si>
</sst>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[$Rp-421]#,##0;\-[$Rp-421]#,##0"/>
    <numFmt numFmtId="181" formatCode="[$Rp-421]#,##0.00;[Red][$Rp-421]#,##0.00"/>
    <numFmt numFmtId="182" formatCode="dd\-mmm"/>
  </numFmts>
  <fonts count="23">
    <font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sz val="14"/>
      <color theme="1"/>
      <name val="Calibri"/>
      <charset val="134"/>
      <scheme val="minor"/>
    </font>
    <font>
      <sz val="14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178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9" fontId="2" fillId="0" borderId="0" xfId="0" applyNumberFormat="1" applyFont="1" applyAlignment="1">
      <alignment vertical="center"/>
    </xf>
    <xf numFmtId="179" fontId="2" fillId="0" borderId="0" xfId="0" applyNumberFormat="1" applyFont="1">
      <alignment vertical="center"/>
    </xf>
    <xf numFmtId="180" fontId="2" fillId="0" borderId="0" xfId="0" applyNumberFormat="1" applyFont="1" applyAlignment="1">
      <alignment vertical="center"/>
    </xf>
    <xf numFmtId="181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8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79" fontId="1" fillId="2" borderId="1" xfId="0" applyNumberFormat="1" applyFont="1" applyFill="1" applyBorder="1" applyAlignment="1">
      <alignment vertical="center"/>
    </xf>
    <xf numFmtId="179" fontId="1" fillId="2" borderId="1" xfId="0" applyNumberFormat="1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vertical="center"/>
    </xf>
    <xf numFmtId="181" fontId="1" fillId="2" borderId="1" xfId="0" applyNumberFormat="1" applyFont="1" applyFill="1" applyBorder="1" applyAlignment="1">
      <alignment vertical="center"/>
    </xf>
    <xf numFmtId="178" fontId="2" fillId="3" borderId="1" xfId="0" applyNumberFormat="1" applyFont="1" applyFill="1" applyBorder="1" applyAlignment="1">
      <alignment vertical="center"/>
    </xf>
    <xf numFmtId="182" fontId="2" fillId="3" borderId="1" xfId="0" applyNumberFormat="1" applyFont="1" applyFill="1" applyBorder="1" applyAlignment="1">
      <alignment vertical="center"/>
    </xf>
    <xf numFmtId="179" fontId="1" fillId="3" borderId="1" xfId="0" applyNumberFormat="1" applyFont="1" applyFill="1" applyBorder="1" applyAlignment="1">
      <alignment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vertical="center"/>
    </xf>
    <xf numFmtId="180" fontId="2" fillId="0" borderId="1" xfId="0" applyNumberFormat="1" applyFont="1" applyBorder="1" applyAlignment="1">
      <alignment vertical="center"/>
    </xf>
    <xf numFmtId="181" fontId="2" fillId="0" borderId="1" xfId="0" applyNumberFormat="1" applyFont="1" applyBorder="1" applyAlignment="1">
      <alignment vertical="center"/>
    </xf>
    <xf numFmtId="179" fontId="2" fillId="3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zoomScale="70" zoomScaleNormal="70" workbookViewId="0">
      <pane ySplit="1" topLeftCell="A2" activePane="bottomLeft" state="frozen"/>
      <selection/>
      <selection pane="bottomLeft" activeCell="H4" sqref="H4"/>
    </sheetView>
  </sheetViews>
  <sheetFormatPr defaultColWidth="9.14285714285714" defaultRowHeight="18.75"/>
  <cols>
    <col min="1" max="1" width="15.7142857142857" style="2" customWidth="1"/>
    <col min="2" max="2" width="11.8571428571429" style="3" customWidth="1"/>
    <col min="3" max="3" width="44.4285714285714" style="4" customWidth="1"/>
    <col min="4" max="4" width="7.21904761904762" style="5" customWidth="1"/>
    <col min="5" max="5" width="39.3142857142857" style="3" customWidth="1"/>
    <col min="6" max="6" width="22.1904761904762" style="6" customWidth="1"/>
    <col min="7" max="8" width="20.8571428571429" style="7" customWidth="1"/>
    <col min="9" max="9" width="25.4285714285714" style="8" customWidth="1"/>
    <col min="10" max="16384" width="9.14285714285714" style="9"/>
  </cols>
  <sheetData>
    <row r="1" s="1" customFormat="1" spans="1:9">
      <c r="A1" s="10" t="s">
        <v>0</v>
      </c>
      <c r="B1" s="11" t="s">
        <v>1</v>
      </c>
      <c r="C1" s="12" t="s">
        <v>2</v>
      </c>
      <c r="D1" s="13" t="s">
        <v>3</v>
      </c>
      <c r="E1" s="11" t="s">
        <v>4</v>
      </c>
      <c r="F1" s="14" t="s">
        <v>5</v>
      </c>
      <c r="G1" s="15" t="s">
        <v>6</v>
      </c>
      <c r="H1" s="15" t="s">
        <v>7</v>
      </c>
      <c r="I1" s="29" t="s">
        <v>8</v>
      </c>
    </row>
    <row r="2" ht="369.35" spans="1:12">
      <c r="A2" s="16">
        <v>45982</v>
      </c>
      <c r="B2" s="17" t="s">
        <v>9</v>
      </c>
      <c r="C2" s="18" t="s">
        <v>10</v>
      </c>
      <c r="D2" s="19">
        <v>1</v>
      </c>
      <c r="E2" s="20" t="str">
        <f>_xlfn.DISPIMG("ID_4670CFCA6631443A8C592991E285D7D6",1)</f>
        <v>=DISPIMG("ID_4670CFCA6631443A8C592991E285D7D6",1)</v>
      </c>
      <c r="F2" s="21">
        <v>4000000</v>
      </c>
      <c r="G2" s="22">
        <f>SUM(F2)</f>
        <v>4000000</v>
      </c>
      <c r="H2" s="22">
        <f>SUM(G2)</f>
        <v>4000000</v>
      </c>
      <c r="I2" s="30" t="s">
        <v>11</v>
      </c>
      <c r="L2" s="31"/>
    </row>
    <row r="3" ht="369.5" spans="1:11">
      <c r="A3" s="16">
        <v>45983</v>
      </c>
      <c r="B3" s="17" t="s">
        <v>9</v>
      </c>
      <c r="C3" s="23" t="s">
        <v>12</v>
      </c>
      <c r="D3" s="24">
        <v>1</v>
      </c>
      <c r="E3" s="20" t="str">
        <f>_xlfn.DISPIMG("ID_E589E6B1C21148AE99526AF67611A84C",1)</f>
        <v>=DISPIMG("ID_E589E6B1C21148AE99526AF67611A84C",1)</v>
      </c>
      <c r="F3" s="21">
        <v>7500000</v>
      </c>
      <c r="G3" s="22">
        <f>SUM(F3)</f>
        <v>7500000</v>
      </c>
      <c r="H3" s="22">
        <f>SUM(G3)</f>
        <v>7500000</v>
      </c>
      <c r="I3" s="30" t="s">
        <v>11</v>
      </c>
      <c r="K3" s="31"/>
    </row>
    <row r="4" spans="1:11">
      <c r="A4" s="16"/>
      <c r="B4" s="17"/>
      <c r="C4" s="23"/>
      <c r="D4" s="24"/>
      <c r="E4" s="20"/>
      <c r="F4" s="21"/>
      <c r="G4" s="22"/>
      <c r="H4" s="22"/>
      <c r="I4" s="30"/>
      <c r="K4" s="31"/>
    </row>
    <row r="5" spans="1:9">
      <c r="A5" s="16"/>
      <c r="B5" s="17"/>
      <c r="C5" s="23"/>
      <c r="D5" s="24"/>
      <c r="E5" s="20"/>
      <c r="F5" s="21"/>
      <c r="G5" s="22"/>
      <c r="H5" s="22"/>
      <c r="I5" s="30"/>
    </row>
    <row r="6" spans="1:9">
      <c r="A6" s="16"/>
      <c r="B6" s="17"/>
      <c r="C6" s="25"/>
      <c r="D6" s="24"/>
      <c r="E6" s="26"/>
      <c r="F6" s="21"/>
      <c r="G6" s="22"/>
      <c r="H6" s="22"/>
      <c r="I6" s="30"/>
    </row>
    <row r="7" spans="1:9">
      <c r="A7" s="16"/>
      <c r="B7" s="17"/>
      <c r="C7" s="25"/>
      <c r="D7" s="24"/>
      <c r="E7" s="26"/>
      <c r="F7" s="21"/>
      <c r="G7" s="22"/>
      <c r="H7" s="22"/>
      <c r="I7" s="30"/>
    </row>
    <row r="8" spans="1:9">
      <c r="A8" s="16"/>
      <c r="B8" s="17"/>
      <c r="C8" s="23"/>
      <c r="D8" s="24"/>
      <c r="E8" s="26"/>
      <c r="F8" s="21"/>
      <c r="G8" s="22"/>
      <c r="H8" s="22"/>
      <c r="I8" s="30"/>
    </row>
    <row r="9" spans="1:11">
      <c r="A9" s="16"/>
      <c r="B9" s="17"/>
      <c r="C9" s="23"/>
      <c r="D9" s="24"/>
      <c r="E9" s="20"/>
      <c r="F9" s="21"/>
      <c r="G9" s="22"/>
      <c r="H9" s="22"/>
      <c r="I9" s="30"/>
      <c r="K9" s="31"/>
    </row>
    <row r="10" spans="1:11">
      <c r="A10" s="16"/>
      <c r="B10" s="17"/>
      <c r="C10" s="23"/>
      <c r="D10" s="24"/>
      <c r="E10" s="20"/>
      <c r="F10" s="21"/>
      <c r="G10" s="22"/>
      <c r="H10" s="22"/>
      <c r="I10" s="30"/>
      <c r="K10" s="31"/>
    </row>
    <row r="11" spans="1:11">
      <c r="A11" s="16"/>
      <c r="B11" s="17"/>
      <c r="C11" s="23"/>
      <c r="D11" s="24"/>
      <c r="E11" s="20"/>
      <c r="F11" s="21"/>
      <c r="G11" s="22"/>
      <c r="H11" s="22"/>
      <c r="I11" s="30"/>
      <c r="K11" s="31"/>
    </row>
    <row r="12" spans="1:11">
      <c r="A12" s="16"/>
      <c r="B12" s="17"/>
      <c r="C12" s="23"/>
      <c r="D12" s="24"/>
      <c r="E12" s="20"/>
      <c r="F12" s="21"/>
      <c r="G12" s="22"/>
      <c r="H12" s="22"/>
      <c r="I12" s="30"/>
      <c r="K12" s="31"/>
    </row>
    <row r="13" spans="1:9">
      <c r="A13" s="27"/>
      <c r="B13" s="27"/>
      <c r="C13" s="27"/>
      <c r="D13" s="28"/>
      <c r="E13" s="26">
        <f>SUM(H2:H11)</f>
        <v>11500000</v>
      </c>
      <c r="F13" s="21"/>
      <c r="G13" s="26"/>
      <c r="H13" s="26"/>
      <c r="I13" s="3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year 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2025-01-20T00:20:00Z</dcterms:created>
  <dcterms:modified xsi:type="dcterms:W3CDTF">2025-11-24T09:55:08Z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823CDA7D732D480AB4370EF9750ADA79_13</vt:lpwstr>
  </property>
  <property fmtid="{D5CDD505-2E9C-101B-9397-08002B2CF9AE}" pid="3" name="KSOProductBuildVer">
    <vt:lpwstr>1033-12.2.0.23155</vt:lpwstr>
  </property>
</Properties>
</file>