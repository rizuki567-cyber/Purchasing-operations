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" activeTab="4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AF642E9448564DC2B9A94250BEBF50D7" descr="WhatsApp Image 2025-12-03 at 18.16.51_a036882e"/>
        <xdr:cNvPicPr>
          <a:picLocks noChangeAspect="1"/>
        </xdr:cNvPicPr>
      </xdr:nvPicPr>
      <xdr:blipFill>
        <a:blip r:embed="rId1"/>
        <a:srcRect l="1437" t="10012" b="11665"/>
        <a:stretch>
          <a:fillRect/>
        </a:stretch>
      </xdr:blipFill>
      <xdr:spPr>
        <a:xfrm>
          <a:off x="5927090" y="226060"/>
          <a:ext cx="2122170" cy="30073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<sst xmlns="http://schemas.openxmlformats.org/spreadsheetml/2006/main" count="74" uniqueCount="42">
  <si>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</si>
  <si>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</si>
  <si>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</si>
  <si>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</si>
  <si>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</si>
  <si>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</si>
  <si>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</si>
  <si>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</si>
  <si>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HAND TOWEL TISSUE</t>
  </si>
  <si>
    <t>COCKTAIL NAPKIN</t>
  </si>
  <si>
    <t>GRAND TOTAL</t>
  </si>
  <si>
    <t>HAND GLOVES (M)</t>
  </si>
  <si>
    <t>0414</t>
  </si>
  <si>
    <t>TISSUE COCKTAIL NAPKIN</t>
  </si>
  <si>
    <t>TISSUE SEE U</t>
  </si>
  <si>
    <t>PAPER BAG CB 8</t>
  </si>
  <si>
    <t>PLASTIC SPOON</t>
  </si>
  <si>
    <t>PLASTIC FORK</t>
  </si>
  <si>
    <t>HAND GLOVE M BLACK</t>
  </si>
  <si>
    <t>CUP HOLDER SINGLE</t>
  </si>
  <si>
    <t>CUP HOLDER DOUBLE</t>
  </si>
  <si>
    <t>SALES PRICE</t>
  </si>
  <si>
    <t>PPN</t>
  </si>
  <si>
    <t>PPh 22</t>
  </si>
  <si>
    <t>STATUS</t>
  </si>
  <si>
    <t>DESCRIPTION</t>
  </si>
  <si>
    <t>QTY</t>
  </si>
  <si>
    <t>DISHY VANILA 5L</t>
  </si>
  <si>
    <t>FLOOR CLEANER</t>
  </si>
  <si>
    <t>FLOOR CLEANER 5L</t>
  </si>
  <si>
    <t>FURNITURE POLISH</t>
  </si>
  <si>
    <t>HANDSOAP 5L</t>
  </si>
  <si>
    <t>GLASS CLEANER</t>
  </si>
  <si>
    <t>HANDSANITIZER GEL 5L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</si>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</sst>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dd\-mmm"/>
    <numFmt numFmtId="181" formatCode="_ [$IDR]\ * #,##0_ ;_ [$IDR]\ * \-#,##0_ ;_ [$IDR]\ * &quot;-&quot;_ ;_ @_ "/>
    <numFmt numFmtId="182" formatCode="_ * #,##0_ ;_ * \-#,##0_ ;_ * &quot;-&quot;??_ ;_ @_ "/>
    <numFmt numFmtId="183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6" applyNumberFormat="0" applyAlignment="0" applyProtection="0">
      <alignment vertical="center"/>
    </xf>
    <xf numFmtId="0" fontId="23" fillId="8" borderId="17" applyNumberFormat="0" applyAlignment="0" applyProtection="0">
      <alignment vertical="center"/>
    </xf>
    <xf numFmtId="0" fontId="24" fillId="8" borderId="16" applyNumberFormat="0" applyAlignment="0" applyProtection="0">
      <alignment vertical="center"/>
    </xf>
    <xf numFmtId="0" fontId="25" fillId="9" borderId="18" applyNumberFormat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3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78" fontId="0" fillId="3" borderId="1" xfId="0" applyNumberFormat="1" applyFill="1" applyBorder="1" applyAlignment="1">
      <alignment horizontal="left" vertical="center"/>
    </xf>
    <xf numFmtId="178" fontId="0" fillId="3" borderId="1" xfId="0" applyNumberFormat="1" applyFill="1" applyBorder="1"/>
    <xf numFmtId="178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9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9" fontId="2" fillId="3" borderId="2" xfId="0" applyNumberFormat="1" applyFont="1" applyFill="1" applyBorder="1" applyAlignment="1">
      <alignment horizontal="center" vertical="center"/>
    </xf>
    <xf numFmtId="178" fontId="2" fillId="3" borderId="3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2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left" vertical="center"/>
    </xf>
    <xf numFmtId="178" fontId="2" fillId="3" borderId="4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/>
    </xf>
    <xf numFmtId="179" fontId="2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horizontal="center" vertical="center"/>
    </xf>
    <xf numFmtId="0" fontId="2" fillId="3" borderId="5" xfId="0" applyNumberFormat="1" applyFont="1" applyFill="1" applyBorder="1" applyAlignment="1">
      <alignment horizontal="center" vertical="center"/>
    </xf>
    <xf numFmtId="179" fontId="3" fillId="3" borderId="2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78" fontId="3" fillId="3" borderId="8" xfId="0" applyNumberFormat="1" applyFont="1" applyFill="1" applyBorder="1" applyAlignment="1">
      <alignment horizontal="center" vertical="center"/>
    </xf>
    <xf numFmtId="179" fontId="3" fillId="3" borderId="8" xfId="0" applyNumberFormat="1" applyFont="1" applyFill="1" applyBorder="1" applyAlignment="1">
      <alignment horizontal="center" vertical="center"/>
    </xf>
    <xf numFmtId="179" fontId="3" fillId="3" borderId="5" xfId="0" applyNumberFormat="1" applyFont="1" applyFill="1" applyBorder="1" applyAlignment="1">
      <alignment horizontal="center" vertical="center"/>
    </xf>
    <xf numFmtId="178" fontId="3" fillId="3" borderId="5" xfId="0" applyNumberFormat="1" applyFont="1" applyFill="1" applyBorder="1" applyAlignment="1">
      <alignment horizontal="center" vertical="center"/>
    </xf>
    <xf numFmtId="179" fontId="3" fillId="3" borderId="1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78" fontId="2" fillId="3" borderId="9" xfId="0" applyNumberFormat="1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1" fontId="0" fillId="0" borderId="1" xfId="0" applyNumberFormat="1" applyFill="1" applyBorder="1" applyAlignment="1">
      <alignment vertical="center"/>
    </xf>
    <xf numFmtId="181" fontId="0" fillId="0" borderId="3" xfId="0" applyNumberFormat="1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0" fontId="0" fillId="0" borderId="3" xfId="0" applyNumberForma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0" fillId="3" borderId="1" xfId="0" applyNumberFormat="1" applyFill="1" applyBorder="1" applyAlignment="1">
      <alignment horizontal="center" vertical="center"/>
    </xf>
    <xf numFmtId="178" fontId="0" fillId="3" borderId="2" xfId="0" applyNumberFormat="1" applyFill="1" applyBorder="1" applyAlignment="1">
      <alignment horizontal="center" vertical="center" wrapText="1"/>
    </xf>
    <xf numFmtId="0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1" fontId="0" fillId="0" borderId="2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horizontal="center" vertical="center"/>
    </xf>
    <xf numFmtId="178" fontId="0" fillId="3" borderId="5" xfId="0" applyNumberFormat="1" applyFill="1" applyBorder="1" applyAlignment="1">
      <alignment horizontal="center" vertical="center" wrapText="1"/>
    </xf>
    <xf numFmtId="0" fontId="0" fillId="0" borderId="5" xfId="0" applyNumberFormat="1" applyFill="1" applyBorder="1" applyAlignment="1">
      <alignment horizontal="center" vertical="center"/>
    </xf>
    <xf numFmtId="181" fontId="0" fillId="0" borderId="5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3" fontId="0" fillId="0" borderId="1" xfId="0" applyNumberFormat="1" applyBorder="1" applyAlignment="1">
      <alignment horizontal="center"/>
    </xf>
    <xf numFmtId="178" fontId="0" fillId="0" borderId="1" xfId="0" applyNumberFormat="1" applyBorder="1" applyAlignment="1"/>
    <xf numFmtId="180" fontId="0" fillId="3" borderId="2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80" fontId="0" fillId="3" borderId="5" xfId="0" applyNumberForma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3" borderId="0" xfId="0" applyFill="1" applyBorder="1" applyAlignment="1"/>
    <xf numFmtId="178" fontId="0" fillId="0" borderId="5" xfId="0" applyNumberFormat="1" applyBorder="1" applyAlignment="1">
      <alignment horizontal="center"/>
    </xf>
    <xf numFmtId="0" fontId="0" fillId="3" borderId="8" xfId="0" applyFill="1" applyBorder="1" applyAlignment="1"/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5" xfId="0" applyFill="1" applyBorder="1" applyAlignment="1"/>
    <xf numFmtId="0" fontId="0" fillId="3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178" fontId="0" fillId="0" borderId="4" xfId="0" applyNumberFormat="1" applyBorder="1" applyAlignment="1"/>
    <xf numFmtId="0" fontId="7" fillId="5" borderId="4" xfId="0" applyFont="1" applyFill="1" applyBorder="1" applyAlignment="1">
      <alignment horizontal="center"/>
    </xf>
    <xf numFmtId="0" fontId="7" fillId="5" borderId="10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178" fontId="8" fillId="5" borderId="4" xfId="0" applyNumberFormat="1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79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vertical="center"/>
    </xf>
    <xf numFmtId="179" fontId="9" fillId="3" borderId="2" xfId="0" applyNumberFormat="1" applyFont="1" applyFill="1" applyBorder="1" applyAlignment="1">
      <alignment horizontal="center" vertical="center"/>
    </xf>
    <xf numFmtId="0" fontId="9" fillId="3" borderId="2" xfId="0" applyNumberFormat="1" applyFont="1" applyFill="1" applyBorder="1" applyAlignment="1">
      <alignment horizontal="center" vertical="center"/>
    </xf>
    <xf numFmtId="178" fontId="9" fillId="3" borderId="1" xfId="0" applyNumberFormat="1" applyFont="1" applyFill="1" applyBorder="1" applyAlignment="1">
      <alignment vertical="center" wrapText="1"/>
    </xf>
    <xf numFmtId="181" fontId="9" fillId="3" borderId="2" xfId="0" applyNumberFormat="1" applyFont="1" applyFill="1" applyBorder="1" applyAlignment="1">
      <alignment horizontal="center" vertical="center"/>
    </xf>
    <xf numFmtId="179" fontId="9" fillId="3" borderId="8" xfId="0" applyNumberFormat="1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81" fontId="9" fillId="3" borderId="8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vertical="center"/>
    </xf>
    <xf numFmtId="179" fontId="9" fillId="3" borderId="5" xfId="0" applyNumberFormat="1" applyFont="1" applyFill="1" applyBorder="1" applyAlignment="1">
      <alignment horizontal="center" vertical="center"/>
    </xf>
    <xf numFmtId="0" fontId="9" fillId="3" borderId="5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81" fontId="9" fillId="3" borderId="5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vertical="center"/>
    </xf>
    <xf numFmtId="178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78" fontId="9" fillId="3" borderId="6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78" fontId="9" fillId="3" borderId="1" xfId="0" applyNumberFormat="1" applyFont="1" applyFill="1" applyBorder="1" applyAlignment="1">
      <alignment horizontal="center" vertical="center" wrapText="1"/>
    </xf>
    <xf numFmtId="178" fontId="9" fillId="3" borderId="2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178" fontId="9" fillId="3" borderId="1" xfId="0" applyNumberFormat="1" applyFont="1" applyFill="1" applyBorder="1" applyAlignment="1">
      <alignment vertical="center"/>
    </xf>
    <xf numFmtId="0" fontId="9" fillId="4" borderId="4" xfId="0" applyNumberFormat="1" applyFont="1" applyFill="1" applyBorder="1" applyAlignment="1">
      <alignment horizontal="center" vertical="center"/>
    </xf>
    <xf numFmtId="0" fontId="9" fillId="4" borderId="10" xfId="0" applyNumberFormat="1" applyFont="1" applyFill="1" applyBorder="1" applyAlignment="1">
      <alignment horizontal="center" vertical="center"/>
    </xf>
    <xf numFmtId="0" fontId="9" fillId="4" borderId="3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vertical="center"/>
    </xf>
    <xf numFmtId="181" fontId="9" fillId="4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vertical="center"/>
    </xf>
    <xf numFmtId="0" fontId="9" fillId="3" borderId="2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5.jpe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31750</xdr:colOff>
      <xdr:row>1</xdr:row>
      <xdr:rowOff>27305</xdr:rowOff>
    </xdr:from>
    <xdr:to>
      <xdr:col>4</xdr:col>
      <xdr:colOff>3899535</xdr:colOff>
      <xdr:row>1</xdr:row>
      <xdr:rowOff>2866390</xdr:rowOff>
    </xdr:to>
    <xdr:pic>
      <xdr:nvPicPr>
        <xdr:cNvPr id="3" name="ID_9870CD9F67EF4A49AA830086E9844D26" descr="WhatsApp Image 2025-12-11 at 19.04.33_291d8f18"/>
        <xdr:cNvPicPr>
          <a:picLocks noChangeAspect="1"/>
        </xdr:cNvPicPr>
      </xdr:nvPicPr>
      <xdr:blipFill>
        <a:blip r:embed="rId1"/>
        <a:srcRect t="11037" b="12496"/>
        <a:stretch>
          <a:fillRect/>
        </a:stretch>
      </xdr:blipFill>
      <xdr:spPr>
        <a:xfrm rot="5400000">
          <a:off x="6958965" y="-283845"/>
          <a:ext cx="2839085" cy="3867785"/>
        </a:xfrm>
        <a:prstGeom prst="rect">
          <a:avLst/>
        </a:prstGeom>
      </xdr:spPr>
    </xdr:pic>
    <xdr:clientData/>
  </xdr:twoCellAnchor>
  <xdr:twoCellAnchor editAs="oneCell">
    <xdr:from>
      <xdr:col>4</xdr:col>
      <xdr:colOff>22542</xdr:colOff>
      <xdr:row>2</xdr:row>
      <xdr:rowOff>33972</xdr:rowOff>
    </xdr:from>
    <xdr:to>
      <xdr:col>4</xdr:col>
      <xdr:colOff>3913822</xdr:colOff>
      <xdr:row>9</xdr:row>
      <xdr:rowOff>336867</xdr:rowOff>
    </xdr:to>
    <xdr:pic>
      <xdr:nvPicPr>
        <xdr:cNvPr id="5" name="ID_EA4BA6ECE5B54036826B94B9F6D867FF" descr="WhatsApp Image 2025-12-11 at 18.49.57_9a9d137a"/>
        <xdr:cNvPicPr>
          <a:picLocks noChangeAspect="1"/>
        </xdr:cNvPicPr>
      </xdr:nvPicPr>
      <xdr:blipFill>
        <a:blip r:embed="rId2"/>
        <a:srcRect t="13770" b="11839"/>
        <a:stretch>
          <a:fillRect/>
        </a:stretch>
      </xdr:blipFill>
      <xdr:spPr>
        <a:xfrm rot="16200000">
          <a:off x="6939915" y="2624455"/>
          <a:ext cx="2880995" cy="38912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26035</xdr:colOff>
      <xdr:row>1</xdr:row>
      <xdr:rowOff>56515</xdr:rowOff>
    </xdr:from>
    <xdr:to>
      <xdr:col>3</xdr:col>
      <xdr:colOff>4355465</xdr:colOff>
      <xdr:row>2</xdr:row>
      <xdr:rowOff>949325</xdr:rowOff>
    </xdr:to>
    <xdr:pic>
      <xdr:nvPicPr>
        <xdr:cNvPr id="3" name="ID_7BEFDB63F16448A5BB21710E631EB358" descr="WhatsApp Image 2025-12-03 at 11.37.37_bfde9d0a"/>
        <xdr:cNvPicPr>
          <a:picLocks noChangeAspect="1"/>
        </xdr:cNvPicPr>
      </xdr:nvPicPr>
      <xdr:blipFill>
        <a:blip r:embed="rId1"/>
        <a:srcRect l="6138" t="14811" b="10638"/>
        <a:stretch>
          <a:fillRect/>
        </a:stretch>
      </xdr:blipFill>
      <xdr:spPr>
        <a:xfrm rot="16200000">
          <a:off x="6642735" y="-131445"/>
          <a:ext cx="3064510" cy="4329430"/>
        </a:xfrm>
        <a:prstGeom prst="rect">
          <a:avLst/>
        </a:prstGeom>
      </xdr:spPr>
    </xdr:pic>
    <xdr:clientData/>
  </xdr:twoCellAnchor>
  <xdr:twoCellAnchor editAs="oneCell">
    <xdr:from>
      <xdr:col>3</xdr:col>
      <xdr:colOff>19367</xdr:colOff>
      <xdr:row>2</xdr:row>
      <xdr:rowOff>1011872</xdr:rowOff>
    </xdr:from>
    <xdr:to>
      <xdr:col>3</xdr:col>
      <xdr:colOff>4348797</xdr:colOff>
      <xdr:row>7</xdr:row>
      <xdr:rowOff>564197</xdr:rowOff>
    </xdr:to>
    <xdr:pic>
      <xdr:nvPicPr>
        <xdr:cNvPr id="4" name="ID_F4D3B8AB0BD24917BF078073AEC51FE5" descr="WhatsApp Image 2025-12-12 at 12.56.20_53e90f5f"/>
        <xdr:cNvPicPr>
          <a:picLocks noChangeAspect="1"/>
        </xdr:cNvPicPr>
      </xdr:nvPicPr>
      <xdr:blipFill>
        <a:blip r:embed="rId2"/>
        <a:srcRect l="5252" t="15894" b="7049"/>
        <a:stretch>
          <a:fillRect/>
        </a:stretch>
      </xdr:blipFill>
      <xdr:spPr>
        <a:xfrm rot="16200000">
          <a:off x="6664325" y="2966085"/>
          <a:ext cx="3006725" cy="43294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zoomScale="70" zoomScaleNormal="70" workbookViewId="0">
      <selection activeCell="E4" sqref="E4:E7"/>
    </sheetView>
  </sheetViews>
  <sheetFormatPr defaultColWidth="9.14285714285714" defaultRowHeight="18.75" outlineLevelCol="7"/>
  <cols>
    <col min="1" max="1" width="17.4285714285714" style="92"/>
    <col min="2" max="2" width="13.4285714285714" style="92" customWidth="1"/>
    <col min="3" max="3" width="36" style="92" customWidth="1"/>
    <col min="4" max="4" width="21.2857142857143" style="90" customWidth="1"/>
    <col min="5" max="5" width="33.2857142857143" style="92" customWidth="1"/>
    <col min="6" max="6" width="17.2857142857143" style="92" customWidth="1"/>
    <col min="7" max="8" width="20.8571428571429" style="92" customWidth="1"/>
    <col min="9" max="9" width="12.8571428571429" style="92"/>
    <col min="10" max="10" width="12" style="92"/>
    <col min="11" max="16384" width="18.0380952380952" style="92"/>
  </cols>
  <sheetData>
    <row r="1" s="89" customFormat="1" ht="16" customHeight="1" spans="1:8">
      <c r="A1" s="119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0" t="s">
        <v>5</v>
      </c>
      <c r="G1" s="120" t="s">
        <v>6</v>
      </c>
      <c r="H1" s="120" t="s">
        <v>7</v>
      </c>
    </row>
    <row r="2" s="89" customFormat="1" ht="120" customHeight="1" spans="1:8">
      <c r="A2" s="103">
        <v>45994</v>
      </c>
      <c r="B2" s="97">
        <v>2518</v>
      </c>
      <c r="C2" s="121" t="s">
        <v>8</v>
      </c>
      <c r="D2" s="122">
        <v>4</v>
      </c>
      <c r="E2" s="100" t="str">
        <f>_xlfn.DISPIMG("ID_AF642E9448564DC2B9A94250BEBF50D7",1)</f>
        <v>=DISPIMG("ID_AF642E9448564DC2B9A94250BEBF50D7",1)</v>
      </c>
      <c r="F2" s="101">
        <v>178000</v>
      </c>
      <c r="G2" s="106">
        <f t="shared" ref="G2:G8" si="0">SUM(D2*F2)</f>
        <v>712000</v>
      </c>
      <c r="H2" s="106">
        <f>SUM(G2:G3)</f>
        <v>1897000</v>
      </c>
    </row>
    <row r="3" s="89" customFormat="1" ht="120" customHeight="1" spans="1:8">
      <c r="A3" s="107"/>
      <c r="B3" s="97"/>
      <c r="C3" s="121" t="s">
        <v>9</v>
      </c>
      <c r="D3" s="122">
        <v>3</v>
      </c>
      <c r="E3" s="109"/>
      <c r="F3" s="101">
        <v>395000</v>
      </c>
      <c r="G3" s="106">
        <f t="shared" si="0"/>
        <v>1185000</v>
      </c>
      <c r="H3" s="110"/>
    </row>
    <row r="4" s="89" customFormat="1" ht="64.3" customHeight="1" spans="1:8">
      <c r="A4" s="103"/>
      <c r="B4" s="104"/>
      <c r="C4" s="123"/>
      <c r="D4" s="122"/>
      <c r="E4" s="100"/>
      <c r="F4" s="106"/>
      <c r="G4" s="106">
        <f t="shared" si="0"/>
        <v>0</v>
      </c>
      <c r="H4" s="106">
        <f>SUM(G4:G7)</f>
        <v>0</v>
      </c>
    </row>
    <row r="5" s="89" customFormat="1" ht="64.3" customHeight="1" spans="1:8">
      <c r="A5" s="107"/>
      <c r="B5" s="108"/>
      <c r="C5" s="97"/>
      <c r="D5" s="97"/>
      <c r="E5" s="109"/>
      <c r="F5" s="124"/>
      <c r="G5" s="106">
        <f t="shared" si="0"/>
        <v>0</v>
      </c>
      <c r="H5" s="110"/>
    </row>
    <row r="6" s="89" customFormat="1" ht="64.3" customHeight="1" spans="1:8">
      <c r="A6" s="107"/>
      <c r="B6" s="108"/>
      <c r="C6" s="97"/>
      <c r="D6" s="97"/>
      <c r="E6" s="109"/>
      <c r="F6" s="124"/>
      <c r="G6" s="106">
        <f t="shared" si="0"/>
        <v>0</v>
      </c>
      <c r="H6" s="110"/>
    </row>
    <row r="7" s="89" customFormat="1" ht="64.3" customHeight="1" spans="1:8">
      <c r="A7" s="107"/>
      <c r="B7" s="108"/>
      <c r="C7" s="104"/>
      <c r="D7" s="104"/>
      <c r="E7" s="109"/>
      <c r="F7" s="124"/>
      <c r="G7" s="106">
        <f t="shared" si="0"/>
        <v>0</v>
      </c>
      <c r="H7" s="110"/>
    </row>
    <row r="8" s="89" customFormat="1" ht="258" customHeight="1" spans="1:8">
      <c r="A8" s="96"/>
      <c r="B8" s="97"/>
      <c r="C8" s="97"/>
      <c r="D8" s="97"/>
      <c r="E8" s="125"/>
      <c r="F8" s="126"/>
      <c r="G8" s="101">
        <f t="shared" si="0"/>
        <v>0</v>
      </c>
      <c r="H8" s="101">
        <f>SUM(G8)</f>
        <v>0</v>
      </c>
    </row>
    <row r="9" s="89" customFormat="1" ht="18" customHeight="1" spans="1:8">
      <c r="A9" s="127" t="s">
        <v>10</v>
      </c>
      <c r="B9" s="128"/>
      <c r="C9" s="129"/>
      <c r="D9" s="130"/>
      <c r="E9" s="131"/>
      <c r="F9" s="131"/>
      <c r="G9" s="132"/>
      <c r="H9" s="133">
        <f>SUM(H2:H8)</f>
        <v>1897000</v>
      </c>
    </row>
  </sheetData>
  <mergeCells count="9">
    <mergeCell ref="A9:C9"/>
    <mergeCell ref="A2:A3"/>
    <mergeCell ref="A4:A7"/>
    <mergeCell ref="B2:B3"/>
    <mergeCell ref="B4:B7"/>
    <mergeCell ref="E2:E3"/>
    <mergeCell ref="E4:E7"/>
    <mergeCell ref="H2:H3"/>
    <mergeCell ref="H4:H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zoomScale="70" zoomScaleNormal="70" workbookViewId="0">
      <pane ySplit="1" topLeftCell="A3" activePane="bottomLeft" state="frozen"/>
      <selection/>
      <selection pane="bottomLeft" activeCell="J8" sqref="J8"/>
    </sheetView>
  </sheetViews>
  <sheetFormatPr defaultColWidth="9.14285714285714" defaultRowHeight="18.75" outlineLevelCol="7"/>
  <cols>
    <col min="1" max="1" width="19.8571428571429" style="90"/>
    <col min="2" max="2" width="18.8571428571429" style="90" customWidth="1"/>
    <col min="3" max="3" width="43.0380952380952" style="91" customWidth="1"/>
    <col min="4" max="4" width="14.4285714285714" style="90" customWidth="1"/>
    <col min="5" max="5" width="58.9619047619048" style="92" customWidth="1"/>
    <col min="6" max="6" width="19.5238095238095" style="92" customWidth="1"/>
    <col min="7" max="8" width="20.8571428571429" style="92" customWidth="1"/>
    <col min="9" max="9" width="12.8571428571429" style="92"/>
    <col min="10" max="16384" width="9.14285714285714" style="92"/>
  </cols>
  <sheetData>
    <row r="1" s="89" customFormat="1" ht="16" customHeight="1" spans="1:8">
      <c r="A1" s="93" t="s">
        <v>0</v>
      </c>
      <c r="B1" s="94" t="s">
        <v>1</v>
      </c>
      <c r="C1" s="95" t="s">
        <v>2</v>
      </c>
      <c r="D1" s="94" t="s">
        <v>3</v>
      </c>
      <c r="E1" s="94" t="s">
        <v>4</v>
      </c>
      <c r="F1" s="94" t="s">
        <v>5</v>
      </c>
      <c r="G1" s="94" t="s">
        <v>6</v>
      </c>
      <c r="H1" s="94" t="s">
        <v>7</v>
      </c>
    </row>
    <row r="2" s="89" customFormat="1" ht="227.8" customHeight="1" spans="1:8">
      <c r="A2" s="96">
        <v>45975</v>
      </c>
      <c r="B2" s="97">
        <v>221</v>
      </c>
      <c r="C2" s="98" t="s">
        <v>11</v>
      </c>
      <c r="D2" s="99">
        <v>3</v>
      </c>
      <c r="E2" s="100"/>
      <c r="F2" s="101">
        <v>55000</v>
      </c>
      <c r="G2" s="102">
        <f t="shared" ref="G2:G10" si="0">D2*F2</f>
        <v>165000</v>
      </c>
      <c r="H2" s="101">
        <f>SUM(G2:G2)</f>
        <v>165000</v>
      </c>
    </row>
    <row r="3" s="89" customFormat="1" ht="29" customHeight="1" spans="1:8">
      <c r="A3" s="103">
        <v>46002</v>
      </c>
      <c r="B3" s="134" t="s">
        <v>12</v>
      </c>
      <c r="C3" s="105" t="s">
        <v>13</v>
      </c>
      <c r="D3" s="99">
        <v>1</v>
      </c>
      <c r="E3" s="100"/>
      <c r="F3" s="102">
        <v>295000</v>
      </c>
      <c r="G3" s="102">
        <f t="shared" si="0"/>
        <v>295000</v>
      </c>
      <c r="H3" s="106">
        <f>SUM(G3:G10)</f>
        <v>4032500</v>
      </c>
    </row>
    <row r="4" s="89" customFormat="1" ht="29" customHeight="1" spans="1:8">
      <c r="A4" s="107"/>
      <c r="B4" s="108"/>
      <c r="C4" s="105" t="s">
        <v>14</v>
      </c>
      <c r="D4" s="99">
        <v>4</v>
      </c>
      <c r="E4" s="109"/>
      <c r="F4" s="102">
        <v>150000</v>
      </c>
      <c r="G4" s="102">
        <f t="shared" si="0"/>
        <v>600000</v>
      </c>
      <c r="H4" s="110"/>
    </row>
    <row r="5" s="89" customFormat="1" ht="29" customHeight="1" spans="1:8">
      <c r="A5" s="107"/>
      <c r="B5" s="108"/>
      <c r="C5" s="105" t="s">
        <v>15</v>
      </c>
      <c r="D5" s="99">
        <v>4</v>
      </c>
      <c r="E5" s="109"/>
      <c r="F5" s="102">
        <v>460000</v>
      </c>
      <c r="G5" s="102">
        <f t="shared" si="0"/>
        <v>1840000</v>
      </c>
      <c r="H5" s="110"/>
    </row>
    <row r="6" s="89" customFormat="1" ht="29" customHeight="1" spans="1:8">
      <c r="A6" s="107"/>
      <c r="B6" s="108"/>
      <c r="C6" s="105" t="s">
        <v>16</v>
      </c>
      <c r="D6" s="99">
        <v>2</v>
      </c>
      <c r="E6" s="109"/>
      <c r="F6" s="102">
        <v>340000</v>
      </c>
      <c r="G6" s="102">
        <f t="shared" si="0"/>
        <v>680000</v>
      </c>
      <c r="H6" s="110"/>
    </row>
    <row r="7" s="89" customFormat="1" ht="29" customHeight="1" spans="1:8">
      <c r="A7" s="107"/>
      <c r="B7" s="108"/>
      <c r="C7" s="105" t="s">
        <v>17</v>
      </c>
      <c r="D7" s="99">
        <v>1</v>
      </c>
      <c r="E7" s="109"/>
      <c r="F7" s="101">
        <v>340000</v>
      </c>
      <c r="G7" s="102">
        <f t="shared" si="0"/>
        <v>340000</v>
      </c>
      <c r="H7" s="110"/>
    </row>
    <row r="8" s="89" customFormat="1" ht="29" customHeight="1" spans="1:8">
      <c r="A8" s="107"/>
      <c r="B8" s="108"/>
      <c r="C8" s="111" t="s">
        <v>18</v>
      </c>
      <c r="D8" s="97">
        <v>5</v>
      </c>
      <c r="E8" s="109"/>
      <c r="F8" s="97">
        <v>55000</v>
      </c>
      <c r="G8" s="102">
        <f t="shared" si="0"/>
        <v>275000</v>
      </c>
      <c r="H8" s="110"/>
    </row>
    <row r="9" s="89" customFormat="1" ht="29" customHeight="1" spans="1:8">
      <c r="A9" s="107"/>
      <c r="B9" s="108"/>
      <c r="C9" s="111" t="s">
        <v>19</v>
      </c>
      <c r="D9" s="97">
        <v>1</v>
      </c>
      <c r="E9" s="109"/>
      <c r="F9" s="97">
        <v>1000</v>
      </c>
      <c r="G9" s="102">
        <f t="shared" si="0"/>
        <v>1000</v>
      </c>
      <c r="H9" s="110"/>
    </row>
    <row r="10" s="89" customFormat="1" ht="29" customHeight="1" spans="1:8">
      <c r="A10" s="112"/>
      <c r="B10" s="113"/>
      <c r="C10" s="111" t="s">
        <v>20</v>
      </c>
      <c r="D10" s="97">
        <v>1</v>
      </c>
      <c r="E10" s="114"/>
      <c r="F10" s="97">
        <v>1500</v>
      </c>
      <c r="G10" s="102">
        <f t="shared" si="0"/>
        <v>1500</v>
      </c>
      <c r="H10" s="115"/>
    </row>
    <row r="11" s="89" customFormat="1" spans="1:8">
      <c r="A11" s="116"/>
      <c r="B11" s="116"/>
      <c r="C11" s="117"/>
      <c r="D11" s="116"/>
      <c r="E11" s="116"/>
      <c r="F11" s="116"/>
      <c r="G11" s="118"/>
      <c r="H11" s="118">
        <f>SUM(H2:H10)</f>
        <v>4197500</v>
      </c>
    </row>
  </sheetData>
  <mergeCells count="5">
    <mergeCell ref="A11:E11"/>
    <mergeCell ref="A3:A10"/>
    <mergeCell ref="B3:B10"/>
    <mergeCell ref="E3:E10"/>
    <mergeCell ref="H3:H10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G15" sqref="G15"/>
    </sheetView>
  </sheetViews>
  <sheetFormatPr defaultColWidth="9.14285714285714" defaultRowHeight="15" outlineLevelCol="6"/>
  <cols>
    <col min="1" max="1" width="11.7142857142857" customWidth="1"/>
    <col min="2" max="2" width="22.1428571428571" customWidth="1"/>
    <col min="3" max="3" width="22.5714285714286" customWidth="1"/>
    <col min="4" max="4" width="17.5714285714286" customWidth="1"/>
    <col min="5" max="5" width="34.5714285714286" customWidth="1"/>
    <col min="6" max="6" width="19.4285714285714" customWidth="1"/>
    <col min="7" max="7" width="17.2857142857143" customWidth="1"/>
  </cols>
  <sheetData>
    <row r="1" ht="16" customHeight="1" spans="1:7">
      <c r="A1" s="52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7</v>
      </c>
    </row>
    <row r="2" ht="123.5" customHeight="1" spans="1:7">
      <c r="A2" s="54"/>
      <c r="B2" s="41"/>
      <c r="C2" s="55"/>
      <c r="D2" s="56"/>
      <c r="E2" s="57"/>
      <c r="F2" s="58"/>
      <c r="G2" s="59">
        <f>SUM(D2*F2)</f>
        <v>0</v>
      </c>
    </row>
    <row r="3" ht="123.5" customHeight="1" spans="1:7">
      <c r="A3" s="54"/>
      <c r="B3" s="41"/>
      <c r="C3" s="60"/>
      <c r="D3" s="61"/>
      <c r="E3" s="57"/>
      <c r="F3" s="62"/>
      <c r="G3" s="59"/>
    </row>
    <row r="4" spans="1:7">
      <c r="A4" s="54"/>
      <c r="B4" s="63" t="s">
        <v>21</v>
      </c>
      <c r="C4" s="63"/>
      <c r="D4" s="64"/>
      <c r="E4" s="64"/>
      <c r="F4" s="64"/>
      <c r="G4" s="64">
        <f>SUM(G2:G3)</f>
        <v>0</v>
      </c>
    </row>
    <row r="5" spans="1:7">
      <c r="A5" s="54"/>
      <c r="B5" s="63" t="s">
        <v>22</v>
      </c>
      <c r="C5" s="63"/>
      <c r="D5" s="64"/>
      <c r="E5" s="64"/>
      <c r="F5" s="64"/>
      <c r="G5" s="64">
        <f>G4*11%</f>
        <v>0</v>
      </c>
    </row>
    <row r="6" spans="1:7">
      <c r="A6" s="54"/>
      <c r="B6" s="63" t="s">
        <v>23</v>
      </c>
      <c r="C6" s="63"/>
      <c r="D6" s="64"/>
      <c r="E6" s="64"/>
      <c r="F6" s="64"/>
      <c r="G6" s="65">
        <v>243</v>
      </c>
    </row>
    <row r="7" spans="1:7">
      <c r="A7" s="54"/>
      <c r="B7" s="63" t="s">
        <v>7</v>
      </c>
      <c r="C7" s="63"/>
      <c r="D7" s="64"/>
      <c r="E7" s="66"/>
      <c r="F7" s="66"/>
      <c r="G7" s="66"/>
    </row>
    <row r="8" ht="123.5" customHeight="1" spans="1:7">
      <c r="A8" s="54"/>
      <c r="B8" s="67"/>
      <c r="C8" s="68"/>
      <c r="D8" s="69"/>
      <c r="E8" s="70"/>
      <c r="F8" s="44"/>
      <c r="G8" s="71"/>
    </row>
    <row r="9" ht="123.5" customHeight="1" spans="1:7">
      <c r="A9" s="54"/>
      <c r="B9" s="72"/>
      <c r="C9" s="68"/>
      <c r="D9" s="69"/>
      <c r="E9" s="73"/>
      <c r="F9" s="44"/>
      <c r="G9" s="71"/>
    </row>
    <row r="10" spans="1:7">
      <c r="A10" s="74"/>
      <c r="B10" s="63" t="s">
        <v>21</v>
      </c>
      <c r="C10" s="63"/>
      <c r="D10" s="64"/>
      <c r="E10" s="75"/>
      <c r="F10" s="64"/>
      <c r="G10" s="64">
        <f>SUM(G8:G9)</f>
        <v>0</v>
      </c>
    </row>
    <row r="11" spans="1:7">
      <c r="A11" s="76"/>
      <c r="B11" s="77" t="s">
        <v>22</v>
      </c>
      <c r="C11" s="78"/>
      <c r="D11" s="64"/>
      <c r="E11" s="75"/>
      <c r="F11" s="64"/>
      <c r="G11" s="64"/>
    </row>
    <row r="12" spans="1:7">
      <c r="A12" s="74"/>
      <c r="B12" s="63" t="s">
        <v>23</v>
      </c>
      <c r="C12" s="63"/>
      <c r="D12" s="64"/>
      <c r="E12" s="75"/>
      <c r="F12" s="64"/>
      <c r="G12" s="65"/>
    </row>
    <row r="13" spans="1:7">
      <c r="A13" s="79"/>
      <c r="B13" s="80" t="s">
        <v>7</v>
      </c>
      <c r="C13" s="81"/>
      <c r="D13" s="64"/>
      <c r="E13" s="66"/>
      <c r="F13" s="82"/>
      <c r="G13" s="66">
        <f>SUM(G10:G12)</f>
        <v>0</v>
      </c>
    </row>
    <row r="14" spans="1:7">
      <c r="A14" s="83" t="s">
        <v>10</v>
      </c>
      <c r="B14" s="84"/>
      <c r="C14" s="84"/>
      <c r="D14" s="85"/>
      <c r="E14" s="86">
        <f>G7+G13</f>
        <v>0</v>
      </c>
      <c r="F14" s="87"/>
      <c r="G14" s="88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70" zoomScaleNormal="70" workbookViewId="0">
      <pane ySplit="1" topLeftCell="A29" activePane="bottomLeft" state="frozen"/>
      <selection/>
      <selection pane="bottomLeft" activeCell="C32" sqref="C32:E32"/>
    </sheetView>
  </sheetViews>
  <sheetFormatPr defaultColWidth="9.14285714285714" defaultRowHeight="15" outlineLevelCol="4"/>
  <cols>
    <col min="1" max="1" width="10.5714285714286" style="12" customWidth="1"/>
    <col min="2" max="2" width="12.6" style="38" customWidth="1"/>
    <col min="3" max="3" width="36.1238095238095" style="12" customWidth="1"/>
    <col min="4" max="4" width="18.8285714285714" style="12" customWidth="1"/>
    <col min="5" max="5" width="12.2857142857143" style="12" customWidth="1"/>
    <col min="6" max="16384" width="9.14285714285714" style="12"/>
  </cols>
  <sheetData>
    <row r="1" s="37" customFormat="1" ht="19" customHeight="1" spans="1:5">
      <c r="A1" s="39" t="s">
        <v>0</v>
      </c>
      <c r="B1" s="40" t="s">
        <v>1</v>
      </c>
      <c r="C1" s="39" t="s">
        <v>4</v>
      </c>
      <c r="D1" s="39" t="s">
        <v>7</v>
      </c>
      <c r="E1" s="39" t="s">
        <v>24</v>
      </c>
    </row>
    <row r="2" s="12" customFormat="1" ht="263.65" customHeight="1" spans="1:5">
      <c r="A2" s="41"/>
      <c r="B2" s="42"/>
      <c r="C2" s="43"/>
      <c r="D2" s="44"/>
      <c r="E2" s="43"/>
    </row>
    <row r="3" s="12" customFormat="1" ht="255.1" customHeight="1" spans="1:5">
      <c r="A3" s="41"/>
      <c r="B3" s="42"/>
      <c r="C3" s="43"/>
      <c r="D3" s="45"/>
      <c r="E3" s="46"/>
    </row>
    <row r="4" s="12" customFormat="1" ht="249.95" customHeight="1" spans="1:5">
      <c r="A4" s="41"/>
      <c r="B4" s="42"/>
      <c r="C4" s="43"/>
      <c r="D4" s="45"/>
      <c r="E4" s="46"/>
    </row>
    <row r="5" s="12" customFormat="1" ht="256.25" customHeight="1" spans="1:5">
      <c r="A5" s="41"/>
      <c r="B5" s="42"/>
      <c r="C5" s="43"/>
      <c r="D5" s="45"/>
      <c r="E5" s="46"/>
    </row>
    <row r="6" s="12" customFormat="1" ht="253.85" customHeight="1" spans="1:5">
      <c r="A6" s="41"/>
      <c r="B6" s="42"/>
      <c r="C6" s="43"/>
      <c r="D6" s="45"/>
      <c r="E6" s="46"/>
    </row>
    <row r="7" s="12" customFormat="1" ht="254.65" customHeight="1" spans="1:5">
      <c r="A7" s="41"/>
      <c r="B7" s="42"/>
      <c r="C7" s="43"/>
      <c r="D7" s="45"/>
      <c r="E7" s="46"/>
    </row>
    <row r="8" s="12" customFormat="1" ht="255.35" customHeight="1" spans="1:5">
      <c r="A8" s="41"/>
      <c r="B8" s="42"/>
      <c r="C8" s="43"/>
      <c r="D8" s="45"/>
      <c r="E8" s="46"/>
    </row>
    <row r="9" s="12" customFormat="1" ht="266.95" customHeight="1" spans="1:5">
      <c r="A9" s="41"/>
      <c r="B9" s="42"/>
      <c r="C9" s="43"/>
      <c r="D9" s="45"/>
      <c r="E9" s="46"/>
    </row>
    <row r="10" s="12" customFormat="1" ht="261.95" customHeight="1" spans="1:5">
      <c r="A10" s="41"/>
      <c r="B10" s="42"/>
      <c r="C10" s="43"/>
      <c r="D10" s="45"/>
      <c r="E10" s="46"/>
    </row>
    <row r="11" s="12" customFormat="1" ht="261.9" customHeight="1" spans="1:5">
      <c r="A11" s="41"/>
      <c r="B11" s="42"/>
      <c r="C11" s="43"/>
      <c r="D11" s="45"/>
      <c r="E11" s="46"/>
    </row>
    <row r="12" s="12" customFormat="1" ht="270.7" customHeight="1" spans="1:5">
      <c r="A12" s="41"/>
      <c r="B12" s="42"/>
      <c r="C12" s="43"/>
      <c r="D12" s="45"/>
      <c r="E12" s="46"/>
    </row>
    <row r="13" s="12" customFormat="1" ht="261.1" customHeight="1" spans="1:5">
      <c r="A13" s="41"/>
      <c r="B13" s="42"/>
      <c r="C13" s="43"/>
      <c r="D13" s="45"/>
      <c r="E13" s="46"/>
    </row>
    <row r="14" s="12" customFormat="1" ht="257.15" customHeight="1" spans="1:5">
      <c r="A14" s="41"/>
      <c r="B14" s="42"/>
      <c r="C14" s="43"/>
      <c r="D14" s="45"/>
      <c r="E14" s="46"/>
    </row>
    <row r="15" s="12" customFormat="1" ht="263.55" customHeight="1" spans="1:5">
      <c r="A15" s="41"/>
      <c r="B15" s="42"/>
      <c r="C15" s="43"/>
      <c r="D15" s="45"/>
      <c r="E15" s="46"/>
    </row>
    <row r="16" s="12" customFormat="1" ht="270.35" customHeight="1" spans="1:5">
      <c r="A16" s="41"/>
      <c r="B16" s="42"/>
      <c r="C16" s="43"/>
      <c r="D16" s="45"/>
      <c r="E16" s="46"/>
    </row>
    <row r="17" s="12" customFormat="1" ht="261.7" customHeight="1" spans="1:5">
      <c r="A17" s="41"/>
      <c r="B17" s="42"/>
      <c r="C17" s="43"/>
      <c r="D17" s="45"/>
      <c r="E17" s="46"/>
    </row>
    <row r="18" s="12" customFormat="1" ht="260" customHeight="1" spans="1:5">
      <c r="A18" s="41"/>
      <c r="B18" s="42"/>
      <c r="C18" s="43"/>
      <c r="D18" s="45"/>
      <c r="E18" s="46"/>
    </row>
    <row r="19" s="12" customFormat="1" ht="263.2" customHeight="1" spans="1:5">
      <c r="A19" s="41"/>
      <c r="B19" s="42"/>
      <c r="C19" s="43"/>
      <c r="D19" s="45"/>
      <c r="E19" s="46"/>
    </row>
    <row r="20" s="12" customFormat="1" ht="289.95" customHeight="1" spans="1:5">
      <c r="A20" s="41"/>
      <c r="B20" s="42"/>
      <c r="C20" s="43"/>
      <c r="D20" s="45"/>
      <c r="E20" s="46"/>
    </row>
    <row r="21" s="12" customFormat="1" ht="200" customHeight="1" spans="1:5">
      <c r="A21" s="41"/>
      <c r="B21" s="42"/>
      <c r="C21" s="43"/>
      <c r="D21" s="45"/>
      <c r="E21" s="46"/>
    </row>
    <row r="22" s="12" customFormat="1" ht="200" customHeight="1" spans="1:5">
      <c r="A22" s="41"/>
      <c r="B22" s="42"/>
      <c r="C22" s="43"/>
      <c r="D22" s="45"/>
      <c r="E22" s="46"/>
    </row>
    <row r="23" s="12" customFormat="1" ht="200" customHeight="1" spans="1:5">
      <c r="A23" s="41"/>
      <c r="B23" s="42"/>
      <c r="C23" s="43"/>
      <c r="D23" s="45"/>
      <c r="E23" s="46"/>
    </row>
    <row r="24" s="12" customFormat="1" ht="200" customHeight="1" spans="1:5">
      <c r="A24" s="41"/>
      <c r="B24" s="42"/>
      <c r="C24" s="43"/>
      <c r="D24" s="44"/>
      <c r="E24" s="43"/>
    </row>
    <row r="25" s="12" customFormat="1" ht="200" customHeight="1" spans="1:5">
      <c r="A25" s="41"/>
      <c r="B25" s="42"/>
      <c r="C25" s="43"/>
      <c r="D25" s="44"/>
      <c r="E25" s="43"/>
    </row>
    <row r="26" s="12" customFormat="1" ht="200" customHeight="1" spans="1:5">
      <c r="A26" s="41"/>
      <c r="B26" s="42"/>
      <c r="C26" s="43"/>
      <c r="D26" s="44"/>
      <c r="E26" s="43"/>
    </row>
    <row r="27" s="12" customFormat="1" ht="200" customHeight="1" spans="1:5">
      <c r="A27" s="41">
        <v>45960</v>
      </c>
      <c r="B27" s="42"/>
      <c r="C27" s="43"/>
      <c r="D27" s="44"/>
      <c r="E27" s="43"/>
    </row>
    <row r="28" s="12" customFormat="1" ht="200" customHeight="1" spans="1:5">
      <c r="A28" s="41">
        <v>45961</v>
      </c>
      <c r="B28" s="42"/>
      <c r="C28" s="43"/>
      <c r="D28" s="44"/>
      <c r="E28" s="43"/>
    </row>
    <row r="29" s="12" customFormat="1" ht="200" customHeight="1" spans="1:5">
      <c r="A29" s="41"/>
      <c r="B29" s="42"/>
      <c r="C29" s="43"/>
      <c r="D29" s="44"/>
      <c r="E29" s="43"/>
    </row>
    <row r="30" s="12" customFormat="1" ht="200" customHeight="1" spans="1:5">
      <c r="A30" s="41"/>
      <c r="B30" s="42"/>
      <c r="C30" s="43"/>
      <c r="D30" s="44"/>
      <c r="E30" s="43"/>
    </row>
    <row r="31" s="12" customFormat="1" ht="200" customHeight="1" spans="1:5">
      <c r="A31" s="41"/>
      <c r="B31" s="42"/>
      <c r="C31" s="43"/>
      <c r="D31" s="44"/>
      <c r="E31" s="43"/>
    </row>
    <row r="32" s="12" customFormat="1" spans="1:5">
      <c r="A32" s="47"/>
      <c r="B32" s="48"/>
      <c r="C32" s="49">
        <f>SUM(D2:D31)</f>
        <v>0</v>
      </c>
      <c r="D32" s="50"/>
      <c r="E32" s="51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tabSelected="1" zoomScale="55" zoomScaleNormal="55" workbookViewId="0">
      <selection activeCell="J4" sqref="J4"/>
    </sheetView>
  </sheetViews>
  <sheetFormatPr defaultColWidth="9.14285714285714" defaultRowHeight="15" outlineLevelCol="6"/>
  <cols>
    <col min="1" max="1" width="21.1428571428571" style="13" customWidth="1"/>
    <col min="2" max="2" width="37.8571428571429" style="12" customWidth="1"/>
    <col min="3" max="3" width="30.752380952381" style="12" customWidth="1"/>
    <col min="4" max="4" width="65.7047619047619" style="12" customWidth="1"/>
    <col min="5" max="7" width="32.3333333333333" style="12" customWidth="1"/>
    <col min="8" max="16384" width="9.14285714285714" style="12"/>
  </cols>
  <sheetData>
    <row r="1" s="11" customFormat="1" ht="35" customHeight="1" spans="1:7">
      <c r="A1" s="14" t="s">
        <v>0</v>
      </c>
      <c r="B1" s="15" t="s">
        <v>25</v>
      </c>
      <c r="C1" s="15" t="s">
        <v>26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171" customHeight="1" spans="1:7">
      <c r="A2" s="16">
        <v>45992</v>
      </c>
      <c r="B2" s="17" t="s">
        <v>27</v>
      </c>
      <c r="C2" s="18">
        <v>1</v>
      </c>
      <c r="D2" s="19"/>
      <c r="E2" s="20">
        <v>60000</v>
      </c>
      <c r="F2" s="21">
        <f>C2*E2</f>
        <v>60000</v>
      </c>
      <c r="G2" s="22">
        <f>SUM(F2:F3)</f>
        <v>115000</v>
      </c>
    </row>
    <row r="3" s="12" customFormat="1" ht="80" customHeight="1" spans="1:7">
      <c r="A3" s="23"/>
      <c r="B3" s="24" t="s">
        <v>28</v>
      </c>
      <c r="C3" s="25">
        <v>1</v>
      </c>
      <c r="D3" s="26"/>
      <c r="E3" s="20">
        <v>55000</v>
      </c>
      <c r="F3" s="21">
        <f>C3*E3</f>
        <v>55000</v>
      </c>
      <c r="G3" s="22"/>
    </row>
    <row r="4" s="12" customFormat="1" ht="48" customHeight="1" spans="1:7">
      <c r="A4" s="27">
        <v>46003</v>
      </c>
      <c r="B4" s="24" t="s">
        <v>29</v>
      </c>
      <c r="C4" s="25">
        <v>3</v>
      </c>
      <c r="D4" s="28"/>
      <c r="E4" s="20">
        <v>55000</v>
      </c>
      <c r="F4" s="21">
        <f>C4*E4</f>
        <v>165000</v>
      </c>
      <c r="G4" s="29">
        <f>SUM(F4:F8)</f>
        <v>735000</v>
      </c>
    </row>
    <row r="5" s="12" customFormat="1" ht="48" customHeight="1" spans="1:7">
      <c r="A5" s="30"/>
      <c r="B5" s="24" t="s">
        <v>30</v>
      </c>
      <c r="C5" s="25">
        <v>1</v>
      </c>
      <c r="D5" s="28"/>
      <c r="E5" s="20">
        <v>160000</v>
      </c>
      <c r="F5" s="21">
        <f>C5*E5</f>
        <v>160000</v>
      </c>
      <c r="G5" s="29"/>
    </row>
    <row r="6" s="12" customFormat="1" ht="48" customHeight="1" spans="1:7">
      <c r="A6" s="30"/>
      <c r="B6" s="24" t="s">
        <v>31</v>
      </c>
      <c r="C6" s="25">
        <v>1</v>
      </c>
      <c r="D6" s="28"/>
      <c r="E6" s="20">
        <v>60000</v>
      </c>
      <c r="F6" s="21">
        <f>C6*E6</f>
        <v>60000</v>
      </c>
      <c r="G6" s="29"/>
    </row>
    <row r="7" s="12" customFormat="1" ht="48" customHeight="1" spans="1:7">
      <c r="A7" s="30"/>
      <c r="B7" s="24" t="s">
        <v>32</v>
      </c>
      <c r="C7" s="25">
        <v>3</v>
      </c>
      <c r="D7" s="28"/>
      <c r="E7" s="20">
        <v>50000</v>
      </c>
      <c r="F7" s="21">
        <f>C7*E7</f>
        <v>150000</v>
      </c>
      <c r="G7" s="29"/>
    </row>
    <row r="8" s="12" customFormat="1" ht="48" customHeight="1" spans="1:7">
      <c r="A8" s="31"/>
      <c r="B8" s="24" t="s">
        <v>33</v>
      </c>
      <c r="C8" s="25">
        <v>1</v>
      </c>
      <c r="D8" s="28"/>
      <c r="E8" s="20">
        <v>200000</v>
      </c>
      <c r="F8" s="21">
        <f>C8*E8</f>
        <v>200000</v>
      </c>
      <c r="G8" s="32"/>
    </row>
    <row r="9" s="12" customFormat="1" ht="39" customHeight="1" spans="1:7">
      <c r="A9" s="33" t="s">
        <v>10</v>
      </c>
      <c r="B9" s="34"/>
      <c r="C9" s="34"/>
      <c r="D9" s="34"/>
      <c r="E9" s="20"/>
      <c r="F9" s="35"/>
      <c r="G9" s="36">
        <f>SUM(G2:G8)</f>
        <v>850000</v>
      </c>
    </row>
  </sheetData>
  <mergeCells count="6">
    <mergeCell ref="A2:A3"/>
    <mergeCell ref="A4:A8"/>
    <mergeCell ref="D2:D3"/>
    <mergeCell ref="D4:D8"/>
    <mergeCell ref="G2:G3"/>
    <mergeCell ref="G4:G8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D15" sqref="D15"/>
    </sheetView>
  </sheetViews>
  <sheetFormatPr defaultColWidth="9.14285714285714" defaultRowHeight="15" outlineLevelRow="6" outlineLevelCol="2"/>
  <cols>
    <col min="1" max="1" width="9.14285714285714" style="1"/>
    <col min="2" max="2" width="21.8571428571429" style="2" customWidth="1"/>
    <col min="3" max="3" width="28" customWidth="1"/>
  </cols>
  <sheetData>
    <row r="1" ht="25" customHeight="1" spans="1:3">
      <c r="A1" s="3" t="s">
        <v>34</v>
      </c>
      <c r="B1" s="4" t="s">
        <v>35</v>
      </c>
      <c r="C1" s="5" t="s">
        <v>36</v>
      </c>
    </row>
    <row r="2" spans="1:3">
      <c r="A2" s="6">
        <v>1</v>
      </c>
      <c r="B2" s="7" t="s">
        <v>37</v>
      </c>
      <c r="C2" s="8">
        <f>'Anugrah (Bag, Cup, Box)'!H9</f>
        <v>1897000</v>
      </c>
    </row>
    <row r="3" spans="1:3">
      <c r="A3" s="6">
        <v>2</v>
      </c>
      <c r="B3" s="7" t="s">
        <v>38</v>
      </c>
      <c r="C3" s="8">
        <f>'UD Abdi Jaya (Bag, Cup, Box)'!H11</f>
        <v>4197500</v>
      </c>
    </row>
    <row r="4" spans="1:3">
      <c r="A4" s="6">
        <v>3</v>
      </c>
      <c r="B4" s="7" t="s">
        <v>39</v>
      </c>
      <c r="C4" s="8">
        <f>'PT. SUPARMA JAYA TBK (Tissue)'!E14</f>
        <v>0</v>
      </c>
    </row>
    <row r="5" spans="1:3">
      <c r="A5" s="6">
        <v>4</v>
      </c>
      <c r="B5" s="7" t="s">
        <v>40</v>
      </c>
      <c r="C5" s="9">
        <f>'Vickel Laundry'!C32</f>
        <v>0</v>
      </c>
    </row>
    <row r="6" spans="1:3">
      <c r="A6" s="6">
        <v>5</v>
      </c>
      <c r="B6" s="7" t="s">
        <v>41</v>
      </c>
      <c r="C6" s="9">
        <f>'Dishy Soap'!G9</f>
        <v>850000</v>
      </c>
    </row>
    <row r="7" spans="1:3">
      <c r="A7" s="6" t="s">
        <v>7</v>
      </c>
      <c r="B7" s="7"/>
      <c r="C7" s="10">
        <f>SUM(C2:C5)</f>
        <v>6094500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2025-07-10T08:21:00Z</dcterms:created>
  <dcterms:modified xsi:type="dcterms:W3CDTF">2025-12-12T05:09:40Z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1033-12.2.0.23155</vt:lpwstr>
  </property>
</Properties>
</file>