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00" windowHeight="17020"/>
  </bookViews>
  <sheets>
    <sheet name="DSP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<sst xmlns="http://schemas.openxmlformats.org/spreadsheetml/2006/main" count="21" uniqueCount="20">
  <si>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DATE</t>
  </si>
  <si>
    <t>INV NO.</t>
  </si>
  <si>
    <t>DESCRIPTIONS</t>
  </si>
  <si>
    <t>QTY</t>
  </si>
  <si>
    <t>PRICE</t>
  </si>
  <si>
    <t>DISCOUNT</t>
  </si>
  <si>
    <t>UNIT PRICE</t>
  </si>
  <si>
    <t>SUBTOTAL</t>
  </si>
  <si>
    <t>TOTAL</t>
  </si>
  <si>
    <t>BILL</t>
  </si>
  <si>
    <t>SOMDG/DSP/26/02/0030</t>
  </si>
  <si>
    <t>MDG - F VODKA</t>
  </si>
  <si>
    <t>SO/DSP/26/02/0284</t>
  </si>
  <si>
    <t>DA VINCI LEONARDO PROSECCO DOC</t>
  </si>
  <si>
    <t>SO/DSP/26/02/1236</t>
  </si>
  <si>
    <t>HUNTER'S RIESLING</t>
  </si>
  <si>
    <t>SO/DSP/26/02/1622</t>
  </si>
  <si>
    <t>VIGNETI DEL VULTURE - PIPOLI ROSATO BASILICATA</t>
  </si>
  <si>
    <t>SO/DSP/26/02/1668</t>
  </si>
  <si>
    <t>MCGUIGAN - BLACK LABEL SAUVIGNON BLANC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</si>
</sst>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  <numFmt numFmtId="180" formatCode="_-[$Rp-421]* #,##0_-;\-[$Rp-421]* #,##0_-;_-[$Rp-421]* &quot;-&quot;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</font>
    <font>
      <sz val="16"/>
      <color theme="1"/>
      <name val="Arial Narrow"/>
      <charset val="134"/>
    </font>
    <font>
      <sz val="16"/>
      <color theme="1"/>
      <name val="Calibri"/>
      <charset val="134"/>
      <scheme val="minor"/>
    </font>
    <font>
      <sz val="18"/>
      <color theme="1"/>
      <name val="Cambria"/>
      <charset val="134"/>
    </font>
    <font>
      <sz val="26"/>
      <color theme="1"/>
      <name val="Calibri"/>
      <charset val="134"/>
      <scheme val="minor"/>
    </font>
    <font>
      <sz val="18"/>
      <color theme="1"/>
      <name val="Cambria Math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vertical="center"/>
    </xf>
    <xf numFmtId="177" fontId="5" fillId="3" borderId="3" xfId="0" applyNumberFormat="1" applyFont="1" applyFill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left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horizontal="center" vertical="center"/>
    </xf>
    <xf numFmtId="178" fontId="5" fillId="3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179" fontId="7" fillId="3" borderId="2" xfId="0" applyNumberFormat="1" applyFont="1" applyFill="1" applyBorder="1">
      <alignment vertical="center"/>
    </xf>
    <xf numFmtId="179" fontId="7" fillId="3" borderId="2" xfId="0" applyNumberFormat="1" applyFont="1" applyFill="1" applyBorder="1" applyAlignment="1">
      <alignment vertical="center"/>
    </xf>
    <xf numFmtId="179" fontId="7" fillId="3" borderId="5" xfId="0" applyNumberFormat="1" applyFont="1" applyFill="1" applyBorder="1">
      <alignment vertical="center"/>
    </xf>
    <xf numFmtId="179" fontId="7" fillId="3" borderId="2" xfId="0" applyNumberFormat="1" applyFont="1" applyFill="1" applyBorder="1" applyAlignment="1">
      <alignment horizontal="center" vertical="center"/>
    </xf>
    <xf numFmtId="179" fontId="7" fillId="3" borderId="5" xfId="0" applyNumberFormat="1" applyFont="1" applyFill="1" applyBorder="1" applyAlignment="1">
      <alignment vertical="center"/>
    </xf>
    <xf numFmtId="177" fontId="7" fillId="3" borderId="2" xfId="0" applyNumberFormat="1" applyFont="1" applyFill="1" applyBorder="1" applyAlignment="1">
      <alignment vertical="center"/>
    </xf>
    <xf numFmtId="177" fontId="7" fillId="3" borderId="2" xfId="0" applyNumberFormat="1" applyFont="1" applyFill="1" applyBorder="1" applyAlignment="1">
      <alignment horizontal="center" vertical="center" wrapText="1"/>
    </xf>
    <xf numFmtId="180" fontId="6" fillId="4" borderId="0" xfId="0" applyNumberFormat="1" applyFont="1" applyFill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>
      <alignment vertical="center"/>
    </xf>
    <xf numFmtId="179" fontId="7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7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9" fontId="7" fillId="3" borderId="5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177" fontId="7" fillId="3" borderId="2" xfId="0" applyNumberFormat="1" applyFont="1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5" fillId="3" borderId="2" xfId="0" applyNumberFormat="1" applyFont="1" applyFill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325755</xdr:colOff>
      <xdr:row>1</xdr:row>
      <xdr:rowOff>31750</xdr:rowOff>
    </xdr:from>
    <xdr:to>
      <xdr:col>9</xdr:col>
      <xdr:colOff>4413250</xdr:colOff>
      <xdr:row>1</xdr:row>
      <xdr:rowOff>5169535</xdr:rowOff>
    </xdr:to>
    <xdr:pic>
      <xdr:nvPicPr>
        <xdr:cNvPr id="2" name="ID_526AD5818F044446A0D4A4FF77C53EE4" descr="PHOTO-2026-02-06-18-16-00"/>
        <xdr:cNvPicPr>
          <a:picLocks noChangeAspect="1"/>
        </xdr:cNvPicPr>
      </xdr:nvPicPr>
      <xdr:blipFill>
        <a:blip r:embed="rId1"/>
        <a:srcRect b="29264"/>
        <a:stretch>
          <a:fillRect/>
        </a:stretch>
      </xdr:blipFill>
      <xdr:spPr>
        <a:xfrm>
          <a:off x="21605240" y="463550"/>
          <a:ext cx="4087495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339090</xdr:colOff>
      <xdr:row>2</xdr:row>
      <xdr:rowOff>31750</xdr:rowOff>
    </xdr:from>
    <xdr:to>
      <xdr:col>9</xdr:col>
      <xdr:colOff>4399280</xdr:colOff>
      <xdr:row>2</xdr:row>
      <xdr:rowOff>5169535</xdr:rowOff>
    </xdr:to>
    <xdr:pic>
      <xdr:nvPicPr>
        <xdr:cNvPr id="3" name="ID_243DDF3EC6A2436B934FBDA7565819A9" descr="PHOTO-2026-02-06-18-15-22"/>
        <xdr:cNvPicPr>
          <a:picLocks noChangeAspect="1"/>
        </xdr:cNvPicPr>
      </xdr:nvPicPr>
      <xdr:blipFill>
        <a:blip r:embed="rId2"/>
        <a:srcRect b="28641"/>
        <a:stretch>
          <a:fillRect/>
        </a:stretch>
      </xdr:blipFill>
      <xdr:spPr>
        <a:xfrm>
          <a:off x="21618575" y="5664200"/>
          <a:ext cx="406019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347980</xdr:colOff>
      <xdr:row>3</xdr:row>
      <xdr:rowOff>31750</xdr:rowOff>
    </xdr:from>
    <xdr:to>
      <xdr:col>9</xdr:col>
      <xdr:colOff>4391025</xdr:colOff>
      <xdr:row>3</xdr:row>
      <xdr:rowOff>5169535</xdr:rowOff>
    </xdr:to>
    <xdr:pic>
      <xdr:nvPicPr>
        <xdr:cNvPr id="4" name="ID_7389103D9AC842A3A9365AE816D9AC18" descr="PHOTO-2026-02-25-21-19-56"/>
        <xdr:cNvPicPr>
          <a:picLocks noChangeAspect="1"/>
        </xdr:cNvPicPr>
      </xdr:nvPicPr>
      <xdr:blipFill>
        <a:blip r:embed="rId3"/>
        <a:srcRect b="29030"/>
        <a:stretch>
          <a:fillRect/>
        </a:stretch>
      </xdr:blipFill>
      <xdr:spPr>
        <a:xfrm>
          <a:off x="21627465" y="10864850"/>
          <a:ext cx="4043045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391160</xdr:colOff>
      <xdr:row>4</xdr:row>
      <xdr:rowOff>31115</xdr:rowOff>
    </xdr:from>
    <xdr:to>
      <xdr:col>9</xdr:col>
      <xdr:colOff>4347845</xdr:colOff>
      <xdr:row>4</xdr:row>
      <xdr:rowOff>5168900</xdr:rowOff>
    </xdr:to>
    <xdr:pic>
      <xdr:nvPicPr>
        <xdr:cNvPr id="5" name="ID_98F6A49B6B4745A4929D2C584B48763C" descr="PHOTO-2026-03-01-08-12-49"/>
        <xdr:cNvPicPr>
          <a:picLocks noChangeAspect="1"/>
        </xdr:cNvPicPr>
      </xdr:nvPicPr>
      <xdr:blipFill>
        <a:blip r:embed="rId4"/>
        <a:srcRect b="27120"/>
        <a:stretch>
          <a:fillRect/>
        </a:stretch>
      </xdr:blipFill>
      <xdr:spPr>
        <a:xfrm>
          <a:off x="21670645" y="16064865"/>
          <a:ext cx="3956685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363855</xdr:colOff>
      <xdr:row>5</xdr:row>
      <xdr:rowOff>31750</xdr:rowOff>
    </xdr:from>
    <xdr:to>
      <xdr:col>9</xdr:col>
      <xdr:colOff>4375150</xdr:colOff>
      <xdr:row>5</xdr:row>
      <xdr:rowOff>5169535</xdr:rowOff>
    </xdr:to>
    <xdr:pic>
      <xdr:nvPicPr>
        <xdr:cNvPr id="6" name="ID_77293669FD254791AFFDDB2305B2A55F" descr="PHOTO-2026-03-01-08-11-08"/>
        <xdr:cNvPicPr>
          <a:picLocks noChangeAspect="1"/>
        </xdr:cNvPicPr>
      </xdr:nvPicPr>
      <xdr:blipFill>
        <a:blip r:embed="rId5"/>
        <a:srcRect b="28253"/>
        <a:stretch>
          <a:fillRect/>
        </a:stretch>
      </xdr:blipFill>
      <xdr:spPr>
        <a:xfrm>
          <a:off x="21643340" y="21266150"/>
          <a:ext cx="4011295" cy="5137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55" zoomScaleNormal="55" workbookViewId="0">
      <pane xSplit="1" ySplit="1" topLeftCell="F14" activePane="bottomRight" state="frozen"/>
      <selection/>
      <selection pane="topRight"/>
      <selection pane="bottomLeft"/>
      <selection pane="bottomRight" activeCell="F16" sqref="F16:J16"/>
    </sheetView>
  </sheetViews>
  <sheetFormatPr defaultColWidth="9.140625" defaultRowHeight="16.8"/>
  <cols>
    <col min="1" max="1" width="20.515625" style="3" customWidth="1"/>
    <col min="2" max="2" width="36.5703125" style="3" customWidth="1"/>
    <col min="3" max="3" width="51.9453125" customWidth="1"/>
    <col min="4" max="4" width="16.140625" customWidth="1"/>
    <col min="5" max="5" width="23.140625" customWidth="1"/>
    <col min="6" max="6" width="33" customWidth="1"/>
    <col min="7" max="7" width="30.6484375" customWidth="1"/>
    <col min="8" max="8" width="24.921875" style="2" customWidth="1"/>
    <col min="9" max="9" width="24.921875" customWidth="1"/>
    <col min="10" max="10" width="58.1796875" customWidth="1"/>
    <col min="11" max="11" width="12.859375"/>
  </cols>
  <sheetData>
    <row r="1" s="1" customFormat="1" ht="34" customHeight="1" spans="1:10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409.5" customHeight="1" spans="1:10">
      <c r="A2" s="6">
        <v>46058</v>
      </c>
      <c r="B2" s="7" t="s">
        <v>10</v>
      </c>
      <c r="C2" s="8" t="s">
        <v>11</v>
      </c>
      <c r="D2" s="9">
        <v>3</v>
      </c>
      <c r="E2" s="24">
        <v>246000</v>
      </c>
      <c r="F2" s="24">
        <v>0</v>
      </c>
      <c r="G2" s="25">
        <f t="shared" ref="G2:G15" si="0">E2-F2</f>
        <v>246000</v>
      </c>
      <c r="H2" s="25">
        <f t="shared" ref="H2:H8" si="1">D2*G2</f>
        <v>738000</v>
      </c>
      <c r="I2" s="25">
        <f t="shared" ref="I2:I6" si="2">SUM(H2)</f>
        <v>738000</v>
      </c>
      <c r="J2" s="32"/>
    </row>
    <row r="3" ht="409.5" customHeight="1" spans="1:10">
      <c r="A3" s="6">
        <v>46058</v>
      </c>
      <c r="B3" s="7" t="s">
        <v>12</v>
      </c>
      <c r="C3" s="8" t="s">
        <v>13</v>
      </c>
      <c r="D3" s="9">
        <v>2</v>
      </c>
      <c r="E3" s="24">
        <v>370000</v>
      </c>
      <c r="F3" s="24">
        <f t="shared" ref="F3:F12" si="3">E3*10%</f>
        <v>37000</v>
      </c>
      <c r="G3" s="25">
        <f t="shared" si="0"/>
        <v>333000</v>
      </c>
      <c r="H3" s="25">
        <f t="shared" si="1"/>
        <v>666000</v>
      </c>
      <c r="I3" s="25">
        <f t="shared" si="2"/>
        <v>666000</v>
      </c>
      <c r="J3" s="32"/>
    </row>
    <row r="4" ht="409.5" customHeight="1" spans="1:10">
      <c r="A4" s="10">
        <v>46074</v>
      </c>
      <c r="B4" s="11" t="s">
        <v>14</v>
      </c>
      <c r="C4" s="12" t="s">
        <v>15</v>
      </c>
      <c r="D4" s="13">
        <v>2</v>
      </c>
      <c r="E4" s="26">
        <v>385000</v>
      </c>
      <c r="F4" s="27">
        <f t="shared" si="3"/>
        <v>38500</v>
      </c>
      <c r="G4" s="26">
        <f t="shared" si="0"/>
        <v>346500</v>
      </c>
      <c r="H4" s="28">
        <f t="shared" si="1"/>
        <v>693000</v>
      </c>
      <c r="I4" s="24">
        <f t="shared" si="2"/>
        <v>693000</v>
      </c>
      <c r="J4" s="33"/>
    </row>
    <row r="5" ht="409.5" customHeight="1" spans="1:10">
      <c r="A5" s="6">
        <v>46080</v>
      </c>
      <c r="B5" s="14" t="s">
        <v>16</v>
      </c>
      <c r="C5" s="15" t="s">
        <v>17</v>
      </c>
      <c r="D5" s="9">
        <v>1</v>
      </c>
      <c r="E5" s="24">
        <v>350000</v>
      </c>
      <c r="F5" s="24">
        <f t="shared" si="3"/>
        <v>35000</v>
      </c>
      <c r="G5" s="24">
        <f t="shared" si="0"/>
        <v>315000</v>
      </c>
      <c r="H5" s="25">
        <f t="shared" si="1"/>
        <v>315000</v>
      </c>
      <c r="I5" s="24">
        <f t="shared" si="2"/>
        <v>315000</v>
      </c>
      <c r="J5" s="33"/>
    </row>
    <row r="6" ht="409.5" customHeight="1" spans="1:10">
      <c r="A6" s="6">
        <v>46081</v>
      </c>
      <c r="B6" s="14" t="s">
        <v>18</v>
      </c>
      <c r="C6" s="15" t="s">
        <v>19</v>
      </c>
      <c r="D6" s="9">
        <v>4</v>
      </c>
      <c r="E6" s="24">
        <v>295000</v>
      </c>
      <c r="F6" s="24">
        <f t="shared" si="3"/>
        <v>29500</v>
      </c>
      <c r="G6" s="24">
        <f t="shared" si="0"/>
        <v>265500</v>
      </c>
      <c r="H6" s="25">
        <f t="shared" si="1"/>
        <v>1062000</v>
      </c>
      <c r="I6" s="24">
        <f t="shared" si="2"/>
        <v>1062000</v>
      </c>
      <c r="J6" s="33"/>
    </row>
    <row r="7" ht="139.5" customHeight="1" spans="1:10">
      <c r="A7" s="16"/>
      <c r="B7" s="17"/>
      <c r="C7" s="15"/>
      <c r="D7" s="9"/>
      <c r="E7" s="24"/>
      <c r="F7" s="24">
        <f t="shared" si="3"/>
        <v>0</v>
      </c>
      <c r="G7" s="24">
        <f t="shared" si="0"/>
        <v>0</v>
      </c>
      <c r="H7" s="25">
        <f t="shared" si="1"/>
        <v>0</v>
      </c>
      <c r="I7" s="34">
        <f>SUM(H7:H9)</f>
        <v>0</v>
      </c>
      <c r="J7" s="35"/>
    </row>
    <row r="8" ht="26" spans="1:10">
      <c r="A8" s="10"/>
      <c r="B8" s="11"/>
      <c r="C8" s="15"/>
      <c r="D8" s="9"/>
      <c r="E8" s="24"/>
      <c r="F8" s="24">
        <f t="shared" si="3"/>
        <v>0</v>
      </c>
      <c r="G8" s="24">
        <f t="shared" si="0"/>
        <v>0</v>
      </c>
      <c r="H8" s="25">
        <f t="shared" si="1"/>
        <v>0</v>
      </c>
      <c r="I8" s="36"/>
      <c r="J8" s="37"/>
    </row>
    <row r="9" ht="26" spans="1:10">
      <c r="A9" s="18"/>
      <c r="B9" s="19"/>
      <c r="C9" s="15"/>
      <c r="D9" s="9"/>
      <c r="E9" s="24"/>
      <c r="F9" s="24">
        <f t="shared" si="3"/>
        <v>0</v>
      </c>
      <c r="G9" s="24">
        <f t="shared" si="0"/>
        <v>0</v>
      </c>
      <c r="H9" s="29">
        <f t="shared" ref="H9:H15" si="4">SUM(D9*G9)</f>
        <v>0</v>
      </c>
      <c r="I9" s="38"/>
      <c r="J9" s="39"/>
    </row>
    <row r="10" ht="381.45" customHeight="1" spans="1:10">
      <c r="A10" s="14"/>
      <c r="B10" s="20"/>
      <c r="C10" s="21"/>
      <c r="D10" s="9"/>
      <c r="E10" s="24"/>
      <c r="F10" s="24">
        <f t="shared" si="3"/>
        <v>0</v>
      </c>
      <c r="G10" s="24">
        <f t="shared" si="0"/>
        <v>0</v>
      </c>
      <c r="H10" s="29">
        <f t="shared" si="4"/>
        <v>0</v>
      </c>
      <c r="I10" s="40">
        <f t="shared" ref="I10:I15" si="5">SUM(H10)</f>
        <v>0</v>
      </c>
      <c r="J10" s="41"/>
    </row>
    <row r="11" ht="386.3" customHeight="1" spans="1:10">
      <c r="A11" s="14"/>
      <c r="B11" s="20"/>
      <c r="C11" s="21"/>
      <c r="D11" s="9"/>
      <c r="E11" s="24"/>
      <c r="F11" s="24">
        <f t="shared" si="3"/>
        <v>0</v>
      </c>
      <c r="G11" s="24">
        <f t="shared" si="0"/>
        <v>0</v>
      </c>
      <c r="H11" s="29">
        <f t="shared" si="4"/>
        <v>0</v>
      </c>
      <c r="I11" s="40">
        <f t="shared" si="5"/>
        <v>0</v>
      </c>
      <c r="J11" s="33"/>
    </row>
    <row r="12" ht="382.6" customHeight="1" spans="1:10">
      <c r="A12" s="22"/>
      <c r="B12" s="9"/>
      <c r="C12" s="9"/>
      <c r="D12" s="9"/>
      <c r="E12" s="30"/>
      <c r="F12" s="30">
        <f t="shared" si="3"/>
        <v>0</v>
      </c>
      <c r="G12" s="30">
        <f t="shared" si="0"/>
        <v>0</v>
      </c>
      <c r="H12" s="30">
        <f t="shared" si="4"/>
        <v>0</v>
      </c>
      <c r="I12" s="30">
        <f t="shared" si="5"/>
        <v>0</v>
      </c>
      <c r="J12" s="42"/>
    </row>
    <row r="13" ht="379.8" customHeight="1" spans="1:10">
      <c r="A13" s="22"/>
      <c r="B13" s="9"/>
      <c r="C13" s="9"/>
      <c r="D13" s="9"/>
      <c r="E13" s="30"/>
      <c r="F13" s="30"/>
      <c r="G13" s="30">
        <f t="shared" si="0"/>
        <v>0</v>
      </c>
      <c r="H13" s="30">
        <f t="shared" si="4"/>
        <v>0</v>
      </c>
      <c r="I13" s="43">
        <f t="shared" si="5"/>
        <v>0</v>
      </c>
      <c r="J13" s="42"/>
    </row>
    <row r="14" s="2" customFormat="1" ht="409.5" customHeight="1" spans="1:10">
      <c r="A14" s="22"/>
      <c r="B14" s="9"/>
      <c r="C14" s="9"/>
      <c r="D14" s="9"/>
      <c r="E14" s="30"/>
      <c r="F14" s="30">
        <f>E14*10%</f>
        <v>0</v>
      </c>
      <c r="G14" s="30">
        <f t="shared" si="0"/>
        <v>0</v>
      </c>
      <c r="H14" s="30">
        <f t="shared" si="4"/>
        <v>0</v>
      </c>
      <c r="I14" s="43">
        <f t="shared" si="5"/>
        <v>0</v>
      </c>
      <c r="J14" s="42"/>
    </row>
    <row r="15" ht="388.5" customHeight="1" spans="1:10">
      <c r="A15" s="22"/>
      <c r="B15" s="9"/>
      <c r="C15" s="9"/>
      <c r="D15" s="9"/>
      <c r="E15" s="30"/>
      <c r="F15" s="30">
        <f>E15*10%</f>
        <v>0</v>
      </c>
      <c r="G15" s="30">
        <f t="shared" si="0"/>
        <v>0</v>
      </c>
      <c r="H15" s="30">
        <f t="shared" si="4"/>
        <v>0</v>
      </c>
      <c r="I15" s="43">
        <f t="shared" si="5"/>
        <v>0</v>
      </c>
      <c r="J15" s="42"/>
    </row>
    <row r="16" ht="37.2" spans="1:10">
      <c r="A16" s="23" t="s">
        <v>8</v>
      </c>
      <c r="B16" s="23"/>
      <c r="C16" s="23"/>
      <c r="D16" s="23"/>
      <c r="E16" s="23"/>
      <c r="F16" s="31">
        <f>SUM(I2:I15)</f>
        <v>3474000</v>
      </c>
      <c r="G16" s="31"/>
      <c r="H16" s="31"/>
      <c r="I16" s="31"/>
      <c r="J16" s="31"/>
    </row>
  </sheetData>
  <mergeCells count="6">
    <mergeCell ref="A16:E16"/>
    <mergeCell ref="F16:J16"/>
    <mergeCell ref="A7:A9"/>
    <mergeCell ref="B7:B9"/>
    <mergeCell ref="I7:I9"/>
    <mergeCell ref="J7:J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DSP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2026-03-01T08:18:01Z</dcterms:created>
  <dcterms:modified xsi:type="dcterms:W3CDTF">2026-03-01T08:18:16Z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E1FB411F8A1AD78CB985A369472F5E4A_41</vt:lpwstr>
  </property>
  <property fmtid="{D5CDD505-2E9C-101B-9397-08002B2CF9AE}" pid="3" name="KSOProductBuildVer">
    <vt:lpwstr>1033-12.1.23155.23155</vt:lpwstr>
  </property>
</Properties>
</file>