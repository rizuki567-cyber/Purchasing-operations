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2" activeTab="5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AF642E9448564DC2B9A94250BEBF50D7" descr="WhatsApp Image 2025-12-03 at 18.16.51_a036882e"/>
        <xdr:cNvPicPr>
          <a:picLocks noChangeAspect="1"/>
        </xdr:cNvPicPr>
      </xdr:nvPicPr>
      <xdr:blipFill>
        <a:blip r:embed="rId1"/>
        <a:srcRect l="1437" t="10012" b="11665"/>
        <a:stretch>
          <a:fillRect/>
        </a:stretch>
      </xdr:blipFill>
      <xdr:spPr>
        <a:xfrm>
          <a:off x="5927090" y="226060"/>
          <a:ext cx="2122170" cy="30073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<sst xmlns="http://schemas.openxmlformats.org/spreadsheetml/2006/main" count="60" uniqueCount="28">
  <si>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</si>
  <si>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</si>
  <si>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</si>
  <si>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</si>
  <si>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</si>
  <si>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</si>
  <si>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</si>
  <si>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</si>
  <si>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TOWEL TISSUE</t>
  </si>
  <si>
    <t>COCKTAIL NAPKIN</t>
  </si>
  <si>
    <t>GRAND TOTAL</t>
  </si>
  <si>
    <t>HAND GLOVES (M)</t>
  </si>
  <si>
    <t>SALES PRICE</t>
  </si>
  <si>
    <t>PPN</t>
  </si>
  <si>
    <t>PPh 22</t>
  </si>
  <si>
    <t>STATUS</t>
  </si>
  <si>
    <t>DESCRIPTION</t>
  </si>
  <si>
    <t>QTY</t>
  </si>
  <si>
    <t>DISHY VANILA 5L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</si>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</sst>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2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2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2" fillId="3" borderId="5" xfId="0" applyNumberFormat="1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78" fontId="3" fillId="3" borderId="8" xfId="0" applyNumberFormat="1" applyFont="1" applyFill="1" applyBorder="1" applyAlignment="1">
      <alignment vertical="center"/>
    </xf>
    <xf numFmtId="178" fontId="3" fillId="3" borderId="5" xfId="0" applyNumberFormat="1" applyFont="1" applyFill="1" applyBorder="1" applyAlignment="1">
      <alignment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9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2" fillId="3" borderId="10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3" xfId="0" applyNumberFormat="1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2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5" xfId="0" applyNumberFormat="1" applyFill="1" applyBorder="1" applyAlignment="1">
      <alignment horizontal="center" vertical="center" wrapText="1"/>
    </xf>
    <xf numFmtId="0" fontId="0" fillId="0" borderId="5" xfId="0" applyNumberFormat="1" applyFill="1" applyBorder="1" applyAlignment="1">
      <alignment horizontal="center" vertical="center"/>
    </xf>
    <xf numFmtId="181" fontId="0" fillId="0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2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5" xfId="0" applyNumberFormat="1" applyBorder="1" applyAlignment="1">
      <alignment horizontal="center"/>
    </xf>
    <xf numFmtId="0" fontId="0" fillId="3" borderId="8" xfId="0" applyFill="1" applyBorder="1" applyAlignment="1"/>
    <xf numFmtId="0" fontId="0" fillId="3" borderId="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2" xfId="0" applyNumberFormat="1" applyFont="1" applyFill="1" applyBorder="1" applyAlignment="1">
      <alignment horizontal="center" vertical="center"/>
    </xf>
    <xf numFmtId="179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5" xfId="0" applyNumberFormat="1" applyFont="1" applyFill="1" applyBorder="1" applyAlignment="1">
      <alignment horizontal="center" vertical="center"/>
    </xf>
    <xf numFmtId="0" fontId="9" fillId="3" borderId="5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81" fontId="9" fillId="3" borderId="5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6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8" fontId="9" fillId="3" borderId="2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3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26035</xdr:colOff>
      <xdr:row>1</xdr:row>
      <xdr:rowOff>56515</xdr:rowOff>
    </xdr:from>
    <xdr:to>
      <xdr:col>3</xdr:col>
      <xdr:colOff>4355465</xdr:colOff>
      <xdr:row>2</xdr:row>
      <xdr:rowOff>949325</xdr:rowOff>
    </xdr:to>
    <xdr:pic>
      <xdr:nvPicPr>
        <xdr:cNvPr id="3" name="ID_7BEFDB63F16448A5BB21710E631EB358" descr="WhatsApp Image 2025-12-03 at 11.37.37_bfde9d0a"/>
        <xdr:cNvPicPr>
          <a:picLocks noChangeAspect="1"/>
        </xdr:cNvPicPr>
      </xdr:nvPicPr>
      <xdr:blipFill>
        <a:blip r:embed="rId1"/>
        <a:srcRect l="6138" t="14811" b="10638"/>
        <a:stretch>
          <a:fillRect/>
        </a:stretch>
      </xdr:blipFill>
      <xdr:spPr>
        <a:xfrm rot="16200000">
          <a:off x="5956935" y="-131445"/>
          <a:ext cx="3064510" cy="43294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zoomScale="70" zoomScaleNormal="70" workbookViewId="0">
      <selection activeCell="H8" sqref="H8"/>
    </sheetView>
  </sheetViews>
  <sheetFormatPr defaultColWidth="9.14285714285714" defaultRowHeight="18.75" outlineLevelCol="7"/>
  <cols>
    <col min="1" max="1" width="17.4285714285714" style="91"/>
    <col min="2" max="2" width="13.4285714285714" style="91" customWidth="1"/>
    <col min="3" max="3" width="36" style="91" customWidth="1"/>
    <col min="4" max="4" width="21.2857142857143" style="90" customWidth="1"/>
    <col min="5" max="5" width="33.2857142857143" style="91" customWidth="1"/>
    <col min="6" max="6" width="17.2857142857143" style="91" customWidth="1"/>
    <col min="7" max="8" width="20.8571428571429" style="91" customWidth="1"/>
    <col min="9" max="9" width="12.8571428571429" style="91"/>
    <col min="10" max="10" width="12" style="91"/>
    <col min="11" max="16384" width="18.0380952380952" style="91"/>
  </cols>
  <sheetData>
    <row r="1" s="89" customFormat="1" ht="16" customHeight="1" spans="1:8">
      <c r="A1" s="116" t="s">
        <v>0</v>
      </c>
      <c r="B1" s="117" t="s">
        <v>1</v>
      </c>
      <c r="C1" s="117" t="s">
        <v>2</v>
      </c>
      <c r="D1" s="117" t="s">
        <v>3</v>
      </c>
      <c r="E1" s="117" t="s">
        <v>4</v>
      </c>
      <c r="F1" s="117" t="s">
        <v>5</v>
      </c>
      <c r="G1" s="117" t="s">
        <v>6</v>
      </c>
      <c r="H1" s="117" t="s">
        <v>7</v>
      </c>
    </row>
    <row r="2" s="89" customFormat="1" ht="120" customHeight="1" spans="1:8">
      <c r="A2" s="102">
        <v>45994</v>
      </c>
      <c r="B2" s="95">
        <v>2518</v>
      </c>
      <c r="C2" s="118" t="s">
        <v>8</v>
      </c>
      <c r="D2" s="119">
        <v>4</v>
      </c>
      <c r="E2" s="97" t="str">
        <f>_xlfn.DISPIMG("ID_AF642E9448564DC2B9A94250BEBF50D7",1)</f>
        <v>=DISPIMG("ID_AF642E9448564DC2B9A94250BEBF50D7",1)</v>
      </c>
      <c r="F2" s="98">
        <v>178000</v>
      </c>
      <c r="G2" s="101">
        <f t="shared" ref="G2:G8" si="0">SUM(D2*F2)</f>
        <v>712000</v>
      </c>
      <c r="H2" s="101">
        <f>SUM(G2:G3)</f>
        <v>1897000</v>
      </c>
    </row>
    <row r="3" s="89" customFormat="1" ht="120" customHeight="1" spans="1:8">
      <c r="A3" s="104"/>
      <c r="B3" s="95"/>
      <c r="C3" s="118" t="s">
        <v>9</v>
      </c>
      <c r="D3" s="119">
        <v>3</v>
      </c>
      <c r="E3" s="107"/>
      <c r="F3" s="98">
        <v>395000</v>
      </c>
      <c r="G3" s="101">
        <f t="shared" si="0"/>
        <v>1185000</v>
      </c>
      <c r="H3" s="108"/>
    </row>
    <row r="4" s="89" customFormat="1" ht="64.3" customHeight="1" spans="1:8">
      <c r="A4" s="102"/>
      <c r="B4" s="103"/>
      <c r="C4" s="100"/>
      <c r="D4" s="119"/>
      <c r="E4" s="97"/>
      <c r="F4" s="101"/>
      <c r="G4" s="101">
        <f t="shared" si="0"/>
        <v>0</v>
      </c>
      <c r="H4" s="101">
        <f>SUM(G4:G7)</f>
        <v>0</v>
      </c>
    </row>
    <row r="5" s="89" customFormat="1" ht="64.3" customHeight="1" spans="1:8">
      <c r="A5" s="104"/>
      <c r="B5" s="105"/>
      <c r="C5" s="95"/>
      <c r="D5" s="95"/>
      <c r="E5" s="107"/>
      <c r="F5" s="120"/>
      <c r="G5" s="101">
        <f t="shared" si="0"/>
        <v>0</v>
      </c>
      <c r="H5" s="108"/>
    </row>
    <row r="6" s="89" customFormat="1" ht="64.3" customHeight="1" spans="1:8">
      <c r="A6" s="104"/>
      <c r="B6" s="105"/>
      <c r="C6" s="95"/>
      <c r="D6" s="95"/>
      <c r="E6" s="107"/>
      <c r="F6" s="120"/>
      <c r="G6" s="101">
        <f t="shared" si="0"/>
        <v>0</v>
      </c>
      <c r="H6" s="108"/>
    </row>
    <row r="7" s="89" customFormat="1" ht="64.3" customHeight="1" spans="1:8">
      <c r="A7" s="104"/>
      <c r="B7" s="105"/>
      <c r="C7" s="103"/>
      <c r="D7" s="103"/>
      <c r="E7" s="107"/>
      <c r="F7" s="120"/>
      <c r="G7" s="101">
        <f t="shared" si="0"/>
        <v>0</v>
      </c>
      <c r="H7" s="108"/>
    </row>
    <row r="8" s="89" customFormat="1" ht="258" customHeight="1" spans="1:8">
      <c r="A8" s="94"/>
      <c r="B8" s="95"/>
      <c r="C8" s="95"/>
      <c r="D8" s="95"/>
      <c r="E8" s="113"/>
      <c r="F8" s="121"/>
      <c r="G8" s="98">
        <f t="shared" si="0"/>
        <v>0</v>
      </c>
      <c r="H8" s="98">
        <f>SUM(G8)</f>
        <v>0</v>
      </c>
    </row>
    <row r="9" s="89" customFormat="1" ht="18" customHeight="1" spans="1:8">
      <c r="A9" s="122" t="s">
        <v>10</v>
      </c>
      <c r="B9" s="123"/>
      <c r="C9" s="124"/>
      <c r="D9" s="125"/>
      <c r="E9" s="126"/>
      <c r="F9" s="126"/>
      <c r="G9" s="127"/>
      <c r="H9" s="128">
        <f>SUM(H2:H8)</f>
        <v>1897000</v>
      </c>
    </row>
  </sheetData>
  <mergeCells count="9">
    <mergeCell ref="A9:C9"/>
    <mergeCell ref="A2:A3"/>
    <mergeCell ref="A4:A7"/>
    <mergeCell ref="B2:B3"/>
    <mergeCell ref="B4:B7"/>
    <mergeCell ref="E2:E3"/>
    <mergeCell ref="E4:E7"/>
    <mergeCell ref="H2:H3"/>
    <mergeCell ref="H4:H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55" zoomScaleNormal="55" workbookViewId="0">
      <pane ySplit="1" topLeftCell="A3" activePane="bottomLeft" state="frozen"/>
      <selection/>
      <selection pane="bottomLeft" activeCell="F6" sqref="A3:F6"/>
    </sheetView>
  </sheetViews>
  <sheetFormatPr defaultColWidth="9.14285714285714" defaultRowHeight="18.75" outlineLevelRow="7" outlineLevelCol="7"/>
  <cols>
    <col min="1" max="1" width="19.8571428571429" style="90"/>
    <col min="2" max="2" width="18.8571428571429" style="90" customWidth="1"/>
    <col min="3" max="3" width="43.0380952380952" style="90" customWidth="1"/>
    <col min="4" max="4" width="14.4285714285714" style="90" customWidth="1"/>
    <col min="5" max="5" width="58.9619047619048" style="91" customWidth="1"/>
    <col min="6" max="6" width="19.5238095238095" style="91" customWidth="1"/>
    <col min="7" max="8" width="20.8571428571429" style="91" customWidth="1"/>
    <col min="9" max="9" width="12.8571428571429" style="91"/>
    <col min="10" max="16384" width="9.14285714285714" style="91"/>
  </cols>
  <sheetData>
    <row r="1" s="89" customFormat="1" ht="16" customHeight="1" spans="1:8">
      <c r="A1" s="92" t="s">
        <v>0</v>
      </c>
      <c r="B1" s="93" t="s">
        <v>1</v>
      </c>
      <c r="C1" s="93" t="s">
        <v>2</v>
      </c>
      <c r="D1" s="93" t="s">
        <v>3</v>
      </c>
      <c r="E1" s="93" t="s">
        <v>4</v>
      </c>
      <c r="F1" s="93" t="s">
        <v>5</v>
      </c>
      <c r="G1" s="93" t="s">
        <v>6</v>
      </c>
      <c r="H1" s="93" t="s">
        <v>7</v>
      </c>
    </row>
    <row r="2" s="89" customFormat="1" ht="249.35" customHeight="1" spans="1:8">
      <c r="A2" s="94">
        <v>45975</v>
      </c>
      <c r="B2" s="95">
        <v>221</v>
      </c>
      <c r="C2" s="96" t="s">
        <v>11</v>
      </c>
      <c r="D2" s="96">
        <v>3</v>
      </c>
      <c r="E2" s="97"/>
      <c r="F2" s="98">
        <v>55000</v>
      </c>
      <c r="G2" s="99">
        <f>D2*F2</f>
        <v>165000</v>
      </c>
      <c r="H2" s="98">
        <f>SUM(G2:G2)</f>
        <v>165000</v>
      </c>
    </row>
    <row r="3" s="89" customFormat="1" ht="251.35" customHeight="1" spans="1:8">
      <c r="A3" s="94"/>
      <c r="B3" s="95"/>
      <c r="C3" s="100"/>
      <c r="D3" s="96"/>
      <c r="E3" s="97"/>
      <c r="F3" s="99"/>
      <c r="G3" s="99">
        <f>D3*F3</f>
        <v>0</v>
      </c>
      <c r="H3" s="101">
        <f>SUM(G3:G3)</f>
        <v>0</v>
      </c>
    </row>
    <row r="4" s="89" customFormat="1" ht="83" customHeight="1" spans="1:8">
      <c r="A4" s="102"/>
      <c r="B4" s="103"/>
      <c r="C4" s="100"/>
      <c r="D4" s="96"/>
      <c r="E4" s="97"/>
      <c r="F4" s="99"/>
      <c r="G4" s="99">
        <f>D4*F4</f>
        <v>0</v>
      </c>
      <c r="H4" s="101">
        <f>SUM(G4:G6)</f>
        <v>0</v>
      </c>
    </row>
    <row r="5" s="89" customFormat="1" ht="83" customHeight="1" spans="1:8">
      <c r="A5" s="104"/>
      <c r="B5" s="105"/>
      <c r="C5" s="100"/>
      <c r="D5" s="106"/>
      <c r="E5" s="107"/>
      <c r="F5" s="101"/>
      <c r="G5" s="99">
        <f>D5*F5</f>
        <v>0</v>
      </c>
      <c r="H5" s="108"/>
    </row>
    <row r="6" s="89" customFormat="1" ht="83" customHeight="1" spans="1:8">
      <c r="A6" s="109"/>
      <c r="B6" s="110"/>
      <c r="C6" s="100"/>
      <c r="D6" s="106"/>
      <c r="E6" s="111"/>
      <c r="F6" s="101"/>
      <c r="G6" s="99">
        <f>D6*F6</f>
        <v>0</v>
      </c>
      <c r="H6" s="112"/>
    </row>
    <row r="7" s="89" customFormat="1" ht="200" customHeight="1" spans="1:8">
      <c r="A7" s="94"/>
      <c r="B7" s="95"/>
      <c r="C7" s="100"/>
      <c r="D7" s="106"/>
      <c r="E7" s="113"/>
      <c r="F7" s="101"/>
      <c r="G7" s="101"/>
      <c r="H7" s="98"/>
    </row>
    <row r="8" s="89" customFormat="1" spans="1:8">
      <c r="A8" s="114"/>
      <c r="B8" s="114"/>
      <c r="C8" s="114"/>
      <c r="D8" s="114"/>
      <c r="E8" s="114"/>
      <c r="F8" s="114"/>
      <c r="G8" s="115"/>
      <c r="H8" s="115">
        <f>SUM(H2:H7)</f>
        <v>165000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B2" sqref="B2:D3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54"/>
      <c r="B2" s="41"/>
      <c r="C2" s="55"/>
      <c r="D2" s="56"/>
      <c r="E2" s="57"/>
      <c r="F2" s="58"/>
      <c r="G2" s="59">
        <f>SUM(D2*F2)</f>
        <v>0</v>
      </c>
    </row>
    <row r="3" ht="123.5" customHeight="1" spans="1:7">
      <c r="A3" s="54"/>
      <c r="B3" s="41"/>
      <c r="C3" s="60"/>
      <c r="D3" s="61"/>
      <c r="E3" s="57"/>
      <c r="F3" s="62"/>
      <c r="G3" s="59"/>
    </row>
    <row r="4" spans="1:7">
      <c r="A4" s="54"/>
      <c r="B4" s="63" t="s">
        <v>12</v>
      </c>
      <c r="C4" s="63"/>
      <c r="D4" s="64"/>
      <c r="E4" s="64"/>
      <c r="F4" s="64"/>
      <c r="G4" s="64">
        <f>SUM(G2:G3)</f>
        <v>0</v>
      </c>
    </row>
    <row r="5" spans="1:7">
      <c r="A5" s="54"/>
      <c r="B5" s="63" t="s">
        <v>13</v>
      </c>
      <c r="C5" s="63"/>
      <c r="D5" s="64"/>
      <c r="E5" s="64"/>
      <c r="F5" s="64"/>
      <c r="G5" s="64">
        <f>G4*11%</f>
        <v>0</v>
      </c>
    </row>
    <row r="6" spans="1:7">
      <c r="A6" s="54"/>
      <c r="B6" s="63" t="s">
        <v>14</v>
      </c>
      <c r="C6" s="63"/>
      <c r="D6" s="64"/>
      <c r="E6" s="64"/>
      <c r="F6" s="64"/>
      <c r="G6" s="65">
        <v>243</v>
      </c>
    </row>
    <row r="7" spans="1:7">
      <c r="A7" s="54"/>
      <c r="B7" s="63" t="s">
        <v>7</v>
      </c>
      <c r="C7" s="63"/>
      <c r="D7" s="64"/>
      <c r="E7" s="66"/>
      <c r="F7" s="66"/>
      <c r="G7" s="66">
        <v>269482</v>
      </c>
    </row>
    <row r="8" ht="123.5" customHeight="1" spans="1:7">
      <c r="A8" s="54"/>
      <c r="B8" s="67"/>
      <c r="C8" s="68"/>
      <c r="D8" s="69"/>
      <c r="E8" s="70"/>
      <c r="F8" s="44"/>
      <c r="G8" s="71"/>
    </row>
    <row r="9" ht="123.5" customHeight="1" spans="1:7">
      <c r="A9" s="54"/>
      <c r="B9" s="72"/>
      <c r="C9" s="68"/>
      <c r="D9" s="69"/>
      <c r="E9" s="73"/>
      <c r="F9" s="44"/>
      <c r="G9" s="71"/>
    </row>
    <row r="10" spans="1:7">
      <c r="A10" s="74"/>
      <c r="B10" s="63" t="s">
        <v>12</v>
      </c>
      <c r="C10" s="63"/>
      <c r="D10" s="64"/>
      <c r="E10" s="75"/>
      <c r="F10" s="64"/>
      <c r="G10" s="64">
        <f>SUM(G8:G9)</f>
        <v>0</v>
      </c>
    </row>
    <row r="11" spans="1:7">
      <c r="A11" s="76"/>
      <c r="B11" s="77" t="s">
        <v>13</v>
      </c>
      <c r="C11" s="78"/>
      <c r="D11" s="64"/>
      <c r="E11" s="75"/>
      <c r="F11" s="64"/>
      <c r="G11" s="64"/>
    </row>
    <row r="12" spans="1:7">
      <c r="A12" s="74"/>
      <c r="B12" s="63" t="s">
        <v>14</v>
      </c>
      <c r="C12" s="63"/>
      <c r="D12" s="64"/>
      <c r="E12" s="75"/>
      <c r="F12" s="64"/>
      <c r="G12" s="65"/>
    </row>
    <row r="13" spans="1:7">
      <c r="A13" s="79"/>
      <c r="B13" s="80" t="s">
        <v>7</v>
      </c>
      <c r="C13" s="81"/>
      <c r="D13" s="64"/>
      <c r="E13" s="66"/>
      <c r="F13" s="82"/>
      <c r="G13" s="66">
        <f>SUM(G10:G12)</f>
        <v>0</v>
      </c>
    </row>
    <row r="14" spans="1:7">
      <c r="A14" s="83" t="s">
        <v>10</v>
      </c>
      <c r="B14" s="84"/>
      <c r="C14" s="84"/>
      <c r="D14" s="85"/>
      <c r="E14" s="86">
        <f>G7+G13</f>
        <v>269482</v>
      </c>
      <c r="F14" s="87"/>
      <c r="G14" s="8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9" activePane="bottomLeft" state="frozen"/>
      <selection/>
      <selection pane="bottomLeft" activeCell="C32" sqref="C32:E32"/>
    </sheetView>
  </sheetViews>
  <sheetFormatPr defaultColWidth="9.14285714285714" defaultRowHeight="15" outlineLevelCol="4"/>
  <cols>
    <col min="1" max="1" width="10.5714285714286" style="12" customWidth="1"/>
    <col min="2" max="2" width="12.6" style="38" customWidth="1"/>
    <col min="3" max="3" width="36.1238095238095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7" customFormat="1" ht="19" customHeight="1" spans="1:5">
      <c r="A1" s="39" t="s">
        <v>0</v>
      </c>
      <c r="B1" s="40" t="s">
        <v>1</v>
      </c>
      <c r="C1" s="39" t="s">
        <v>4</v>
      </c>
      <c r="D1" s="39" t="s">
        <v>7</v>
      </c>
      <c r="E1" s="39" t="s">
        <v>15</v>
      </c>
    </row>
    <row r="2" s="12" customFormat="1" ht="263.65" customHeight="1" spans="1:5">
      <c r="A2" s="41"/>
      <c r="B2" s="42"/>
      <c r="C2" s="43"/>
      <c r="D2" s="44"/>
      <c r="E2" s="43"/>
    </row>
    <row r="3" s="12" customFormat="1" ht="255.1" customHeight="1" spans="1:5">
      <c r="A3" s="41"/>
      <c r="B3" s="42"/>
      <c r="C3" s="43"/>
      <c r="D3" s="45"/>
      <c r="E3" s="46"/>
    </row>
    <row r="4" s="12" customFormat="1" ht="249.95" customHeight="1" spans="1:5">
      <c r="A4" s="41"/>
      <c r="B4" s="42"/>
      <c r="C4" s="43"/>
      <c r="D4" s="45"/>
      <c r="E4" s="46"/>
    </row>
    <row r="5" s="12" customFormat="1" ht="256.25" customHeight="1" spans="1:5">
      <c r="A5" s="41"/>
      <c r="B5" s="42"/>
      <c r="C5" s="43"/>
      <c r="D5" s="45"/>
      <c r="E5" s="46"/>
    </row>
    <row r="6" s="12" customFormat="1" ht="253.85" customHeight="1" spans="1:5">
      <c r="A6" s="41"/>
      <c r="B6" s="42"/>
      <c r="C6" s="43"/>
      <c r="D6" s="45"/>
      <c r="E6" s="46"/>
    </row>
    <row r="7" s="12" customFormat="1" ht="254.65" customHeight="1" spans="1:5">
      <c r="A7" s="41"/>
      <c r="B7" s="42"/>
      <c r="C7" s="43"/>
      <c r="D7" s="45"/>
      <c r="E7" s="46"/>
    </row>
    <row r="8" s="12" customFormat="1" ht="255.35" customHeight="1" spans="1:5">
      <c r="A8" s="41"/>
      <c r="B8" s="42"/>
      <c r="C8" s="43"/>
      <c r="D8" s="45"/>
      <c r="E8" s="46"/>
    </row>
    <row r="9" s="12" customFormat="1" ht="266.95" customHeight="1" spans="1:5">
      <c r="A9" s="41"/>
      <c r="B9" s="42"/>
      <c r="C9" s="43"/>
      <c r="D9" s="45"/>
      <c r="E9" s="46"/>
    </row>
    <row r="10" s="12" customFormat="1" ht="261.95" customHeight="1" spans="1:5">
      <c r="A10" s="41"/>
      <c r="B10" s="42"/>
      <c r="C10" s="43"/>
      <c r="D10" s="45"/>
      <c r="E10" s="46"/>
    </row>
    <row r="11" s="12" customFormat="1" ht="261.9" customHeight="1" spans="1:5">
      <c r="A11" s="41"/>
      <c r="B11" s="42"/>
      <c r="C11" s="43"/>
      <c r="D11" s="45"/>
      <c r="E11" s="46"/>
    </row>
    <row r="12" s="12" customFormat="1" ht="270.7" customHeight="1" spans="1:5">
      <c r="A12" s="41"/>
      <c r="B12" s="42"/>
      <c r="C12" s="43"/>
      <c r="D12" s="45"/>
      <c r="E12" s="46"/>
    </row>
    <row r="13" s="12" customFormat="1" ht="261.1" customHeight="1" spans="1:5">
      <c r="A13" s="41"/>
      <c r="B13" s="42"/>
      <c r="C13" s="43"/>
      <c r="D13" s="45"/>
      <c r="E13" s="46"/>
    </row>
    <row r="14" s="12" customFormat="1" ht="257.15" customHeight="1" spans="1:5">
      <c r="A14" s="41"/>
      <c r="B14" s="42"/>
      <c r="C14" s="43"/>
      <c r="D14" s="45"/>
      <c r="E14" s="46"/>
    </row>
    <row r="15" s="12" customFormat="1" ht="263.55" customHeight="1" spans="1:5">
      <c r="A15" s="41"/>
      <c r="B15" s="42"/>
      <c r="C15" s="43"/>
      <c r="D15" s="45"/>
      <c r="E15" s="46"/>
    </row>
    <row r="16" s="12" customFormat="1" ht="270.35" customHeight="1" spans="1:5">
      <c r="A16" s="41"/>
      <c r="B16" s="42"/>
      <c r="C16" s="43"/>
      <c r="D16" s="45"/>
      <c r="E16" s="46"/>
    </row>
    <row r="17" s="12" customFormat="1" ht="261.7" customHeight="1" spans="1:5">
      <c r="A17" s="41"/>
      <c r="B17" s="42"/>
      <c r="C17" s="43"/>
      <c r="D17" s="45"/>
      <c r="E17" s="46"/>
    </row>
    <row r="18" s="12" customFormat="1" ht="260" customHeight="1" spans="1:5">
      <c r="A18" s="41"/>
      <c r="B18" s="42"/>
      <c r="C18" s="43"/>
      <c r="D18" s="45"/>
      <c r="E18" s="46"/>
    </row>
    <row r="19" s="12" customFormat="1" ht="263.2" customHeight="1" spans="1:5">
      <c r="A19" s="41"/>
      <c r="B19" s="42"/>
      <c r="C19" s="43"/>
      <c r="D19" s="45"/>
      <c r="E19" s="46"/>
    </row>
    <row r="20" s="12" customFormat="1" ht="289.95" customHeight="1" spans="1:5">
      <c r="A20" s="41"/>
      <c r="B20" s="42"/>
      <c r="C20" s="43"/>
      <c r="D20" s="45"/>
      <c r="E20" s="46"/>
    </row>
    <row r="21" s="12" customFormat="1" ht="200" customHeight="1" spans="1:5">
      <c r="A21" s="41"/>
      <c r="B21" s="42"/>
      <c r="C21" s="43"/>
      <c r="D21" s="45"/>
      <c r="E21" s="46"/>
    </row>
    <row r="22" s="12" customFormat="1" ht="200" customHeight="1" spans="1:5">
      <c r="A22" s="41"/>
      <c r="B22" s="42"/>
      <c r="C22" s="43"/>
      <c r="D22" s="45"/>
      <c r="E22" s="46"/>
    </row>
    <row r="23" s="12" customFormat="1" ht="200" customHeight="1" spans="1:5">
      <c r="A23" s="41"/>
      <c r="B23" s="42"/>
      <c r="C23" s="43"/>
      <c r="D23" s="45"/>
      <c r="E23" s="46"/>
    </row>
    <row r="24" s="12" customFormat="1" ht="200" customHeight="1" spans="1:5">
      <c r="A24" s="41"/>
      <c r="B24" s="42"/>
      <c r="C24" s="43"/>
      <c r="D24" s="44"/>
      <c r="E24" s="43"/>
    </row>
    <row r="25" s="12" customFormat="1" ht="200" customHeight="1" spans="1:5">
      <c r="A25" s="41"/>
      <c r="B25" s="42"/>
      <c r="C25" s="43"/>
      <c r="D25" s="44"/>
      <c r="E25" s="43"/>
    </row>
    <row r="26" s="12" customFormat="1" ht="200" customHeight="1" spans="1:5">
      <c r="A26" s="41"/>
      <c r="B26" s="42"/>
      <c r="C26" s="43"/>
      <c r="D26" s="44"/>
      <c r="E26" s="43"/>
    </row>
    <row r="27" s="12" customFormat="1" ht="200" customHeight="1" spans="1:5">
      <c r="A27" s="41">
        <v>45960</v>
      </c>
      <c r="B27" s="42"/>
      <c r="C27" s="43"/>
      <c r="D27" s="44"/>
      <c r="E27" s="43"/>
    </row>
    <row r="28" s="12" customFormat="1" ht="200" customHeight="1" spans="1:5">
      <c r="A28" s="41">
        <v>45961</v>
      </c>
      <c r="B28" s="42"/>
      <c r="C28" s="43"/>
      <c r="D28" s="44"/>
      <c r="E28" s="43"/>
    </row>
    <row r="29" s="12" customFormat="1" ht="200" customHeight="1" spans="1:5">
      <c r="A29" s="41"/>
      <c r="B29" s="42"/>
      <c r="C29" s="43"/>
      <c r="D29" s="44"/>
      <c r="E29" s="43"/>
    </row>
    <row r="30" s="12" customFormat="1" ht="200" customHeight="1" spans="1:5">
      <c r="A30" s="41"/>
      <c r="B30" s="42"/>
      <c r="C30" s="43"/>
      <c r="D30" s="44"/>
      <c r="E30" s="43"/>
    </row>
    <row r="31" s="12" customFormat="1" ht="200" customHeight="1" spans="1:5">
      <c r="A31" s="41"/>
      <c r="B31" s="42"/>
      <c r="C31" s="43"/>
      <c r="D31" s="44"/>
      <c r="E31" s="43"/>
    </row>
    <row r="32" s="12" customFormat="1" spans="1:5">
      <c r="A32" s="47"/>
      <c r="B32" s="48"/>
      <c r="C32" s="49">
        <f>SUM(D2:D31)</f>
        <v>0</v>
      </c>
      <c r="D32" s="50"/>
      <c r="E32" s="51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F3" sqref="F3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16</v>
      </c>
      <c r="C1" s="15" t="s">
        <v>17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171" customHeight="1" spans="1:7">
      <c r="A2" s="16">
        <v>45992</v>
      </c>
      <c r="B2" s="17" t="s">
        <v>18</v>
      </c>
      <c r="C2" s="18">
        <v>1</v>
      </c>
      <c r="D2" s="19"/>
      <c r="E2" s="20">
        <v>60000</v>
      </c>
      <c r="F2" s="21">
        <f>C2*E2</f>
        <v>60000</v>
      </c>
      <c r="G2" s="22">
        <f>SUM(F2:F3)</f>
        <v>115000</v>
      </c>
    </row>
    <row r="3" s="12" customFormat="1" ht="80" customHeight="1" spans="1:7">
      <c r="A3" s="23"/>
      <c r="B3" s="24" t="s">
        <v>19</v>
      </c>
      <c r="C3" s="25">
        <v>1</v>
      </c>
      <c r="D3" s="26"/>
      <c r="E3" s="27">
        <v>55000</v>
      </c>
      <c r="F3" s="21">
        <f>C3*E3</f>
        <v>55000</v>
      </c>
      <c r="G3" s="22"/>
    </row>
    <row r="4" s="12" customFormat="1" ht="80" customHeight="1" spans="1:7">
      <c r="A4" s="28"/>
      <c r="B4" s="24"/>
      <c r="C4" s="25"/>
      <c r="D4" s="29"/>
      <c r="E4" s="27"/>
      <c r="F4" s="21">
        <f>C4*E4</f>
        <v>0</v>
      </c>
      <c r="G4" s="30"/>
    </row>
    <row r="5" s="12" customFormat="1" ht="80" customHeight="1" spans="1:7">
      <c r="A5" s="28"/>
      <c r="B5" s="24"/>
      <c r="C5" s="25"/>
      <c r="D5" s="29"/>
      <c r="E5" s="27"/>
      <c r="F5" s="21">
        <f>C5*E5</f>
        <v>0</v>
      </c>
      <c r="G5" s="31"/>
    </row>
    <row r="6" s="12" customFormat="1" ht="23.25" spans="1:7">
      <c r="A6" s="32"/>
      <c r="B6" s="24"/>
      <c r="C6" s="25"/>
      <c r="D6" s="33"/>
      <c r="E6" s="27"/>
      <c r="F6" s="21">
        <f>C6*E6</f>
        <v>0</v>
      </c>
      <c r="G6" s="31"/>
    </row>
    <row r="7" s="12" customFormat="1" ht="39" customHeight="1" spans="1:7">
      <c r="A7" s="32" t="s">
        <v>10</v>
      </c>
      <c r="B7" s="34"/>
      <c r="C7" s="34"/>
      <c r="D7" s="34"/>
      <c r="E7" s="34"/>
      <c r="F7" s="35"/>
      <c r="G7" s="36">
        <f>SUM(G2:G6)</f>
        <v>115000</v>
      </c>
    </row>
  </sheetData>
  <mergeCells count="3">
    <mergeCell ref="A2:A3"/>
    <mergeCell ref="D2:D3"/>
    <mergeCell ref="G2:G3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tabSelected="1" workbookViewId="0">
      <selection activeCell="D15" sqref="D15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20</v>
      </c>
      <c r="B1" s="4" t="s">
        <v>21</v>
      </c>
      <c r="C1" s="5" t="s">
        <v>22</v>
      </c>
    </row>
    <row r="2" spans="1:3">
      <c r="A2" s="6">
        <v>1</v>
      </c>
      <c r="B2" s="7" t="s">
        <v>23</v>
      </c>
      <c r="C2" s="8">
        <f>'Anugrah (Bag, Cup, Box)'!H9</f>
        <v>1897000</v>
      </c>
    </row>
    <row r="3" spans="1:3">
      <c r="A3" s="6">
        <v>2</v>
      </c>
      <c r="B3" s="7" t="s">
        <v>24</v>
      </c>
      <c r="C3" s="8">
        <f>'UD Abdi Jaya (Bag, Cup, Box)'!H8</f>
        <v>165000</v>
      </c>
    </row>
    <row r="4" spans="1:3">
      <c r="A4" s="6">
        <v>3</v>
      </c>
      <c r="B4" s="7" t="s">
        <v>25</v>
      </c>
      <c r="C4" s="8">
        <f>'PT. SUPARMA JAYA TBK (Tissue)'!E14</f>
        <v>269482</v>
      </c>
    </row>
    <row r="5" spans="1:3">
      <c r="A5" s="6">
        <v>4</v>
      </c>
      <c r="B5" s="7" t="s">
        <v>26</v>
      </c>
      <c r="C5" s="9">
        <f>'Vickel Laundry'!C32</f>
        <v>0</v>
      </c>
    </row>
    <row r="6" spans="1:3">
      <c r="A6" s="6">
        <v>5</v>
      </c>
      <c r="B6" s="7" t="s">
        <v>27</v>
      </c>
      <c r="C6" s="9">
        <f>'Dishy Soap'!G7</f>
        <v>115000</v>
      </c>
    </row>
    <row r="7" spans="1:3">
      <c r="A7" s="6" t="s">
        <v>7</v>
      </c>
      <c r="B7" s="7"/>
      <c r="C7" s="10">
        <f>SUM(C2:C5)</f>
        <v>2331482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2025-12-05T15:11:50Z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