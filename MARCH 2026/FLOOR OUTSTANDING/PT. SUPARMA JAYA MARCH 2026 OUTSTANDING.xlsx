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FLOOR OUTSTANDING/"/>
    </mc:Choice>
  </mc:AlternateContent>
  <xr:revisionPtr revIDLastSave="0" documentId="13_ncr:1_{CF2C1AE3-2698-5D46-B5A5-C7CB9D4229EE}" xr6:coauthVersionLast="47" xr6:coauthVersionMax="47" xr10:uidLastSave="{00000000-0000-0000-0000-000000000000}"/>
  <bookViews>
    <workbookView xWindow="-20" yWindow="780" windowWidth="17120" windowHeight="21460" xr2:uid="{3969D194-A6E5-6942-B327-9C1CB0680822}"/>
  </bookViews>
  <sheets>
    <sheet name="PT. SUPARMA JAYA TBK (Tissue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9" i="1" s="1"/>
  <c r="G4" i="1"/>
  <c r="G6" i="1" s="1"/>
  <c r="G2" i="1"/>
  <c r="G11" i="1" l="1"/>
  <c r="G10" i="1"/>
  <c r="G12" i="1"/>
  <c r="G5" i="1"/>
  <c r="G7" i="1" s="1"/>
  <c r="E13" i="1" s="1"/>
  <c r="H1" i="1" s="1"/>
</calcChain>
</file>

<file path=xl/sharedStrings.xml><?xml version="1.0" encoding="utf-8"?>
<sst xmlns="http://schemas.openxmlformats.org/spreadsheetml/2006/main" count="18" uniqueCount="13">
  <si>
    <t>DATE</t>
  </si>
  <si>
    <t>INV NO.</t>
  </si>
  <si>
    <t>DESCRIPTIONS</t>
  </si>
  <si>
    <t>AMOUNT</t>
  </si>
  <si>
    <t>BILLS</t>
  </si>
  <si>
    <t>PRICE</t>
  </si>
  <si>
    <t>TOTAL</t>
  </si>
  <si>
    <t>SO05LC2603003130</t>
  </si>
  <si>
    <t>SEE-U HTM DE / ECONO RED / 20 PK FSC MIX 85% / SUHT-046NN</t>
  </si>
  <si>
    <t>SALES PRICE</t>
  </si>
  <si>
    <t>PPN</t>
  </si>
  <si>
    <t>PPh 22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</si>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</sst>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p&quot;* #,##0_-;\-&quot;Rp&quot;* #,##0_-;_-&quot;Rp&quot;* &quot;-&quot;??_-;_-@_-"/>
    <numFmt numFmtId="165" formatCode="[$-409]d\-mmm\-yyyy;@"/>
    <numFmt numFmtId="166" formatCode="[$Rp-421]#,##0.0000;[Red][$Rp-421]#,##0.0000"/>
    <numFmt numFmtId="167" formatCode="_ * #,##0.00_ ;_ * \-#,##0.00_ ;_ * &quot;-&quot;??_ ;_ @_ "/>
    <numFmt numFmtId="168" formatCode="[$Rp-421]#,##0.00;[Red][$Rp-421]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Garamond"/>
      <family val="1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7" fontId="1" fillId="0" borderId="0" applyFont="0" applyFill="0" applyBorder="0" applyAlignment="0" applyProtection="0">
      <alignment vertical="center"/>
    </xf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68" fontId="0" fillId="0" borderId="1" xfId="1" applyNumberFormat="1" applyFont="1" applyFill="1" applyBorder="1" applyAlignment="1">
      <alignment vertical="center"/>
    </xf>
    <xf numFmtId="164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8" fontId="0" fillId="0" borderId="1" xfId="0" applyNumberFormat="1" applyBorder="1"/>
    <xf numFmtId="168" fontId="0" fillId="0" borderId="0" xfId="0" applyNumberFormat="1"/>
    <xf numFmtId="164" fontId="0" fillId="0" borderId="1" xfId="0" applyNumberFormat="1" applyBorder="1"/>
    <xf numFmtId="166" fontId="0" fillId="0" borderId="1" xfId="0" applyNumberFormat="1" applyBorder="1"/>
    <xf numFmtId="16" fontId="0" fillId="3" borderId="4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166" fontId="0" fillId="0" borderId="1" xfId="0" applyNumberFormat="1" applyBorder="1" applyAlignment="1">
      <alignment vertical="center"/>
    </xf>
    <xf numFmtId="164" fontId="0" fillId="0" borderId="3" xfId="0" applyNumberFormat="1" applyBorder="1" applyAlignment="1">
      <alignment horizontal="center"/>
    </xf>
    <xf numFmtId="166" fontId="0" fillId="0" borderId="8" xfId="0" applyNumberFormat="1" applyBorder="1"/>
    <xf numFmtId="0" fontId="0" fillId="0" borderId="0" xfId="0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164" fontId="4" fillId="4" borderId="8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4" xfId="0" applyFont="1" applyFill="1" applyBorder="1"/>
    <xf numFmtId="168" fontId="0" fillId="0" borderId="1" xfId="1" applyNumberFormat="1" applyFont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6" fontId="1" fillId="3" borderId="1" xfId="0" applyNumberFormat="1" applyFont="1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vertical="center" wrapText="1"/>
    </xf>
    <xf numFmtId="164" fontId="0" fillId="3" borderId="3" xfId="0" applyNumberFormat="1" applyFill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2621296</xdr:colOff>
      <xdr:row>2</xdr:row>
      <xdr:rowOff>2070100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B1891E-D1B7-184C-B75C-0583044E9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6100" y="203200"/>
          <a:ext cx="2621296" cy="3632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D6F2-4390-564E-91B0-D08AC10F2464}">
  <dimension ref="A1:I13"/>
  <sheetViews>
    <sheetView tabSelected="1" topLeftCell="C1" workbookViewId="0">
      <pane ySplit="1" topLeftCell="A2" activePane="bottomLeft" state="frozen"/>
      <selection pane="bottomLeft" activeCell="I2" sqref="I2"/>
    </sheetView>
  </sheetViews>
  <sheetFormatPr baseColWidth="10" defaultColWidth="9.1640625" defaultRowHeight="15" x14ac:dyDescent="0.2"/>
  <cols>
    <col min="1" max="1" width="11.6640625" customWidth="1"/>
    <col min="2" max="2" width="22.1640625" style="18" customWidth="1"/>
    <col min="3" max="3" width="22.5" customWidth="1"/>
    <col min="4" max="4" width="17.5" customWidth="1"/>
    <col min="5" max="5" width="34.5" customWidth="1"/>
    <col min="6" max="6" width="19.5" customWidth="1"/>
    <col min="7" max="7" width="17.33203125" customWidth="1"/>
    <col min="8" max="8" width="10.6640625" bestFit="1" customWidth="1"/>
  </cols>
  <sheetData>
    <row r="1" spans="1:9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>
        <f>E13</f>
        <v>808447.14720000001</v>
      </c>
    </row>
    <row r="2" spans="1:9" ht="123.5" customHeight="1" x14ac:dyDescent="0.2">
      <c r="A2" s="27">
        <v>46106</v>
      </c>
      <c r="B2" s="32" t="s">
        <v>7</v>
      </c>
      <c r="C2" s="34" t="s">
        <v>8</v>
      </c>
      <c r="D2" s="36">
        <v>120</v>
      </c>
      <c r="E2" s="38"/>
      <c r="F2" s="39">
        <v>6063.96</v>
      </c>
      <c r="G2" s="25">
        <f>SUM(D2*F2)</f>
        <v>727675.2</v>
      </c>
    </row>
    <row r="3" spans="1:9" ht="165" customHeight="1" x14ac:dyDescent="0.2">
      <c r="A3" s="27"/>
      <c r="B3" s="33"/>
      <c r="C3" s="35"/>
      <c r="D3" s="37"/>
      <c r="E3" s="38"/>
      <c r="F3" s="40"/>
      <c r="G3" s="25"/>
    </row>
    <row r="4" spans="1:9" x14ac:dyDescent="0.2">
      <c r="A4" s="27"/>
      <c r="B4" s="26" t="s">
        <v>9</v>
      </c>
      <c r="C4" s="26"/>
      <c r="D4" s="6"/>
      <c r="E4" s="6"/>
      <c r="F4" s="7"/>
      <c r="G4" s="8">
        <f>SUM(G2:G3)</f>
        <v>727675.2</v>
      </c>
      <c r="I4" s="9"/>
    </row>
    <row r="5" spans="1:9" x14ac:dyDescent="0.2">
      <c r="A5" s="27"/>
      <c r="B5" s="26" t="s">
        <v>10</v>
      </c>
      <c r="C5" s="26"/>
      <c r="D5" s="6"/>
      <c r="E5" s="6"/>
      <c r="F5" s="7"/>
      <c r="G5" s="8">
        <f>G4*11%</f>
        <v>80044.271999999997</v>
      </c>
      <c r="I5" s="9"/>
    </row>
    <row r="6" spans="1:9" x14ac:dyDescent="0.2">
      <c r="A6" s="27"/>
      <c r="B6" s="26" t="s">
        <v>11</v>
      </c>
      <c r="C6" s="26"/>
      <c r="D6" s="6"/>
      <c r="E6" s="6"/>
      <c r="F6" s="7"/>
      <c r="G6" s="8">
        <f>((G4*100)/111)*0.111%</f>
        <v>727.67520000000002</v>
      </c>
    </row>
    <row r="7" spans="1:9" x14ac:dyDescent="0.2">
      <c r="A7" s="27"/>
      <c r="B7" s="26" t="s">
        <v>6</v>
      </c>
      <c r="C7" s="26"/>
      <c r="D7" s="6"/>
      <c r="E7" s="10"/>
      <c r="F7" s="11"/>
      <c r="G7" s="8">
        <f>SUM(G4:G6)</f>
        <v>808447.14720000001</v>
      </c>
    </row>
    <row r="8" spans="1:9" ht="318.5" customHeight="1" x14ac:dyDescent="0.2">
      <c r="A8" s="27"/>
      <c r="B8" s="12"/>
      <c r="C8" s="13"/>
      <c r="D8" s="4"/>
      <c r="E8" s="14"/>
      <c r="F8" s="15"/>
      <c r="G8" s="5">
        <f>F8*D8</f>
        <v>0</v>
      </c>
    </row>
    <row r="9" spans="1:9" x14ac:dyDescent="0.2">
      <c r="A9" s="27"/>
      <c r="B9" s="28" t="s">
        <v>9</v>
      </c>
      <c r="C9" s="26"/>
      <c r="D9" s="6"/>
      <c r="E9" s="16"/>
      <c r="F9" s="7"/>
      <c r="G9" s="8">
        <f>SUM(G8:G8)</f>
        <v>0</v>
      </c>
    </row>
    <row r="10" spans="1:9" x14ac:dyDescent="0.2">
      <c r="A10" s="27"/>
      <c r="B10" s="29" t="s">
        <v>10</v>
      </c>
      <c r="C10" s="28"/>
      <c r="D10" s="6"/>
      <c r="E10" s="16"/>
      <c r="F10" s="7"/>
      <c r="G10" s="8">
        <f>G9*11%</f>
        <v>0</v>
      </c>
    </row>
    <row r="11" spans="1:9" x14ac:dyDescent="0.2">
      <c r="A11" s="27"/>
      <c r="B11" s="28" t="s">
        <v>11</v>
      </c>
      <c r="C11" s="26"/>
      <c r="D11" s="6"/>
      <c r="E11" s="16"/>
      <c r="F11" s="7"/>
      <c r="G11" s="8">
        <f>((G9*100)/111)*0.111%</f>
        <v>0</v>
      </c>
    </row>
    <row r="12" spans="1:9" x14ac:dyDescent="0.2">
      <c r="A12" s="27"/>
      <c r="B12" s="30" t="s">
        <v>6</v>
      </c>
      <c r="C12" s="31"/>
      <c r="D12" s="6"/>
      <c r="E12" s="10"/>
      <c r="F12" s="17"/>
      <c r="G12" s="8">
        <f>SUM(G9:G11)</f>
        <v>0</v>
      </c>
    </row>
    <row r="13" spans="1:9" x14ac:dyDescent="0.2">
      <c r="A13" s="19" t="s">
        <v>12</v>
      </c>
      <c r="B13" s="20"/>
      <c r="C13" s="20"/>
      <c r="D13" s="21"/>
      <c r="E13" s="22">
        <f>SUM(G7,G12)</f>
        <v>808447.14720000001</v>
      </c>
      <c r="F13" s="23"/>
      <c r="G13" s="24"/>
    </row>
  </sheetData>
  <mergeCells count="18">
    <mergeCell ref="E2:E3"/>
    <mergeCell ref="F2:F3"/>
    <mergeCell ref="A13:D13"/>
    <mergeCell ref="E13:G13"/>
    <mergeCell ref="G2:G3"/>
    <mergeCell ref="B4:C4"/>
    <mergeCell ref="B5:C5"/>
    <mergeCell ref="B6:C6"/>
    <mergeCell ref="B7:C7"/>
    <mergeCell ref="A8:A12"/>
    <mergeCell ref="B9:C9"/>
    <mergeCell ref="B10:C10"/>
    <mergeCell ref="B11:C11"/>
    <mergeCell ref="B12:C12"/>
    <mergeCell ref="A2:A7"/>
    <mergeCell ref="B2:B3"/>
    <mergeCell ref="C2:C3"/>
    <mergeCell ref="D2:D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PT. SUPARMA JAYA TBK (Tissue)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2026-03-27T23:15:46Z</dcterms:created>
  <dcterms:modified xsi:type="dcterms:W3CDTF">2026-03-28T08:58:29Z</dcterms:modified>
</cp:coreProperties>
</file>