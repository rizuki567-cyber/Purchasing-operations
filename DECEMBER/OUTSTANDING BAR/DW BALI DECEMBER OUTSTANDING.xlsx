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<sst xmlns="http://schemas.openxmlformats.org/spreadsheetml/2006/main" count="24" uniqueCount="23">
  <si>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</si>
  <si>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</si>
  <si>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</si>
  <si>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</si>
  <si>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</si>
  <si>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</si>
  <si>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</si>
  <si>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</si>
  <si>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DW/68/007</t>
  </si>
  <si>
    <t>APEROL</t>
  </si>
  <si>
    <t>DW/68/001</t>
  </si>
  <si>
    <t>JIM BEAM WHITE 750ML</t>
  </si>
  <si>
    <t>DW/68/179</t>
  </si>
  <si>
    <t>JIM BEAM BLACK 750ML</t>
  </si>
  <si>
    <t>BAILEYS IRISH CREAM 750ML</t>
  </si>
  <si>
    <t>DW/69/668</t>
  </si>
  <si>
    <t>JOSE CUERVO REPOSADO 750ML</t>
  </si>
  <si>
    <t>CAMPARI MILANO 750ML</t>
  </si>
  <si>
    <t>GREY GOOSE 750ML</t>
  </si>
  <si>
    <t>EL JIMADOR REPOSADO 750ML</t>
  </si>
  <si>
    <t>CODIGO BLANCO 750ML</t>
  </si>
  <si>
    <t>APEROL 700ML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</si>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</sst>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</numFmts>
  <fonts count="22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178" fontId="0" fillId="3" borderId="1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 wrapText="1"/>
    </xf>
    <xf numFmtId="176" fontId="0" fillId="3" borderId="4" xfId="0" applyNumberFormat="1" applyFill="1" applyBorder="1" applyAlignment="1">
      <alignment horizontal="center" vertical="center"/>
    </xf>
    <xf numFmtId="178" fontId="0" fillId="3" borderId="4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vertical="center" wrapText="1"/>
    </xf>
    <xf numFmtId="0" fontId="0" fillId="3" borderId="2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vertical="center"/>
    </xf>
    <xf numFmtId="178" fontId="0" fillId="3" borderId="1" xfId="0" applyNumberForma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0" fillId="3" borderId="1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0" fontId="0" fillId="3" borderId="4" xfId="0" applyNumberForma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177" fontId="0" fillId="4" borderId="6" xfId="0" applyNumberFormat="1" applyFill="1" applyBorder="1" applyAlignment="1">
      <alignment horizontal="center" vertical="center"/>
    </xf>
    <xf numFmtId="177" fontId="0" fillId="4" borderId="7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24765</xdr:colOff>
      <xdr:row>2</xdr:row>
      <xdr:rowOff>19050</xdr:rowOff>
    </xdr:from>
    <xdr:to>
      <xdr:col>4</xdr:col>
      <xdr:colOff>3089275</xdr:colOff>
      <xdr:row>2</xdr:row>
      <xdr:rowOff>2009140</xdr:rowOff>
    </xdr:to>
    <xdr:pic>
      <xdr:nvPicPr>
        <xdr:cNvPr id="2" name="ID_E6E346E6BD544D4B8EF06F347F9420CA" descr="WhatsApp Image 2025-12-11 at 19.18.58_c88af7b3"/>
        <xdr:cNvPicPr>
          <a:picLocks noChangeAspect="1"/>
        </xdr:cNvPicPr>
      </xdr:nvPicPr>
      <xdr:blipFill>
        <a:blip r:embed="rId1"/>
        <a:srcRect l="2357" t="7481" b="7576"/>
        <a:stretch>
          <a:fillRect/>
        </a:stretch>
      </xdr:blipFill>
      <xdr:spPr>
        <a:xfrm rot="16200000">
          <a:off x="6455410" y="1665605"/>
          <a:ext cx="1990090" cy="3064510"/>
        </a:xfrm>
        <a:prstGeom prst="rect">
          <a:avLst/>
        </a:prstGeom>
      </xdr:spPr>
    </xdr:pic>
    <xdr:clientData/>
  </xdr:twoCellAnchor>
  <xdr:twoCellAnchor editAs="oneCell">
    <xdr:from>
      <xdr:col>4</xdr:col>
      <xdr:colOff>55562</xdr:colOff>
      <xdr:row>1</xdr:row>
      <xdr:rowOff>19367</xdr:rowOff>
    </xdr:from>
    <xdr:to>
      <xdr:col>4</xdr:col>
      <xdr:colOff>3057207</xdr:colOff>
      <xdr:row>1</xdr:row>
      <xdr:rowOff>1961832</xdr:rowOff>
    </xdr:to>
    <xdr:pic>
      <xdr:nvPicPr>
        <xdr:cNvPr id="3" name="ID_0A7FC6CDA7D04BB08F707BD49192519B" descr="WhatsApp Image 2025-12-11 at 19.24.23_d491d92e"/>
        <xdr:cNvPicPr>
          <a:picLocks noChangeAspect="1"/>
        </xdr:cNvPicPr>
      </xdr:nvPicPr>
      <xdr:blipFill>
        <a:blip r:embed="rId2"/>
        <a:srcRect l="1347" t="12311" b="1610"/>
        <a:stretch>
          <a:fillRect/>
        </a:stretch>
      </xdr:blipFill>
      <xdr:spPr>
        <a:xfrm rot="16200000">
          <a:off x="6478270" y="-306705"/>
          <a:ext cx="1942465" cy="300101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</xdr:colOff>
      <xdr:row>3</xdr:row>
      <xdr:rowOff>23812</xdr:rowOff>
    </xdr:from>
    <xdr:to>
      <xdr:col>4</xdr:col>
      <xdr:colOff>3777297</xdr:colOff>
      <xdr:row>4</xdr:row>
      <xdr:rowOff>1261427</xdr:rowOff>
    </xdr:to>
    <xdr:pic>
      <xdr:nvPicPr>
        <xdr:cNvPr id="4" name="ID_CFE99197C0274E0CAB386E8C458DCA79" descr="PHOTO-2025-12-13-20-05-33"/>
        <xdr:cNvPicPr>
          <a:picLocks noChangeAspect="1"/>
        </xdr:cNvPicPr>
      </xdr:nvPicPr>
      <xdr:blipFill>
        <a:blip r:embed="rId3"/>
        <a:srcRect l="7489" t="12002" r="2111" b="7483"/>
        <a:stretch>
          <a:fillRect/>
        </a:stretch>
      </xdr:blipFill>
      <xdr:spPr>
        <a:xfrm rot="16200000">
          <a:off x="6540500" y="3611245"/>
          <a:ext cx="2507615" cy="3751580"/>
        </a:xfrm>
        <a:prstGeom prst="rect">
          <a:avLst/>
        </a:prstGeom>
      </xdr:spPr>
    </xdr:pic>
    <xdr:clientData/>
  </xdr:twoCellAnchor>
  <xdr:twoCellAnchor editAs="oneCell">
    <xdr:from>
      <xdr:col>4</xdr:col>
      <xdr:colOff>63182</xdr:colOff>
      <xdr:row>5</xdr:row>
      <xdr:rowOff>23177</xdr:rowOff>
    </xdr:from>
    <xdr:to>
      <xdr:col>4</xdr:col>
      <xdr:colOff>3739832</xdr:colOff>
      <xdr:row>11</xdr:row>
      <xdr:rowOff>328612</xdr:rowOff>
    </xdr:to>
    <xdr:pic>
      <xdr:nvPicPr>
        <xdr:cNvPr id="5" name="ID_BA393FD747E84B64BC619CF19813A43C" descr="PHOTO-2026-01-03-03-55-21"/>
        <xdr:cNvPicPr>
          <a:picLocks noChangeAspect="1"/>
        </xdr:cNvPicPr>
      </xdr:nvPicPr>
      <xdr:blipFill>
        <a:blip r:embed="rId4"/>
        <a:srcRect l="16469" t="2772" r="9081" b="33610"/>
        <a:stretch>
          <a:fillRect/>
        </a:stretch>
      </xdr:blipFill>
      <xdr:spPr>
        <a:xfrm rot="16200000">
          <a:off x="6612890" y="6115685"/>
          <a:ext cx="2362835" cy="3676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tabSelected="1" zoomScale="76" zoomScaleNormal="76" workbookViewId="0">
      <selection activeCell="J3" sqref="J3"/>
    </sheetView>
  </sheetViews>
  <sheetFormatPr defaultColWidth="9.140625" defaultRowHeight="16.8" outlineLevelCol="7"/>
  <cols>
    <col min="1" max="1" width="13.3984375" customWidth="1"/>
    <col min="2" max="2" width="11.1640625" customWidth="1"/>
    <col min="3" max="3" width="29.375" customWidth="1"/>
    <col min="4" max="4" width="18.5703125" style="1" customWidth="1"/>
    <col min="5" max="5" width="46.5625" customWidth="1"/>
    <col min="6" max="8" width="17.9609375" customWidth="1"/>
  </cols>
  <sheetData>
    <row r="1" customFormat="1" ht="16" customHeight="1" spans="1:8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1" ht="155.95" customHeight="1" spans="1:8">
      <c r="A2" s="4">
        <v>46001</v>
      </c>
      <c r="B2" s="5" t="s">
        <v>8</v>
      </c>
      <c r="C2" s="6" t="s">
        <v>9</v>
      </c>
      <c r="D2" s="5">
        <v>2</v>
      </c>
      <c r="E2" s="21"/>
      <c r="F2" s="22">
        <v>370000</v>
      </c>
      <c r="G2" s="22">
        <f t="shared" ref="G2:G12" si="0">F2*D2</f>
        <v>740000</v>
      </c>
      <c r="H2" s="22">
        <f>SUM(G2)</f>
        <v>740000</v>
      </c>
    </row>
    <row r="3" customFormat="1" ht="159.55" customHeight="1" spans="1:8">
      <c r="A3" s="4">
        <v>46001</v>
      </c>
      <c r="B3" s="7" t="s">
        <v>10</v>
      </c>
      <c r="C3" s="6" t="s">
        <v>11</v>
      </c>
      <c r="D3" s="5">
        <v>4</v>
      </c>
      <c r="E3" s="21"/>
      <c r="F3" s="22">
        <v>300000</v>
      </c>
      <c r="G3" s="22">
        <f t="shared" si="0"/>
        <v>1200000</v>
      </c>
      <c r="H3" s="22">
        <f>SUM(G3)</f>
        <v>1200000</v>
      </c>
    </row>
    <row r="4" customFormat="1" ht="100" customHeight="1" spans="1:8">
      <c r="A4" s="8">
        <v>46004</v>
      </c>
      <c r="B4" s="9" t="s">
        <v>12</v>
      </c>
      <c r="C4" s="6" t="s">
        <v>13</v>
      </c>
      <c r="D4" s="5">
        <v>1</v>
      </c>
      <c r="E4" s="16"/>
      <c r="F4" s="22">
        <v>450000</v>
      </c>
      <c r="G4" s="22">
        <f t="shared" si="0"/>
        <v>450000</v>
      </c>
      <c r="H4" s="23">
        <f>SUM(G4:G5)</f>
        <v>870000</v>
      </c>
    </row>
    <row r="5" customFormat="1" ht="100" customHeight="1" spans="1:8">
      <c r="A5" s="10"/>
      <c r="B5" s="11"/>
      <c r="C5" s="6" t="s">
        <v>14</v>
      </c>
      <c r="D5" s="5">
        <v>1</v>
      </c>
      <c r="E5" s="24"/>
      <c r="F5" s="22">
        <v>420000</v>
      </c>
      <c r="G5" s="22">
        <f t="shared" si="0"/>
        <v>420000</v>
      </c>
      <c r="H5" s="24"/>
    </row>
    <row r="6" customFormat="1" ht="27" customHeight="1" spans="1:8">
      <c r="A6" s="8">
        <v>46387</v>
      </c>
      <c r="B6" s="9" t="s">
        <v>15</v>
      </c>
      <c r="C6" s="12" t="s">
        <v>16</v>
      </c>
      <c r="D6" s="5">
        <v>10</v>
      </c>
      <c r="E6" s="16"/>
      <c r="F6" s="25">
        <v>360000</v>
      </c>
      <c r="G6" s="25">
        <f t="shared" si="0"/>
        <v>3600000</v>
      </c>
      <c r="H6" s="23">
        <f>SUM(G6:G12)</f>
        <v>9255000</v>
      </c>
    </row>
    <row r="7" customFormat="1" ht="27" customHeight="1" spans="1:8">
      <c r="A7" s="13"/>
      <c r="B7" s="14"/>
      <c r="C7" s="12" t="s">
        <v>17</v>
      </c>
      <c r="D7" s="5">
        <v>3</v>
      </c>
      <c r="E7" s="26"/>
      <c r="F7" s="25">
        <v>435000</v>
      </c>
      <c r="G7" s="25">
        <f t="shared" si="0"/>
        <v>1305000</v>
      </c>
      <c r="H7" s="27"/>
    </row>
    <row r="8" customFormat="1" ht="27" customHeight="1" spans="1:8">
      <c r="A8" s="13"/>
      <c r="B8" s="14"/>
      <c r="C8" s="12" t="s">
        <v>13</v>
      </c>
      <c r="D8" s="5">
        <v>4</v>
      </c>
      <c r="E8" s="26"/>
      <c r="F8" s="25">
        <v>450000</v>
      </c>
      <c r="G8" s="25">
        <f t="shared" si="0"/>
        <v>1800000</v>
      </c>
      <c r="H8" s="27"/>
    </row>
    <row r="9" customFormat="1" ht="27" customHeight="1" spans="1:8">
      <c r="A9" s="13"/>
      <c r="B9" s="14"/>
      <c r="C9" s="12" t="s">
        <v>18</v>
      </c>
      <c r="D9" s="5">
        <v>1</v>
      </c>
      <c r="E9" s="26"/>
      <c r="F9" s="25">
        <v>580000</v>
      </c>
      <c r="G9" s="25">
        <f t="shared" si="0"/>
        <v>580000</v>
      </c>
      <c r="H9" s="27"/>
    </row>
    <row r="10" customFormat="1" ht="27" customHeight="1" spans="1:8">
      <c r="A10" s="13"/>
      <c r="B10" s="14"/>
      <c r="C10" s="12" t="s">
        <v>19</v>
      </c>
      <c r="D10" s="5">
        <v>1</v>
      </c>
      <c r="E10" s="26"/>
      <c r="F10" s="25">
        <v>600000</v>
      </c>
      <c r="G10" s="25">
        <f t="shared" si="0"/>
        <v>600000</v>
      </c>
      <c r="H10" s="27"/>
    </row>
    <row r="11" customFormat="1" ht="27" customHeight="1" spans="1:8">
      <c r="A11" s="13"/>
      <c r="B11" s="14"/>
      <c r="C11" s="12" t="s">
        <v>20</v>
      </c>
      <c r="D11" s="5">
        <v>1</v>
      </c>
      <c r="E11" s="26"/>
      <c r="F11" s="25">
        <v>990000</v>
      </c>
      <c r="G11" s="25">
        <f t="shared" si="0"/>
        <v>990000</v>
      </c>
      <c r="H11" s="27"/>
    </row>
    <row r="12" customFormat="1" ht="27" customHeight="1" spans="1:8">
      <c r="A12" s="13"/>
      <c r="B12" s="14"/>
      <c r="C12" s="15" t="s">
        <v>21</v>
      </c>
      <c r="D12" s="16">
        <v>1</v>
      </c>
      <c r="E12" s="26"/>
      <c r="F12" s="28">
        <v>380000</v>
      </c>
      <c r="G12" s="25">
        <f t="shared" si="0"/>
        <v>380000</v>
      </c>
      <c r="H12" s="27"/>
    </row>
    <row r="13" customFormat="1" ht="46" customHeight="1" spans="1:8">
      <c r="A13" s="17"/>
      <c r="B13" s="18"/>
      <c r="C13" s="12"/>
      <c r="D13" s="5"/>
      <c r="E13" s="29"/>
      <c r="F13" s="25"/>
      <c r="G13" s="25"/>
      <c r="H13" s="25"/>
    </row>
    <row r="14" customFormat="1" ht="46" customHeight="1" spans="1:8">
      <c r="A14" s="17"/>
      <c r="B14" s="18"/>
      <c r="C14" s="12"/>
      <c r="D14" s="5"/>
      <c r="E14" s="29"/>
      <c r="F14" s="25"/>
      <c r="G14" s="25">
        <f>F14*D14</f>
        <v>0</v>
      </c>
      <c r="H14" s="25"/>
    </row>
    <row r="15" customFormat="1" ht="26" spans="1:8">
      <c r="A15" s="19" t="s">
        <v>22</v>
      </c>
      <c r="B15" s="20"/>
      <c r="C15" s="20"/>
      <c r="D15" s="20"/>
      <c r="E15" s="20"/>
      <c r="F15" s="30">
        <f>SUM(H2:H14)</f>
        <v>12065000</v>
      </c>
      <c r="G15" s="30"/>
      <c r="H15" s="31"/>
    </row>
    <row r="16" customFormat="1" ht="22" customHeight="1" spans="4:4">
      <c r="D16" s="1"/>
    </row>
    <row r="17" customFormat="1" spans="4:4">
      <c r="D17" s="1"/>
    </row>
    <row r="18" customFormat="1" spans="4:4">
      <c r="D18" s="1"/>
    </row>
    <row r="19" customFormat="1" spans="4:4">
      <c r="D19" s="1"/>
    </row>
    <row r="20" customFormat="1" spans="4:4">
      <c r="D20" s="1"/>
    </row>
    <row r="21" customFormat="1" spans="4:4">
      <c r="D21" s="1"/>
    </row>
    <row r="22" customFormat="1" spans="4:4">
      <c r="D22" s="1"/>
    </row>
    <row r="23" customFormat="1" spans="4:4">
      <c r="D23" s="1"/>
    </row>
    <row r="24" customFormat="1" spans="4:4">
      <c r="D24" s="1"/>
    </row>
    <row r="25" customFormat="1" spans="4:4">
      <c r="D25" s="1"/>
    </row>
    <row r="26" customFormat="1" spans="4:4">
      <c r="D26" s="1"/>
    </row>
    <row r="27" customFormat="1" spans="4:4">
      <c r="D27" s="1"/>
    </row>
    <row r="28" customFormat="1" spans="4:4">
      <c r="D28" s="1"/>
    </row>
    <row r="29" customFormat="1" spans="4:4">
      <c r="D29" s="1"/>
    </row>
    <row r="30" customFormat="1" spans="4:4">
      <c r="D30" s="1"/>
    </row>
    <row r="31" customFormat="1" spans="4:4">
      <c r="D31" s="1"/>
    </row>
    <row r="32" customFormat="1" spans="4:4">
      <c r="D32" s="1"/>
    </row>
    <row r="33" customFormat="1" spans="4:4">
      <c r="D33" s="1"/>
    </row>
    <row r="34" customFormat="1" spans="4:4">
      <c r="D34" s="1"/>
    </row>
    <row r="35" customFormat="1" spans="4:4">
      <c r="D35" s="1"/>
    </row>
    <row r="36" customFormat="1" spans="4:4">
      <c r="D36" s="1"/>
    </row>
    <row r="37" customFormat="1" spans="4:4">
      <c r="D37" s="1"/>
    </row>
    <row r="38" customFormat="1" spans="4:4">
      <c r="D38" s="1"/>
    </row>
    <row r="39" customFormat="1" spans="4:4">
      <c r="D39" s="1"/>
    </row>
    <row r="40" customFormat="1" spans="4:4">
      <c r="D40" s="1"/>
    </row>
    <row r="41" customFormat="1" spans="4:4">
      <c r="D41" s="1"/>
    </row>
    <row r="42" customFormat="1" spans="4:4">
      <c r="D42" s="1"/>
    </row>
    <row r="43" customFormat="1" spans="4:4">
      <c r="D43" s="1"/>
    </row>
    <row r="44" customFormat="1" spans="4:4">
      <c r="D44" s="1"/>
    </row>
    <row r="45" customFormat="1" spans="4:4">
      <c r="D45" s="1"/>
    </row>
    <row r="46" customFormat="1" spans="4:4">
      <c r="D46" s="1"/>
    </row>
    <row r="47" customFormat="1" spans="4:4">
      <c r="D47" s="1"/>
    </row>
    <row r="48" customFormat="1" spans="4:4">
      <c r="D48" s="1"/>
    </row>
    <row r="49" customFormat="1" spans="4:4">
      <c r="D49" s="1"/>
    </row>
    <row r="50" customFormat="1" spans="4:4">
      <c r="D50" s="1"/>
    </row>
    <row r="51" customFormat="1" spans="4:4">
      <c r="D51" s="1"/>
    </row>
    <row r="52" customFormat="1" spans="4:4">
      <c r="D52" s="1"/>
    </row>
    <row r="53" customFormat="1" spans="4:4">
      <c r="D53" s="1"/>
    </row>
    <row r="54" customFormat="1" spans="4:4">
      <c r="D54" s="1"/>
    </row>
    <row r="55" customFormat="1" spans="4:4">
      <c r="D55" s="1"/>
    </row>
    <row r="56" customFormat="1" spans="4:4">
      <c r="D56" s="1"/>
    </row>
    <row r="57" customFormat="1" spans="4:4">
      <c r="D57" s="1"/>
    </row>
    <row r="58" customFormat="1" spans="4:4">
      <c r="D58" s="1"/>
    </row>
    <row r="59" customFormat="1" spans="4:4">
      <c r="D59" s="1"/>
    </row>
    <row r="60" customFormat="1" spans="4:4">
      <c r="D60" s="1"/>
    </row>
    <row r="61" customFormat="1" spans="4:4">
      <c r="D61" s="1"/>
    </row>
    <row r="62" customFormat="1" spans="4:4">
      <c r="D62" s="1"/>
    </row>
    <row r="63" customFormat="1" spans="4:4">
      <c r="D63" s="1"/>
    </row>
    <row r="64" customFormat="1" spans="4:4">
      <c r="D64" s="1"/>
    </row>
    <row r="65" customFormat="1" spans="4:4">
      <c r="D65" s="1"/>
    </row>
    <row r="66" customFormat="1" spans="4:4">
      <c r="D66" s="1"/>
    </row>
    <row r="67" customFormat="1" spans="4:4">
      <c r="D67" s="1"/>
    </row>
    <row r="68" customFormat="1" spans="4:4">
      <c r="D68" s="1"/>
    </row>
    <row r="69" customFormat="1" spans="4:4">
      <c r="D69" s="1"/>
    </row>
    <row r="70" customFormat="1" spans="4:4">
      <c r="D70" s="1"/>
    </row>
    <row r="71" customFormat="1" spans="4:4">
      <c r="D71" s="1"/>
    </row>
    <row r="72" customFormat="1" spans="4:4">
      <c r="D72" s="1"/>
    </row>
    <row r="73" customFormat="1" spans="4:4">
      <c r="D73" s="1"/>
    </row>
    <row r="74" customFormat="1" spans="4:4">
      <c r="D74" s="1"/>
    </row>
    <row r="75" customFormat="1" spans="4:4">
      <c r="D75" s="1"/>
    </row>
    <row r="76" customFormat="1" spans="4:4">
      <c r="D76" s="1"/>
    </row>
    <row r="77" customFormat="1" spans="4:4">
      <c r="D77" s="1"/>
    </row>
    <row r="78" customFormat="1" spans="4:4">
      <c r="D78" s="1"/>
    </row>
    <row r="79" customFormat="1" spans="4:4">
      <c r="D79" s="1"/>
    </row>
    <row r="80" customFormat="1" spans="4:4">
      <c r="D80" s="1"/>
    </row>
    <row r="81" customFormat="1" spans="4:4">
      <c r="D81" s="1"/>
    </row>
    <row r="82" customFormat="1" spans="4:4">
      <c r="D82" s="1"/>
    </row>
    <row r="83" customFormat="1" spans="4:4">
      <c r="D83" s="1"/>
    </row>
    <row r="84" customFormat="1" spans="4:4">
      <c r="D84" s="1"/>
    </row>
    <row r="85" customFormat="1" spans="4:4">
      <c r="D85" s="1"/>
    </row>
    <row r="86" customFormat="1" spans="4:4">
      <c r="D86" s="1"/>
    </row>
    <row r="87" customFormat="1" spans="4:4">
      <c r="D87" s="1"/>
    </row>
    <row r="88" customFormat="1" spans="4:4">
      <c r="D88" s="1"/>
    </row>
    <row r="89" customFormat="1" spans="4:4">
      <c r="D89" s="1"/>
    </row>
    <row r="90" customFormat="1" spans="4:4">
      <c r="D90" s="1"/>
    </row>
    <row r="91" customFormat="1" spans="4:4">
      <c r="D91" s="1"/>
    </row>
    <row r="92" customFormat="1" spans="4:4">
      <c r="D92" s="1"/>
    </row>
    <row r="93" customFormat="1" spans="4:4">
      <c r="D93" s="1"/>
    </row>
    <row r="94" customFormat="1" spans="4:4">
      <c r="D94" s="1"/>
    </row>
    <row r="95" customFormat="1" spans="4:4">
      <c r="D95" s="1"/>
    </row>
    <row r="96" customFormat="1" spans="4:4">
      <c r="D96" s="1"/>
    </row>
    <row r="97" customFormat="1" spans="4:4">
      <c r="D97" s="1"/>
    </row>
    <row r="98" customFormat="1" spans="4:4">
      <c r="D98" s="1"/>
    </row>
    <row r="99" customFormat="1" spans="4:4">
      <c r="D99" s="1"/>
    </row>
    <row r="100" customFormat="1" spans="4:4">
      <c r="D100" s="1"/>
    </row>
    <row r="101" customFormat="1" spans="4:4">
      <c r="D101" s="1"/>
    </row>
    <row r="102" customFormat="1" spans="4:4">
      <c r="D102" s="1"/>
    </row>
    <row r="103" customFormat="1" spans="4:4">
      <c r="D103" s="1"/>
    </row>
    <row r="104" customFormat="1" spans="4:4">
      <c r="D104" s="1"/>
    </row>
    <row r="105" customFormat="1" spans="4:4">
      <c r="D105" s="1"/>
    </row>
    <row r="106" customFormat="1" spans="4:4">
      <c r="D106" s="1"/>
    </row>
    <row r="107" customFormat="1" spans="4:4">
      <c r="D107" s="1"/>
    </row>
    <row r="108" customFormat="1" spans="4:4">
      <c r="D108" s="1"/>
    </row>
    <row r="109" customFormat="1" spans="4:4">
      <c r="D109" s="1"/>
    </row>
    <row r="110" customFormat="1" spans="4:4">
      <c r="D110" s="1"/>
    </row>
    <row r="111" customFormat="1" spans="4:4">
      <c r="D111" s="1"/>
    </row>
    <row r="112" customFormat="1" spans="4:4">
      <c r="D112" s="1"/>
    </row>
    <row r="113" customFormat="1" spans="4:4">
      <c r="D113" s="1"/>
    </row>
    <row r="114" customFormat="1" spans="4:4">
      <c r="D114" s="1"/>
    </row>
    <row r="115" customFormat="1" spans="4:4">
      <c r="D115" s="1"/>
    </row>
    <row r="116" customFormat="1" spans="4:4">
      <c r="D116" s="1"/>
    </row>
    <row r="117" customFormat="1" spans="4:4">
      <c r="D117" s="1"/>
    </row>
    <row r="118" customFormat="1" spans="4:4">
      <c r="D118" s="1"/>
    </row>
    <row r="119" customFormat="1" spans="4:4">
      <c r="D119" s="1"/>
    </row>
    <row r="120" customFormat="1" spans="4:4">
      <c r="D120" s="1"/>
    </row>
    <row r="121" customFormat="1" spans="4:4">
      <c r="D121" s="1"/>
    </row>
    <row r="122" customFormat="1" spans="4:4">
      <c r="D122" s="1"/>
    </row>
    <row r="123" customFormat="1" spans="4:4">
      <c r="D123" s="1"/>
    </row>
    <row r="124" customFormat="1" spans="4:4">
      <c r="D124" s="1"/>
    </row>
    <row r="125" customFormat="1" spans="4:4">
      <c r="D125" s="1"/>
    </row>
    <row r="126" customFormat="1" spans="4:4">
      <c r="D126" s="1"/>
    </row>
    <row r="127" customFormat="1" spans="4:4">
      <c r="D127" s="1"/>
    </row>
    <row r="128" customFormat="1" spans="4:4">
      <c r="D128" s="1"/>
    </row>
    <row r="129" customFormat="1" spans="4:4">
      <c r="D129" s="1"/>
    </row>
    <row r="130" customFormat="1" spans="4:4">
      <c r="D130" s="1"/>
    </row>
    <row r="131" customFormat="1" spans="4:4">
      <c r="D131" s="1"/>
    </row>
    <row r="132" customFormat="1" spans="4:4">
      <c r="D132" s="1"/>
    </row>
    <row r="133" customFormat="1" spans="4:4">
      <c r="D133" s="1"/>
    </row>
    <row r="134" customFormat="1" spans="4:4">
      <c r="D134" s="1"/>
    </row>
    <row r="135" customFormat="1" spans="4:4">
      <c r="D135" s="1"/>
    </row>
    <row r="136" customFormat="1" spans="4:4">
      <c r="D136" s="1"/>
    </row>
    <row r="137" customFormat="1" spans="4:4">
      <c r="D137" s="1"/>
    </row>
    <row r="138" customFormat="1" spans="4:4">
      <c r="D138" s="1"/>
    </row>
    <row r="139" customFormat="1" spans="4:4">
      <c r="D139" s="1"/>
    </row>
    <row r="140" customFormat="1" spans="4:4">
      <c r="D140" s="1"/>
    </row>
    <row r="141" customFormat="1" spans="4:4">
      <c r="D141" s="1"/>
    </row>
    <row r="142" customFormat="1" spans="4:4">
      <c r="D142" s="1"/>
    </row>
    <row r="143" customFormat="1" spans="4:4">
      <c r="D143" s="1"/>
    </row>
    <row r="144" customFormat="1" spans="4:4">
      <c r="D144" s="1"/>
    </row>
    <row r="145" customFormat="1" spans="4:4">
      <c r="D145" s="1"/>
    </row>
    <row r="146" customFormat="1" spans="4:4">
      <c r="D146" s="1"/>
    </row>
    <row r="147" customFormat="1" spans="4:4">
      <c r="D147" s="1"/>
    </row>
    <row r="148" customFormat="1" spans="4:4">
      <c r="D148" s="1"/>
    </row>
    <row r="149" customFormat="1" spans="4:4">
      <c r="D149" s="1"/>
    </row>
    <row r="150" customFormat="1" spans="4:4">
      <c r="D150" s="1"/>
    </row>
    <row r="151" customFormat="1" spans="4:4">
      <c r="D151" s="1"/>
    </row>
    <row r="152" customFormat="1" spans="4:4">
      <c r="D152" s="1"/>
    </row>
    <row r="153" customFormat="1" spans="4:4">
      <c r="D153" s="1"/>
    </row>
    <row r="154" customFormat="1" spans="4:4">
      <c r="D154" s="1"/>
    </row>
    <row r="155" customFormat="1" spans="4:4">
      <c r="D155" s="1"/>
    </row>
    <row r="156" customFormat="1" spans="4:4">
      <c r="D156" s="1"/>
    </row>
    <row r="157" customFormat="1" spans="4:4">
      <c r="D157" s="1"/>
    </row>
    <row r="158" customFormat="1" spans="4:4">
      <c r="D158" s="1"/>
    </row>
    <row r="159" customFormat="1" spans="4:4">
      <c r="D159" s="1"/>
    </row>
    <row r="160" customFormat="1" spans="4:4">
      <c r="D160" s="1"/>
    </row>
    <row r="161" customFormat="1" spans="4:4">
      <c r="D161" s="1"/>
    </row>
    <row r="162" customFormat="1" spans="4:4">
      <c r="D162" s="1"/>
    </row>
    <row r="163" customFormat="1" spans="4:4">
      <c r="D163" s="1"/>
    </row>
    <row r="164" customFormat="1" spans="4:4">
      <c r="D164" s="1"/>
    </row>
    <row r="165" customFormat="1" spans="4:4">
      <c r="D165" s="1"/>
    </row>
    <row r="166" customFormat="1" spans="4:4">
      <c r="D166" s="1"/>
    </row>
    <row r="167" customFormat="1" spans="4:4">
      <c r="D167" s="1"/>
    </row>
    <row r="168" customFormat="1" spans="4:4">
      <c r="D168" s="1"/>
    </row>
    <row r="169" customFormat="1" spans="4:4">
      <c r="D169" s="1"/>
    </row>
    <row r="170" customFormat="1" spans="4:4">
      <c r="D170" s="1"/>
    </row>
    <row r="171" customFormat="1" spans="4:4">
      <c r="D171" s="1"/>
    </row>
    <row r="172" customFormat="1" spans="4:4">
      <c r="D172" s="1"/>
    </row>
    <row r="173" customFormat="1" spans="4:4">
      <c r="D173" s="1"/>
    </row>
    <row r="174" customFormat="1" spans="4:4">
      <c r="D174" s="1"/>
    </row>
  </sheetData>
  <mergeCells count="10">
    <mergeCell ref="A15:E15"/>
    <mergeCell ref="F15:H15"/>
    <mergeCell ref="A4:A5"/>
    <mergeCell ref="A6:A12"/>
    <mergeCell ref="B4:B5"/>
    <mergeCell ref="B6:B12"/>
    <mergeCell ref="E4:E5"/>
    <mergeCell ref="E6:E12"/>
    <mergeCell ref="H4:H5"/>
    <mergeCell ref="H6:H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2026-01-03T04:08:02Z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