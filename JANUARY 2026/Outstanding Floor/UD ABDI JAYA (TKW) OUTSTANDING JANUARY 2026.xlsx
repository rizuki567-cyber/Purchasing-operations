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UD Abdi Jaya (Bag, Cup, Box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<sst xmlns="http://schemas.openxmlformats.org/spreadsheetml/2006/main" count="20" uniqueCount="20">
  <si>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</si>
  <si>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</si>
  <si>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</si>
  <si>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</si>
  <si>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</si>
  <si>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</si>
  <si>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</si>
  <si>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</si>
  <si>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0481/JL/UTM/0126</t>
  </si>
  <si>
    <t>BLACK PLASTIC TRASH BAG 90X100 50 PCS</t>
  </si>
  <si>
    <t>VACCUUM PLASTIC 16X25 100 PCS</t>
  </si>
  <si>
    <t>DISHWASING SPONGE POLITEX 12 PCS</t>
  </si>
  <si>
    <t>DISHWASHING WIRE POLITEX 12 PCS</t>
  </si>
  <si>
    <t>0505/JL/UTM/0126</t>
  </si>
  <si>
    <t>PLASTIC WRAP BESTCLING 45</t>
  </si>
  <si>
    <t>BAKING PAPER CHEFFY 45X75</t>
  </si>
  <si>
    <t>0635/JL/UTM/0126</t>
  </si>
  <si>
    <t>CUP INJECTION 400ML + LID 25 PCS</t>
  </si>
  <si>
    <t>0891/JL/UTM/0126</t>
  </si>
  <si>
    <t>THERMAL PAPER 80X80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</si>
</sst>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3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1" fillId="3" borderId="2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 wrapText="1"/>
    </xf>
    <xf numFmtId="176" fontId="1" fillId="3" borderId="4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27622</xdr:colOff>
      <xdr:row>1</xdr:row>
      <xdr:rowOff>68262</xdr:rowOff>
    </xdr:from>
    <xdr:to>
      <xdr:col>4</xdr:col>
      <xdr:colOff>4773612</xdr:colOff>
      <xdr:row>4</xdr:row>
      <xdr:rowOff>773112</xdr:rowOff>
    </xdr:to>
    <xdr:pic>
      <xdr:nvPicPr>
        <xdr:cNvPr id="2" name="ID_38097F0E6E864F92AC27F1E27852D20F" descr="PHOTO-2026-01-17-17-48-57"/>
        <xdr:cNvPicPr>
          <a:picLocks noChangeAspect="1"/>
        </xdr:cNvPicPr>
      </xdr:nvPicPr>
      <xdr:blipFill>
        <a:blip r:embed="rId1"/>
        <a:srcRect t="9999" b="3718"/>
        <a:stretch>
          <a:fillRect/>
        </a:stretch>
      </xdr:blipFill>
      <xdr:spPr>
        <a:xfrm rot="16200000">
          <a:off x="8827135" y="-510540"/>
          <a:ext cx="3181350" cy="4745355"/>
        </a:xfrm>
        <a:prstGeom prst="rect">
          <a:avLst/>
        </a:prstGeom>
      </xdr:spPr>
    </xdr:pic>
    <xdr:clientData/>
  </xdr:twoCellAnchor>
  <xdr:twoCellAnchor editAs="oneCell">
    <xdr:from>
      <xdr:col>4</xdr:col>
      <xdr:colOff>85407</xdr:colOff>
      <xdr:row>5</xdr:row>
      <xdr:rowOff>26987</xdr:rowOff>
    </xdr:from>
    <xdr:to>
      <xdr:col>4</xdr:col>
      <xdr:colOff>4717097</xdr:colOff>
      <xdr:row>6</xdr:row>
      <xdr:rowOff>1447482</xdr:rowOff>
    </xdr:to>
    <xdr:pic>
      <xdr:nvPicPr>
        <xdr:cNvPr id="3" name="ID_1C5E43C2C367453BAF2826CB57A5A327" descr="PHOTO-2026-01-17-17-48-31"/>
        <xdr:cNvPicPr>
          <a:picLocks noChangeAspect="1"/>
        </xdr:cNvPicPr>
      </xdr:nvPicPr>
      <xdr:blipFill>
        <a:blip r:embed="rId2"/>
        <a:srcRect t="9990" b="3160"/>
        <a:stretch>
          <a:fillRect/>
        </a:stretch>
      </xdr:blipFill>
      <xdr:spPr>
        <a:xfrm rot="16200000">
          <a:off x="8977630" y="2656205"/>
          <a:ext cx="2880995" cy="4631690"/>
        </a:xfrm>
        <a:prstGeom prst="rect">
          <a:avLst/>
        </a:prstGeom>
      </xdr:spPr>
    </xdr:pic>
    <xdr:clientData/>
  </xdr:twoCellAnchor>
  <xdr:twoCellAnchor editAs="oneCell">
    <xdr:from>
      <xdr:col>4</xdr:col>
      <xdr:colOff>35560</xdr:colOff>
      <xdr:row>7</xdr:row>
      <xdr:rowOff>27305</xdr:rowOff>
    </xdr:from>
    <xdr:to>
      <xdr:col>4</xdr:col>
      <xdr:colOff>4766945</xdr:colOff>
      <xdr:row>7</xdr:row>
      <xdr:rowOff>2945130</xdr:rowOff>
    </xdr:to>
    <xdr:pic>
      <xdr:nvPicPr>
        <xdr:cNvPr id="4" name="ID_1D13B2269DFB4942B24EE5BA96E02809" descr="PHOTO-2026-01-23-17-32-18"/>
        <xdr:cNvPicPr>
          <a:picLocks noChangeAspect="1"/>
        </xdr:cNvPicPr>
      </xdr:nvPicPr>
      <xdr:blipFill>
        <a:blip r:embed="rId3"/>
        <a:srcRect t="8421"/>
        <a:stretch>
          <a:fillRect/>
        </a:stretch>
      </xdr:blipFill>
      <xdr:spPr>
        <a:xfrm rot="16200000">
          <a:off x="8959850" y="5546725"/>
          <a:ext cx="2917825" cy="4731385"/>
        </a:xfrm>
        <a:prstGeom prst="rect">
          <a:avLst/>
        </a:prstGeom>
      </xdr:spPr>
    </xdr:pic>
    <xdr:clientData/>
  </xdr:twoCellAnchor>
  <xdr:twoCellAnchor editAs="oneCell">
    <xdr:from>
      <xdr:col>4</xdr:col>
      <xdr:colOff>46037</xdr:colOff>
      <xdr:row>8</xdr:row>
      <xdr:rowOff>26987</xdr:rowOff>
    </xdr:from>
    <xdr:to>
      <xdr:col>4</xdr:col>
      <xdr:colOff>4755832</xdr:colOff>
      <xdr:row>8</xdr:row>
      <xdr:rowOff>2672397</xdr:rowOff>
    </xdr:to>
    <xdr:pic>
      <xdr:nvPicPr>
        <xdr:cNvPr id="5" name="ID_FBA15014105644B68C8BFC203F1C7EBF" descr="PHOTO-2026-01-31-16-45-5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9095105" y="8381365"/>
          <a:ext cx="2645410" cy="4709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70" zoomScaleNormal="70" workbookViewId="0">
      <pane ySplit="1" topLeftCell="A8" activePane="bottomLeft" state="frozen"/>
      <selection/>
      <selection pane="bottomLeft" activeCell="C11" sqref="C11"/>
    </sheetView>
  </sheetViews>
  <sheetFormatPr defaultColWidth="9.140625" defaultRowHeight="20.4" outlineLevelCol="7"/>
  <cols>
    <col min="1" max="1" width="19.859375" style="2"/>
    <col min="2" max="2" width="21.3125" style="2" customWidth="1"/>
    <col min="3" max="3" width="43.0390625" style="3" customWidth="1"/>
    <col min="4" max="4" width="14.4296875" style="2" customWidth="1"/>
    <col min="5" max="5" width="58.9609375" style="4" customWidth="1"/>
    <col min="6" max="6" width="19.5234375" style="4" customWidth="1"/>
    <col min="7" max="8" width="20.859375" style="4" customWidth="1"/>
    <col min="9" max="9" width="12.859375" style="4"/>
    <col min="10" max="16384" width="9.140625" style="4"/>
  </cols>
  <sheetData>
    <row r="1" s="1" customFormat="1" ht="16" customHeight="1" spans="1:8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1" customFormat="1" ht="65" customHeight="1" spans="1:8">
      <c r="A2" s="8">
        <v>46038</v>
      </c>
      <c r="B2" s="9" t="s">
        <v>8</v>
      </c>
      <c r="C2" s="10" t="s">
        <v>9</v>
      </c>
      <c r="D2" s="11">
        <v>9</v>
      </c>
      <c r="E2" s="23"/>
      <c r="F2" s="24">
        <v>50000</v>
      </c>
      <c r="G2" s="25">
        <f t="shared" ref="G2:G10" si="0">D2*F2</f>
        <v>450000</v>
      </c>
      <c r="H2" s="26">
        <f>SUM(G2:G5)</f>
        <v>1969000</v>
      </c>
    </row>
    <row r="3" s="1" customFormat="1" ht="65" customHeight="1" spans="1:8">
      <c r="A3" s="12"/>
      <c r="B3" s="13"/>
      <c r="C3" s="14" t="s">
        <v>10</v>
      </c>
      <c r="D3" s="11">
        <v>20</v>
      </c>
      <c r="E3" s="27"/>
      <c r="F3" s="25">
        <v>65000</v>
      </c>
      <c r="G3" s="25">
        <f t="shared" si="0"/>
        <v>1300000</v>
      </c>
      <c r="H3" s="28"/>
    </row>
    <row r="4" s="1" customFormat="1" ht="65" customHeight="1" spans="1:8">
      <c r="A4" s="12"/>
      <c r="B4" s="13"/>
      <c r="C4" s="14" t="s">
        <v>11</v>
      </c>
      <c r="D4" s="11">
        <v>3</v>
      </c>
      <c r="E4" s="27"/>
      <c r="F4" s="25">
        <v>38000</v>
      </c>
      <c r="G4" s="25">
        <f t="shared" si="0"/>
        <v>114000</v>
      </c>
      <c r="H4" s="28"/>
    </row>
    <row r="5" s="1" customFormat="1" ht="65" customHeight="1" spans="1:8">
      <c r="A5" s="15"/>
      <c r="B5" s="16"/>
      <c r="C5" s="14" t="s">
        <v>12</v>
      </c>
      <c r="D5" s="11">
        <v>3</v>
      </c>
      <c r="E5" s="27"/>
      <c r="F5" s="25">
        <v>35000</v>
      </c>
      <c r="G5" s="25">
        <f t="shared" si="0"/>
        <v>105000</v>
      </c>
      <c r="H5" s="28"/>
    </row>
    <row r="6" s="1" customFormat="1" ht="115" customHeight="1" spans="1:8">
      <c r="A6" s="8">
        <v>46039</v>
      </c>
      <c r="B6" s="9" t="s">
        <v>13</v>
      </c>
      <c r="C6" s="14" t="s">
        <v>14</v>
      </c>
      <c r="D6" s="11">
        <v>10</v>
      </c>
      <c r="E6" s="23"/>
      <c r="F6" s="25">
        <v>165000</v>
      </c>
      <c r="G6" s="25">
        <f t="shared" si="0"/>
        <v>1650000</v>
      </c>
      <c r="H6" s="26">
        <f>SUM(G6:G7)</f>
        <v>2650000</v>
      </c>
    </row>
    <row r="7" s="1" customFormat="1" ht="115" customHeight="1" spans="1:8">
      <c r="A7" s="12"/>
      <c r="B7" s="13"/>
      <c r="C7" s="14" t="s">
        <v>15</v>
      </c>
      <c r="D7" s="11">
        <v>5</v>
      </c>
      <c r="E7" s="27"/>
      <c r="F7" s="25">
        <v>200000</v>
      </c>
      <c r="G7" s="25">
        <f t="shared" si="0"/>
        <v>1000000</v>
      </c>
      <c r="H7" s="28"/>
    </row>
    <row r="8" s="1" customFormat="1" ht="233.15" customHeight="1" spans="1:8">
      <c r="A8" s="17">
        <v>46044</v>
      </c>
      <c r="B8" s="18" t="s">
        <v>16</v>
      </c>
      <c r="C8" s="14" t="s">
        <v>17</v>
      </c>
      <c r="D8" s="11">
        <v>20</v>
      </c>
      <c r="E8" s="29"/>
      <c r="F8" s="25">
        <v>35000</v>
      </c>
      <c r="G8" s="25">
        <f t="shared" si="0"/>
        <v>700000</v>
      </c>
      <c r="H8" s="25">
        <f>SUM(G8)</f>
        <v>700000</v>
      </c>
    </row>
    <row r="9" s="1" customFormat="1" ht="212.5" customHeight="1" spans="1:8">
      <c r="A9" s="17">
        <v>46053</v>
      </c>
      <c r="B9" s="18" t="s">
        <v>18</v>
      </c>
      <c r="C9" s="14" t="s">
        <v>19</v>
      </c>
      <c r="D9" s="11">
        <v>1</v>
      </c>
      <c r="E9" s="29"/>
      <c r="F9" s="24">
        <v>780000</v>
      </c>
      <c r="G9" s="25">
        <f t="shared" si="0"/>
        <v>780000</v>
      </c>
      <c r="H9" s="25">
        <f>SUM(G9)</f>
        <v>780000</v>
      </c>
    </row>
    <row r="10" s="1" customFormat="1" ht="83" customHeight="1" spans="1:8">
      <c r="A10" s="17"/>
      <c r="B10" s="18"/>
      <c r="C10" s="14"/>
      <c r="D10" s="11"/>
      <c r="E10" s="29"/>
      <c r="F10" s="24"/>
      <c r="G10" s="25">
        <f t="shared" si="0"/>
        <v>0</v>
      </c>
      <c r="H10" s="25"/>
    </row>
    <row r="11" s="1" customFormat="1" ht="200" customHeight="1" spans="1:8">
      <c r="A11" s="17"/>
      <c r="B11" s="19"/>
      <c r="C11" s="14"/>
      <c r="D11" s="20"/>
      <c r="E11" s="30"/>
      <c r="F11" s="26"/>
      <c r="G11" s="26"/>
      <c r="H11" s="24"/>
    </row>
    <row r="12" s="1" customFormat="1" spans="1:8">
      <c r="A12" s="21"/>
      <c r="B12" s="21"/>
      <c r="C12" s="22"/>
      <c r="D12" s="21"/>
      <c r="E12" s="21"/>
      <c r="F12" s="21"/>
      <c r="G12" s="31"/>
      <c r="H12" s="31">
        <f>SUM(H2:H11)</f>
        <v>6099000</v>
      </c>
    </row>
  </sheetData>
  <mergeCells count="9">
    <mergeCell ref="A12:E12"/>
    <mergeCell ref="A2:A5"/>
    <mergeCell ref="A6:A7"/>
    <mergeCell ref="B2:B5"/>
    <mergeCell ref="B6:B7"/>
    <mergeCell ref="E2:E5"/>
    <mergeCell ref="E6:E7"/>
    <mergeCell ref="H2:H5"/>
    <mergeCell ref="H6:H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UD Abdi Jaya (Bag, Cup, Box)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2026-01-31T19:41:27Z</dcterms:created>
  <dcterms:modified xsi:type="dcterms:W3CDTF">2026-01-31T19:41:58Z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DD29DCF54B511ADA67EA7D69A14B8427_41</vt:lpwstr>
  </property>
  <property fmtid="{D5CDD505-2E9C-101B-9397-08002B2CF9AE}" pid="3" name="KSOProductBuildVer">
    <vt:lpwstr>1033-12.1.23155.23155</vt:lpwstr>
  </property>
</Properties>
</file>