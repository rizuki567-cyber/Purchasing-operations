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PT. PRASIDA LANTUR MAJU (Wine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<sst xmlns="http://schemas.openxmlformats.org/spreadsheetml/2006/main" count="18" uniqueCount="13">
  <si>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DATE</t>
  </si>
  <si>
    <t>INV NO.</t>
  </si>
  <si>
    <t>DESCRIPTIONS</t>
  </si>
  <si>
    <t>QTY</t>
  </si>
  <si>
    <t>BILLS</t>
  </si>
  <si>
    <t>PRICE</t>
  </si>
  <si>
    <t>SUBTOTAL</t>
  </si>
  <si>
    <t>TOTAL</t>
  </si>
  <si>
    <t>PLM-INV0197/2026</t>
  </si>
  <si>
    <t>ISOLA BIANCO 750 ML</t>
  </si>
  <si>
    <t>ISOLA RISERVA SYRAH 750</t>
  </si>
  <si>
    <t>PPN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</si>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</sst>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dd\-mmm"/>
    <numFmt numFmtId="178" formatCode="_-&quot;Rp&quot;* #,##0_-;\-&quot;Rp&quot;* #,##0_-;_-&quot;Rp&quot;* &quot;-&quot;??_-;_-@_-"/>
    <numFmt numFmtId="179" formatCode="_ [$IDR]\ * #,##0_ ;_ [$IDR]\ * \-#,##0_ ;_ [$IDR]\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2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5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9" fontId="2" fillId="3" borderId="1" xfId="0" applyNumberFormat="1" applyFont="1" applyFill="1" applyBorder="1">
      <alignment vertical="center"/>
    </xf>
    <xf numFmtId="179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9" fontId="0" fillId="3" borderId="3" xfId="0" applyNumberForma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178" fontId="3" fillId="3" borderId="4" xfId="0" applyNumberFormat="1" applyFont="1" applyFill="1" applyBorder="1" applyAlignment="1">
      <alignment horizontal="center" vertical="center"/>
    </xf>
    <xf numFmtId="178" fontId="3" fillId="3" borderId="6" xfId="0" applyNumberFormat="1" applyFont="1" applyFill="1" applyBorder="1" applyAlignment="1">
      <alignment horizontal="center" vertical="center"/>
    </xf>
    <xf numFmtId="178" fontId="3" fillId="3" borderId="5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9" fontId="0" fillId="3" borderId="1" xfId="0" applyNumberFormat="1" applyFill="1" applyBorder="1">
      <alignment vertical="center"/>
    </xf>
    <xf numFmtId="178" fontId="6" fillId="4" borderId="4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36830</xdr:colOff>
      <xdr:row>1</xdr:row>
      <xdr:rowOff>22860</xdr:rowOff>
    </xdr:from>
    <xdr:to>
      <xdr:col>4</xdr:col>
      <xdr:colOff>2284095</xdr:colOff>
      <xdr:row>2</xdr:row>
      <xdr:rowOff>1515110</xdr:rowOff>
    </xdr:to>
    <xdr:pic>
      <xdr:nvPicPr>
        <xdr:cNvPr id="2" name="ID_ADE0E1FC02E84005A552ED38B544585D" descr="PHOTO-2026-01-15-19-04-37"/>
        <xdr:cNvPicPr>
          <a:picLocks noChangeAspect="1"/>
        </xdr:cNvPicPr>
      </xdr:nvPicPr>
      <xdr:blipFill>
        <a:blip r:embed="rId1"/>
        <a:srcRect t="15575" r="5257" b="15602"/>
        <a:stretch>
          <a:fillRect/>
        </a:stretch>
      </xdr:blipFill>
      <xdr:spPr>
        <a:xfrm>
          <a:off x="5618480" y="226060"/>
          <a:ext cx="2247265" cy="301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topLeftCell="C1" workbookViewId="0">
      <selection activeCell="E2" sqref="E2:E3"/>
    </sheetView>
  </sheetViews>
  <sheetFormatPr defaultColWidth="9.140625" defaultRowHeight="16.8" outlineLevelCol="7"/>
  <cols>
    <col min="1" max="1" width="13.3984375" customWidth="1"/>
    <col min="2" max="2" width="18.1328125" customWidth="1"/>
    <col min="3" max="4" width="18.5703125" customWidth="1"/>
    <col min="5" max="5" width="28.4296875" customWidth="1"/>
    <col min="6" max="8" width="17.9609375" customWidth="1"/>
  </cols>
  <sheetData>
    <row r="1" ht="16" customHeight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20" customHeight="1" spans="1:8">
      <c r="A2" s="3">
        <v>46037</v>
      </c>
      <c r="B2" s="4" t="s">
        <v>8</v>
      </c>
      <c r="C2" s="5" t="s">
        <v>9</v>
      </c>
      <c r="D2" s="6">
        <v>2</v>
      </c>
      <c r="E2" s="20"/>
      <c r="F2" s="21">
        <v>180180</v>
      </c>
      <c r="G2" s="21">
        <f>F2*D2</f>
        <v>360360</v>
      </c>
      <c r="H2" s="22">
        <f>SUM(G2:G3)</f>
        <v>910360</v>
      </c>
    </row>
    <row r="3" ht="120" customHeight="1" spans="1:8">
      <c r="A3" s="7"/>
      <c r="B3" s="8"/>
      <c r="C3" s="9" t="s">
        <v>10</v>
      </c>
      <c r="D3" s="10">
        <v>2</v>
      </c>
      <c r="E3" s="23"/>
      <c r="F3" s="24">
        <v>275000</v>
      </c>
      <c r="G3" s="24">
        <f>F3*D3</f>
        <v>550000</v>
      </c>
      <c r="H3" s="25"/>
    </row>
    <row r="4" ht="26" spans="1:8">
      <c r="A4" s="11" t="s">
        <v>6</v>
      </c>
      <c r="B4" s="12"/>
      <c r="C4" s="13"/>
      <c r="D4" s="14">
        <f>SUM(D2)</f>
        <v>2</v>
      </c>
      <c r="E4" s="26"/>
      <c r="F4" s="27" t="s">
        <v>11</v>
      </c>
      <c r="G4" s="28"/>
      <c r="H4" s="24">
        <f>H2*11%</f>
        <v>100139.6</v>
      </c>
    </row>
    <row r="5" ht="26" spans="1:8">
      <c r="A5" s="11" t="s">
        <v>7</v>
      </c>
      <c r="B5" s="12"/>
      <c r="C5" s="12"/>
      <c r="D5" s="12"/>
      <c r="E5" s="27">
        <f>SUM(H2:H4)</f>
        <v>1010499.6</v>
      </c>
      <c r="F5" s="29"/>
      <c r="G5" s="29"/>
      <c r="H5" s="28"/>
    </row>
    <row r="6" ht="168" customHeight="1" spans="1:8">
      <c r="A6" s="3"/>
      <c r="B6" s="15"/>
      <c r="C6" s="5"/>
      <c r="D6" s="6"/>
      <c r="E6" s="30"/>
      <c r="F6" s="21"/>
      <c r="G6" s="21"/>
      <c r="H6" s="31"/>
    </row>
    <row r="7" ht="26" spans="1:8">
      <c r="A7" s="11" t="s">
        <v>6</v>
      </c>
      <c r="B7" s="12"/>
      <c r="C7" s="13"/>
      <c r="D7" s="16"/>
      <c r="E7" s="26"/>
      <c r="F7" s="27" t="s">
        <v>11</v>
      </c>
      <c r="G7" s="28"/>
      <c r="H7" s="24"/>
    </row>
    <row r="8" ht="26" spans="1:8">
      <c r="A8" s="11" t="s">
        <v>7</v>
      </c>
      <c r="B8" s="12"/>
      <c r="C8" s="12"/>
      <c r="D8" s="12"/>
      <c r="E8" s="27">
        <f>SUM(H6:H7)</f>
        <v>0</v>
      </c>
      <c r="F8" s="29"/>
      <c r="G8" s="29"/>
      <c r="H8" s="28"/>
    </row>
    <row r="9" ht="26" customHeight="1" spans="1:8">
      <c r="A9" s="17" t="s">
        <v>12</v>
      </c>
      <c r="B9" s="18"/>
      <c r="C9" s="18"/>
      <c r="D9" s="19"/>
      <c r="E9" s="32">
        <f>E5+E8</f>
        <v>1010499.6</v>
      </c>
      <c r="F9" s="33"/>
      <c r="G9" s="33"/>
      <c r="H9" s="34"/>
    </row>
  </sheetData>
  <mergeCells count="13">
    <mergeCell ref="A4:C4"/>
    <mergeCell ref="F4:G4"/>
    <mergeCell ref="A5:D5"/>
    <mergeCell ref="E5:H5"/>
    <mergeCell ref="A7:C7"/>
    <mergeCell ref="F7:G7"/>
    <mergeCell ref="A8:D8"/>
    <mergeCell ref="E8:H8"/>
    <mergeCell ref="A9:D9"/>
    <mergeCell ref="E9:H9"/>
    <mergeCell ref="B2:B3"/>
    <mergeCell ref="E2:E3"/>
    <mergeCell ref="H2:H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PT. PRASIDA LANTUR MAJU (Wine)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2026-01-31T19:30:15Z</dcterms:created>
  <dcterms:modified xsi:type="dcterms:W3CDTF">2026-01-31T19:30:40Z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1F3E93BB01B5A03BC7E77D69DCF52C5A_41</vt:lpwstr>
  </property>
  <property fmtid="{D5CDD505-2E9C-101B-9397-08002B2CF9AE}" pid="3" name="KSOProductBuildVer">
    <vt:lpwstr>1033-12.1.23155.23155</vt:lpwstr>
  </property>
</Properties>
</file>