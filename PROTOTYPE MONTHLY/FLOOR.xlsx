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140" windowHeight="17020" firstSheet="3" activeTab="5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<sst xmlns="http://schemas.openxmlformats.org/spreadsheetml/2006/main" count="55" uniqueCount="23">
  <si>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</si>
  <si>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</si>
  <si>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</si>
  <si>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</si>
  <si>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</si>
  <si>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</si>
  <si>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</si>
  <si>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</si>
  <si>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GRAND TOTAL</t>
  </si>
  <si>
    <t>SEE-U HTM DE / ECONO RED / 20 PK FSC MIX 85% / SUHT-046NN</t>
  </si>
  <si>
    <t>SALES PRICE</t>
  </si>
  <si>
    <t>PPN</t>
  </si>
  <si>
    <t>PPh 22</t>
  </si>
  <si>
    <t>QTY</t>
  </si>
  <si>
    <t>DESCRIPTION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</si>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</sst>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[$Rp-421]#,##0.00;[Red][$Rp-421]#,##0.00"/>
    <numFmt numFmtId="183" formatCode="0;[Red]0"/>
    <numFmt numFmtId="184" formatCode="dd\-mmm"/>
    <numFmt numFmtId="185" formatCode="_ [$IDR]\ * #,##0_ ;_ [$IDR]\ * \-#,##0_ ;_ [$IDR]\ * &quot;-&quot;_ ;_ @_ "/>
    <numFmt numFmtId="186" formatCode="[$Rp-421]#,##0.0000;[Red][$Rp-421]#,##0.0000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6" applyNumberFormat="0" applyAlignment="0" applyProtection="0">
      <alignment vertical="center"/>
    </xf>
    <xf numFmtId="0" fontId="23" fillId="8" borderId="17" applyNumberFormat="0" applyAlignment="0" applyProtection="0">
      <alignment vertical="center"/>
    </xf>
    <xf numFmtId="0" fontId="24" fillId="8" borderId="16" applyNumberFormat="0" applyAlignment="0" applyProtection="0">
      <alignment vertical="center"/>
    </xf>
    <xf numFmtId="0" fontId="25" fillId="9" borderId="18" applyNumberFormat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3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80" fontId="0" fillId="3" borderId="1" xfId="0" applyNumberFormat="1" applyFill="1" applyBorder="1" applyAlignment="1">
      <alignment horizontal="left" vertical="center"/>
    </xf>
    <xf numFmtId="180" fontId="0" fillId="3" borderId="1" xfId="0" applyNumberFormat="1" applyFill="1" applyBorder="1"/>
    <xf numFmtId="180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81" fontId="0" fillId="0" borderId="0" xfId="0" applyNumberFormat="1" applyFill="1" applyAlignment="1">
      <alignment vertical="center"/>
    </xf>
    <xf numFmtId="0" fontId="0" fillId="0" borderId="0" xfId="0" applyFill="1" applyAlignment="1">
      <alignment horizontal="center" vertical="center"/>
    </xf>
    <xf numFmtId="182" fontId="0" fillId="0" borderId="0" xfId="0" applyNumberFormat="1" applyFill="1" applyAlignment="1">
      <alignment vertical="center"/>
    </xf>
    <xf numFmtId="18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81" fontId="2" fillId="3" borderId="1" xfId="0" applyNumberFormat="1" applyFont="1" applyFill="1" applyBorder="1" applyAlignment="1">
      <alignment horizontal="center" vertical="center"/>
    </xf>
    <xf numFmtId="180" fontId="2" fillId="3" borderId="2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3" xfId="0" applyNumberFormat="1" applyFont="1" applyFill="1" applyBorder="1" applyAlignment="1">
      <alignment horizontal="center" vertical="center"/>
    </xf>
    <xf numFmtId="181" fontId="3" fillId="3" borderId="4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vertical="center" wrapText="1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4" xfId="0" applyNumberFormat="1" applyFont="1" applyFill="1" applyBorder="1" applyAlignment="1">
      <alignment horizontal="center" vertical="center"/>
    </xf>
    <xf numFmtId="181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vertical="center"/>
    </xf>
    <xf numFmtId="0" fontId="3" fillId="3" borderId="6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vertical="center"/>
    </xf>
    <xf numFmtId="0" fontId="3" fillId="3" borderId="8" xfId="0" applyNumberFormat="1" applyFont="1" applyFill="1" applyBorder="1" applyAlignment="1">
      <alignment vertical="center"/>
    </xf>
    <xf numFmtId="0" fontId="3" fillId="3" borderId="1" xfId="0" applyNumberFormat="1" applyFont="1" applyFill="1" applyBorder="1" applyAlignment="1">
      <alignment vertical="center"/>
    </xf>
    <xf numFmtId="181" fontId="3" fillId="3" borderId="1" xfId="0" applyNumberFormat="1" applyFont="1" applyFill="1" applyBorder="1" applyAlignment="1">
      <alignment horizontal="center" vertical="center"/>
    </xf>
    <xf numFmtId="0" fontId="3" fillId="3" borderId="8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82" fontId="1" fillId="4" borderId="1" xfId="0" applyNumberFormat="1" applyFont="1" applyFill="1" applyBorder="1" applyAlignment="1">
      <alignment vertical="center"/>
    </xf>
    <xf numFmtId="182" fontId="2" fillId="3" borderId="1" xfId="0" applyNumberFormat="1" applyFont="1" applyFill="1" applyBorder="1" applyAlignment="1">
      <alignment vertical="center"/>
    </xf>
    <xf numFmtId="182" fontId="2" fillId="3" borderId="9" xfId="0" applyNumberFormat="1" applyFont="1" applyFill="1" applyBorder="1" applyAlignment="1">
      <alignment vertical="center"/>
    </xf>
    <xf numFmtId="182" fontId="3" fillId="3" borderId="4" xfId="0" applyNumberFormat="1" applyFont="1" applyFill="1" applyBorder="1" applyAlignment="1">
      <alignment vertical="center"/>
    </xf>
    <xf numFmtId="182" fontId="3" fillId="3" borderId="1" xfId="0" applyNumberFormat="1" applyFont="1" applyFill="1" applyBorder="1" applyAlignment="1">
      <alignment vertical="center"/>
    </xf>
    <xf numFmtId="182" fontId="2" fillId="3" borderId="3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183" fontId="0" fillId="0" borderId="0" xfId="0" applyNumberForma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3" fontId="5" fillId="4" borderId="1" xfId="0" applyNumberFormat="1" applyFont="1" applyFill="1" applyBorder="1" applyAlignment="1">
      <alignment horizontal="center" vertical="center"/>
    </xf>
    <xf numFmtId="184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185" fontId="0" fillId="0" borderId="1" xfId="0" applyNumberFormat="1" applyFill="1" applyBorder="1" applyAlignment="1">
      <alignment vertical="center"/>
    </xf>
    <xf numFmtId="183" fontId="0" fillId="0" borderId="1" xfId="0" applyNumberFormat="1" applyFill="1" applyBorder="1" applyAlignment="1">
      <alignment horizontal="center" vertical="center"/>
    </xf>
    <xf numFmtId="185" fontId="0" fillId="0" borderId="2" xfId="0" applyNumberFormat="1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vertical="center"/>
    </xf>
    <xf numFmtId="180" fontId="0" fillId="0" borderId="2" xfId="0" applyNumberFormat="1" applyFill="1" applyBorder="1" applyAlignment="1">
      <alignment vertical="center"/>
    </xf>
    <xf numFmtId="0" fontId="0" fillId="0" borderId="0" xfId="0" applyAlignment="1"/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80" fontId="0" fillId="3" borderId="4" xfId="0" applyNumberFormat="1" applyFill="1" applyBorder="1" applyAlignment="1">
      <alignment vertical="center" wrapText="1"/>
    </xf>
    <xf numFmtId="0" fontId="0" fillId="0" borderId="4" xfId="0" applyNumberFormat="1" applyFill="1" applyBorder="1" applyAlignment="1">
      <alignment horizontal="center" vertical="center"/>
    </xf>
    <xf numFmtId="180" fontId="0" fillId="3" borderId="6" xfId="0" applyNumberFormat="1" applyFill="1" applyBorder="1" applyAlignment="1">
      <alignment vertical="center" wrapText="1"/>
    </xf>
    <xf numFmtId="0" fontId="0" fillId="0" borderId="6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4" fontId="0" fillId="3" borderId="2" xfId="0" applyNumberForma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0" fontId="7" fillId="5" borderId="10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6" fillId="4" borderId="1" xfId="0" applyFon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86" fontId="0" fillId="0" borderId="4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86" fontId="0" fillId="0" borderId="6" xfId="0" applyNumberFormat="1" applyFill="1" applyBorder="1" applyAlignment="1">
      <alignment horizontal="center" vertical="center"/>
    </xf>
    <xf numFmtId="186" fontId="0" fillId="0" borderId="1" xfId="0" applyNumberFormat="1" applyBorder="1" applyAlignment="1">
      <alignment horizontal="center"/>
    </xf>
    <xf numFmtId="182" fontId="0" fillId="0" borderId="1" xfId="0" applyNumberFormat="1" applyBorder="1" applyAlignment="1"/>
    <xf numFmtId="180" fontId="0" fillId="0" borderId="1" xfId="0" applyNumberFormat="1" applyBorder="1" applyAlignment="1"/>
    <xf numFmtId="186" fontId="0" fillId="0" borderId="1" xfId="0" applyNumberFormat="1" applyBorder="1" applyAlignment="1"/>
    <xf numFmtId="0" fontId="0" fillId="0" borderId="1" xfId="0" applyFill="1" applyBorder="1" applyAlignment="1">
      <alignment vertical="center"/>
    </xf>
    <xf numFmtId="186" fontId="0" fillId="0" borderId="1" xfId="0" applyNumberFormat="1" applyFill="1" applyBorder="1" applyAlignment="1">
      <alignment vertical="center"/>
    </xf>
    <xf numFmtId="180" fontId="0" fillId="0" borderId="6" xfId="0" applyNumberFormat="1" applyBorder="1" applyAlignment="1">
      <alignment horizontal="center"/>
    </xf>
    <xf numFmtId="186" fontId="0" fillId="0" borderId="9" xfId="0" applyNumberFormat="1" applyBorder="1" applyAlignment="1"/>
    <xf numFmtId="180" fontId="8" fillId="5" borderId="9" xfId="0" applyNumberFormat="1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8" fillId="5" borderId="2" xfId="0" applyFont="1" applyFill="1" applyBorder="1" applyAlignment="1"/>
    <xf numFmtId="182" fontId="0" fillId="0" borderId="0" xfId="0" applyNumberFormat="1"/>
    <xf numFmtId="0" fontId="9" fillId="0" borderId="0" xfId="0" applyFont="1" applyFill="1" applyAlignment="1">
      <alignment vertical="center"/>
    </xf>
    <xf numFmtId="0" fontId="9" fillId="0" borderId="0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9" fillId="0" borderId="0" xfId="0" applyFont="1"/>
    <xf numFmtId="182" fontId="9" fillId="0" borderId="0" xfId="0" applyNumberFormat="1" applyFont="1"/>
    <xf numFmtId="182" fontId="9" fillId="0" borderId="0" xfId="0" applyNumberFormat="1" applyFont="1" applyAlignme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81" fontId="2" fillId="3" borderId="1" xfId="0" applyNumberFormat="1" applyFont="1" applyFill="1" applyBorder="1" applyAlignment="1">
      <alignment vertical="center"/>
    </xf>
    <xf numFmtId="0" fontId="2" fillId="3" borderId="1" xfId="0" applyNumberFormat="1" applyFont="1" applyFill="1" applyBorder="1" applyAlignment="1">
      <alignment vertical="center"/>
    </xf>
    <xf numFmtId="180" fontId="2" fillId="3" borderId="1" xfId="0" applyNumberFormat="1" applyFont="1" applyFill="1" applyBorder="1" applyAlignment="1">
      <alignment vertical="center" wrapText="1"/>
    </xf>
    <xf numFmtId="0" fontId="2" fillId="3" borderId="1" xfId="0" applyNumberFormat="1" applyFont="1" applyFill="1" applyBorder="1" applyAlignment="1">
      <alignment vertical="center" wrapText="1"/>
    </xf>
    <xf numFmtId="181" fontId="9" fillId="3" borderId="1" xfId="0" applyNumberFormat="1" applyFont="1" applyFill="1" applyBorder="1" applyAlignment="1">
      <alignment vertical="center"/>
    </xf>
    <xf numFmtId="0" fontId="9" fillId="3" borderId="1" xfId="0" applyNumberFormat="1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180" fontId="9" fillId="3" borderId="1" xfId="0" applyNumberFormat="1" applyFont="1" applyFill="1" applyBorder="1" applyAlignment="1">
      <alignment vertical="center" wrapText="1"/>
    </xf>
    <xf numFmtId="181" fontId="9" fillId="3" borderId="6" xfId="0" applyNumberFormat="1" applyFont="1" applyFill="1" applyBorder="1" applyAlignment="1">
      <alignment horizontal="center" vertical="center"/>
    </xf>
    <xf numFmtId="0" fontId="9" fillId="3" borderId="6" xfId="0" applyNumberFormat="1" applyFont="1" applyFill="1" applyBorder="1" applyAlignment="1">
      <alignment vertical="center"/>
    </xf>
    <xf numFmtId="180" fontId="9" fillId="3" borderId="6" xfId="0" applyNumberFormat="1" applyFont="1" applyFill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vertical="center"/>
    </xf>
    <xf numFmtId="182" fontId="10" fillId="4" borderId="1" xfId="0" applyNumberFormat="1" applyFont="1" applyFill="1" applyBorder="1" applyAlignment="1">
      <alignment horizontal="center" vertical="center"/>
    </xf>
    <xf numFmtId="182" fontId="10" fillId="4" borderId="1" xfId="0" applyNumberFormat="1" applyFont="1" applyFill="1" applyBorder="1" applyAlignment="1">
      <alignment vertical="center"/>
    </xf>
    <xf numFmtId="180" fontId="2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82" fontId="9" fillId="3" borderId="1" xfId="0" applyNumberFormat="1" applyFont="1" applyFill="1" applyBorder="1" applyAlignment="1">
      <alignment vertical="center"/>
    </xf>
    <xf numFmtId="0" fontId="10" fillId="3" borderId="6" xfId="0" applyFont="1" applyFill="1" applyBorder="1" applyAlignment="1">
      <alignment vertical="center"/>
    </xf>
    <xf numFmtId="182" fontId="9" fillId="3" borderId="6" xfId="0" applyNumberFormat="1" applyFont="1" applyFill="1" applyBorder="1" applyAlignment="1">
      <alignment vertical="center"/>
    </xf>
    <xf numFmtId="0" fontId="10" fillId="3" borderId="6" xfId="0" applyFont="1" applyFill="1" applyBorder="1" applyAlignment="1">
      <alignment horizontal="center" vertical="center"/>
    </xf>
    <xf numFmtId="182" fontId="9" fillId="3" borderId="1" xfId="0" applyNumberFormat="1" applyFont="1" applyFill="1" applyBorder="1" applyAlignment="1">
      <alignment horizontal="center" vertical="center"/>
    </xf>
    <xf numFmtId="182" fontId="9" fillId="0" borderId="1" xfId="0" applyNumberFormat="1" applyFont="1" applyFill="1" applyBorder="1" applyAlignment="1">
      <alignment horizontal="center" vertical="center"/>
    </xf>
    <xf numFmtId="182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vertical="center"/>
    </xf>
    <xf numFmtId="0" fontId="9" fillId="4" borderId="9" xfId="0" applyNumberFormat="1" applyFont="1" applyFill="1" applyBorder="1" applyAlignment="1">
      <alignment horizontal="center" vertical="center"/>
    </xf>
    <xf numFmtId="0" fontId="9" fillId="4" borderId="10" xfId="0" applyNumberFormat="1" applyFont="1" applyFill="1" applyBorder="1" applyAlignment="1">
      <alignment horizontal="center" vertical="center"/>
    </xf>
    <xf numFmtId="185" fontId="9" fillId="3" borderId="1" xfId="0" applyNumberFormat="1" applyFont="1" applyFill="1" applyBorder="1" applyAlignment="1">
      <alignment vertical="center"/>
    </xf>
    <xf numFmtId="180" fontId="9" fillId="3" borderId="1" xfId="0" applyNumberFormat="1" applyFont="1" applyFill="1" applyBorder="1" applyAlignment="1">
      <alignment vertical="center"/>
    </xf>
    <xf numFmtId="0" fontId="9" fillId="4" borderId="2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70" zoomScaleNormal="70" workbookViewId="0">
      <pane ySplit="1" topLeftCell="A2" activePane="bottomLeft" state="frozen"/>
      <selection/>
      <selection pane="bottomLeft" activeCell="H11" sqref="H11"/>
    </sheetView>
  </sheetViews>
  <sheetFormatPr defaultColWidth="9.140625" defaultRowHeight="20.4" outlineLevelCol="7"/>
  <cols>
    <col min="1" max="1" width="17.4296875" style="97"/>
    <col min="2" max="2" width="13.4296875" style="97" customWidth="1"/>
    <col min="3" max="3" width="36" style="97" customWidth="1"/>
    <col min="4" max="4" width="21.2890625" style="95" customWidth="1"/>
    <col min="5" max="5" width="33.2890625" style="97" customWidth="1"/>
    <col min="6" max="6" width="17.2890625" style="97" customWidth="1"/>
    <col min="7" max="8" width="20.859375" style="97" customWidth="1"/>
    <col min="9" max="9" width="12.859375" style="97"/>
    <col min="10" max="10" width="15" style="97"/>
    <col min="11" max="16384" width="18.0390625" style="97"/>
  </cols>
  <sheetData>
    <row r="1" s="93" customFormat="1" spans="1:8">
      <c r="A1" s="128" t="s">
        <v>0</v>
      </c>
      <c r="B1" s="129" t="s">
        <v>1</v>
      </c>
      <c r="C1" s="129" t="s">
        <v>2</v>
      </c>
      <c r="D1" s="129" t="s">
        <v>3</v>
      </c>
      <c r="E1" s="129" t="s">
        <v>4</v>
      </c>
      <c r="F1" s="129" t="s">
        <v>5</v>
      </c>
      <c r="G1" s="129" t="s">
        <v>6</v>
      </c>
      <c r="H1" s="129" t="s">
        <v>7</v>
      </c>
    </row>
    <row r="2" s="93" customFormat="1" spans="1:8">
      <c r="A2" s="106"/>
      <c r="B2" s="107"/>
      <c r="C2" s="109"/>
      <c r="D2" s="130"/>
      <c r="E2" s="120"/>
      <c r="F2" s="133"/>
      <c r="G2" s="133">
        <f>SUM(D2*F2)</f>
        <v>0</v>
      </c>
      <c r="H2" s="133"/>
    </row>
    <row r="3" s="93" customFormat="1" spans="1:8">
      <c r="A3" s="106"/>
      <c r="B3" s="107"/>
      <c r="C3" s="109"/>
      <c r="D3" s="130"/>
      <c r="E3" s="120"/>
      <c r="F3" s="133"/>
      <c r="G3" s="133">
        <f>SUM(D3*F3)</f>
        <v>0</v>
      </c>
      <c r="H3" s="133"/>
    </row>
    <row r="4" s="93" customFormat="1" spans="1:8">
      <c r="A4" s="106"/>
      <c r="B4" s="107"/>
      <c r="C4" s="109"/>
      <c r="D4" s="130"/>
      <c r="E4" s="120"/>
      <c r="F4" s="133"/>
      <c r="G4" s="133">
        <f>SUM(D4*F4)</f>
        <v>0</v>
      </c>
      <c r="H4" s="133"/>
    </row>
    <row r="5" s="93" customFormat="1" spans="1:8">
      <c r="A5" s="106"/>
      <c r="B5" s="107"/>
      <c r="C5" s="107"/>
      <c r="D5" s="107"/>
      <c r="E5" s="120"/>
      <c r="F5" s="134"/>
      <c r="G5" s="133">
        <f>SUM(D5*F5)</f>
        <v>0</v>
      </c>
      <c r="H5" s="133"/>
    </row>
    <row r="6" s="93" customFormat="1" spans="1:8">
      <c r="A6" s="106"/>
      <c r="B6" s="107"/>
      <c r="C6" s="107"/>
      <c r="D6" s="107"/>
      <c r="E6" s="120"/>
      <c r="F6" s="134"/>
      <c r="G6" s="133">
        <f>SUM(D6*F6)</f>
        <v>0</v>
      </c>
      <c r="H6" s="133"/>
    </row>
    <row r="7" s="93" customFormat="1" spans="1:8">
      <c r="A7" s="106"/>
      <c r="B7" s="107"/>
      <c r="C7" s="107"/>
      <c r="D7" s="107"/>
      <c r="E7" s="120"/>
      <c r="F7" s="134"/>
      <c r="G7" s="133">
        <f>SUM(D7*F7)</f>
        <v>0</v>
      </c>
      <c r="H7" s="133"/>
    </row>
    <row r="8" s="93" customFormat="1" spans="1:8">
      <c r="A8" s="106"/>
      <c r="B8" s="107"/>
      <c r="C8" s="107"/>
      <c r="D8" s="107"/>
      <c r="E8" s="120"/>
      <c r="F8" s="134"/>
      <c r="G8" s="133">
        <f>SUM(D8*F8)</f>
        <v>0</v>
      </c>
      <c r="H8" s="133"/>
    </row>
    <row r="9" s="93" customFormat="1" spans="1:8">
      <c r="A9" s="106"/>
      <c r="B9" s="107"/>
      <c r="C9" s="107"/>
      <c r="D9" s="107"/>
      <c r="E9" s="120"/>
      <c r="F9" s="134"/>
      <c r="G9" s="133">
        <f>SUM(D9*F9)</f>
        <v>0</v>
      </c>
      <c r="H9" s="133"/>
    </row>
    <row r="10" s="93" customFormat="1" spans="1:8">
      <c r="A10" s="106"/>
      <c r="B10" s="107"/>
      <c r="C10" s="107"/>
      <c r="D10" s="107"/>
      <c r="E10" s="120"/>
      <c r="F10" s="134"/>
      <c r="G10" s="133">
        <f>SUM(D10*F10)</f>
        <v>0</v>
      </c>
      <c r="H10" s="133"/>
    </row>
    <row r="11" s="93" customFormat="1" spans="1:8">
      <c r="A11" s="106"/>
      <c r="B11" s="107"/>
      <c r="C11" s="107"/>
      <c r="D11" s="107"/>
      <c r="E11" s="120"/>
      <c r="F11" s="134"/>
      <c r="G11" s="133">
        <f>SUM(D11*F11)</f>
        <v>0</v>
      </c>
      <c r="H11" s="133"/>
    </row>
    <row r="12" s="93" customFormat="1" spans="1:8">
      <c r="A12" s="131" t="s">
        <v>8</v>
      </c>
      <c r="B12" s="132"/>
      <c r="C12" s="132"/>
      <c r="D12" s="132"/>
      <c r="E12" s="132"/>
      <c r="F12" s="132"/>
      <c r="G12" s="135"/>
      <c r="H12" s="136">
        <f>SUM(H2:H11)</f>
        <v>0</v>
      </c>
    </row>
  </sheetData>
  <mergeCells count="1">
    <mergeCell ref="A12:G1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69" zoomScaleNormal="69" topLeftCell="E1" workbookViewId="0">
      <pane ySplit="1" topLeftCell="A8" activePane="bottomLeft" state="frozen"/>
      <selection/>
      <selection pane="bottomLeft" activeCell="G15" sqref="G15"/>
    </sheetView>
  </sheetViews>
  <sheetFormatPr defaultColWidth="9.140625" defaultRowHeight="20.4" outlineLevelCol="7"/>
  <cols>
    <col min="1" max="1" width="19.859375" style="95"/>
    <col min="2" max="2" width="21.6875" style="95" customWidth="1"/>
    <col min="3" max="3" width="43.0390625" style="96" customWidth="1"/>
    <col min="4" max="4" width="14.4296875" style="95" customWidth="1"/>
    <col min="5" max="5" width="58.9609375" style="97" customWidth="1"/>
    <col min="6" max="6" width="19.5234375" style="98" customWidth="1"/>
    <col min="7" max="7" width="20.859375" style="98" customWidth="1"/>
    <col min="8" max="8" width="20.859375" style="99" customWidth="1"/>
    <col min="9" max="9" width="12.859375" style="97"/>
    <col min="10" max="16384" width="9.140625" style="97"/>
  </cols>
  <sheetData>
    <row r="1" s="93" customFormat="1" spans="1:8">
      <c r="A1" s="100" t="s">
        <v>0</v>
      </c>
      <c r="B1" s="101" t="s">
        <v>1</v>
      </c>
      <c r="C1" s="101" t="s">
        <v>2</v>
      </c>
      <c r="D1" s="101" t="s">
        <v>3</v>
      </c>
      <c r="E1" s="101" t="s">
        <v>4</v>
      </c>
      <c r="F1" s="117" t="s">
        <v>5</v>
      </c>
      <c r="G1" s="117" t="s">
        <v>6</v>
      </c>
      <c r="H1" s="118" t="s">
        <v>7</v>
      </c>
    </row>
    <row r="2" s="93" customFormat="1" ht="23.2" spans="1:8">
      <c r="A2" s="102"/>
      <c r="B2" s="103"/>
      <c r="C2" s="104"/>
      <c r="D2" s="105"/>
      <c r="E2" s="103"/>
      <c r="F2" s="119"/>
      <c r="G2" s="119">
        <f>D2*F2</f>
        <v>0</v>
      </c>
      <c r="H2" s="119"/>
    </row>
    <row r="3" s="93" customFormat="1" ht="23.2" spans="1:8">
      <c r="A3" s="102"/>
      <c r="B3" s="103"/>
      <c r="C3" s="104"/>
      <c r="D3" s="105"/>
      <c r="E3" s="103"/>
      <c r="F3" s="119"/>
      <c r="G3" s="119">
        <f>D3*F3</f>
        <v>0</v>
      </c>
      <c r="H3" s="119"/>
    </row>
    <row r="4" s="93" customFormat="1" spans="1:8">
      <c r="A4" s="106"/>
      <c r="B4" s="107"/>
      <c r="C4" s="108"/>
      <c r="D4" s="108"/>
      <c r="E4" s="120"/>
      <c r="F4" s="121"/>
      <c r="G4" s="121">
        <f>D4*F4</f>
        <v>0</v>
      </c>
      <c r="H4" s="121"/>
    </row>
    <row r="5" s="93" customFormat="1" spans="1:8">
      <c r="A5" s="106"/>
      <c r="B5" s="107"/>
      <c r="C5" s="109"/>
      <c r="D5" s="108"/>
      <c r="E5" s="120"/>
      <c r="F5" s="121"/>
      <c r="G5" s="121">
        <f>D5*F5</f>
        <v>0</v>
      </c>
      <c r="H5" s="121"/>
    </row>
    <row r="6" s="94" customFormat="1" spans="1:8">
      <c r="A6" s="106"/>
      <c r="B6" s="107"/>
      <c r="C6" s="109"/>
      <c r="D6" s="108"/>
      <c r="E6" s="120"/>
      <c r="F6" s="121"/>
      <c r="G6" s="121">
        <f>D6*F6</f>
        <v>0</v>
      </c>
      <c r="H6" s="121"/>
    </row>
    <row r="7" s="94" customFormat="1" spans="1:8">
      <c r="A7" s="106"/>
      <c r="B7" s="107"/>
      <c r="C7" s="109"/>
      <c r="D7" s="108"/>
      <c r="E7" s="120"/>
      <c r="F7" s="121"/>
      <c r="G7" s="121">
        <f t="shared" ref="G7:G14" si="0">F7*D7</f>
        <v>0</v>
      </c>
      <c r="H7" s="121"/>
    </row>
    <row r="8" s="94" customFormat="1" spans="1:8">
      <c r="A8" s="106"/>
      <c r="B8" s="107"/>
      <c r="C8" s="109"/>
      <c r="D8" s="108"/>
      <c r="E8" s="120"/>
      <c r="F8" s="121"/>
      <c r="G8" s="121">
        <f t="shared" si="0"/>
        <v>0</v>
      </c>
      <c r="H8" s="121"/>
    </row>
    <row r="9" s="94" customFormat="1" spans="1:8">
      <c r="A9" s="106"/>
      <c r="B9" s="107"/>
      <c r="C9" s="109"/>
      <c r="D9" s="108"/>
      <c r="E9" s="120"/>
      <c r="F9" s="121"/>
      <c r="G9" s="121">
        <f t="shared" si="0"/>
        <v>0</v>
      </c>
      <c r="H9" s="121"/>
    </row>
    <row r="10" s="93" customFormat="1" spans="1:8">
      <c r="A10" s="106"/>
      <c r="B10" s="107"/>
      <c r="C10" s="109"/>
      <c r="D10" s="108"/>
      <c r="E10" s="120"/>
      <c r="F10" s="121"/>
      <c r="G10" s="121">
        <f t="shared" si="0"/>
        <v>0</v>
      </c>
      <c r="H10" s="121"/>
    </row>
    <row r="11" s="93" customFormat="1" spans="1:8">
      <c r="A11" s="106"/>
      <c r="B11" s="107"/>
      <c r="C11" s="109"/>
      <c r="D11" s="108"/>
      <c r="E11" s="120"/>
      <c r="F11" s="121"/>
      <c r="G11" s="121">
        <f t="shared" si="0"/>
        <v>0</v>
      </c>
      <c r="H11" s="121"/>
    </row>
    <row r="12" s="93" customFormat="1" spans="1:8">
      <c r="A12" s="106"/>
      <c r="B12" s="107"/>
      <c r="C12" s="109"/>
      <c r="D12" s="108"/>
      <c r="E12" s="120"/>
      <c r="F12" s="121"/>
      <c r="G12" s="121">
        <f t="shared" si="0"/>
        <v>0</v>
      </c>
      <c r="H12" s="121"/>
    </row>
    <row r="13" s="93" customFormat="1" spans="1:8">
      <c r="A13" s="106"/>
      <c r="B13" s="107"/>
      <c r="C13" s="109"/>
      <c r="D13" s="108"/>
      <c r="E13" s="120"/>
      <c r="F13" s="121"/>
      <c r="G13" s="121">
        <f t="shared" si="0"/>
        <v>0</v>
      </c>
      <c r="H13" s="121"/>
    </row>
    <row r="14" s="93" customFormat="1" spans="1:8">
      <c r="A14" s="106"/>
      <c r="B14" s="107"/>
      <c r="C14" s="109"/>
      <c r="D14" s="108"/>
      <c r="E14" s="120"/>
      <c r="F14" s="121"/>
      <c r="G14" s="121">
        <f t="shared" si="0"/>
        <v>0</v>
      </c>
      <c r="H14" s="121"/>
    </row>
    <row r="15" s="93" customFormat="1" spans="1:8">
      <c r="A15" s="110"/>
      <c r="B15" s="111"/>
      <c r="C15" s="112"/>
      <c r="D15" s="113"/>
      <c r="E15" s="122"/>
      <c r="F15" s="121"/>
      <c r="G15" s="121">
        <f>F15*D15</f>
        <v>0</v>
      </c>
      <c r="H15" s="123"/>
    </row>
    <row r="16" s="93" customFormat="1" spans="1:8">
      <c r="A16" s="110"/>
      <c r="B16" s="111"/>
      <c r="C16" s="112"/>
      <c r="D16" s="113"/>
      <c r="E16" s="122"/>
      <c r="F16" s="121"/>
      <c r="G16" s="121">
        <f>F16*D16</f>
        <v>0</v>
      </c>
      <c r="H16" s="123"/>
    </row>
    <row r="17" s="93" customFormat="1" spans="1:8">
      <c r="A17" s="110"/>
      <c r="B17" s="111"/>
      <c r="C17" s="112"/>
      <c r="D17" s="113"/>
      <c r="E17" s="122"/>
      <c r="F17" s="121"/>
      <c r="G17" s="121">
        <f>F17*D17</f>
        <v>0</v>
      </c>
      <c r="H17" s="123"/>
    </row>
    <row r="18" s="93" customFormat="1" spans="1:8">
      <c r="A18" s="110"/>
      <c r="B18" s="114"/>
      <c r="C18" s="112"/>
      <c r="D18" s="113"/>
      <c r="E18" s="124"/>
      <c r="F18" s="125"/>
      <c r="G18" s="121">
        <f>F18*D18</f>
        <v>0</v>
      </c>
      <c r="H18" s="123"/>
    </row>
    <row r="19" s="93" customFormat="1" spans="1:8">
      <c r="A19" s="115"/>
      <c r="B19" s="115"/>
      <c r="C19" s="116"/>
      <c r="D19" s="115"/>
      <c r="E19" s="115"/>
      <c r="F19" s="126"/>
      <c r="G19" s="127"/>
      <c r="H19" s="127">
        <f>SUM(H2:H18)</f>
        <v>0</v>
      </c>
    </row>
  </sheetData>
  <mergeCells count="1">
    <mergeCell ref="A19:E1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pane ySplit="1" topLeftCell="A2" activePane="bottomLeft" state="frozen"/>
      <selection/>
      <selection pane="bottomLeft" activeCell="D2" sqref="D2:D3"/>
    </sheetView>
  </sheetViews>
  <sheetFormatPr defaultColWidth="9.140625" defaultRowHeight="16.8"/>
  <cols>
    <col min="1" max="1" width="11.7109375" customWidth="1"/>
    <col min="2" max="2" width="22.140625" style="1" customWidth="1"/>
    <col min="3" max="3" width="22.5703125" customWidth="1"/>
    <col min="4" max="4" width="17.5703125" customWidth="1"/>
    <col min="5" max="5" width="34.5703125" customWidth="1"/>
    <col min="6" max="6" width="19.4296875" customWidth="1"/>
    <col min="7" max="7" width="17.2890625" style="56" customWidth="1"/>
    <col min="9" max="9" width="13.0625"/>
  </cols>
  <sheetData>
    <row r="1" ht="16" customHeight="1" spans="1:7">
      <c r="A1" s="57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76" t="s">
        <v>7</v>
      </c>
    </row>
    <row r="2" ht="123.5" customHeight="1" spans="1:7">
      <c r="A2" s="59"/>
      <c r="B2" s="47"/>
      <c r="C2" s="60" t="s">
        <v>9</v>
      </c>
      <c r="D2" s="61"/>
      <c r="E2" s="77"/>
      <c r="F2" s="78"/>
      <c r="G2" s="79">
        <f>SUM(D2*F2)</f>
        <v>0</v>
      </c>
    </row>
    <row r="3" ht="191" customHeight="1" spans="1:7">
      <c r="A3" s="59"/>
      <c r="B3" s="47"/>
      <c r="C3" s="62"/>
      <c r="D3" s="63"/>
      <c r="E3" s="77"/>
      <c r="F3" s="80"/>
      <c r="G3" s="79"/>
    </row>
    <row r="4" spans="1:9">
      <c r="A4" s="59"/>
      <c r="B4" s="64" t="s">
        <v>10</v>
      </c>
      <c r="C4" s="64"/>
      <c r="D4" s="65"/>
      <c r="E4" s="65"/>
      <c r="F4" s="81"/>
      <c r="G4" s="82">
        <f>SUM(G2:G3)</f>
        <v>0</v>
      </c>
      <c r="I4" s="92"/>
    </row>
    <row r="5" spans="1:9">
      <c r="A5" s="59"/>
      <c r="B5" s="64" t="s">
        <v>11</v>
      </c>
      <c r="C5" s="64"/>
      <c r="D5" s="65"/>
      <c r="E5" s="65"/>
      <c r="F5" s="81"/>
      <c r="G5" s="82">
        <f>G4*11%</f>
        <v>0</v>
      </c>
      <c r="I5" s="92"/>
    </row>
    <row r="6" spans="1:7">
      <c r="A6" s="59"/>
      <c r="B6" s="64" t="s">
        <v>12</v>
      </c>
      <c r="C6" s="64"/>
      <c r="D6" s="65"/>
      <c r="E6" s="65"/>
      <c r="F6" s="81"/>
      <c r="G6" s="82">
        <f>((G4*100)/111)*0.111%</f>
        <v>0</v>
      </c>
    </row>
    <row r="7" spans="1:7">
      <c r="A7" s="59"/>
      <c r="B7" s="64" t="s">
        <v>7</v>
      </c>
      <c r="C7" s="64"/>
      <c r="D7" s="65"/>
      <c r="E7" s="83"/>
      <c r="F7" s="84"/>
      <c r="G7" s="82">
        <f>SUM(G4:G6)</f>
        <v>0</v>
      </c>
    </row>
    <row r="8" ht="318.45" customHeight="1" spans="1:7">
      <c r="A8" s="59"/>
      <c r="B8" s="66"/>
      <c r="C8" s="67"/>
      <c r="D8" s="68"/>
      <c r="E8" s="85"/>
      <c r="F8" s="86"/>
      <c r="G8" s="79">
        <f>F8*D8</f>
        <v>0</v>
      </c>
    </row>
    <row r="9" spans="1:7">
      <c r="A9" s="59"/>
      <c r="B9" s="69" t="s">
        <v>10</v>
      </c>
      <c r="C9" s="64"/>
      <c r="D9" s="65"/>
      <c r="E9" s="87"/>
      <c r="F9" s="81"/>
      <c r="G9" s="82">
        <f>SUM(G8:G8)</f>
        <v>0</v>
      </c>
    </row>
    <row r="10" spans="1:7">
      <c r="A10" s="59"/>
      <c r="B10" s="70" t="s">
        <v>11</v>
      </c>
      <c r="C10" s="69"/>
      <c r="D10" s="65"/>
      <c r="E10" s="87"/>
      <c r="F10" s="81"/>
      <c r="G10" s="82">
        <f>G9*11%</f>
        <v>0</v>
      </c>
    </row>
    <row r="11" spans="1:7">
      <c r="A11" s="59"/>
      <c r="B11" s="69" t="s">
        <v>12</v>
      </c>
      <c r="C11" s="64"/>
      <c r="D11" s="65"/>
      <c r="E11" s="87"/>
      <c r="F11" s="81"/>
      <c r="G11" s="82">
        <f>((G9*100)/111)*0.111%</f>
        <v>0</v>
      </c>
    </row>
    <row r="12" spans="1:7">
      <c r="A12" s="59"/>
      <c r="B12" s="71" t="s">
        <v>7</v>
      </c>
      <c r="C12" s="72"/>
      <c r="D12" s="65"/>
      <c r="E12" s="83"/>
      <c r="F12" s="88"/>
      <c r="G12" s="82">
        <f>SUM(G9:G11)</f>
        <v>0</v>
      </c>
    </row>
    <row r="13" spans="1:7">
      <c r="A13" s="73" t="s">
        <v>8</v>
      </c>
      <c r="B13" s="74"/>
      <c r="C13" s="74"/>
      <c r="D13" s="75"/>
      <c r="E13" s="89">
        <f>SUM(G7,G12)</f>
        <v>0</v>
      </c>
      <c r="F13" s="90"/>
      <c r="G13" s="91"/>
    </row>
  </sheetData>
  <mergeCells count="18">
    <mergeCell ref="B4:C4"/>
    <mergeCell ref="B5:C5"/>
    <mergeCell ref="B6:C6"/>
    <mergeCell ref="B7:C7"/>
    <mergeCell ref="B9:C9"/>
    <mergeCell ref="B10:C10"/>
    <mergeCell ref="B11:C11"/>
    <mergeCell ref="B12:C12"/>
    <mergeCell ref="A13:D13"/>
    <mergeCell ref="E13:G13"/>
    <mergeCell ref="A2:A7"/>
    <mergeCell ref="A8:A12"/>
    <mergeCell ref="B2:B3"/>
    <mergeCell ref="C2:C3"/>
    <mergeCell ref="D2:D3"/>
    <mergeCell ref="E2:E3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zoomScale="70" zoomScaleNormal="70" workbookViewId="0">
      <pane ySplit="1" topLeftCell="A24" activePane="bottomLeft" state="frozen"/>
      <selection/>
      <selection pane="bottomLeft" activeCell="A2" sqref="A2:D25"/>
    </sheetView>
  </sheetViews>
  <sheetFormatPr defaultColWidth="9.140625" defaultRowHeight="16.8" outlineLevelCol="3"/>
  <cols>
    <col min="1" max="1" width="10.5703125" style="12" customWidth="1"/>
    <col min="2" max="2" width="12.6015625" style="42" customWidth="1"/>
    <col min="3" max="3" width="18.828125" style="12" customWidth="1"/>
    <col min="4" max="4" width="12.2890625" style="43" customWidth="1"/>
    <col min="5" max="16384" width="9.140625" style="12"/>
  </cols>
  <sheetData>
    <row r="1" s="41" customFormat="1" ht="19" customHeight="1" spans="1:4">
      <c r="A1" s="44" t="s">
        <v>0</v>
      </c>
      <c r="B1" s="45" t="s">
        <v>1</v>
      </c>
      <c r="C1" s="44" t="s">
        <v>7</v>
      </c>
      <c r="D1" s="46" t="s">
        <v>13</v>
      </c>
    </row>
    <row r="2" s="12" customFormat="1" ht="263.65" customHeight="1" spans="1:4">
      <c r="A2" s="47"/>
      <c r="B2" s="48"/>
      <c r="C2" s="49"/>
      <c r="D2" s="50"/>
    </row>
    <row r="3" s="12" customFormat="1" ht="255.1" customHeight="1" spans="1:4">
      <c r="A3" s="47"/>
      <c r="B3" s="48"/>
      <c r="C3" s="51"/>
      <c r="D3" s="50"/>
    </row>
    <row r="4" s="12" customFormat="1" ht="249.95" customHeight="1" spans="1:4">
      <c r="A4" s="47"/>
      <c r="B4" s="48"/>
      <c r="C4" s="51"/>
      <c r="D4" s="50"/>
    </row>
    <row r="5" s="12" customFormat="1" ht="256.25" customHeight="1" spans="1:4">
      <c r="A5" s="47"/>
      <c r="B5" s="48"/>
      <c r="C5" s="51"/>
      <c r="D5" s="50"/>
    </row>
    <row r="6" s="12" customFormat="1" ht="253.85" customHeight="1" spans="1:4">
      <c r="A6" s="47"/>
      <c r="B6" s="48"/>
      <c r="C6" s="51"/>
      <c r="D6" s="50"/>
    </row>
    <row r="7" s="12" customFormat="1" ht="255.35" customHeight="1" spans="1:4">
      <c r="A7" s="47"/>
      <c r="B7" s="48"/>
      <c r="C7" s="51"/>
      <c r="D7" s="50"/>
    </row>
    <row r="8" s="12" customFormat="1" ht="266.95" customHeight="1" spans="1:4">
      <c r="A8" s="47"/>
      <c r="B8" s="48"/>
      <c r="C8" s="51"/>
      <c r="D8" s="50"/>
    </row>
    <row r="9" s="12" customFormat="1" ht="261.95" customHeight="1" spans="1:4">
      <c r="A9" s="47"/>
      <c r="B9" s="48"/>
      <c r="C9" s="51"/>
      <c r="D9" s="50"/>
    </row>
    <row r="10" s="12" customFormat="1" ht="261.9" customHeight="1" spans="1:4">
      <c r="A10" s="47"/>
      <c r="B10" s="48"/>
      <c r="C10" s="51"/>
      <c r="D10" s="50"/>
    </row>
    <row r="11" s="12" customFormat="1" ht="270.7" customHeight="1" spans="1:4">
      <c r="A11" s="47"/>
      <c r="B11" s="48"/>
      <c r="C11" s="51"/>
      <c r="D11" s="50"/>
    </row>
    <row r="12" s="12" customFormat="1" ht="261.1" customHeight="1" spans="1:4">
      <c r="A12" s="47"/>
      <c r="B12" s="48"/>
      <c r="C12" s="51"/>
      <c r="D12" s="50"/>
    </row>
    <row r="13" s="12" customFormat="1" ht="257.15" customHeight="1" spans="1:4">
      <c r="A13" s="47"/>
      <c r="B13" s="48"/>
      <c r="C13" s="51"/>
      <c r="D13" s="50"/>
    </row>
    <row r="14" s="12" customFormat="1" ht="263.55" customHeight="1" spans="1:4">
      <c r="A14" s="47"/>
      <c r="B14" s="48"/>
      <c r="C14" s="51"/>
      <c r="D14" s="50"/>
    </row>
    <row r="15" s="12" customFormat="1" ht="270.35" customHeight="1" spans="1:4">
      <c r="A15" s="47"/>
      <c r="B15" s="48"/>
      <c r="C15" s="51"/>
      <c r="D15" s="50"/>
    </row>
    <row r="16" s="12" customFormat="1" ht="261.7" customHeight="1" spans="1:4">
      <c r="A16" s="47"/>
      <c r="B16" s="48"/>
      <c r="C16" s="51"/>
      <c r="D16" s="50"/>
    </row>
    <row r="17" s="12" customFormat="1" ht="260" customHeight="1" spans="1:4">
      <c r="A17" s="47"/>
      <c r="B17" s="48"/>
      <c r="C17" s="51"/>
      <c r="D17" s="50"/>
    </row>
    <row r="18" s="12" customFormat="1" ht="289.95" customHeight="1" spans="1:4">
      <c r="A18" s="47"/>
      <c r="B18" s="48"/>
      <c r="C18" s="51"/>
      <c r="D18" s="50"/>
    </row>
    <row r="19" s="12" customFormat="1" ht="200" customHeight="1" spans="1:4">
      <c r="A19" s="47"/>
      <c r="B19" s="48"/>
      <c r="C19" s="51"/>
      <c r="D19" s="50"/>
    </row>
    <row r="20" s="12" customFormat="1" ht="200" customHeight="1" spans="1:4">
      <c r="A20" s="47"/>
      <c r="B20" s="48"/>
      <c r="C20" s="49"/>
      <c r="D20" s="50"/>
    </row>
    <row r="21" s="12" customFormat="1" ht="200" customHeight="1" spans="1:4">
      <c r="A21" s="47"/>
      <c r="B21" s="48"/>
      <c r="C21" s="49"/>
      <c r="D21" s="50"/>
    </row>
    <row r="22" s="12" customFormat="1" ht="200" customHeight="1" spans="1:4">
      <c r="A22" s="47"/>
      <c r="B22" s="48"/>
      <c r="C22" s="49"/>
      <c r="D22" s="50"/>
    </row>
    <row r="23" s="12" customFormat="1" ht="200" customHeight="1" spans="1:4">
      <c r="A23" s="47"/>
      <c r="B23" s="48"/>
      <c r="C23" s="49"/>
      <c r="D23" s="50"/>
    </row>
    <row r="24" s="12" customFormat="1" ht="200" customHeight="1" spans="1:4">
      <c r="A24" s="47"/>
      <c r="B24" s="48"/>
      <c r="C24" s="49"/>
      <c r="D24" s="50"/>
    </row>
    <row r="25" s="12" customFormat="1" ht="200" customHeight="1" spans="1:4">
      <c r="A25" s="47"/>
      <c r="B25" s="48"/>
      <c r="C25" s="49"/>
      <c r="D25" s="50"/>
    </row>
    <row r="26" s="12" customFormat="1" ht="200" customHeight="1" spans="1:4">
      <c r="A26" s="47"/>
      <c r="B26" s="48"/>
      <c r="C26" s="49"/>
      <c r="D26" s="50"/>
    </row>
    <row r="27" s="12" customFormat="1" ht="200" customHeight="1" spans="1:4">
      <c r="A27" s="47"/>
      <c r="B27" s="48"/>
      <c r="C27" s="49"/>
      <c r="D27" s="50"/>
    </row>
    <row r="28" s="12" customFormat="1" spans="1:4">
      <c r="A28" s="52"/>
      <c r="B28" s="53"/>
      <c r="C28" s="54"/>
      <c r="D28" s="55">
        <f>SUM(C:C)</f>
        <v>0</v>
      </c>
    </row>
  </sheetData>
  <mergeCells count="1">
    <mergeCell ref="A28:B28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pane xSplit="1" ySplit="1" topLeftCell="D2" activePane="bottomRight" state="frozen"/>
      <selection/>
      <selection pane="topRight"/>
      <selection pane="bottomLeft"/>
      <selection pane="bottomRight" activeCell="F18" sqref="F18"/>
    </sheetView>
  </sheetViews>
  <sheetFormatPr defaultColWidth="9.140625" defaultRowHeight="16.8" outlineLevelRow="6" outlineLevelCol="6"/>
  <cols>
    <col min="1" max="1" width="21.140625" style="13" customWidth="1"/>
    <col min="2" max="2" width="27.5703125" style="12" customWidth="1"/>
    <col min="3" max="3" width="30.75" style="14" customWidth="1"/>
    <col min="4" max="4" width="65.703125" style="12" customWidth="1"/>
    <col min="5" max="7" width="32.3359375" style="15" customWidth="1"/>
    <col min="8" max="16384" width="9.140625" style="12"/>
  </cols>
  <sheetData>
    <row r="1" s="11" customFormat="1" ht="28.8" spans="1:7">
      <c r="A1" s="16" t="s">
        <v>0</v>
      </c>
      <c r="B1" s="17" t="s">
        <v>14</v>
      </c>
      <c r="C1" s="17" t="s">
        <v>13</v>
      </c>
      <c r="D1" s="17" t="s">
        <v>4</v>
      </c>
      <c r="E1" s="35" t="s">
        <v>5</v>
      </c>
      <c r="F1" s="35" t="s">
        <v>6</v>
      </c>
      <c r="G1" s="35" t="s">
        <v>7</v>
      </c>
    </row>
    <row r="2" s="12" customFormat="1" ht="23.2" spans="1:7">
      <c r="A2" s="18"/>
      <c r="B2" s="19"/>
      <c r="C2" s="20"/>
      <c r="D2" s="21"/>
      <c r="E2" s="36"/>
      <c r="F2" s="37">
        <f>C2*E2</f>
        <v>0</v>
      </c>
      <c r="G2" s="36"/>
    </row>
    <row r="3" s="12" customFormat="1" ht="26" spans="1:7">
      <c r="A3" s="22"/>
      <c r="B3" s="23"/>
      <c r="C3" s="24"/>
      <c r="D3" s="25"/>
      <c r="E3" s="38"/>
      <c r="F3" s="37">
        <f>C3*E3</f>
        <v>0</v>
      </c>
      <c r="G3" s="36"/>
    </row>
    <row r="4" s="12" customFormat="1" ht="26" spans="1:7">
      <c r="A4" s="26"/>
      <c r="B4" s="27"/>
      <c r="C4" s="24"/>
      <c r="D4" s="28"/>
      <c r="E4" s="38"/>
      <c r="F4" s="37">
        <f>C4*E4</f>
        <v>0</v>
      </c>
      <c r="G4" s="36"/>
    </row>
    <row r="5" s="12" customFormat="1" ht="26" spans="1:7">
      <c r="A5" s="29"/>
      <c r="B5" s="30"/>
      <c r="C5" s="24"/>
      <c r="D5" s="31"/>
      <c r="E5" s="38"/>
      <c r="F5" s="37">
        <f>C5*E5</f>
        <v>0</v>
      </c>
      <c r="G5" s="39"/>
    </row>
    <row r="6" s="12" customFormat="1" ht="26" spans="1:7">
      <c r="A6" s="32"/>
      <c r="B6" s="33"/>
      <c r="C6" s="24"/>
      <c r="D6" s="34"/>
      <c r="E6" s="38"/>
      <c r="F6" s="37">
        <f>C6*E6</f>
        <v>0</v>
      </c>
      <c r="G6" s="39"/>
    </row>
    <row r="7" s="12" customFormat="1" ht="26" spans="1:7">
      <c r="A7" s="32" t="s">
        <v>8</v>
      </c>
      <c r="B7" s="34"/>
      <c r="C7" s="34"/>
      <c r="D7" s="34"/>
      <c r="E7" s="39"/>
      <c r="F7" s="40"/>
      <c r="G7" s="39">
        <f>SUM(G2:G6)</f>
        <v>0</v>
      </c>
    </row>
  </sheetData>
  <mergeCells count="2">
    <mergeCell ref="A3:A4"/>
    <mergeCell ref="D3:D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tabSelected="1" workbookViewId="0">
      <selection activeCell="B36" sqref="B36"/>
    </sheetView>
  </sheetViews>
  <sheetFormatPr defaultColWidth="9.140625" defaultRowHeight="16.8" outlineLevelRow="6" outlineLevelCol="2"/>
  <cols>
    <col min="1" max="1" width="9.140625" style="1"/>
    <col min="2" max="2" width="21.859375" style="2" customWidth="1"/>
    <col min="3" max="3" width="28" customWidth="1"/>
  </cols>
  <sheetData>
    <row r="1" ht="25" customHeight="1" spans="1:3">
      <c r="A1" s="3" t="s">
        <v>15</v>
      </c>
      <c r="B1" s="4" t="s">
        <v>16</v>
      </c>
      <c r="C1" s="5" t="s">
        <v>17</v>
      </c>
    </row>
    <row r="2" spans="1:3">
      <c r="A2" s="6">
        <v>1</v>
      </c>
      <c r="B2" s="7" t="s">
        <v>18</v>
      </c>
      <c r="C2" s="8">
        <f>'Anugrah (Bag, Cup, Box)'!H12</f>
        <v>0</v>
      </c>
    </row>
    <row r="3" spans="1:3">
      <c r="A3" s="6">
        <v>2</v>
      </c>
      <c r="B3" s="7" t="s">
        <v>19</v>
      </c>
      <c r="C3" s="8">
        <f>'UD Abdi Jaya (Bag, Cup, Box)'!H19</f>
        <v>0</v>
      </c>
    </row>
    <row r="4" spans="1:3">
      <c r="A4" s="6">
        <v>3</v>
      </c>
      <c r="B4" s="7" t="s">
        <v>20</v>
      </c>
      <c r="C4" s="8">
        <f>'PT. SUPARMA JAYA TBK (Tissue)'!E13</f>
        <v>0</v>
      </c>
    </row>
    <row r="5" spans="1:3">
      <c r="A5" s="6">
        <v>4</v>
      </c>
      <c r="B5" s="7" t="s">
        <v>21</v>
      </c>
      <c r="C5" s="9">
        <f>'Vickel Laundry'!D28</f>
        <v>0</v>
      </c>
    </row>
    <row r="6" spans="1:3">
      <c r="A6" s="6">
        <v>5</v>
      </c>
      <c r="B6" s="7" t="s">
        <v>22</v>
      </c>
      <c r="C6" s="9">
        <f>'Dishy Soap'!G7</f>
        <v>0</v>
      </c>
    </row>
    <row r="7" spans="1:3">
      <c r="A7" s="6" t="s">
        <v>7</v>
      </c>
      <c r="B7" s="7"/>
      <c r="C7" s="10">
        <f>SUM(C2:C5)</f>
        <v>0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2025-07-13T16:21:00Z</dcterms:created>
  <dcterms:modified xsi:type="dcterms:W3CDTF">2026-03-01T03:39:44Z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1033-12.1.23155.23155</vt:lpwstr>
  </property>
</Properties>
</file>