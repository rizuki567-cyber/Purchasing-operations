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<sst xmlns="http://schemas.openxmlformats.org/spreadsheetml/2006/main" count="14" uniqueCount="13">
  <si>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</si>
  <si>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</si>
  <si>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</si>
  <si>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</si>
  <si>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</si>
  <si>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</si>
  <si>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</si>
  <si>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</si>
  <si>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DUE DATE</t>
  </si>
  <si>
    <t>2601/FK-0567</t>
  </si>
  <si>
    <t>STRIPLOIN ICHI BROWN</t>
  </si>
  <si>
    <t>TOP SIDE BLACK ANGUS GF ONYX</t>
  </si>
  <si>
    <t>COW MEAT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</si>
</sst>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[$-809]dd\ mmmm\ yyyy;@"/>
    <numFmt numFmtId="178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18"/>
      <color theme="1"/>
      <name val="Garamond"/>
      <charset val="134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8" borderId="12" applyNumberFormat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9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8" fontId="0" fillId="3" borderId="1" xfId="0" applyNumberFormat="1" applyFill="1" applyBorder="1" applyAlignment="1">
      <alignment vertical="center" wrapText="1"/>
    </xf>
    <xf numFmtId="0" fontId="0" fillId="3" borderId="1" xfId="0" applyNumberFormat="1" applyFill="1" applyBorder="1" applyAlignment="1">
      <alignment horizontal="center" vertical="center" wrapText="1"/>
    </xf>
    <xf numFmtId="177" fontId="0" fillId="0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/>
    </xf>
    <xf numFmtId="0" fontId="0" fillId="3" borderId="1" xfId="0" applyNumberFormat="1" applyFill="1" applyBorder="1" applyAlignment="1">
      <alignment vertical="center"/>
    </xf>
    <xf numFmtId="177" fontId="0" fillId="3" borderId="1" xfId="0" applyNumberFormat="1" applyFont="1" applyFill="1" applyBorder="1" applyAlignment="1">
      <alignment vertical="center"/>
    </xf>
    <xf numFmtId="0" fontId="0" fillId="3" borderId="1" xfId="0" applyNumberFormat="1" applyFont="1" applyFill="1" applyBorder="1" applyAlignment="1">
      <alignment vertical="center"/>
    </xf>
    <xf numFmtId="0" fontId="0" fillId="3" borderId="1" xfId="0" applyNumberFormat="1" applyFont="1" applyFill="1" applyBorder="1" applyAlignment="1">
      <alignment horizontal="center" vertical="center"/>
    </xf>
    <xf numFmtId="176" fontId="2" fillId="4" borderId="5" xfId="0" applyNumberFormat="1" applyFont="1" applyFill="1" applyBorder="1" applyAlignment="1">
      <alignment horizontal="center" vertical="center"/>
    </xf>
    <xf numFmtId="176" fontId="2" fillId="4" borderId="6" xfId="0" applyNumberFormat="1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vertical="center"/>
    </xf>
    <xf numFmtId="178" fontId="0" fillId="3" borderId="2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178" fontId="0" fillId="3" borderId="4" xfId="0" applyNumberFormat="1" applyFill="1" applyBorder="1" applyAlignment="1">
      <alignment vertical="center"/>
    </xf>
    <xf numFmtId="178" fontId="0" fillId="3" borderId="1" xfId="0" applyNumberFormat="1" applyFont="1" applyFill="1" applyBorder="1" applyAlignment="1">
      <alignment vertical="center"/>
    </xf>
    <xf numFmtId="178" fontId="3" fillId="4" borderId="5" xfId="0" applyNumberFormat="1" applyFont="1" applyFill="1" applyBorder="1" applyAlignment="1">
      <alignment horizontal="center" vertical="center"/>
    </xf>
    <xf numFmtId="178" fontId="3" fillId="4" borderId="6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0" fillId="5" borderId="2" xfId="0" applyNumberFormat="1" applyFill="1" applyBorder="1" applyAlignment="1">
      <alignment horizontal="center" vertical="center"/>
    </xf>
    <xf numFmtId="177" fontId="0" fillId="5" borderId="3" xfId="0" applyNumberFormat="1" applyFill="1" applyBorder="1" applyAlignment="1">
      <alignment horizontal="center" vertical="center"/>
    </xf>
    <xf numFmtId="177" fontId="0" fillId="5" borderId="4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vertical="center"/>
    </xf>
    <xf numFmtId="178" fontId="3" fillId="4" borderId="7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25082</xdr:colOff>
      <xdr:row>1</xdr:row>
      <xdr:rowOff>25717</xdr:rowOff>
    </xdr:from>
    <xdr:to>
      <xdr:col>4</xdr:col>
      <xdr:colOff>2961322</xdr:colOff>
      <xdr:row>3</xdr:row>
      <xdr:rowOff>622617</xdr:rowOff>
    </xdr:to>
    <xdr:pic>
      <xdr:nvPicPr>
        <xdr:cNvPr id="3" name="ID_92240340DDD741158166F0F0DCA2DC80" descr="PHOTO-2026-01-16-18-54-39"/>
        <xdr:cNvPicPr>
          <a:picLocks noChangeAspect="1"/>
        </xdr:cNvPicPr>
      </xdr:nvPicPr>
      <xdr:blipFill>
        <a:blip r:embed="rId1"/>
        <a:srcRect l="2033" t="6316" r="2179" b="4889"/>
        <a:stretch>
          <a:fillRect/>
        </a:stretch>
      </xdr:blipFill>
      <xdr:spPr>
        <a:xfrm rot="16200000">
          <a:off x="7630795" y="-305435"/>
          <a:ext cx="1866900" cy="2935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zoomScale="76" zoomScaleNormal="76" workbookViewId="0">
      <selection activeCell="G11" sqref="G11"/>
    </sheetView>
  </sheetViews>
  <sheetFormatPr defaultColWidth="9.140625" defaultRowHeight="16.8"/>
  <cols>
    <col min="1" max="1" width="19" style="1" customWidth="1"/>
    <col min="2" max="2" width="13.7109375" style="2" customWidth="1"/>
    <col min="3" max="3" width="28.859375" customWidth="1"/>
    <col min="4" max="4" width="25.4296875" style="3" customWidth="1"/>
    <col min="5" max="5" width="36.5546875" customWidth="1"/>
    <col min="6" max="7" width="18.7109375" customWidth="1"/>
    <col min="8" max="8" width="22.859375" customWidth="1"/>
    <col min="9" max="9" width="15.4296875" customWidth="1"/>
  </cols>
  <sheetData>
    <row r="1" customFormat="1" ht="16" customHeight="1" spans="1:9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31" t="s">
        <v>8</v>
      </c>
    </row>
    <row r="2" customFormat="1" ht="50" customHeight="1" spans="1:9">
      <c r="A2" s="7">
        <v>46037</v>
      </c>
      <c r="B2" s="8" t="s">
        <v>9</v>
      </c>
      <c r="C2" s="9" t="s">
        <v>10</v>
      </c>
      <c r="D2" s="10">
        <v>11.52</v>
      </c>
      <c r="E2" s="8"/>
      <c r="F2" s="24">
        <v>180000</v>
      </c>
      <c r="G2" s="24">
        <f>F2*D2</f>
        <v>2073600</v>
      </c>
      <c r="H2" s="25">
        <f>SUM(G2:G4)</f>
        <v>6271600</v>
      </c>
      <c r="I2" s="32">
        <v>46044</v>
      </c>
    </row>
    <row r="3" customFormat="1" ht="50" customHeight="1" spans="1:9">
      <c r="A3" s="11"/>
      <c r="B3" s="12"/>
      <c r="C3" s="13" t="s">
        <v>11</v>
      </c>
      <c r="D3" s="14">
        <v>13.78</v>
      </c>
      <c r="E3" s="12"/>
      <c r="F3" s="24">
        <v>250000</v>
      </c>
      <c r="G3" s="24">
        <f>F3*D3</f>
        <v>3445000</v>
      </c>
      <c r="H3" s="26"/>
      <c r="I3" s="33"/>
    </row>
    <row r="4" customFormat="1" ht="50" customHeight="1" spans="1:9">
      <c r="A4" s="15"/>
      <c r="B4" s="16"/>
      <c r="C4" s="13" t="s">
        <v>12</v>
      </c>
      <c r="D4" s="14">
        <v>5.02</v>
      </c>
      <c r="E4" s="16"/>
      <c r="F4" s="24">
        <v>150000</v>
      </c>
      <c r="G4" s="24">
        <f>F4*D4</f>
        <v>753000</v>
      </c>
      <c r="H4" s="27"/>
      <c r="I4" s="34"/>
    </row>
    <row r="5" ht="80" customHeight="1" spans="1:9">
      <c r="A5" s="17"/>
      <c r="B5" s="18"/>
      <c r="C5" s="13"/>
      <c r="D5" s="14"/>
      <c r="E5" s="18"/>
      <c r="F5" s="24"/>
      <c r="G5" s="24"/>
      <c r="H5" s="24"/>
      <c r="I5" s="35"/>
    </row>
    <row r="6" ht="70" customHeight="1" spans="1:9">
      <c r="A6" s="19"/>
      <c r="B6" s="20"/>
      <c r="C6" s="20"/>
      <c r="D6" s="21"/>
      <c r="E6" s="20"/>
      <c r="F6" s="28"/>
      <c r="G6" s="24"/>
      <c r="H6" s="28">
        <f>SUM(G6:G7)</f>
        <v>0</v>
      </c>
      <c r="I6" s="35"/>
    </row>
    <row r="7" ht="70" customHeight="1" spans="1:9">
      <c r="A7" s="19"/>
      <c r="B7" s="20"/>
      <c r="C7" s="20"/>
      <c r="D7" s="21"/>
      <c r="E7" s="20"/>
      <c r="F7" s="28"/>
      <c r="G7" s="24"/>
      <c r="H7" s="28"/>
      <c r="I7" s="35"/>
    </row>
    <row r="8" spans="1:9">
      <c r="A8" s="19"/>
      <c r="B8" s="20"/>
      <c r="C8" s="20"/>
      <c r="D8" s="21"/>
      <c r="E8" s="28"/>
      <c r="F8" s="28"/>
      <c r="G8" s="24"/>
      <c r="H8" s="28"/>
      <c r="I8" s="35"/>
    </row>
    <row r="9" spans="1:9">
      <c r="A9" s="19"/>
      <c r="B9" s="20"/>
      <c r="C9" s="20"/>
      <c r="D9" s="21"/>
      <c r="E9" s="28"/>
      <c r="F9" s="28"/>
      <c r="G9" s="24">
        <f>D9*F9</f>
        <v>0</v>
      </c>
      <c r="H9" s="28">
        <f>SUM(D9*F9)</f>
        <v>0</v>
      </c>
      <c r="I9" s="35"/>
    </row>
    <row r="10" ht="26" spans="1:9">
      <c r="A10" s="22" t="s">
        <v>7</v>
      </c>
      <c r="B10" s="23"/>
      <c r="C10" s="23"/>
      <c r="D10" s="23"/>
      <c r="E10" s="23"/>
      <c r="F10" s="23"/>
      <c r="G10" s="29">
        <f>SUM(H2:H9)</f>
        <v>6271600</v>
      </c>
      <c r="H10" s="30"/>
      <c r="I10" s="36"/>
    </row>
  </sheetData>
  <mergeCells count="7">
    <mergeCell ref="A10:F10"/>
    <mergeCell ref="G10:I10"/>
    <mergeCell ref="A2:A4"/>
    <mergeCell ref="B2:B4"/>
    <mergeCell ref="E2:E4"/>
    <mergeCell ref="H2:H4"/>
    <mergeCell ref="I2:I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2025-12-19T08:10:00Z</dcterms:created>
  <dcterms:modified xsi:type="dcterms:W3CDTF">2026-01-16T19:11:12Z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