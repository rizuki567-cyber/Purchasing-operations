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980" windowHeight="17020" firstSheet="2" activeTab="2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<sst xmlns="http://schemas.openxmlformats.org/spreadsheetml/2006/main" count="55" uniqueCount="23">
  <si>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</si>
  <si>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</si>
  <si>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</si>
  <si>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</si>
  <si>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</si>
  <si>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</si>
  <si>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</si>
  <si>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</si>
  <si>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GRAND TOTAL</t>
  </si>
  <si>
    <t>SALES PRICE</t>
  </si>
  <si>
    <t>PPN</t>
  </si>
  <si>
    <t>PPh 22</t>
  </si>
  <si>
    <t>STATUS</t>
  </si>
  <si>
    <t>DESCRIPTION</t>
  </si>
  <si>
    <t>QTY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</si>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</sst>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Rp-421]#,##0.0000;[Red][$Rp-421]#,##0.0000"/>
    <numFmt numFmtId="185" formatCode="[$Rp-421]#,##0.00;[Red][$Rp-421]#,##0.00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1" xfId="0" applyNumberFormat="1" applyFont="1" applyFill="1" applyBorder="1" applyAlignment="1">
      <alignment horizontal="center" vertical="center"/>
    </xf>
    <xf numFmtId="180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/>
    </xf>
    <xf numFmtId="0" fontId="3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left" vertical="center"/>
    </xf>
    <xf numFmtId="180" fontId="2" fillId="3" borderId="7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180" fontId="2" fillId="3" borderId="3" xfId="0" applyNumberFormat="1" applyFont="1" applyFill="1" applyBorder="1" applyAlignment="1">
      <alignment horizontal="center" vertical="center"/>
    </xf>
    <xf numFmtId="180" fontId="3" fillId="3" borderId="8" xfId="0" applyNumberFormat="1" applyFont="1" applyFill="1" applyBorder="1" applyAlignment="1">
      <alignment horizontal="center" vertical="center"/>
    </xf>
    <xf numFmtId="180" fontId="3" fillId="3" borderId="9" xfId="0" applyNumberFormat="1" applyFont="1" applyFill="1" applyBorder="1" applyAlignment="1">
      <alignment horizontal="center" vertical="center"/>
    </xf>
    <xf numFmtId="180" fontId="3" fillId="3" borderId="10" xfId="0" applyNumberFormat="1" applyFont="1" applyFill="1" applyBorder="1" applyAlignment="1">
      <alignment horizontal="center" vertical="center"/>
    </xf>
    <xf numFmtId="180" fontId="3" fillId="3" borderId="10" xfId="0" applyNumberFormat="1" applyFont="1" applyFill="1" applyBorder="1" applyAlignment="1">
      <alignment vertical="center"/>
    </xf>
    <xf numFmtId="180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2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3" fontId="0" fillId="0" borderId="1" xfId="0" applyNumberFormat="1" applyFill="1" applyBorder="1" applyAlignment="1">
      <alignment vertical="center"/>
    </xf>
    <xf numFmtId="183" fontId="0" fillId="0" borderId="2" xfId="0" applyNumberFormat="1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1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 wrapText="1"/>
    </xf>
    <xf numFmtId="0" fontId="0" fillId="0" borderId="8" xfId="0" applyNumberFormat="1" applyFill="1" applyBorder="1" applyAlignment="1">
      <alignment horizontal="center" vertical="center"/>
    </xf>
    <xf numFmtId="180" fontId="0" fillId="3" borderId="10" xfId="0" applyNumberFormat="1" applyFill="1" applyBorder="1" applyAlignment="1">
      <alignment horizontal="center" vertical="center" wrapText="1"/>
    </xf>
    <xf numFmtId="0" fontId="0" fillId="0" borderId="10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2" fontId="0" fillId="3" borderId="8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182" fontId="0" fillId="3" borderId="10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9" xfId="0" applyFill="1" applyBorder="1" applyAlignment="1"/>
    <xf numFmtId="0" fontId="0" fillId="3" borderId="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84" fontId="0" fillId="0" borderId="8" xfId="0" applyNumberFormat="1" applyFill="1" applyBorder="1" applyAlignment="1">
      <alignment horizontal="center" vertical="center"/>
    </xf>
    <xf numFmtId="185" fontId="0" fillId="0" borderId="1" xfId="1" applyNumberFormat="1" applyFill="1" applyBorder="1" applyAlignment="1">
      <alignment horizontal="center" vertical="center"/>
    </xf>
    <xf numFmtId="184" fontId="0" fillId="0" borderId="10" xfId="0" applyNumberFormat="1" applyFill="1" applyBorder="1" applyAlignment="1">
      <alignment horizontal="center" vertical="center"/>
    </xf>
    <xf numFmtId="184" fontId="0" fillId="0" borderId="1" xfId="0" applyNumberFormat="1" applyBorder="1" applyAlignment="1">
      <alignment horizontal="center"/>
    </xf>
    <xf numFmtId="185" fontId="0" fillId="0" borderId="1" xfId="0" applyNumberFormat="1" applyBorder="1" applyAlignment="1">
      <alignment horizontal="center"/>
    </xf>
    <xf numFmtId="180" fontId="0" fillId="0" borderId="1" xfId="0" applyNumberFormat="1" applyBorder="1" applyAlignment="1"/>
    <xf numFmtId="184" fontId="0" fillId="0" borderId="1" xfId="0" applyNumberFormat="1" applyBorder="1" applyAlignment="1"/>
    <xf numFmtId="185" fontId="0" fillId="0" borderId="1" xfId="0" applyNumberFormat="1" applyBorder="1" applyAlignment="1"/>
    <xf numFmtId="0" fontId="0" fillId="0" borderId="8" xfId="0" applyFill="1" applyBorder="1" applyAlignment="1">
      <alignment horizontal="center" vertical="center"/>
    </xf>
    <xf numFmtId="184" fontId="0" fillId="0" borderId="1" xfId="0" applyNumberFormat="1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/>
    </xf>
    <xf numFmtId="184" fontId="0" fillId="0" borderId="7" xfId="0" applyNumberFormat="1" applyBorder="1" applyAlignment="1"/>
    <xf numFmtId="180" fontId="8" fillId="5" borderId="7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185" fontId="0" fillId="0" borderId="0" xfId="0" applyNumberFormat="1"/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181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181" fontId="9" fillId="3" borderId="9" xfId="0" applyNumberFormat="1" applyFont="1" applyFill="1" applyBorder="1" applyAlignment="1">
      <alignment horizontal="center" vertical="center"/>
    </xf>
    <xf numFmtId="0" fontId="9" fillId="3" borderId="9" xfId="0" applyNumberFormat="1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181" fontId="9" fillId="3" borderId="10" xfId="0" applyNumberFormat="1" applyFont="1" applyFill="1" applyBorder="1" applyAlignment="1">
      <alignment horizontal="center" vertical="center"/>
    </xf>
    <xf numFmtId="0" fontId="9" fillId="3" borderId="10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vertical="center"/>
    </xf>
    <xf numFmtId="183" fontId="9" fillId="3" borderId="8" xfId="0" applyNumberFormat="1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183" fontId="9" fillId="3" borderId="9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183" fontId="9" fillId="3" borderId="10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80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4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9" fillId="4" borderId="7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2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3" borderId="8" xfId="0" applyNumberFormat="1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3" fontId="9" fillId="4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zoomScale="70" zoomScaleNormal="70" topLeftCell="A7" workbookViewId="0">
      <selection activeCell="H11" sqref="H11"/>
    </sheetView>
  </sheetViews>
  <sheetFormatPr defaultColWidth="9.140625" defaultRowHeight="20.4" outlineLevelCol="7"/>
  <cols>
    <col min="1" max="1" width="17.4296875" style="93"/>
    <col min="2" max="2" width="13.4296875" style="93" customWidth="1"/>
    <col min="3" max="3" width="36" style="93" customWidth="1"/>
    <col min="4" max="4" width="21.2890625" style="92" customWidth="1"/>
    <col min="5" max="5" width="33.2890625" style="93" customWidth="1"/>
    <col min="6" max="6" width="17.2890625" style="93" customWidth="1"/>
    <col min="7" max="8" width="20.859375" style="93" customWidth="1"/>
    <col min="9" max="9" width="12.859375" style="93"/>
    <col min="10" max="10" width="12" style="93"/>
    <col min="11" max="16384" width="18.0390625" style="93"/>
  </cols>
  <sheetData>
    <row r="1" s="91" customFormat="1" ht="16" customHeight="1" spans="1:8">
      <c r="A1" s="118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19" t="s">
        <v>5</v>
      </c>
      <c r="G1" s="119" t="s">
        <v>6</v>
      </c>
      <c r="H1" s="119" t="s">
        <v>7</v>
      </c>
    </row>
    <row r="2" s="91" customFormat="1" ht="60" customHeight="1" spans="1:8">
      <c r="A2" s="100"/>
      <c r="B2" s="97"/>
      <c r="C2" s="120"/>
      <c r="D2" s="121"/>
      <c r="E2" s="108"/>
      <c r="F2" s="109"/>
      <c r="G2" s="111">
        <f t="shared" ref="G2:G10" si="0">SUM(D2*F2)</f>
        <v>0</v>
      </c>
      <c r="H2" s="111">
        <f>SUM(G2:G5)</f>
        <v>0</v>
      </c>
    </row>
    <row r="3" s="91" customFormat="1" ht="60" customHeight="1" spans="1:8">
      <c r="A3" s="102"/>
      <c r="B3" s="97"/>
      <c r="C3" s="120"/>
      <c r="D3" s="121"/>
      <c r="E3" s="112"/>
      <c r="F3" s="109"/>
      <c r="G3" s="111">
        <f t="shared" si="0"/>
        <v>0</v>
      </c>
      <c r="H3" s="113"/>
    </row>
    <row r="4" s="91" customFormat="1" ht="60" customHeight="1" spans="1:8">
      <c r="A4" s="102"/>
      <c r="B4" s="97"/>
      <c r="C4" s="120"/>
      <c r="D4" s="121"/>
      <c r="E4" s="112"/>
      <c r="F4" s="109"/>
      <c r="G4" s="111">
        <f t="shared" si="0"/>
        <v>0</v>
      </c>
      <c r="H4" s="113"/>
    </row>
    <row r="5" s="91" customFormat="1" ht="60" customHeight="1" spans="1:8">
      <c r="A5" s="102"/>
      <c r="B5" s="97"/>
      <c r="C5" s="120"/>
      <c r="D5" s="121"/>
      <c r="E5" s="112"/>
      <c r="F5" s="109"/>
      <c r="G5" s="111">
        <f t="shared" si="0"/>
        <v>0</v>
      </c>
      <c r="H5" s="113"/>
    </row>
    <row r="6" s="91" customFormat="1" ht="64.3" customHeight="1" spans="1:8">
      <c r="A6" s="100"/>
      <c r="B6" s="101"/>
      <c r="C6" s="99"/>
      <c r="D6" s="121"/>
      <c r="E6" s="108"/>
      <c r="F6" s="111"/>
      <c r="G6" s="111">
        <f t="shared" si="0"/>
        <v>0</v>
      </c>
      <c r="H6" s="111">
        <f>SUM(G6:G9)</f>
        <v>0</v>
      </c>
    </row>
    <row r="7" s="91" customFormat="1" ht="64.3" customHeight="1" spans="1:8">
      <c r="A7" s="102"/>
      <c r="B7" s="103"/>
      <c r="C7" s="97"/>
      <c r="D7" s="97"/>
      <c r="E7" s="112"/>
      <c r="F7" s="126"/>
      <c r="G7" s="111">
        <f t="shared" si="0"/>
        <v>0</v>
      </c>
      <c r="H7" s="113"/>
    </row>
    <row r="8" s="91" customFormat="1" ht="64.3" customHeight="1" spans="1:8">
      <c r="A8" s="102"/>
      <c r="B8" s="103"/>
      <c r="C8" s="97"/>
      <c r="D8" s="97"/>
      <c r="E8" s="112"/>
      <c r="F8" s="126"/>
      <c r="G8" s="111">
        <f t="shared" si="0"/>
        <v>0</v>
      </c>
      <c r="H8" s="113"/>
    </row>
    <row r="9" s="91" customFormat="1" ht="64.3" customHeight="1" spans="1:8">
      <c r="A9" s="102"/>
      <c r="B9" s="103"/>
      <c r="C9" s="101"/>
      <c r="D9" s="101"/>
      <c r="E9" s="112"/>
      <c r="F9" s="126"/>
      <c r="G9" s="111">
        <f t="shared" si="0"/>
        <v>0</v>
      </c>
      <c r="H9" s="113"/>
    </row>
    <row r="10" s="91" customFormat="1" ht="258" customHeight="1" spans="1:8">
      <c r="A10" s="96"/>
      <c r="B10" s="97"/>
      <c r="C10" s="97"/>
      <c r="D10" s="97"/>
      <c r="E10" s="116"/>
      <c r="F10" s="127"/>
      <c r="G10" s="109">
        <f t="shared" si="0"/>
        <v>0</v>
      </c>
      <c r="H10" s="109">
        <f>SUM(G10)</f>
        <v>0</v>
      </c>
    </row>
    <row r="11" s="91" customFormat="1" ht="18" customHeight="1" spans="1:8">
      <c r="A11" s="122" t="s">
        <v>8</v>
      </c>
      <c r="B11" s="123"/>
      <c r="C11" s="124"/>
      <c r="D11" s="125"/>
      <c r="E11" s="128"/>
      <c r="F11" s="128"/>
      <c r="G11" s="129"/>
      <c r="H11" s="130">
        <f>SUM(H2:H10)</f>
        <v>0</v>
      </c>
    </row>
  </sheetData>
  <mergeCells count="9">
    <mergeCell ref="A11:C11"/>
    <mergeCell ref="A2:A5"/>
    <mergeCell ref="A6:A9"/>
    <mergeCell ref="B2:B5"/>
    <mergeCell ref="B6:B9"/>
    <mergeCell ref="E2:E5"/>
    <mergeCell ref="E6:E9"/>
    <mergeCell ref="H2:H5"/>
    <mergeCell ref="H6:H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zoomScale="40" zoomScaleNormal="40" workbookViewId="0">
      <pane ySplit="1" topLeftCell="A2" activePane="bottomLeft" state="frozen"/>
      <selection/>
      <selection pane="bottomLeft" activeCell="H8" sqref="H8"/>
    </sheetView>
  </sheetViews>
  <sheetFormatPr defaultColWidth="9.140625" defaultRowHeight="20.4" outlineLevelRow="7" outlineLevelCol="7"/>
  <cols>
    <col min="1" max="1" width="19.859375" style="92"/>
    <col min="2" max="2" width="18.859375" style="92" customWidth="1"/>
    <col min="3" max="3" width="43.0390625" style="92" customWidth="1"/>
    <col min="4" max="4" width="14.4296875" style="92" customWidth="1"/>
    <col min="5" max="5" width="58.9609375" style="93" customWidth="1"/>
    <col min="6" max="6" width="19.5234375" style="93" customWidth="1"/>
    <col min="7" max="8" width="20.859375" style="93" customWidth="1"/>
    <col min="9" max="9" width="12.859375" style="93"/>
    <col min="10" max="16384" width="9.140625" style="93"/>
  </cols>
  <sheetData>
    <row r="1" s="91" customFormat="1" ht="16" customHeight="1" spans="1:8">
      <c r="A1" s="94" t="s">
        <v>0</v>
      </c>
      <c r="B1" s="95" t="s">
        <v>1</v>
      </c>
      <c r="C1" s="95" t="s">
        <v>2</v>
      </c>
      <c r="D1" s="95" t="s">
        <v>3</v>
      </c>
      <c r="E1" s="95" t="s">
        <v>4</v>
      </c>
      <c r="F1" s="95" t="s">
        <v>5</v>
      </c>
      <c r="G1" s="95" t="s">
        <v>6</v>
      </c>
      <c r="H1" s="95" t="s">
        <v>7</v>
      </c>
    </row>
    <row r="2" s="91" customFormat="1" ht="249.35" customHeight="1" spans="1:8">
      <c r="A2" s="96"/>
      <c r="B2" s="97"/>
      <c r="C2" s="98"/>
      <c r="D2" s="98"/>
      <c r="E2" s="108"/>
      <c r="F2" s="109"/>
      <c r="G2" s="110">
        <f>D2*F2</f>
        <v>0</v>
      </c>
      <c r="H2" s="109">
        <f>SUM(G2:G2)</f>
        <v>0</v>
      </c>
    </row>
    <row r="3" s="91" customFormat="1" ht="251.35" customHeight="1" spans="1:8">
      <c r="A3" s="96"/>
      <c r="B3" s="97"/>
      <c r="C3" s="99"/>
      <c r="D3" s="98"/>
      <c r="E3" s="108"/>
      <c r="F3" s="110"/>
      <c r="G3" s="110">
        <f>D3*F3</f>
        <v>0</v>
      </c>
      <c r="H3" s="111">
        <f>SUM(G3:G3)</f>
        <v>0</v>
      </c>
    </row>
    <row r="4" s="91" customFormat="1" ht="83" customHeight="1" spans="1:8">
      <c r="A4" s="100"/>
      <c r="B4" s="101"/>
      <c r="C4" s="99"/>
      <c r="D4" s="98"/>
      <c r="E4" s="108"/>
      <c r="F4" s="110"/>
      <c r="G4" s="110">
        <f>D4*F4</f>
        <v>0</v>
      </c>
      <c r="H4" s="111">
        <f>SUM(G4:G6)</f>
        <v>0</v>
      </c>
    </row>
    <row r="5" s="91" customFormat="1" ht="83" customHeight="1" spans="1:8">
      <c r="A5" s="102"/>
      <c r="B5" s="103"/>
      <c r="C5" s="99"/>
      <c r="D5" s="104"/>
      <c r="E5" s="112"/>
      <c r="F5" s="111"/>
      <c r="G5" s="110">
        <f>D5*F5</f>
        <v>0</v>
      </c>
      <c r="H5" s="113"/>
    </row>
    <row r="6" s="91" customFormat="1" ht="83" customHeight="1" spans="1:8">
      <c r="A6" s="105"/>
      <c r="B6" s="106"/>
      <c r="C6" s="99"/>
      <c r="D6" s="104"/>
      <c r="E6" s="114"/>
      <c r="F6" s="111"/>
      <c r="G6" s="110">
        <f>D6*F6</f>
        <v>0</v>
      </c>
      <c r="H6" s="115"/>
    </row>
    <row r="7" s="91" customFormat="1" ht="200" customHeight="1" spans="1:8">
      <c r="A7" s="96"/>
      <c r="B7" s="97"/>
      <c r="C7" s="99"/>
      <c r="D7" s="104"/>
      <c r="E7" s="116"/>
      <c r="F7" s="111"/>
      <c r="G7" s="111"/>
      <c r="H7" s="109"/>
    </row>
    <row r="8" s="91" customFormat="1" spans="1:8">
      <c r="A8" s="107"/>
      <c r="B8" s="107"/>
      <c r="C8" s="107"/>
      <c r="D8" s="107"/>
      <c r="E8" s="107"/>
      <c r="F8" s="107"/>
      <c r="G8" s="117"/>
      <c r="H8" s="117">
        <f>SUM(H2:H7)</f>
        <v>0</v>
      </c>
    </row>
  </sheetData>
  <mergeCells count="5">
    <mergeCell ref="A8:E8"/>
    <mergeCell ref="A4:A6"/>
    <mergeCell ref="B4:B6"/>
    <mergeCell ref="E4:E6"/>
    <mergeCell ref="H4:H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tabSelected="1" topLeftCell="C2" workbookViewId="0">
      <selection activeCell="F8" sqref="F8"/>
    </sheetView>
  </sheetViews>
  <sheetFormatPr defaultColWidth="9.140625" defaultRowHeight="16.8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customWidth="1"/>
    <col min="9" max="9" width="13.0625"/>
  </cols>
  <sheetData>
    <row r="1" ht="16" customHeight="1" spans="1:7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7</v>
      </c>
    </row>
    <row r="2" ht="123.5" customHeight="1" spans="1:7">
      <c r="A2" s="52"/>
      <c r="B2" s="39"/>
      <c r="C2" s="53"/>
      <c r="D2" s="54"/>
      <c r="E2" s="73"/>
      <c r="F2" s="74"/>
      <c r="G2" s="75">
        <f>SUM(D2*F2)</f>
        <v>0</v>
      </c>
    </row>
    <row r="3" ht="191" customHeight="1" spans="1:7">
      <c r="A3" s="52"/>
      <c r="B3" s="39"/>
      <c r="C3" s="55"/>
      <c r="D3" s="56"/>
      <c r="E3" s="73"/>
      <c r="F3" s="76"/>
      <c r="G3" s="75"/>
    </row>
    <row r="4" spans="1:9">
      <c r="A4" s="52"/>
      <c r="B4" s="57" t="s">
        <v>9</v>
      </c>
      <c r="C4" s="57"/>
      <c r="D4" s="58"/>
      <c r="E4" s="58"/>
      <c r="F4" s="77"/>
      <c r="G4" s="78">
        <f>SUM(G2:G3)</f>
        <v>0</v>
      </c>
      <c r="I4" s="90"/>
    </row>
    <row r="5" spans="1:9">
      <c r="A5" s="52"/>
      <c r="B5" s="57" t="s">
        <v>10</v>
      </c>
      <c r="C5" s="57"/>
      <c r="D5" s="58"/>
      <c r="E5" s="58"/>
      <c r="F5" s="77"/>
      <c r="G5" s="78">
        <f>G4*11%</f>
        <v>0</v>
      </c>
      <c r="I5" s="90"/>
    </row>
    <row r="6" spans="1:7">
      <c r="A6" s="52"/>
      <c r="B6" s="57" t="s">
        <v>11</v>
      </c>
      <c r="C6" s="57"/>
      <c r="D6" s="58"/>
      <c r="E6" s="58"/>
      <c r="F6" s="77"/>
      <c r="G6" s="78">
        <f>((G4*100)/111)*0.111%</f>
        <v>0</v>
      </c>
    </row>
    <row r="7" spans="1:7">
      <c r="A7" s="52"/>
      <c r="B7" s="57" t="s">
        <v>7</v>
      </c>
      <c r="C7" s="57"/>
      <c r="D7" s="58"/>
      <c r="E7" s="79"/>
      <c r="F7" s="80"/>
      <c r="G7" s="81">
        <f>SUM(G4:G6)</f>
        <v>0</v>
      </c>
    </row>
    <row r="8" ht="123.5" customHeight="1" spans="1:7">
      <c r="A8" s="52"/>
      <c r="B8" s="59"/>
      <c r="C8" s="60"/>
      <c r="D8" s="61"/>
      <c r="E8" s="82"/>
      <c r="F8" s="83"/>
      <c r="G8" s="75"/>
    </row>
    <row r="9" ht="123.5" customHeight="1" spans="1:7">
      <c r="A9" s="52"/>
      <c r="B9" s="62"/>
      <c r="C9" s="60"/>
      <c r="D9" s="61"/>
      <c r="E9" s="84"/>
      <c r="F9" s="83"/>
      <c r="G9" s="75"/>
    </row>
    <row r="10" spans="1:7">
      <c r="A10" s="63"/>
      <c r="B10" s="57" t="s">
        <v>9</v>
      </c>
      <c r="C10" s="57"/>
      <c r="D10" s="58"/>
      <c r="E10" s="85"/>
      <c r="F10" s="77"/>
      <c r="G10" s="78">
        <f>SUM(G8:G9)</f>
        <v>0</v>
      </c>
    </row>
    <row r="11" spans="1:7">
      <c r="A11" s="64"/>
      <c r="B11" s="65" t="s">
        <v>10</v>
      </c>
      <c r="C11" s="66"/>
      <c r="D11" s="58"/>
      <c r="E11" s="85"/>
      <c r="F11" s="77"/>
      <c r="G11" s="78">
        <f>G10*11%</f>
        <v>0</v>
      </c>
    </row>
    <row r="12" spans="1:7">
      <c r="A12" s="63"/>
      <c r="B12" s="57" t="s">
        <v>11</v>
      </c>
      <c r="C12" s="57"/>
      <c r="D12" s="58"/>
      <c r="E12" s="85"/>
      <c r="F12" s="77"/>
      <c r="G12" s="78">
        <f>((G10*100)/111)*0.111%</f>
        <v>0</v>
      </c>
    </row>
    <row r="13" spans="1:7">
      <c r="A13" s="67"/>
      <c r="B13" s="68" t="s">
        <v>7</v>
      </c>
      <c r="C13" s="69"/>
      <c r="D13" s="58"/>
      <c r="E13" s="79"/>
      <c r="F13" s="86"/>
      <c r="G13" s="81">
        <f>SUM(G10:G12)</f>
        <v>0</v>
      </c>
    </row>
    <row r="14" spans="1:7">
      <c r="A14" s="70" t="s">
        <v>8</v>
      </c>
      <c r="B14" s="71"/>
      <c r="C14" s="71"/>
      <c r="D14" s="72"/>
      <c r="E14" s="87">
        <f>G7+G13</f>
        <v>0</v>
      </c>
      <c r="F14" s="88"/>
      <c r="G14" s="89"/>
    </row>
  </sheetData>
  <mergeCells count="21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  <mergeCell ref="G8:G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" activePane="bottomLeft" state="frozen"/>
      <selection/>
      <selection pane="bottomLeft" activeCell="C32" sqref="C32:E32"/>
    </sheetView>
  </sheetViews>
  <sheetFormatPr defaultColWidth="9.140625" defaultRowHeight="16.8" outlineLevelCol="4"/>
  <cols>
    <col min="1" max="1" width="10.5703125" style="12" customWidth="1"/>
    <col min="2" max="2" width="12.6015625" style="36" customWidth="1"/>
    <col min="3" max="3" width="36.125" style="12" customWidth="1"/>
    <col min="4" max="4" width="18.828125" style="12" customWidth="1"/>
    <col min="5" max="5" width="12.2890625" style="12" customWidth="1"/>
    <col min="6" max="16384" width="9.140625" style="12"/>
  </cols>
  <sheetData>
    <row r="1" s="35" customFormat="1" ht="19" customHeight="1" spans="1:5">
      <c r="A1" s="37" t="s">
        <v>0</v>
      </c>
      <c r="B1" s="38" t="s">
        <v>1</v>
      </c>
      <c r="C1" s="37" t="s">
        <v>4</v>
      </c>
      <c r="D1" s="37" t="s">
        <v>7</v>
      </c>
      <c r="E1" s="37" t="s">
        <v>12</v>
      </c>
    </row>
    <row r="2" s="12" customFormat="1" ht="263.65" customHeight="1" spans="1:5">
      <c r="A2" s="39"/>
      <c r="B2" s="40"/>
      <c r="C2" s="41"/>
      <c r="D2" s="42"/>
      <c r="E2" s="41"/>
    </row>
    <row r="3" s="12" customFormat="1" ht="255.1" customHeight="1" spans="1:5">
      <c r="A3" s="39"/>
      <c r="B3" s="40"/>
      <c r="C3" s="41"/>
      <c r="D3" s="43"/>
      <c r="E3" s="48"/>
    </row>
    <row r="4" s="12" customFormat="1" ht="249.95" customHeight="1" spans="1:5">
      <c r="A4" s="39"/>
      <c r="B4" s="40"/>
      <c r="C4" s="41"/>
      <c r="D4" s="43"/>
      <c r="E4" s="48"/>
    </row>
    <row r="5" s="12" customFormat="1" ht="256.25" customHeight="1" spans="1:5">
      <c r="A5" s="39"/>
      <c r="B5" s="40"/>
      <c r="C5" s="41"/>
      <c r="D5" s="43"/>
      <c r="E5" s="48"/>
    </row>
    <row r="6" s="12" customFormat="1" ht="253.85" customHeight="1" spans="1:5">
      <c r="A6" s="39"/>
      <c r="B6" s="40"/>
      <c r="C6" s="41"/>
      <c r="D6" s="43"/>
      <c r="E6" s="48"/>
    </row>
    <row r="7" s="12" customFormat="1" ht="254.65" customHeight="1" spans="1:5">
      <c r="A7" s="39"/>
      <c r="B7" s="40"/>
      <c r="C7" s="41"/>
      <c r="D7" s="43"/>
      <c r="E7" s="48"/>
    </row>
    <row r="8" s="12" customFormat="1" ht="255.35" customHeight="1" spans="1:5">
      <c r="A8" s="39"/>
      <c r="B8" s="40"/>
      <c r="C8" s="41"/>
      <c r="D8" s="43"/>
      <c r="E8" s="48"/>
    </row>
    <row r="9" s="12" customFormat="1" ht="266.95" customHeight="1" spans="1:5">
      <c r="A9" s="39"/>
      <c r="B9" s="40"/>
      <c r="C9" s="41"/>
      <c r="D9" s="43"/>
      <c r="E9" s="48"/>
    </row>
    <row r="10" s="12" customFormat="1" ht="261.95" customHeight="1" spans="1:5">
      <c r="A10" s="39"/>
      <c r="B10" s="40"/>
      <c r="C10" s="41"/>
      <c r="D10" s="43"/>
      <c r="E10" s="48"/>
    </row>
    <row r="11" s="12" customFormat="1" ht="261.9" customHeight="1" spans="1:5">
      <c r="A11" s="39"/>
      <c r="B11" s="40"/>
      <c r="C11" s="41"/>
      <c r="D11" s="43"/>
      <c r="E11" s="48"/>
    </row>
    <row r="12" s="12" customFormat="1" ht="270.7" customHeight="1" spans="1:5">
      <c r="A12" s="39"/>
      <c r="B12" s="40"/>
      <c r="C12" s="41"/>
      <c r="D12" s="43"/>
      <c r="E12" s="48"/>
    </row>
    <row r="13" s="12" customFormat="1" ht="261.1" customHeight="1" spans="1:5">
      <c r="A13" s="39"/>
      <c r="B13" s="40"/>
      <c r="C13" s="41"/>
      <c r="D13" s="43"/>
      <c r="E13" s="48"/>
    </row>
    <row r="14" s="12" customFormat="1" ht="257.15" customHeight="1" spans="1:5">
      <c r="A14" s="39"/>
      <c r="B14" s="40"/>
      <c r="C14" s="41"/>
      <c r="D14" s="43"/>
      <c r="E14" s="48"/>
    </row>
    <row r="15" s="12" customFormat="1" ht="263.55" customHeight="1" spans="1:5">
      <c r="A15" s="39"/>
      <c r="B15" s="40"/>
      <c r="C15" s="41"/>
      <c r="D15" s="43"/>
      <c r="E15" s="48"/>
    </row>
    <row r="16" s="12" customFormat="1" ht="270.35" customHeight="1" spans="1:5">
      <c r="A16" s="39"/>
      <c r="B16" s="40"/>
      <c r="C16" s="41"/>
      <c r="D16" s="43"/>
      <c r="E16" s="48"/>
    </row>
    <row r="17" s="12" customFormat="1" ht="261.7" customHeight="1" spans="1:5">
      <c r="A17" s="39"/>
      <c r="B17" s="40"/>
      <c r="C17" s="41"/>
      <c r="D17" s="43"/>
      <c r="E17" s="48"/>
    </row>
    <row r="18" s="12" customFormat="1" ht="260" customHeight="1" spans="1:5">
      <c r="A18" s="39"/>
      <c r="B18" s="40"/>
      <c r="C18" s="41"/>
      <c r="D18" s="43"/>
      <c r="E18" s="48"/>
    </row>
    <row r="19" s="12" customFormat="1" ht="263.2" customHeight="1" spans="1:5">
      <c r="A19" s="39"/>
      <c r="B19" s="40"/>
      <c r="C19" s="41"/>
      <c r="D19" s="43"/>
      <c r="E19" s="48"/>
    </row>
    <row r="20" s="12" customFormat="1" ht="289.95" customHeight="1" spans="1:5">
      <c r="A20" s="39"/>
      <c r="B20" s="40"/>
      <c r="C20" s="41"/>
      <c r="D20" s="43"/>
      <c r="E20" s="48"/>
    </row>
    <row r="21" s="12" customFormat="1" ht="200" customHeight="1" spans="1:5">
      <c r="A21" s="39"/>
      <c r="B21" s="40"/>
      <c r="C21" s="41"/>
      <c r="D21" s="43"/>
      <c r="E21" s="48"/>
    </row>
    <row r="22" s="12" customFormat="1" ht="200" customHeight="1" spans="1:5">
      <c r="A22" s="39"/>
      <c r="B22" s="40"/>
      <c r="C22" s="41"/>
      <c r="D22" s="43"/>
      <c r="E22" s="48"/>
    </row>
    <row r="23" s="12" customFormat="1" ht="200" customHeight="1" spans="1:5">
      <c r="A23" s="39"/>
      <c r="B23" s="40"/>
      <c r="C23" s="41"/>
      <c r="D23" s="43"/>
      <c r="E23" s="48"/>
    </row>
    <row r="24" s="12" customFormat="1" ht="200" customHeight="1" spans="1:5">
      <c r="A24" s="39"/>
      <c r="B24" s="40"/>
      <c r="C24" s="41"/>
      <c r="D24" s="42"/>
      <c r="E24" s="41"/>
    </row>
    <row r="25" s="12" customFormat="1" ht="200" customHeight="1" spans="1:5">
      <c r="A25" s="39"/>
      <c r="B25" s="40"/>
      <c r="C25" s="41"/>
      <c r="D25" s="42"/>
      <c r="E25" s="41"/>
    </row>
    <row r="26" s="12" customFormat="1" ht="200" customHeight="1" spans="1:5">
      <c r="A26" s="39"/>
      <c r="B26" s="40"/>
      <c r="C26" s="41"/>
      <c r="D26" s="42"/>
      <c r="E26" s="41"/>
    </row>
    <row r="27" s="12" customFormat="1" ht="200" customHeight="1" spans="1:5">
      <c r="A27" s="39">
        <v>45960</v>
      </c>
      <c r="B27" s="40"/>
      <c r="C27" s="41"/>
      <c r="D27" s="42"/>
      <c r="E27" s="41"/>
    </row>
    <row r="28" s="12" customFormat="1" ht="200" customHeight="1" spans="1:5">
      <c r="A28" s="39">
        <v>45961</v>
      </c>
      <c r="B28" s="40"/>
      <c r="C28" s="41"/>
      <c r="D28" s="42"/>
      <c r="E28" s="41"/>
    </row>
    <row r="29" s="12" customFormat="1" ht="200" customHeight="1" spans="1:5">
      <c r="A29" s="39"/>
      <c r="B29" s="40"/>
      <c r="C29" s="41"/>
      <c r="D29" s="42"/>
      <c r="E29" s="41"/>
    </row>
    <row r="30" s="12" customFormat="1" ht="200" customHeight="1" spans="1:5">
      <c r="A30" s="39"/>
      <c r="B30" s="40"/>
      <c r="C30" s="41"/>
      <c r="D30" s="42"/>
      <c r="E30" s="41"/>
    </row>
    <row r="31" s="12" customFormat="1" ht="200" customHeight="1" spans="1:5">
      <c r="A31" s="39"/>
      <c r="B31" s="40"/>
      <c r="C31" s="41"/>
      <c r="D31" s="42"/>
      <c r="E31" s="41"/>
    </row>
    <row r="32" s="12" customFormat="1" spans="1:5">
      <c r="A32" s="44"/>
      <c r="B32" s="45"/>
      <c r="C32" s="46">
        <f>SUM(D2:D31)</f>
        <v>0</v>
      </c>
      <c r="D32" s="47"/>
      <c r="E32" s="49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selection activeCell="G8" sqref="G8"/>
    </sheetView>
  </sheetViews>
  <sheetFormatPr defaultColWidth="9.140625" defaultRowHeight="16.8" outlineLevelRow="6" outlineLevelCol="6"/>
  <cols>
    <col min="1" max="1" width="21.140625" style="13" customWidth="1"/>
    <col min="2" max="2" width="27.5703125" style="12" customWidth="1"/>
    <col min="3" max="3" width="30.75" style="12" customWidth="1"/>
    <col min="4" max="4" width="65.703125" style="12" customWidth="1"/>
    <col min="5" max="7" width="32.3359375" style="12" customWidth="1"/>
    <col min="8" max="16384" width="9.140625" style="12"/>
  </cols>
  <sheetData>
    <row r="1" s="11" customFormat="1" ht="35" customHeight="1" spans="1:7">
      <c r="A1" s="14" t="s">
        <v>0</v>
      </c>
      <c r="B1" s="15" t="s">
        <v>13</v>
      </c>
      <c r="C1" s="15" t="s">
        <v>14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240.3" customHeight="1" spans="1:7">
      <c r="A2" s="16"/>
      <c r="B2" s="17"/>
      <c r="C2" s="18"/>
      <c r="D2" s="19"/>
      <c r="E2" s="25"/>
      <c r="F2" s="26">
        <f>C2*E2</f>
        <v>0</v>
      </c>
      <c r="G2" s="27">
        <f>SUM(F2:F2)</f>
        <v>0</v>
      </c>
    </row>
    <row r="3" s="12" customFormat="1" ht="80" customHeight="1" spans="1:7">
      <c r="A3" s="20"/>
      <c r="B3" s="21"/>
      <c r="C3" s="22"/>
      <c r="D3" s="23"/>
      <c r="E3" s="28"/>
      <c r="F3" s="29"/>
      <c r="G3" s="30"/>
    </row>
    <row r="4" s="12" customFormat="1" ht="80" customHeight="1" spans="1:7">
      <c r="A4" s="20"/>
      <c r="B4" s="21"/>
      <c r="C4" s="22"/>
      <c r="D4" s="23"/>
      <c r="E4" s="28"/>
      <c r="F4" s="29"/>
      <c r="G4" s="31"/>
    </row>
    <row r="5" s="12" customFormat="1" ht="80" customHeight="1" spans="1:7">
      <c r="A5" s="20"/>
      <c r="B5" s="21"/>
      <c r="C5" s="22"/>
      <c r="D5" s="23"/>
      <c r="E5" s="28"/>
      <c r="F5" s="29"/>
      <c r="G5" s="32"/>
    </row>
    <row r="6" s="12" customFormat="1" ht="26" spans="1:7">
      <c r="A6" s="20"/>
      <c r="B6" s="21"/>
      <c r="C6" s="22"/>
      <c r="D6" s="23"/>
      <c r="E6" s="28"/>
      <c r="F6" s="29"/>
      <c r="G6" s="33"/>
    </row>
    <row r="7" s="12" customFormat="1" ht="39" customHeight="1" spans="1:7">
      <c r="A7" s="20" t="s">
        <v>8</v>
      </c>
      <c r="B7" s="24"/>
      <c r="C7" s="24"/>
      <c r="D7" s="24"/>
      <c r="E7" s="24"/>
      <c r="F7" s="29"/>
      <c r="G7" s="34">
        <f>SUM(G2:G6)</f>
        <v>0</v>
      </c>
    </row>
  </sheetData>
  <mergeCells count="3">
    <mergeCell ref="A3:A5"/>
    <mergeCell ref="D3:D5"/>
    <mergeCell ref="G3:G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C2" sqref="C2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15</v>
      </c>
      <c r="B1" s="4" t="s">
        <v>16</v>
      </c>
      <c r="C1" s="5" t="s">
        <v>17</v>
      </c>
    </row>
    <row r="2" spans="1:3">
      <c r="A2" s="6">
        <v>1</v>
      </c>
      <c r="B2" s="7" t="s">
        <v>18</v>
      </c>
      <c r="C2" s="8">
        <f>'Anugrah (Bag, Cup, Box)'!H11</f>
        <v>0</v>
      </c>
    </row>
    <row r="3" spans="1:3">
      <c r="A3" s="6">
        <v>2</v>
      </c>
      <c r="B3" s="7" t="s">
        <v>19</v>
      </c>
      <c r="C3" s="8">
        <f>'UD Abdi Jaya (Bag, Cup, Box)'!H8</f>
        <v>0</v>
      </c>
    </row>
    <row r="4" spans="1:3">
      <c r="A4" s="6">
        <v>3</v>
      </c>
      <c r="B4" s="7" t="s">
        <v>20</v>
      </c>
      <c r="C4" s="8">
        <f>'PT. SUPARMA JAYA TBK (Tissue)'!E14</f>
        <v>0</v>
      </c>
    </row>
    <row r="5" spans="1:3">
      <c r="A5" s="6">
        <v>4</v>
      </c>
      <c r="B5" s="7" t="s">
        <v>21</v>
      </c>
      <c r="C5" s="9">
        <f>'Vickel Laundry'!C32</f>
        <v>0</v>
      </c>
    </row>
    <row r="6" spans="1:3">
      <c r="A6" s="6">
        <v>5</v>
      </c>
      <c r="B6" s="7" t="s">
        <v>22</v>
      </c>
      <c r="C6" s="9">
        <f>'Dishy Soap'!G7</f>
        <v>0</v>
      </c>
    </row>
    <row r="7" spans="1:3">
      <c r="A7" s="6" t="s">
        <v>7</v>
      </c>
      <c r="B7" s="7"/>
      <c r="C7" s="10">
        <f>SUM(C2:C5)</f>
        <v>0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2025-07-10T16:21:00Z</dcterms:created>
  <dcterms:modified xsi:type="dcterms:W3CDTF">2026-02-05T17:55:06Z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1033-12.1.23155.23155</vt:lpwstr>
  </property>
</Properties>
</file>