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00" windowHeight="17020" firstSheet="2" activeTab="2"/>
  </bookViews>
  <sheets>
    <sheet name="BUK BUNGA (Groceries)" sheetId="15" r:id="rId1"/>
    <sheet name="SEDANA JAYA (Groceries)" sheetId="17" r:id="rId2"/>
    <sheet name="AD supplier (Groceries)" sheetId="29" r:id="rId3"/>
    <sheet name="RAFI SEAFOOD (Seafood)" sheetId="4" r:id="rId4"/>
    <sheet name="MAMA RADA PRODUCTION (Dumpling)" sheetId="6" r:id="rId5"/>
    <sheet name="KSP (Chicken)" sheetId="18" r:id="rId6"/>
    <sheet name="SURYA CIPTA NIAGA BALI (Beef)" sheetId="7" r:id="rId7"/>
    <sheet name="BAYU AGNI MERTA (Gas)" sheetId="11" r:id="rId8"/>
    <sheet name="Joy Green (Mix Berry)" sheetId="24" r:id="rId9"/>
    <sheet name="CELEBRITY BAKERY (Bakery)" sheetId="23" r:id="rId10"/>
    <sheet name="Krop (Edible flower)" sheetId="25" r:id="rId11"/>
    <sheet name="Boiler (Dumplings&amp;Syrniki)" sheetId="26" r:id="rId12"/>
    <sheet name="Abdi Jaya (TKW, Vacuum Bag)" sheetId="27" r:id="rId13"/>
    <sheet name="Dishy Soap (Chemicals)" sheetId="28" r:id="rId14"/>
    <sheet name="TOTAL" sheetId="16" r:id="rId15"/>
  </sheets>
  <definedNames>
    <definedName name="_xlnm._FilterDatabase" localSheetId="0" hidden="1">'BUK BUNGA (Groceries)'!$A$1:$F$484</definedName>
    <definedName name="_xlnm._FilterDatabase" localSheetId="1" hidden="1">'SEDANA JAYA (Groceries)'!$A$1:$F$668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<sst xmlns="http://schemas.openxmlformats.org/spreadsheetml/2006/main" count="129" uniqueCount="38">
  <si>
    <t>DATE</t>
  </si>
  <si>
    <t>ITEM</t>
  </si>
  <si>
    <t>QYT</t>
  </si>
  <si>
    <t>PRICE</t>
  </si>
  <si>
    <t>SUBTOTAL</t>
  </si>
  <si>
    <t>TOTAL</t>
  </si>
  <si>
    <t>OUTSTANDING STATUS CHECK</t>
  </si>
  <si>
    <t>BILLS</t>
  </si>
  <si>
    <t>DESCRIPTION</t>
  </si>
  <si>
    <t>QUANTITY</t>
  </si>
  <si>
    <t>INV NO.</t>
  </si>
  <si>
    <t>DESCRIPTIONS</t>
  </si>
  <si>
    <t>QTY</t>
  </si>
  <si>
    <t>BIILS</t>
  </si>
  <si>
    <t xml:space="preserve"> GRAND TOTAL</t>
  </si>
  <si>
    <t>SUB TOTAL</t>
  </si>
  <si>
    <t>STATUS</t>
  </si>
  <si>
    <t>NO</t>
  </si>
  <si>
    <t>PC</t>
  </si>
  <si>
    <t xml:space="preserve">Total </t>
  </si>
  <si>
    <t>INV.NO</t>
  </si>
  <si>
    <t>TOTAL AFTER TAX</t>
  </si>
  <si>
    <t>GRAND TOTAL</t>
  </si>
  <si>
    <t>SUPPLIER</t>
  </si>
  <si>
    <t>Total</t>
  </si>
  <si>
    <t>BU BUNGA</t>
  </si>
  <si>
    <t>SEDANA JAYA</t>
  </si>
  <si>
    <t>RAFI SEAFOOD</t>
  </si>
  <si>
    <t>MAMA RADA PRODUCTION</t>
  </si>
  <si>
    <t>KSP</t>
  </si>
  <si>
    <t>SURYA CIPTA NIAGA BALI</t>
  </si>
  <si>
    <t>BAYU AGNI MERTA</t>
  </si>
  <si>
    <t>JOY GREEN</t>
  </si>
  <si>
    <t>CELEBRITY BAKERY</t>
  </si>
  <si>
    <t>KROP NATIION</t>
  </si>
  <si>
    <t>BOILER</t>
  </si>
  <si>
    <t>ABDI JAYA</t>
  </si>
  <si>
    <t>DISHY SOAP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</si>
</sst>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_-&quot;Rp&quot;* #,##0_-;\-&quot;Rp&quot;* #,##0_-;_-&quot;Rp&quot;* &quot;-&quot;??_-;_-@_-"/>
    <numFmt numFmtId="181" formatCode="[$-409]d\-mmm\-yyyy;@"/>
    <numFmt numFmtId="182" formatCode="dd\-mmm"/>
    <numFmt numFmtId="183" formatCode="_ [$IDR]\ * #,##0_ ;_ [$IDR]\ * \-#,##0_ ;_ [$IDR]\ * &quot;-&quot;_ ;_ @_ "/>
    <numFmt numFmtId="184" formatCode="[$-809]dd\ mmmm\ yyyy;@"/>
  </numFmts>
  <fonts count="43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1"/>
      <color theme="1"/>
      <name val="Cambria"/>
      <charset val="134"/>
    </font>
    <font>
      <sz val="18"/>
      <color theme="1"/>
      <name val="Cambria"/>
      <charset val="134"/>
    </font>
    <font>
      <sz val="18"/>
      <color theme="1"/>
      <name val="Garamond"/>
      <charset val="134"/>
    </font>
    <font>
      <sz val="14"/>
      <color theme="1"/>
      <name val="Garamond"/>
      <charset val="134"/>
    </font>
    <font>
      <sz val="11"/>
      <color theme="1"/>
      <name val="Calibri Light"/>
      <charset val="134"/>
    </font>
    <font>
      <sz val="16"/>
      <color theme="1"/>
      <name val="Calibri"/>
      <charset val="134"/>
    </font>
    <font>
      <sz val="16"/>
      <color theme="1"/>
      <name val="Garamond"/>
      <charset val="134"/>
    </font>
    <font>
      <sz val="16"/>
      <color theme="1"/>
      <name val="Arial Narrow"/>
      <charset val="134"/>
    </font>
    <font>
      <sz val="16"/>
      <color theme="1"/>
      <name val="Calibri Light"/>
      <charset val="134"/>
    </font>
    <font>
      <b/>
      <i/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u/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1"/>
      <name val="Cambria"/>
      <charset val="134"/>
    </font>
    <font>
      <sz val="12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8" borderId="13" applyNumberFormat="0" applyAlignment="0" applyProtection="0">
      <alignment vertical="center"/>
    </xf>
    <xf numFmtId="0" fontId="33" fillId="9" borderId="14" applyNumberFormat="0" applyAlignment="0" applyProtection="0">
      <alignment vertical="center"/>
    </xf>
    <xf numFmtId="0" fontId="34" fillId="9" borderId="13" applyNumberFormat="0" applyAlignment="0" applyProtection="0">
      <alignment vertical="center"/>
    </xf>
    <xf numFmtId="0" fontId="35" fillId="10" borderId="15" applyNumberFormat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</cellStyleXfs>
  <cellXfs count="21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180" fontId="0" fillId="4" borderId="1" xfId="0" applyNumberFormat="1" applyFill="1" applyBorder="1" applyAlignment="1">
      <alignment horizontal="center" vertical="center"/>
    </xf>
    <xf numFmtId="180" fontId="0" fillId="4" borderId="1" xfId="0" applyNumberFormat="1" applyFill="1" applyBorder="1">
      <alignment vertical="center"/>
    </xf>
    <xf numFmtId="0" fontId="0" fillId="4" borderId="2" xfId="0" applyFill="1" applyBorder="1">
      <alignment vertical="center"/>
    </xf>
    <xf numFmtId="180" fontId="0" fillId="0" borderId="0" xfId="0" applyNumberFormat="1">
      <alignment vertical="center"/>
    </xf>
    <xf numFmtId="0" fontId="0" fillId="2" borderId="2" xfId="0" applyFill="1" applyBorder="1">
      <alignment vertical="center"/>
    </xf>
    <xf numFmtId="180" fontId="0" fillId="2" borderId="1" xfId="0" applyNumberFormat="1" applyFill="1" applyBorder="1">
      <alignment vertical="center"/>
    </xf>
    <xf numFmtId="0" fontId="1" fillId="0" borderId="0" xfId="0" applyFont="1">
      <alignment vertical="center"/>
    </xf>
    <xf numFmtId="181" fontId="0" fillId="0" borderId="0" xfId="0" applyNumberFormat="1">
      <alignment vertical="center"/>
    </xf>
    <xf numFmtId="0" fontId="0" fillId="0" borderId="0" xfId="0" applyAlignment="1">
      <alignment vertical="center"/>
    </xf>
    <xf numFmtId="181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181" fontId="2" fillId="4" borderId="1" xfId="0" applyNumberFormat="1" applyFont="1" applyFill="1" applyBorder="1" applyAlignment="1">
      <alignment vertical="center"/>
    </xf>
    <xf numFmtId="180" fontId="2" fillId="4" borderId="1" xfId="0" applyNumberFormat="1" applyFont="1" applyFill="1" applyBorder="1" applyAlignment="1">
      <alignment vertical="center" wrapText="1"/>
    </xf>
    <xf numFmtId="0" fontId="2" fillId="4" borderId="1" xfId="0" applyNumberFormat="1" applyFont="1" applyFill="1" applyBorder="1" applyAlignment="1">
      <alignment vertical="center" wrapText="1"/>
    </xf>
    <xf numFmtId="0" fontId="2" fillId="4" borderId="1" xfId="0" applyNumberFormat="1" applyFont="1" applyFill="1" applyBorder="1" applyAlignment="1">
      <alignment vertical="center"/>
    </xf>
    <xf numFmtId="181" fontId="3" fillId="4" borderId="1" xfId="0" applyNumberFormat="1" applyFont="1" applyFill="1" applyBorder="1" applyAlignment="1">
      <alignment vertical="center"/>
    </xf>
    <xf numFmtId="0" fontId="3" fillId="4" borderId="1" xfId="0" applyNumberFormat="1" applyFont="1" applyFill="1" applyBorder="1" applyAlignment="1">
      <alignment vertical="center"/>
    </xf>
    <xf numFmtId="181" fontId="3" fillId="4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180" fontId="2" fillId="4" borderId="1" xfId="0" applyNumberFormat="1" applyFont="1" applyFill="1" applyBorder="1" applyAlignment="1">
      <alignment vertical="center"/>
    </xf>
    <xf numFmtId="180" fontId="3" fillId="4" borderId="1" xfId="0" applyNumberFormat="1" applyFont="1" applyFill="1" applyBorder="1" applyAlignment="1">
      <alignment vertical="center"/>
    </xf>
    <xf numFmtId="180" fontId="2" fillId="4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82" fontId="2" fillId="4" borderId="1" xfId="0" applyNumberFormat="1" applyFont="1" applyFill="1" applyBorder="1" applyAlignment="1">
      <alignment vertical="center"/>
    </xf>
    <xf numFmtId="0" fontId="3" fillId="5" borderId="4" xfId="0" applyNumberFormat="1" applyFont="1" applyFill="1" applyBorder="1" applyAlignment="1">
      <alignment horizontal="center" vertical="center"/>
    </xf>
    <xf numFmtId="0" fontId="3" fillId="5" borderId="5" xfId="0" applyNumberFormat="1" applyFont="1" applyFill="1" applyBorder="1" applyAlignment="1">
      <alignment horizontal="center" vertical="center"/>
    </xf>
    <xf numFmtId="180" fontId="2" fillId="0" borderId="1" xfId="0" applyNumberFormat="1" applyFont="1" applyFill="1" applyBorder="1" applyAlignment="1">
      <alignment vertical="center"/>
    </xf>
    <xf numFmtId="180" fontId="3" fillId="0" borderId="4" xfId="0" applyNumberFormat="1" applyFont="1" applyFill="1" applyBorder="1" applyAlignment="1">
      <alignment horizontal="center" vertical="center"/>
    </xf>
    <xf numFmtId="180" fontId="3" fillId="0" borderId="5" xfId="0" applyNumberFormat="1" applyFont="1" applyFill="1" applyBorder="1" applyAlignment="1">
      <alignment horizontal="center" vertical="center"/>
    </xf>
    <xf numFmtId="180" fontId="3" fillId="0" borderId="2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180" fontId="2" fillId="4" borderId="2" xfId="0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 vertical="center" wrapText="1"/>
    </xf>
    <xf numFmtId="0" fontId="2" fillId="4" borderId="5" xfId="0" applyNumberFormat="1" applyFont="1" applyFill="1" applyBorder="1" applyAlignment="1">
      <alignment horizontal="center" vertical="center" wrapText="1"/>
    </xf>
    <xf numFmtId="0" fontId="3" fillId="4" borderId="4" xfId="0" applyNumberFormat="1" applyFont="1" applyFill="1" applyBorder="1" applyAlignment="1">
      <alignment horizontal="center" vertical="center"/>
    </xf>
    <xf numFmtId="0" fontId="3" fillId="4" borderId="5" xfId="0" applyNumberFormat="1" applyFont="1" applyFill="1" applyBorder="1" applyAlignment="1">
      <alignment horizontal="center" vertical="center"/>
    </xf>
    <xf numFmtId="0" fontId="3" fillId="4" borderId="2" xfId="0" applyNumberFormat="1" applyFont="1" applyFill="1" applyBorder="1" applyAlignment="1">
      <alignment horizontal="center" vertical="center"/>
    </xf>
    <xf numFmtId="180" fontId="2" fillId="4" borderId="1" xfId="0" applyNumberFormat="1" applyFont="1" applyFill="1" applyBorder="1" applyAlignment="1">
      <alignment horizontal="left" vertical="center"/>
    </xf>
    <xf numFmtId="180" fontId="2" fillId="4" borderId="4" xfId="0" applyNumberFormat="1" applyFont="1" applyFill="1" applyBorder="1" applyAlignment="1">
      <alignment horizontal="center" vertical="center"/>
    </xf>
    <xf numFmtId="180" fontId="4" fillId="4" borderId="4" xfId="0" applyNumberFormat="1" applyFont="1" applyFill="1" applyBorder="1" applyAlignment="1">
      <alignment horizontal="center" vertical="center"/>
    </xf>
    <xf numFmtId="180" fontId="4" fillId="4" borderId="5" xfId="0" applyNumberFormat="1" applyFont="1" applyFill="1" applyBorder="1" applyAlignment="1">
      <alignment horizontal="left" vertical="center"/>
    </xf>
    <xf numFmtId="180" fontId="4" fillId="4" borderId="2" xfId="0" applyNumberFormat="1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181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81" fontId="6" fillId="4" borderId="1" xfId="0" applyNumberFormat="1" applyFont="1" applyFill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180" fontId="3" fillId="4" borderId="1" xfId="0" applyNumberFormat="1" applyFont="1" applyFill="1" applyBorder="1" applyAlignment="1">
      <alignment horizontal="left" vertical="center"/>
    </xf>
    <xf numFmtId="180" fontId="2" fillId="4" borderId="1" xfId="0" applyNumberFormat="1" applyFont="1" applyFill="1" applyBorder="1" applyAlignment="1">
      <alignment horizontal="center" vertical="center"/>
    </xf>
    <xf numFmtId="180" fontId="3" fillId="4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182" fontId="0" fillId="4" borderId="1" xfId="0" applyNumberForma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80" fontId="0" fillId="0" borderId="4" xfId="0" applyNumberFormat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82" fontId="2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183" fontId="2" fillId="0" borderId="1" xfId="0" applyNumberFormat="1" applyFont="1" applyBorder="1">
      <alignment vertical="center"/>
    </xf>
    <xf numFmtId="0" fontId="0" fillId="0" borderId="2" xfId="0" applyBorder="1">
      <alignment vertical="center"/>
    </xf>
    <xf numFmtId="180" fontId="4" fillId="6" borderId="1" xfId="0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181" fontId="9" fillId="5" borderId="1" xfId="0" applyNumberFormat="1" applyFont="1" applyFill="1" applyBorder="1" applyAlignment="1">
      <alignment horizontal="center" vertical="center"/>
    </xf>
    <xf numFmtId="0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81" fontId="0" fillId="4" borderId="1" xfId="0" applyNumberFormat="1" applyFill="1" applyBorder="1" applyAlignment="1">
      <alignment vertical="center"/>
    </xf>
    <xf numFmtId="0" fontId="0" fillId="4" borderId="1" xfId="0" applyNumberFormat="1" applyFill="1" applyBorder="1" applyAlignment="1">
      <alignment vertical="center"/>
    </xf>
    <xf numFmtId="180" fontId="0" fillId="4" borderId="1" xfId="0" applyNumberFormat="1" applyFill="1" applyBorder="1" applyAlignment="1">
      <alignment vertical="center" wrapText="1"/>
    </xf>
    <xf numFmtId="0" fontId="0" fillId="4" borderId="1" xfId="0" applyNumberFormat="1" applyFill="1" applyBorder="1" applyAlignment="1">
      <alignment vertical="center" wrapText="1"/>
    </xf>
    <xf numFmtId="181" fontId="0" fillId="4" borderId="1" xfId="0" applyNumberFormat="1" applyFont="1" applyFill="1" applyBorder="1" applyAlignment="1">
      <alignment vertical="center"/>
    </xf>
    <xf numFmtId="0" fontId="0" fillId="4" borderId="1" xfId="0" applyNumberFormat="1" applyFont="1" applyFill="1" applyBorder="1" applyAlignment="1">
      <alignment vertical="center"/>
    </xf>
    <xf numFmtId="181" fontId="3" fillId="6" borderId="4" xfId="0" applyNumberFormat="1" applyFont="1" applyFill="1" applyBorder="1" applyAlignment="1">
      <alignment horizontal="center" vertical="center"/>
    </xf>
    <xf numFmtId="181" fontId="3" fillId="6" borderId="5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vertical="center" wrapText="1"/>
    </xf>
    <xf numFmtId="180" fontId="0" fillId="4" borderId="1" xfId="0" applyNumberFormat="1" applyFill="1" applyBorder="1" applyAlignment="1">
      <alignment vertical="center"/>
    </xf>
    <xf numFmtId="180" fontId="0" fillId="4" borderId="1" xfId="0" applyNumberFormat="1" applyFont="1" applyFill="1" applyBorder="1" applyAlignment="1">
      <alignment vertical="center"/>
    </xf>
    <xf numFmtId="180" fontId="4" fillId="6" borderId="4" xfId="0" applyNumberFormat="1" applyFont="1" applyFill="1" applyBorder="1" applyAlignment="1">
      <alignment horizontal="center" vertical="center"/>
    </xf>
    <xf numFmtId="180" fontId="4" fillId="6" borderId="5" xfId="0" applyNumberFormat="1" applyFont="1" applyFill="1" applyBorder="1" applyAlignment="1">
      <alignment horizontal="center" vertical="center"/>
    </xf>
    <xf numFmtId="184" fontId="0" fillId="0" borderId="1" xfId="0" applyNumberFormat="1" applyFill="1" applyBorder="1" applyAlignment="1">
      <alignment vertical="center"/>
    </xf>
    <xf numFmtId="180" fontId="4" fillId="6" borderId="2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80" fontId="10" fillId="5" borderId="1" xfId="0" applyNumberFormat="1" applyFont="1" applyFill="1" applyBorder="1" applyAlignment="1">
      <alignment horizontal="center" vertical="center"/>
    </xf>
    <xf numFmtId="182" fontId="0" fillId="4" borderId="1" xfId="0" applyNumberFormat="1" applyFill="1" applyBorder="1" applyAlignment="1">
      <alignment vertical="center"/>
    </xf>
    <xf numFmtId="180" fontId="11" fillId="4" borderId="1" xfId="0" applyNumberFormat="1" applyFont="1" applyFill="1" applyBorder="1" applyAlignment="1">
      <alignment vertical="center" wrapText="1"/>
    </xf>
    <xf numFmtId="0" fontId="11" fillId="4" borderId="1" xfId="0" applyNumberFormat="1" applyFont="1" applyFill="1" applyBorder="1" applyAlignment="1">
      <alignment vertical="center" wrapText="1"/>
    </xf>
    <xf numFmtId="182" fontId="0" fillId="4" borderId="6" xfId="0" applyNumberFormat="1" applyFill="1" applyBorder="1" applyAlignment="1">
      <alignment vertical="center"/>
    </xf>
    <xf numFmtId="180" fontId="0" fillId="4" borderId="6" xfId="0" applyNumberFormat="1" applyFill="1" applyBorder="1" applyAlignment="1">
      <alignment horizontal="center" vertical="center" wrapText="1"/>
    </xf>
    <xf numFmtId="0" fontId="0" fillId="4" borderId="6" xfId="0" applyNumberFormat="1" applyFill="1" applyBorder="1" applyAlignment="1">
      <alignment horizontal="center" vertical="center" wrapText="1"/>
    </xf>
    <xf numFmtId="0" fontId="0" fillId="0" borderId="1" xfId="0" applyNumberFormat="1" applyBorder="1" applyAlignment="1">
      <alignment vertical="center"/>
    </xf>
    <xf numFmtId="183" fontId="0" fillId="0" borderId="1" xfId="0" applyNumberFormat="1" applyBorder="1" applyAlignment="1">
      <alignment vertical="center"/>
    </xf>
    <xf numFmtId="180" fontId="0" fillId="0" borderId="1" xfId="0" applyNumberFormat="1" applyBorder="1" applyAlignment="1">
      <alignment vertical="center"/>
    </xf>
    <xf numFmtId="0" fontId="0" fillId="0" borderId="6" xfId="0" applyNumberFormat="1" applyBorder="1" applyAlignment="1">
      <alignment vertical="center"/>
    </xf>
    <xf numFmtId="180" fontId="0" fillId="0" borderId="6" xfId="0" applyNumberFormat="1" applyBorder="1" applyAlignment="1">
      <alignment vertical="center"/>
    </xf>
    <xf numFmtId="180" fontId="0" fillId="0" borderId="1" xfId="0" applyNumberFormat="1" applyBorder="1">
      <alignment vertical="center"/>
    </xf>
    <xf numFmtId="0" fontId="12" fillId="0" borderId="0" xfId="0" applyFont="1">
      <alignment vertical="center"/>
    </xf>
    <xf numFmtId="181" fontId="12" fillId="0" borderId="0" xfId="0" applyNumberFormat="1" applyFont="1">
      <alignment vertical="center"/>
    </xf>
    <xf numFmtId="0" fontId="12" fillId="0" borderId="0" xfId="0" applyFont="1" applyAlignment="1">
      <alignment horizontal="center" vertical="top"/>
    </xf>
    <xf numFmtId="181" fontId="12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181" fontId="12" fillId="4" borderId="1" xfId="0" applyNumberFormat="1" applyFont="1" applyFill="1" applyBorder="1" applyAlignment="1">
      <alignment vertical="center"/>
    </xf>
    <xf numFmtId="182" fontId="12" fillId="4" borderId="1" xfId="0" applyNumberFormat="1" applyFont="1" applyFill="1" applyBorder="1" applyAlignment="1">
      <alignment vertical="center"/>
    </xf>
    <xf numFmtId="180" fontId="12" fillId="4" borderId="1" xfId="0" applyNumberFormat="1" applyFont="1" applyFill="1" applyBorder="1" applyAlignment="1">
      <alignment vertical="center" wrapText="1"/>
    </xf>
    <xf numFmtId="0" fontId="12" fillId="4" borderId="1" xfId="0" applyNumberFormat="1" applyFont="1" applyFill="1" applyBorder="1" applyAlignment="1">
      <alignment vertical="center" wrapText="1"/>
    </xf>
    <xf numFmtId="180" fontId="12" fillId="4" borderId="1" xfId="0" applyNumberFormat="1" applyFont="1" applyFill="1" applyBorder="1" applyAlignment="1">
      <alignment vertical="center"/>
    </xf>
    <xf numFmtId="0" fontId="12" fillId="4" borderId="1" xfId="0" applyNumberFormat="1" applyFont="1" applyFill="1" applyBorder="1" applyAlignment="1">
      <alignment vertical="center"/>
    </xf>
    <xf numFmtId="181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5" borderId="1" xfId="0" applyFont="1" applyFill="1" applyBorder="1">
      <alignment vertical="center"/>
    </xf>
    <xf numFmtId="0" fontId="12" fillId="4" borderId="1" xfId="0" applyFont="1" applyFill="1" applyBorder="1" applyAlignment="1">
      <alignment vertical="center"/>
    </xf>
    <xf numFmtId="183" fontId="12" fillId="4" borderId="1" xfId="0" applyNumberFormat="1" applyFont="1" applyFill="1" applyBorder="1" applyAlignment="1">
      <alignment vertical="center"/>
    </xf>
    <xf numFmtId="183" fontId="12" fillId="6" borderId="1" xfId="0" applyNumberFormat="1" applyFont="1" applyFill="1" applyBorder="1">
      <alignment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  <xf numFmtId="18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81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180" fontId="13" fillId="4" borderId="1" xfId="0" applyNumberFormat="1" applyFont="1" applyFill="1" applyBorder="1" applyAlignment="1">
      <alignment vertical="center" wrapText="1"/>
    </xf>
    <xf numFmtId="0" fontId="14" fillId="4" borderId="1" xfId="0" applyFont="1" applyFill="1" applyBorder="1" applyAlignment="1">
      <alignment vertical="center"/>
    </xf>
    <xf numFmtId="183" fontId="15" fillId="4" borderId="1" xfId="0" applyNumberFormat="1" applyFont="1" applyFill="1" applyBorder="1" applyAlignment="1">
      <alignment vertical="center"/>
    </xf>
    <xf numFmtId="0" fontId="13" fillId="4" borderId="1" xfId="0" applyNumberFormat="1" applyFont="1" applyFill="1" applyBorder="1" applyAlignment="1">
      <alignment vertical="center" wrapText="1"/>
    </xf>
    <xf numFmtId="180" fontId="13" fillId="4" borderId="1" xfId="0" applyNumberFormat="1" applyFont="1" applyFill="1" applyBorder="1" applyAlignment="1">
      <alignment vertical="center"/>
    </xf>
    <xf numFmtId="0" fontId="2" fillId="6" borderId="7" xfId="0" applyNumberFormat="1" applyFont="1" applyFill="1" applyBorder="1" applyAlignment="1">
      <alignment vertical="center"/>
    </xf>
    <xf numFmtId="180" fontId="16" fillId="6" borderId="7" xfId="0" applyNumberFormat="1" applyFont="1" applyFill="1" applyBorder="1" applyAlignment="1">
      <alignment horizontal="center" vertical="center"/>
    </xf>
    <xf numFmtId="180" fontId="16" fillId="6" borderId="6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183" fontId="2" fillId="4" borderId="1" xfId="0" applyNumberFormat="1" applyFont="1" applyFill="1" applyBorder="1" applyAlignment="1">
      <alignment vertical="center"/>
    </xf>
    <xf numFmtId="183" fontId="2" fillId="0" borderId="0" xfId="0" applyNumberFormat="1" applyFont="1">
      <alignment vertical="center"/>
    </xf>
    <xf numFmtId="0" fontId="17" fillId="0" borderId="0" xfId="0" applyFont="1">
      <alignment vertical="center"/>
    </xf>
    <xf numFmtId="181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181" fontId="18" fillId="5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18" fillId="5" borderId="1" xfId="0" applyNumberFormat="1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181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180" fontId="17" fillId="4" borderId="1" xfId="0" applyNumberFormat="1" applyFont="1" applyFill="1" applyBorder="1" applyAlignment="1">
      <alignment vertical="center"/>
    </xf>
    <xf numFmtId="181" fontId="17" fillId="0" borderId="8" xfId="0" applyNumberFormat="1" applyFont="1" applyBorder="1" applyAlignment="1">
      <alignment horizontal="center" vertical="center"/>
    </xf>
    <xf numFmtId="181" fontId="17" fillId="0" borderId="9" xfId="0" applyNumberFormat="1" applyFont="1" applyBorder="1" applyAlignment="1">
      <alignment horizontal="center" vertical="center"/>
    </xf>
    <xf numFmtId="181" fontId="17" fillId="0" borderId="6" xfId="0" applyNumberFormat="1" applyFont="1" applyBorder="1" applyAlignment="1">
      <alignment horizontal="center" vertical="center"/>
    </xf>
    <xf numFmtId="181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180" fontId="20" fillId="4" borderId="1" xfId="0" applyNumberFormat="1" applyFont="1" applyFill="1" applyBorder="1" applyAlignment="1">
      <alignment vertic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>
      <alignment vertical="center"/>
    </xf>
    <xf numFmtId="180" fontId="17" fillId="0" borderId="1" xfId="0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180" fontId="17" fillId="0" borderId="0" xfId="0" applyNumberFormat="1" applyFont="1">
      <alignment vertical="center"/>
    </xf>
    <xf numFmtId="0" fontId="17" fillId="0" borderId="6" xfId="0" applyFont="1" applyFill="1" applyBorder="1" applyAlignment="1">
      <alignment horizontal="center" vertical="center"/>
    </xf>
    <xf numFmtId="180" fontId="17" fillId="0" borderId="8" xfId="0" applyNumberFormat="1" applyFont="1" applyFill="1" applyBorder="1" applyAlignment="1">
      <alignment horizontal="center" vertical="center"/>
    </xf>
    <xf numFmtId="180" fontId="17" fillId="0" borderId="9" xfId="0" applyNumberFormat="1" applyFont="1" applyFill="1" applyBorder="1" applyAlignment="1">
      <alignment horizontal="center" vertical="center"/>
    </xf>
    <xf numFmtId="180" fontId="17" fillId="0" borderId="6" xfId="0" applyNumberFormat="1" applyFont="1" applyFill="1" applyBorder="1" applyAlignment="1">
      <alignment horizontal="center" vertical="center"/>
    </xf>
    <xf numFmtId="180" fontId="17" fillId="0" borderId="1" xfId="0" applyNumberFormat="1" applyFont="1" applyFill="1" applyBorder="1" applyAlignment="1">
      <alignment vertical="center"/>
    </xf>
    <xf numFmtId="0" fontId="17" fillId="0" borderId="1" xfId="0" applyFont="1" applyFill="1" applyBorder="1" applyAlignment="1">
      <alignment vertical="center"/>
    </xf>
    <xf numFmtId="180" fontId="20" fillId="0" borderId="1" xfId="0" applyNumberFormat="1" applyFont="1" applyFill="1" applyBorder="1" applyAlignment="1">
      <alignment vertical="center"/>
    </xf>
    <xf numFmtId="0" fontId="20" fillId="0" borderId="1" xfId="0" applyFont="1" applyFill="1" applyBorder="1" applyAlignment="1">
      <alignment vertical="center"/>
    </xf>
    <xf numFmtId="180" fontId="17" fillId="0" borderId="1" xfId="0" applyNumberFormat="1" applyFont="1" applyBorder="1">
      <alignment vertical="center"/>
    </xf>
    <xf numFmtId="181" fontId="17" fillId="0" borderId="1" xfId="0" applyNumberFormat="1" applyFont="1" applyBorder="1" applyAlignment="1">
      <alignment vertical="center"/>
    </xf>
    <xf numFmtId="0" fontId="17" fillId="0" borderId="0" xfId="0" applyFont="1" applyFill="1">
      <alignment vertical="center"/>
    </xf>
    <xf numFmtId="181" fontId="21" fillId="0" borderId="1" xfId="0" applyNumberFormat="1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NumberFormat="1" applyFill="1" applyBorder="1" applyAlignment="1">
      <alignment vertical="center"/>
    </xf>
    <xf numFmtId="180" fontId="0" fillId="0" borderId="1" xfId="0" applyNumberFormat="1" applyFill="1" applyBorder="1" applyAlignment="1">
      <alignment vertical="center"/>
    </xf>
    <xf numFmtId="0" fontId="17" fillId="0" borderId="1" xfId="0" applyNumberFormat="1" applyFont="1" applyBorder="1" applyAlignment="1">
      <alignment vertical="center"/>
    </xf>
    <xf numFmtId="180" fontId="17" fillId="0" borderId="0" xfId="0" applyNumberFormat="1" applyFont="1" applyFill="1">
      <alignment vertical="center"/>
    </xf>
    <xf numFmtId="0" fontId="17" fillId="0" borderId="0" xfId="0" applyFont="1" applyFill="1" applyAlignment="1">
      <alignment vertical="center"/>
    </xf>
    <xf numFmtId="0" fontId="0" fillId="0" borderId="1" xfId="0" applyBorder="1" applyAlignment="1">
      <alignment vertical="center"/>
    </xf>
    <xf numFmtId="180" fontId="17" fillId="0" borderId="1" xfId="0" applyNumberFormat="1" applyFont="1" applyBorder="1" applyAlignment="1">
      <alignment vertical="center"/>
    </xf>
    <xf numFmtId="180" fontId="17" fillId="4" borderId="1" xfId="0" applyNumberFormat="1" applyFont="1" applyFill="1" applyBorder="1" applyAlignment="1">
      <alignment horizontal="center" vertical="center"/>
    </xf>
    <xf numFmtId="0" fontId="17" fillId="4" borderId="1" xfId="0" applyFont="1" applyFill="1" applyBorder="1">
      <alignment vertical="center"/>
    </xf>
    <xf numFmtId="0" fontId="0" fillId="0" borderId="0" xfId="0" applyFill="1" applyAlignment="1">
      <alignment vertical="center"/>
    </xf>
    <xf numFmtId="181" fontId="21" fillId="0" borderId="0" xfId="0" applyNumberFormat="1" applyFont="1" applyFill="1" applyBorder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181" fontId="22" fillId="5" borderId="1" xfId="0" applyNumberFormat="1" applyFont="1" applyFill="1" applyBorder="1" applyAlignment="1">
      <alignment vertical="center"/>
    </xf>
    <xf numFmtId="0" fontId="23" fillId="5" borderId="5" xfId="0" applyFont="1" applyFill="1" applyBorder="1" applyAlignment="1">
      <alignment horizontal="center" vertical="center"/>
    </xf>
    <xf numFmtId="0" fontId="23" fillId="5" borderId="1" xfId="0" applyNumberFormat="1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0" fontId="0" fillId="0" borderId="4" xfId="0" applyFill="1" applyBorder="1" applyAlignment="1">
      <alignment vertical="center"/>
    </xf>
    <xf numFmtId="0" fontId="0" fillId="0" borderId="1" xfId="0" applyNumberFormat="1" applyFill="1" applyBorder="1" applyAlignment="1">
      <alignment horizontal="center" vertical="center"/>
    </xf>
    <xf numFmtId="180" fontId="0" fillId="4" borderId="2" xfId="0" applyNumberFormat="1" applyFill="1" applyBorder="1" applyAlignment="1">
      <alignment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180" fontId="0" fillId="0" borderId="0" xfId="0" applyNumberFormat="1" applyFill="1" applyAlignment="1">
      <alignment vertical="center"/>
    </xf>
    <xf numFmtId="0" fontId="0" fillId="0" borderId="4" xfId="0" applyFill="1" applyBorder="1" applyAlignment="1">
      <alignment horizontal="left" vertical="center"/>
    </xf>
    <xf numFmtId="180" fontId="0" fillId="4" borderId="2" xfId="0" applyNumberFormat="1" applyFill="1" applyBorder="1" applyAlignment="1">
      <alignment horizontal="center" vertical="center"/>
    </xf>
    <xf numFmtId="0" fontId="17" fillId="0" borderId="4" xfId="0" applyFont="1" applyBorder="1" applyAlignment="1">
      <alignment vertical="center"/>
    </xf>
    <xf numFmtId="180" fontId="17" fillId="4" borderId="2" xfId="0" applyNumberFormat="1" applyFont="1" applyFill="1" applyBorder="1" applyAlignment="1">
      <alignment vertical="center"/>
    </xf>
    <xf numFmtId="180" fontId="0" fillId="0" borderId="4" xfId="0" applyNumberForma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1" xfId="0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8E57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1"/>
  <sheetViews>
    <sheetView zoomScale="85" zoomScaleNormal="85" workbookViewId="0">
      <pane ySplit="1" topLeftCell="A2" activePane="bottomLeft" state="frozen"/>
      <selection/>
      <selection pane="bottomLeft" activeCell="G14" sqref="G14"/>
    </sheetView>
  </sheetViews>
  <sheetFormatPr defaultColWidth="9.140625" defaultRowHeight="17.6" outlineLevelCol="7"/>
  <cols>
    <col min="1" max="1" width="24.765625" style="192" customWidth="1"/>
    <col min="2" max="2" width="28.5703125" style="193" customWidth="1"/>
    <col min="3" max="3" width="10.7890625" style="194" customWidth="1"/>
    <col min="4" max="4" width="12.140625" style="191" customWidth="1"/>
    <col min="5" max="5" width="15.5703125" style="191" customWidth="1"/>
    <col min="6" max="6" width="15.796875" style="195" customWidth="1"/>
    <col min="7" max="7" width="14.2890625" style="191"/>
    <col min="8" max="8" width="22.59375" style="191" customWidth="1"/>
    <col min="9" max="9" width="12.6875" style="191"/>
    <col min="10" max="16384" width="9.140625" style="191"/>
  </cols>
  <sheetData>
    <row r="1" s="191" customFormat="1" ht="22" customHeight="1" spans="1:6">
      <c r="A1" s="196" t="s">
        <v>0</v>
      </c>
      <c r="B1" s="197" t="s">
        <v>1</v>
      </c>
      <c r="C1" s="198" t="s">
        <v>2</v>
      </c>
      <c r="D1" s="199" t="s">
        <v>3</v>
      </c>
      <c r="E1" s="203" t="s">
        <v>4</v>
      </c>
      <c r="F1" s="204" t="s">
        <v>5</v>
      </c>
    </row>
    <row r="2" s="191" customFormat="1" spans="1:6">
      <c r="A2" s="180"/>
      <c r="B2" s="200"/>
      <c r="C2" s="201"/>
      <c r="D2" s="202"/>
      <c r="E2" s="88">
        <f>D2*C2</f>
        <v>0</v>
      </c>
      <c r="F2" s="183"/>
    </row>
    <row r="3" s="191" customFormat="1" spans="1:6">
      <c r="A3" s="180"/>
      <c r="B3" s="200"/>
      <c r="C3" s="201"/>
      <c r="D3" s="202"/>
      <c r="E3" s="88">
        <f t="shared" ref="E3:E18" si="0">D3*C3</f>
        <v>0</v>
      </c>
      <c r="F3" s="183"/>
    </row>
    <row r="4" s="191" customFormat="1" spans="1:6">
      <c r="A4" s="180"/>
      <c r="B4" s="200"/>
      <c r="C4" s="201"/>
      <c r="D4" s="202"/>
      <c r="E4" s="88">
        <f t="shared" si="0"/>
        <v>0</v>
      </c>
      <c r="F4" s="183"/>
    </row>
    <row r="5" s="191" customFormat="1" spans="1:6">
      <c r="A5" s="180"/>
      <c r="B5" s="200"/>
      <c r="C5" s="201"/>
      <c r="D5" s="202"/>
      <c r="E5" s="88">
        <f t="shared" si="0"/>
        <v>0</v>
      </c>
      <c r="F5" s="183"/>
    </row>
    <row r="6" s="191" customFormat="1" spans="1:6">
      <c r="A6" s="180"/>
      <c r="B6" s="200"/>
      <c r="C6" s="201"/>
      <c r="D6" s="202"/>
      <c r="E6" s="88">
        <f t="shared" si="0"/>
        <v>0</v>
      </c>
      <c r="F6" s="183"/>
    </row>
    <row r="7" s="191" customFormat="1" spans="1:6">
      <c r="A7" s="180"/>
      <c r="B7" s="200"/>
      <c r="C7" s="201"/>
      <c r="D7" s="202"/>
      <c r="E7" s="88">
        <f t="shared" si="0"/>
        <v>0</v>
      </c>
      <c r="F7" s="183"/>
    </row>
    <row r="8" s="191" customFormat="1" spans="1:6">
      <c r="A8" s="180"/>
      <c r="B8" s="200"/>
      <c r="C8" s="201"/>
      <c r="D8" s="202"/>
      <c r="E8" s="88">
        <f t="shared" si="0"/>
        <v>0</v>
      </c>
      <c r="F8" s="183"/>
    </row>
    <row r="9" s="191" customFormat="1" spans="1:6">
      <c r="A9" s="180"/>
      <c r="B9" s="200"/>
      <c r="C9" s="201"/>
      <c r="D9" s="202"/>
      <c r="E9" s="88">
        <f t="shared" si="0"/>
        <v>0</v>
      </c>
      <c r="F9" s="183"/>
    </row>
    <row r="10" s="191" customFormat="1" spans="1:6">
      <c r="A10" s="180"/>
      <c r="B10" s="200"/>
      <c r="C10" s="201"/>
      <c r="D10" s="202"/>
      <c r="E10" s="88">
        <f t="shared" si="0"/>
        <v>0</v>
      </c>
      <c r="F10" s="183"/>
    </row>
    <row r="11" s="191" customFormat="1" spans="1:8">
      <c r="A11" s="180"/>
      <c r="B11" s="200"/>
      <c r="C11" s="201"/>
      <c r="D11" s="202"/>
      <c r="E11" s="88">
        <f t="shared" si="0"/>
        <v>0</v>
      </c>
      <c r="F11" s="183"/>
      <c r="H11" s="205"/>
    </row>
    <row r="12" s="191" customFormat="1" spans="1:6">
      <c r="A12" s="180"/>
      <c r="B12" s="200"/>
      <c r="C12" s="201"/>
      <c r="D12" s="202"/>
      <c r="E12" s="88">
        <f t="shared" si="0"/>
        <v>0</v>
      </c>
      <c r="F12" s="183"/>
    </row>
    <row r="13" s="191" customFormat="1" spans="1:6">
      <c r="A13" s="180"/>
      <c r="B13" s="200"/>
      <c r="C13" s="201"/>
      <c r="D13" s="202"/>
      <c r="E13" s="88">
        <f t="shared" si="0"/>
        <v>0</v>
      </c>
      <c r="F13" s="183"/>
    </row>
    <row r="14" s="191" customFormat="1" spans="1:6">
      <c r="A14" s="180"/>
      <c r="B14" s="200"/>
      <c r="C14" s="201"/>
      <c r="D14" s="202"/>
      <c r="E14" s="88">
        <f t="shared" si="0"/>
        <v>0</v>
      </c>
      <c r="F14" s="183"/>
    </row>
    <row r="15" s="191" customFormat="1" spans="1:6">
      <c r="A15" s="180"/>
      <c r="B15" s="200"/>
      <c r="C15" s="201"/>
      <c r="D15" s="202"/>
      <c r="E15" s="88">
        <f t="shared" si="0"/>
        <v>0</v>
      </c>
      <c r="F15" s="183"/>
    </row>
    <row r="16" s="191" customFormat="1" spans="1:6">
      <c r="A16" s="180"/>
      <c r="B16" s="200"/>
      <c r="C16" s="201"/>
      <c r="D16" s="202"/>
      <c r="E16" s="88">
        <f t="shared" si="0"/>
        <v>0</v>
      </c>
      <c r="F16" s="183"/>
    </row>
    <row r="17" s="191" customFormat="1" spans="1:6">
      <c r="A17" s="180"/>
      <c r="B17" s="200"/>
      <c r="C17" s="201"/>
      <c r="D17" s="202"/>
      <c r="E17" s="88">
        <f t="shared" si="0"/>
        <v>0</v>
      </c>
      <c r="F17" s="183"/>
    </row>
    <row r="18" s="191" customFormat="1" spans="1:6">
      <c r="A18" s="180"/>
      <c r="B18" s="200"/>
      <c r="C18" s="201"/>
      <c r="D18" s="202"/>
      <c r="E18" s="88"/>
      <c r="F18" s="183"/>
    </row>
    <row r="19" s="191" customFormat="1" spans="1:6">
      <c r="A19" s="180"/>
      <c r="B19" s="200"/>
      <c r="C19" s="201"/>
      <c r="D19" s="202"/>
      <c r="E19" s="88"/>
      <c r="F19" s="183"/>
    </row>
    <row r="20" s="191" customFormat="1" spans="1:6">
      <c r="A20" s="180"/>
      <c r="B20" s="200"/>
      <c r="C20" s="201"/>
      <c r="D20" s="202"/>
      <c r="E20" s="88"/>
      <c r="F20" s="183"/>
    </row>
    <row r="21" s="191" customFormat="1" spans="1:6">
      <c r="A21" s="180"/>
      <c r="B21" s="200"/>
      <c r="C21" s="201"/>
      <c r="D21" s="202"/>
      <c r="E21" s="88"/>
      <c r="F21" s="183"/>
    </row>
    <row r="22" s="191" customFormat="1" spans="1:6">
      <c r="A22" s="180"/>
      <c r="B22" s="200"/>
      <c r="C22" s="201"/>
      <c r="D22" s="202"/>
      <c r="E22" s="88"/>
      <c r="F22" s="183"/>
    </row>
    <row r="23" s="191" customFormat="1" spans="1:6">
      <c r="A23" s="180"/>
      <c r="B23" s="200"/>
      <c r="C23" s="201"/>
      <c r="D23" s="202"/>
      <c r="E23" s="88"/>
      <c r="F23" s="183"/>
    </row>
    <row r="24" s="191" customFormat="1" spans="1:6">
      <c r="A24" s="180"/>
      <c r="B24" s="200"/>
      <c r="C24" s="201"/>
      <c r="D24" s="202"/>
      <c r="E24" s="88"/>
      <c r="F24" s="183"/>
    </row>
    <row r="25" s="191" customFormat="1" spans="1:6">
      <c r="A25" s="180"/>
      <c r="B25" s="200"/>
      <c r="C25" s="201"/>
      <c r="D25" s="202"/>
      <c r="E25" s="88"/>
      <c r="F25" s="183"/>
    </row>
    <row r="26" s="191" customFormat="1" spans="1:6">
      <c r="A26" s="180"/>
      <c r="B26" s="200"/>
      <c r="C26" s="201"/>
      <c r="D26" s="202"/>
      <c r="E26" s="88"/>
      <c r="F26" s="183"/>
    </row>
    <row r="27" s="191" customFormat="1" spans="1:6">
      <c r="A27" s="180"/>
      <c r="B27" s="200"/>
      <c r="C27" s="201"/>
      <c r="D27" s="202"/>
      <c r="E27" s="88"/>
      <c r="F27" s="183"/>
    </row>
    <row r="28" s="191" customFormat="1" spans="1:6">
      <c r="A28" s="180"/>
      <c r="B28" s="200"/>
      <c r="C28" s="201"/>
      <c r="D28" s="202"/>
      <c r="E28" s="88"/>
      <c r="F28" s="183"/>
    </row>
    <row r="29" s="191" customFormat="1" spans="1:6">
      <c r="A29" s="180"/>
      <c r="B29" s="200"/>
      <c r="C29" s="201"/>
      <c r="D29" s="202"/>
      <c r="E29" s="88"/>
      <c r="F29" s="183"/>
    </row>
    <row r="30" s="191" customFormat="1" spans="1:6">
      <c r="A30" s="180"/>
      <c r="B30" s="200"/>
      <c r="C30" s="201"/>
      <c r="D30" s="202"/>
      <c r="E30" s="88"/>
      <c r="F30" s="183"/>
    </row>
    <row r="31" s="191" customFormat="1" spans="1:6">
      <c r="A31" s="180"/>
      <c r="B31" s="200"/>
      <c r="C31" s="201"/>
      <c r="D31" s="202"/>
      <c r="E31" s="88"/>
      <c r="F31" s="183"/>
    </row>
    <row r="32" s="191" customFormat="1" spans="1:6">
      <c r="A32" s="180"/>
      <c r="B32" s="200"/>
      <c r="C32" s="201"/>
      <c r="D32" s="202"/>
      <c r="E32" s="88"/>
      <c r="F32" s="183"/>
    </row>
    <row r="33" s="191" customFormat="1" spans="1:6">
      <c r="A33" s="180"/>
      <c r="B33" s="200"/>
      <c r="C33" s="201"/>
      <c r="D33" s="202"/>
      <c r="E33" s="88"/>
      <c r="F33" s="183"/>
    </row>
    <row r="34" s="191" customFormat="1" spans="1:6">
      <c r="A34" s="180"/>
      <c r="B34" s="200"/>
      <c r="C34" s="201"/>
      <c r="D34" s="202"/>
      <c r="E34" s="88"/>
      <c r="F34" s="183"/>
    </row>
    <row r="35" s="191" customFormat="1" spans="1:6">
      <c r="A35" s="180"/>
      <c r="B35" s="200"/>
      <c r="C35" s="201"/>
      <c r="D35" s="202"/>
      <c r="E35" s="88"/>
      <c r="F35" s="183"/>
    </row>
    <row r="36" s="191" customFormat="1" spans="1:6">
      <c r="A36" s="180"/>
      <c r="B36" s="200"/>
      <c r="C36" s="201"/>
      <c r="D36" s="202"/>
      <c r="E36" s="88"/>
      <c r="F36" s="183"/>
    </row>
    <row r="37" s="191" customFormat="1" spans="1:6">
      <c r="A37" s="180"/>
      <c r="B37" s="200"/>
      <c r="C37" s="201"/>
      <c r="D37" s="202"/>
      <c r="E37" s="88"/>
      <c r="F37" s="183"/>
    </row>
    <row r="38" s="191" customFormat="1" spans="1:6">
      <c r="A38" s="180"/>
      <c r="B38" s="200"/>
      <c r="C38" s="201"/>
      <c r="D38" s="202"/>
      <c r="E38" s="88"/>
      <c r="F38" s="183"/>
    </row>
    <row r="39" s="191" customFormat="1" spans="1:6">
      <c r="A39" s="180"/>
      <c r="B39" s="200"/>
      <c r="C39" s="201"/>
      <c r="D39" s="202"/>
      <c r="E39" s="88"/>
      <c r="F39" s="183"/>
    </row>
    <row r="40" s="191" customFormat="1" spans="1:6">
      <c r="A40" s="180"/>
      <c r="B40" s="200"/>
      <c r="C40" s="201"/>
      <c r="D40" s="202"/>
      <c r="E40" s="88"/>
      <c r="F40" s="183"/>
    </row>
    <row r="41" s="191" customFormat="1" spans="1:6">
      <c r="A41" s="180"/>
      <c r="B41" s="200"/>
      <c r="C41" s="201"/>
      <c r="D41" s="202"/>
      <c r="E41" s="88"/>
      <c r="F41" s="183"/>
    </row>
    <row r="42" s="191" customFormat="1" spans="1:6">
      <c r="A42" s="180"/>
      <c r="B42" s="200"/>
      <c r="C42" s="201"/>
      <c r="D42" s="202"/>
      <c r="E42" s="88"/>
      <c r="F42" s="183"/>
    </row>
    <row r="43" s="191" customFormat="1" spans="1:6">
      <c r="A43" s="180"/>
      <c r="B43" s="200"/>
      <c r="C43" s="201"/>
      <c r="D43" s="202"/>
      <c r="E43" s="88"/>
      <c r="F43" s="183"/>
    </row>
    <row r="44" s="191" customFormat="1" spans="1:6">
      <c r="A44" s="180"/>
      <c r="B44" s="200"/>
      <c r="C44" s="201"/>
      <c r="D44" s="202"/>
      <c r="E44" s="88"/>
      <c r="F44" s="183"/>
    </row>
    <row r="45" s="191" customFormat="1" spans="1:6">
      <c r="A45" s="180"/>
      <c r="B45" s="200"/>
      <c r="C45" s="201"/>
      <c r="D45" s="202"/>
      <c r="E45" s="88"/>
      <c r="F45" s="183"/>
    </row>
    <row r="46" s="191" customFormat="1" spans="1:6">
      <c r="A46" s="180"/>
      <c r="B46" s="200"/>
      <c r="C46" s="201"/>
      <c r="D46" s="202"/>
      <c r="E46" s="88"/>
      <c r="F46" s="183"/>
    </row>
    <row r="47" s="191" customFormat="1" spans="1:6">
      <c r="A47" s="180"/>
      <c r="B47" s="200"/>
      <c r="C47" s="201"/>
      <c r="D47" s="202"/>
      <c r="E47" s="88"/>
      <c r="F47" s="183"/>
    </row>
    <row r="48" s="191" customFormat="1" spans="1:6">
      <c r="A48" s="180"/>
      <c r="B48" s="200"/>
      <c r="C48" s="201"/>
      <c r="D48" s="202"/>
      <c r="E48" s="88"/>
      <c r="F48" s="183"/>
    </row>
    <row r="49" s="191" customFormat="1" spans="1:6">
      <c r="A49" s="180"/>
      <c r="B49" s="200"/>
      <c r="C49" s="201"/>
      <c r="D49" s="202"/>
      <c r="E49" s="88"/>
      <c r="F49" s="183"/>
    </row>
    <row r="50" s="191" customFormat="1" spans="1:6">
      <c r="A50" s="180"/>
      <c r="B50" s="200"/>
      <c r="C50" s="201"/>
      <c r="D50" s="202"/>
      <c r="E50" s="88"/>
      <c r="F50" s="183"/>
    </row>
    <row r="51" s="191" customFormat="1" spans="1:6">
      <c r="A51" s="180"/>
      <c r="B51" s="200"/>
      <c r="C51" s="201"/>
      <c r="D51" s="202"/>
      <c r="E51" s="88"/>
      <c r="F51" s="183"/>
    </row>
    <row r="52" s="191" customFormat="1" spans="1:6">
      <c r="A52" s="180"/>
      <c r="B52" s="200"/>
      <c r="C52" s="201"/>
      <c r="D52" s="202"/>
      <c r="E52" s="88"/>
      <c r="F52" s="183"/>
    </row>
    <row r="53" s="191" customFormat="1" spans="1:6">
      <c r="A53" s="180"/>
      <c r="B53" s="200"/>
      <c r="C53" s="201"/>
      <c r="D53" s="202"/>
      <c r="E53" s="88"/>
      <c r="F53" s="183"/>
    </row>
    <row r="54" s="191" customFormat="1" spans="1:6">
      <c r="A54" s="180"/>
      <c r="B54" s="200"/>
      <c r="C54" s="201"/>
      <c r="D54" s="202"/>
      <c r="E54" s="88"/>
      <c r="F54" s="183"/>
    </row>
    <row r="55" s="191" customFormat="1" spans="1:6">
      <c r="A55" s="180"/>
      <c r="B55" s="200"/>
      <c r="C55" s="201"/>
      <c r="D55" s="202"/>
      <c r="E55" s="88"/>
      <c r="F55" s="183"/>
    </row>
    <row r="56" s="191" customFormat="1" spans="1:6">
      <c r="A56" s="180"/>
      <c r="B56" s="200"/>
      <c r="C56" s="201"/>
      <c r="D56" s="202"/>
      <c r="E56" s="88"/>
      <c r="F56" s="183"/>
    </row>
    <row r="57" s="191" customFormat="1" spans="1:6">
      <c r="A57" s="180"/>
      <c r="B57" s="200"/>
      <c r="C57" s="201"/>
      <c r="D57" s="202"/>
      <c r="E57" s="88"/>
      <c r="F57" s="183"/>
    </row>
    <row r="58" s="191" customFormat="1" spans="1:6">
      <c r="A58" s="180"/>
      <c r="B58" s="200"/>
      <c r="C58" s="201"/>
      <c r="D58" s="202"/>
      <c r="E58" s="88"/>
      <c r="F58" s="183"/>
    </row>
    <row r="59" s="191" customFormat="1" spans="1:6">
      <c r="A59" s="180"/>
      <c r="B59" s="200"/>
      <c r="C59" s="201"/>
      <c r="D59" s="202"/>
      <c r="E59" s="88"/>
      <c r="F59" s="183"/>
    </row>
    <row r="60" s="191" customFormat="1" spans="1:6">
      <c r="A60" s="180"/>
      <c r="B60" s="200"/>
      <c r="C60" s="201"/>
      <c r="D60" s="202"/>
      <c r="E60" s="88"/>
      <c r="F60" s="183"/>
    </row>
    <row r="61" s="191" customFormat="1" spans="1:6">
      <c r="A61" s="180"/>
      <c r="B61" s="200"/>
      <c r="C61" s="201"/>
      <c r="D61" s="202"/>
      <c r="E61" s="88"/>
      <c r="F61" s="183"/>
    </row>
    <row r="62" s="191" customFormat="1" spans="1:6">
      <c r="A62" s="180"/>
      <c r="B62" s="200"/>
      <c r="C62" s="201"/>
      <c r="D62" s="202"/>
      <c r="E62" s="88"/>
      <c r="F62" s="183"/>
    </row>
    <row r="63" s="191" customFormat="1" spans="1:6">
      <c r="A63" s="180"/>
      <c r="B63" s="200"/>
      <c r="C63" s="201"/>
      <c r="D63" s="202"/>
      <c r="E63" s="88"/>
      <c r="F63" s="183"/>
    </row>
    <row r="64" s="191" customFormat="1" spans="1:6">
      <c r="A64" s="180"/>
      <c r="B64" s="200"/>
      <c r="C64" s="201"/>
      <c r="D64" s="202"/>
      <c r="E64" s="88"/>
      <c r="F64" s="183"/>
    </row>
    <row r="65" s="191" customFormat="1" spans="1:6">
      <c r="A65" s="180"/>
      <c r="B65" s="200"/>
      <c r="C65" s="201"/>
      <c r="D65" s="202"/>
      <c r="E65" s="88"/>
      <c r="F65" s="183"/>
    </row>
    <row r="66" s="191" customFormat="1" spans="1:6">
      <c r="A66" s="180"/>
      <c r="B66" s="200"/>
      <c r="C66" s="201"/>
      <c r="D66" s="202"/>
      <c r="E66" s="88"/>
      <c r="F66" s="183"/>
    </row>
    <row r="67" s="191" customFormat="1" spans="1:6">
      <c r="A67" s="180"/>
      <c r="B67" s="200"/>
      <c r="C67" s="201"/>
      <c r="D67" s="202"/>
      <c r="E67" s="88"/>
      <c r="F67" s="183"/>
    </row>
    <row r="68" s="191" customFormat="1" spans="1:6">
      <c r="A68" s="180"/>
      <c r="B68" s="200"/>
      <c r="C68" s="201"/>
      <c r="D68" s="202"/>
      <c r="E68" s="88"/>
      <c r="F68" s="183"/>
    </row>
    <row r="69" s="191" customFormat="1" spans="1:6">
      <c r="A69" s="180"/>
      <c r="B69" s="200"/>
      <c r="C69" s="201"/>
      <c r="D69" s="202"/>
      <c r="E69" s="88"/>
      <c r="F69" s="183"/>
    </row>
    <row r="70" s="191" customFormat="1" spans="1:6">
      <c r="A70" s="180"/>
      <c r="B70" s="200"/>
      <c r="C70" s="201"/>
      <c r="D70" s="202"/>
      <c r="E70" s="88"/>
      <c r="F70" s="183"/>
    </row>
    <row r="71" s="191" customFormat="1" spans="1:6">
      <c r="A71" s="180"/>
      <c r="B71" s="200"/>
      <c r="C71" s="201"/>
      <c r="D71" s="202"/>
      <c r="E71" s="88"/>
      <c r="F71" s="183"/>
    </row>
    <row r="72" s="191" customFormat="1" spans="1:6">
      <c r="A72" s="180"/>
      <c r="B72" s="200"/>
      <c r="C72" s="201"/>
      <c r="D72" s="202"/>
      <c r="E72" s="88"/>
      <c r="F72" s="183"/>
    </row>
    <row r="73" s="191" customFormat="1" spans="1:6">
      <c r="A73" s="180"/>
      <c r="B73" s="200"/>
      <c r="C73" s="201"/>
      <c r="D73" s="202"/>
      <c r="E73" s="88"/>
      <c r="F73" s="183"/>
    </row>
    <row r="74" s="191" customFormat="1" spans="1:6">
      <c r="A74" s="180"/>
      <c r="B74" s="200"/>
      <c r="C74" s="201"/>
      <c r="D74" s="202"/>
      <c r="E74" s="88"/>
      <c r="F74" s="183"/>
    </row>
    <row r="75" s="191" customFormat="1" spans="1:6">
      <c r="A75" s="180"/>
      <c r="B75" s="200"/>
      <c r="C75" s="201"/>
      <c r="D75" s="202"/>
      <c r="E75" s="88"/>
      <c r="F75" s="183"/>
    </row>
    <row r="76" s="191" customFormat="1" spans="1:6">
      <c r="A76" s="180"/>
      <c r="B76" s="200"/>
      <c r="C76" s="201"/>
      <c r="D76" s="202"/>
      <c r="E76" s="88"/>
      <c r="F76" s="183"/>
    </row>
    <row r="77" s="191" customFormat="1" spans="1:6">
      <c r="A77" s="180"/>
      <c r="B77" s="200"/>
      <c r="C77" s="201"/>
      <c r="D77" s="202"/>
      <c r="E77" s="88"/>
      <c r="F77" s="183"/>
    </row>
    <row r="78" s="191" customFormat="1" spans="1:6">
      <c r="A78" s="180"/>
      <c r="B78" s="200"/>
      <c r="C78" s="201"/>
      <c r="D78" s="202"/>
      <c r="E78" s="88"/>
      <c r="F78" s="183"/>
    </row>
    <row r="79" s="191" customFormat="1" spans="1:6">
      <c r="A79" s="180"/>
      <c r="B79" s="200"/>
      <c r="C79" s="201"/>
      <c r="D79" s="202"/>
      <c r="E79" s="88"/>
      <c r="F79" s="183"/>
    </row>
    <row r="80" s="191" customFormat="1" spans="1:6">
      <c r="A80" s="180"/>
      <c r="B80" s="200"/>
      <c r="C80" s="201"/>
      <c r="D80" s="202"/>
      <c r="E80" s="88"/>
      <c r="F80" s="183"/>
    </row>
    <row r="81" s="191" customFormat="1" spans="1:6">
      <c r="A81" s="180"/>
      <c r="B81" s="200"/>
      <c r="C81" s="201"/>
      <c r="D81" s="202"/>
      <c r="E81" s="88"/>
      <c r="F81" s="183"/>
    </row>
    <row r="82" s="191" customFormat="1" spans="1:6">
      <c r="A82" s="180"/>
      <c r="B82" s="200"/>
      <c r="C82" s="201"/>
      <c r="D82" s="202"/>
      <c r="E82" s="88"/>
      <c r="F82" s="183"/>
    </row>
    <row r="83" s="191" customFormat="1" spans="1:6">
      <c r="A83" s="180"/>
      <c r="B83" s="200"/>
      <c r="C83" s="201"/>
      <c r="D83" s="202"/>
      <c r="E83" s="88"/>
      <c r="F83" s="183"/>
    </row>
    <row r="84" s="191" customFormat="1" spans="1:6">
      <c r="A84" s="180"/>
      <c r="B84" s="200"/>
      <c r="C84" s="201"/>
      <c r="D84" s="202"/>
      <c r="E84" s="88"/>
      <c r="F84" s="183"/>
    </row>
    <row r="85" s="191" customFormat="1" spans="1:6">
      <c r="A85" s="180"/>
      <c r="B85" s="200"/>
      <c r="C85" s="201"/>
      <c r="D85" s="202"/>
      <c r="E85" s="88"/>
      <c r="F85" s="183"/>
    </row>
    <row r="86" s="191" customFormat="1" spans="1:6">
      <c r="A86" s="180"/>
      <c r="B86" s="200"/>
      <c r="C86" s="201"/>
      <c r="D86" s="202"/>
      <c r="E86" s="88"/>
      <c r="F86" s="183"/>
    </row>
    <row r="87" s="191" customFormat="1" spans="1:6">
      <c r="A87" s="180"/>
      <c r="B87" s="200"/>
      <c r="C87" s="201"/>
      <c r="D87" s="202"/>
      <c r="E87" s="88"/>
      <c r="F87" s="183"/>
    </row>
    <row r="88" s="191" customFormat="1" spans="1:6">
      <c r="A88" s="180"/>
      <c r="B88" s="200"/>
      <c r="C88" s="201"/>
      <c r="D88" s="202"/>
      <c r="E88" s="88"/>
      <c r="F88" s="183"/>
    </row>
    <row r="89" s="191" customFormat="1" spans="1:6">
      <c r="A89" s="180"/>
      <c r="B89" s="200"/>
      <c r="C89" s="201"/>
      <c r="D89" s="202"/>
      <c r="E89" s="88"/>
      <c r="F89" s="183"/>
    </row>
    <row r="90" s="191" customFormat="1" spans="1:6">
      <c r="A90" s="180"/>
      <c r="B90" s="200"/>
      <c r="C90" s="201"/>
      <c r="D90" s="202"/>
      <c r="E90" s="88"/>
      <c r="F90" s="183"/>
    </row>
    <row r="91" s="191" customFormat="1" spans="1:6">
      <c r="A91" s="180"/>
      <c r="B91" s="200"/>
      <c r="C91" s="201"/>
      <c r="D91" s="202"/>
      <c r="E91" s="88"/>
      <c r="F91" s="183"/>
    </row>
    <row r="92" s="191" customFormat="1" spans="1:6">
      <c r="A92" s="180"/>
      <c r="B92" s="200"/>
      <c r="C92" s="201"/>
      <c r="D92" s="202"/>
      <c r="E92" s="88"/>
      <c r="F92" s="183"/>
    </row>
    <row r="93" s="191" customFormat="1" spans="1:6">
      <c r="A93" s="180"/>
      <c r="B93" s="200"/>
      <c r="C93" s="201"/>
      <c r="D93" s="202"/>
      <c r="E93" s="88"/>
      <c r="F93" s="183"/>
    </row>
    <row r="94" s="191" customFormat="1" spans="1:6">
      <c r="A94" s="180"/>
      <c r="B94" s="200"/>
      <c r="C94" s="201"/>
      <c r="D94" s="202"/>
      <c r="E94" s="88"/>
      <c r="F94" s="183"/>
    </row>
    <row r="95" s="191" customFormat="1" spans="1:6">
      <c r="A95" s="180"/>
      <c r="B95" s="200"/>
      <c r="C95" s="201"/>
      <c r="D95" s="202"/>
      <c r="E95" s="88"/>
      <c r="F95" s="183"/>
    </row>
    <row r="96" s="191" customFormat="1" spans="1:6">
      <c r="A96" s="180"/>
      <c r="B96" s="200"/>
      <c r="C96" s="201"/>
      <c r="D96" s="202"/>
      <c r="E96" s="88"/>
      <c r="F96" s="183"/>
    </row>
    <row r="97" s="191" customFormat="1" spans="1:6">
      <c r="A97" s="180"/>
      <c r="B97" s="200"/>
      <c r="C97" s="201"/>
      <c r="D97" s="202"/>
      <c r="E97" s="88"/>
      <c r="F97" s="183"/>
    </row>
    <row r="98" s="191" customFormat="1" spans="1:6">
      <c r="A98" s="180"/>
      <c r="B98" s="200"/>
      <c r="C98" s="201"/>
      <c r="D98" s="202"/>
      <c r="E98" s="88"/>
      <c r="F98" s="183"/>
    </row>
    <row r="99" s="191" customFormat="1" spans="1:6">
      <c r="A99" s="180"/>
      <c r="B99" s="200"/>
      <c r="C99" s="201"/>
      <c r="D99" s="202"/>
      <c r="E99" s="88"/>
      <c r="F99" s="183"/>
    </row>
    <row r="100" s="191" customFormat="1" spans="1:6">
      <c r="A100" s="180"/>
      <c r="B100" s="200"/>
      <c r="C100" s="201"/>
      <c r="D100" s="202"/>
      <c r="E100" s="88"/>
      <c r="F100" s="183"/>
    </row>
    <row r="101" s="191" customFormat="1" spans="1:6">
      <c r="A101" s="180"/>
      <c r="B101" s="200"/>
      <c r="C101" s="201"/>
      <c r="D101" s="202"/>
      <c r="E101" s="88"/>
      <c r="F101" s="183"/>
    </row>
    <row r="102" s="191" customFormat="1" spans="1:6">
      <c r="A102" s="180"/>
      <c r="B102" s="200"/>
      <c r="C102" s="201"/>
      <c r="D102" s="202"/>
      <c r="E102" s="88"/>
      <c r="F102" s="183"/>
    </row>
    <row r="103" s="191" customFormat="1" spans="1:6">
      <c r="A103" s="180"/>
      <c r="B103" s="200"/>
      <c r="C103" s="201"/>
      <c r="D103" s="202"/>
      <c r="E103" s="88"/>
      <c r="F103" s="183"/>
    </row>
    <row r="104" s="191" customFormat="1" spans="1:6">
      <c r="A104" s="180"/>
      <c r="B104" s="200"/>
      <c r="C104" s="201"/>
      <c r="D104" s="202"/>
      <c r="E104" s="88"/>
      <c r="F104" s="183"/>
    </row>
    <row r="105" s="191" customFormat="1" spans="1:6">
      <c r="A105" s="180"/>
      <c r="B105" s="200"/>
      <c r="C105" s="201"/>
      <c r="D105" s="202"/>
      <c r="E105" s="88"/>
      <c r="F105" s="183"/>
    </row>
    <row r="106" s="191" customFormat="1" spans="1:6">
      <c r="A106" s="180"/>
      <c r="B106" s="200"/>
      <c r="C106" s="201"/>
      <c r="D106" s="202"/>
      <c r="E106" s="88"/>
      <c r="F106" s="183"/>
    </row>
    <row r="107" s="191" customFormat="1" spans="1:6">
      <c r="A107" s="180"/>
      <c r="B107" s="200"/>
      <c r="C107" s="201"/>
      <c r="D107" s="202"/>
      <c r="E107" s="88"/>
      <c r="F107" s="183"/>
    </row>
    <row r="108" s="191" customFormat="1" spans="1:6">
      <c r="A108" s="180"/>
      <c r="B108" s="200"/>
      <c r="C108" s="201"/>
      <c r="D108" s="202"/>
      <c r="E108" s="88"/>
      <c r="F108" s="183"/>
    </row>
    <row r="109" s="191" customFormat="1" spans="1:6">
      <c r="A109" s="180"/>
      <c r="B109" s="200"/>
      <c r="C109" s="201"/>
      <c r="D109" s="202"/>
      <c r="E109" s="88"/>
      <c r="F109" s="183"/>
    </row>
    <row r="110" s="191" customFormat="1" spans="1:6">
      <c r="A110" s="180"/>
      <c r="B110" s="200"/>
      <c r="C110" s="201"/>
      <c r="D110" s="202"/>
      <c r="E110" s="88"/>
      <c r="F110" s="183"/>
    </row>
    <row r="111" s="191" customFormat="1" spans="1:6">
      <c r="A111" s="180"/>
      <c r="B111" s="200"/>
      <c r="C111" s="201"/>
      <c r="D111" s="202"/>
      <c r="E111" s="88"/>
      <c r="F111" s="183"/>
    </row>
    <row r="112" s="191" customFormat="1" spans="1:6">
      <c r="A112" s="180"/>
      <c r="B112" s="200"/>
      <c r="C112" s="201"/>
      <c r="D112" s="202"/>
      <c r="E112" s="88"/>
      <c r="F112" s="183"/>
    </row>
    <row r="113" s="191" customFormat="1" spans="1:6">
      <c r="A113" s="180"/>
      <c r="B113" s="200"/>
      <c r="C113" s="201"/>
      <c r="D113" s="202"/>
      <c r="E113" s="88"/>
      <c r="F113" s="183"/>
    </row>
    <row r="114" s="191" customFormat="1" spans="1:6">
      <c r="A114" s="180"/>
      <c r="B114" s="200"/>
      <c r="C114" s="201"/>
      <c r="D114" s="202"/>
      <c r="E114" s="88"/>
      <c r="F114" s="183"/>
    </row>
    <row r="115" s="191" customFormat="1" spans="1:6">
      <c r="A115" s="180"/>
      <c r="B115" s="200"/>
      <c r="C115" s="201"/>
      <c r="D115" s="202"/>
      <c r="E115" s="88"/>
      <c r="F115" s="183"/>
    </row>
    <row r="116" s="191" customFormat="1" spans="1:6">
      <c r="A116" s="180"/>
      <c r="B116" s="200"/>
      <c r="C116" s="201"/>
      <c r="D116" s="202"/>
      <c r="E116" s="88"/>
      <c r="F116" s="183"/>
    </row>
    <row r="117" s="191" customFormat="1" spans="1:6">
      <c r="A117" s="180"/>
      <c r="B117" s="200"/>
      <c r="C117" s="201"/>
      <c r="D117" s="202"/>
      <c r="E117" s="88"/>
      <c r="F117" s="183"/>
    </row>
    <row r="118" s="191" customFormat="1" spans="1:6">
      <c r="A118" s="180"/>
      <c r="B118" s="200"/>
      <c r="C118" s="201"/>
      <c r="D118" s="202"/>
      <c r="E118" s="88"/>
      <c r="F118" s="183"/>
    </row>
    <row r="119" s="191" customFormat="1" spans="1:6">
      <c r="A119" s="180"/>
      <c r="B119" s="200"/>
      <c r="C119" s="201"/>
      <c r="D119" s="202"/>
      <c r="E119" s="88"/>
      <c r="F119" s="183"/>
    </row>
    <row r="120" s="191" customFormat="1" spans="1:6">
      <c r="A120" s="180"/>
      <c r="B120" s="200"/>
      <c r="C120" s="201"/>
      <c r="D120" s="202"/>
      <c r="E120" s="88"/>
      <c r="F120" s="183"/>
    </row>
    <row r="121" s="191" customFormat="1" spans="1:6">
      <c r="A121" s="180"/>
      <c r="B121" s="200"/>
      <c r="C121" s="201"/>
      <c r="D121" s="202"/>
      <c r="E121" s="88"/>
      <c r="F121" s="183"/>
    </row>
    <row r="122" s="191" customFormat="1" spans="1:6">
      <c r="A122" s="180"/>
      <c r="B122" s="200"/>
      <c r="C122" s="201"/>
      <c r="D122" s="202"/>
      <c r="E122" s="88"/>
      <c r="F122" s="183"/>
    </row>
    <row r="123" s="191" customFormat="1" spans="1:7">
      <c r="A123" s="180"/>
      <c r="B123" s="200"/>
      <c r="C123" s="201"/>
      <c r="D123" s="202"/>
      <c r="E123" s="88"/>
      <c r="F123" s="183"/>
      <c r="G123" s="205"/>
    </row>
    <row r="124" s="191" customFormat="1" spans="1:7">
      <c r="A124" s="180"/>
      <c r="B124" s="200"/>
      <c r="C124" s="201"/>
      <c r="D124" s="202"/>
      <c r="E124" s="88"/>
      <c r="F124" s="183"/>
      <c r="G124" s="205"/>
    </row>
    <row r="125" s="191" customFormat="1" spans="1:7">
      <c r="A125" s="180"/>
      <c r="B125" s="200"/>
      <c r="C125" s="201"/>
      <c r="D125" s="202"/>
      <c r="E125" s="88"/>
      <c r="F125" s="183"/>
      <c r="G125" s="205"/>
    </row>
    <row r="126" s="191" customFormat="1" spans="1:7">
      <c r="A126" s="180"/>
      <c r="B126" s="200"/>
      <c r="C126" s="201"/>
      <c r="D126" s="202"/>
      <c r="E126" s="88"/>
      <c r="F126" s="183"/>
      <c r="G126" s="205"/>
    </row>
    <row r="127" s="191" customFormat="1" spans="1:7">
      <c r="A127" s="180"/>
      <c r="B127" s="200"/>
      <c r="C127" s="201"/>
      <c r="D127" s="202"/>
      <c r="E127" s="88"/>
      <c r="F127" s="183"/>
      <c r="G127" s="205"/>
    </row>
    <row r="128" s="191" customFormat="1" spans="1:7">
      <c r="A128" s="180"/>
      <c r="B128" s="200"/>
      <c r="C128" s="201"/>
      <c r="D128" s="202"/>
      <c r="E128" s="88"/>
      <c r="F128" s="183"/>
      <c r="G128" s="205"/>
    </row>
    <row r="129" s="191" customFormat="1" spans="1:7">
      <c r="A129" s="180"/>
      <c r="B129" s="200"/>
      <c r="C129" s="201"/>
      <c r="D129" s="202"/>
      <c r="E129" s="88"/>
      <c r="F129" s="183"/>
      <c r="G129" s="205"/>
    </row>
    <row r="130" s="191" customFormat="1" spans="1:7">
      <c r="A130" s="180"/>
      <c r="B130" s="200"/>
      <c r="C130" s="201"/>
      <c r="D130" s="202"/>
      <c r="E130" s="88"/>
      <c r="F130" s="183"/>
      <c r="G130" s="205"/>
    </row>
    <row r="131" s="191" customFormat="1" spans="1:7">
      <c r="A131" s="180"/>
      <c r="B131" s="200"/>
      <c r="C131" s="201"/>
      <c r="D131" s="202"/>
      <c r="E131" s="88"/>
      <c r="F131" s="183"/>
      <c r="G131" s="205"/>
    </row>
    <row r="132" s="191" customFormat="1" spans="1:7">
      <c r="A132" s="180"/>
      <c r="B132" s="200"/>
      <c r="C132" s="201"/>
      <c r="D132" s="202"/>
      <c r="E132" s="88"/>
      <c r="F132" s="183"/>
      <c r="G132" s="205"/>
    </row>
    <row r="133" s="191" customFormat="1" spans="1:7">
      <c r="A133" s="180"/>
      <c r="B133" s="200"/>
      <c r="C133" s="201"/>
      <c r="D133" s="202"/>
      <c r="E133" s="88"/>
      <c r="F133" s="183"/>
      <c r="G133" s="205"/>
    </row>
    <row r="134" s="191" customFormat="1" spans="1:7">
      <c r="A134" s="180"/>
      <c r="B134" s="200"/>
      <c r="C134" s="201"/>
      <c r="D134" s="202"/>
      <c r="E134" s="88"/>
      <c r="F134" s="183"/>
      <c r="G134" s="205"/>
    </row>
    <row r="135" s="191" customFormat="1" spans="1:7">
      <c r="A135" s="180"/>
      <c r="B135" s="200"/>
      <c r="C135" s="201"/>
      <c r="D135" s="202"/>
      <c r="E135" s="88"/>
      <c r="F135" s="183"/>
      <c r="G135" s="205"/>
    </row>
    <row r="136" s="191" customFormat="1" spans="1:7">
      <c r="A136" s="180"/>
      <c r="B136" s="200"/>
      <c r="C136" s="201"/>
      <c r="D136" s="202"/>
      <c r="E136" s="88"/>
      <c r="F136" s="183"/>
      <c r="G136" s="205"/>
    </row>
    <row r="137" s="191" customFormat="1" spans="1:7">
      <c r="A137" s="180"/>
      <c r="B137" s="200"/>
      <c r="C137" s="201"/>
      <c r="D137" s="202"/>
      <c r="E137" s="88"/>
      <c r="F137" s="183"/>
      <c r="G137" s="205"/>
    </row>
    <row r="138" s="191" customFormat="1" spans="1:7">
      <c r="A138" s="180"/>
      <c r="B138" s="200"/>
      <c r="C138" s="201"/>
      <c r="D138" s="202"/>
      <c r="E138" s="88"/>
      <c r="F138" s="183"/>
      <c r="G138" s="205"/>
    </row>
    <row r="139" s="191" customFormat="1" spans="1:7">
      <c r="A139" s="180"/>
      <c r="B139" s="200"/>
      <c r="C139" s="201"/>
      <c r="D139" s="202"/>
      <c r="E139" s="88"/>
      <c r="F139" s="183"/>
      <c r="G139" s="205"/>
    </row>
    <row r="140" s="191" customFormat="1" spans="1:7">
      <c r="A140" s="180"/>
      <c r="B140" s="200"/>
      <c r="C140" s="201"/>
      <c r="D140" s="202"/>
      <c r="E140" s="88"/>
      <c r="F140" s="183"/>
      <c r="G140" s="205"/>
    </row>
    <row r="141" s="191" customFormat="1" spans="1:7">
      <c r="A141" s="180"/>
      <c r="B141" s="200"/>
      <c r="C141" s="201"/>
      <c r="D141" s="202"/>
      <c r="E141" s="88"/>
      <c r="F141" s="183"/>
      <c r="G141" s="205"/>
    </row>
    <row r="142" s="191" customFormat="1" spans="1:7">
      <c r="A142" s="180"/>
      <c r="B142" s="200"/>
      <c r="C142" s="201"/>
      <c r="D142" s="202"/>
      <c r="E142" s="88"/>
      <c r="F142" s="183"/>
      <c r="G142" s="205"/>
    </row>
    <row r="143" s="191" customFormat="1" spans="1:7">
      <c r="A143" s="180"/>
      <c r="B143" s="200"/>
      <c r="C143" s="201"/>
      <c r="D143" s="202"/>
      <c r="E143" s="88"/>
      <c r="F143" s="183"/>
      <c r="G143" s="205"/>
    </row>
    <row r="144" s="191" customFormat="1" spans="1:7">
      <c r="A144" s="180"/>
      <c r="B144" s="200"/>
      <c r="C144" s="201"/>
      <c r="D144" s="202"/>
      <c r="E144" s="88"/>
      <c r="F144" s="183"/>
      <c r="G144" s="205"/>
    </row>
    <row r="145" s="191" customFormat="1" spans="1:7">
      <c r="A145" s="180"/>
      <c r="B145" s="200"/>
      <c r="C145" s="201"/>
      <c r="D145" s="202"/>
      <c r="E145" s="88"/>
      <c r="F145" s="183"/>
      <c r="G145" s="205"/>
    </row>
    <row r="146" s="191" customFormat="1" spans="1:7">
      <c r="A146" s="180"/>
      <c r="B146" s="200"/>
      <c r="C146" s="201"/>
      <c r="D146" s="202"/>
      <c r="E146" s="88"/>
      <c r="F146" s="183"/>
      <c r="G146" s="205"/>
    </row>
    <row r="147" s="191" customFormat="1" spans="1:7">
      <c r="A147" s="180"/>
      <c r="B147" s="200"/>
      <c r="C147" s="201"/>
      <c r="D147" s="202"/>
      <c r="E147" s="88"/>
      <c r="F147" s="183"/>
      <c r="G147" s="205"/>
    </row>
    <row r="148" s="191" customFormat="1" spans="1:7">
      <c r="A148" s="180"/>
      <c r="B148" s="200"/>
      <c r="C148" s="201"/>
      <c r="D148" s="202"/>
      <c r="E148" s="88"/>
      <c r="F148" s="183"/>
      <c r="G148" s="205"/>
    </row>
    <row r="149" s="191" customFormat="1" spans="1:6">
      <c r="A149" s="180"/>
      <c r="B149" s="200"/>
      <c r="C149" s="201"/>
      <c r="D149" s="202"/>
      <c r="E149" s="88"/>
      <c r="F149" s="183"/>
    </row>
    <row r="150" s="191" customFormat="1" spans="1:6">
      <c r="A150" s="180"/>
      <c r="B150" s="200"/>
      <c r="C150" s="201"/>
      <c r="D150" s="202"/>
      <c r="E150" s="88"/>
      <c r="F150" s="183"/>
    </row>
    <row r="151" s="191" customFormat="1" spans="1:6">
      <c r="A151" s="180"/>
      <c r="B151" s="200"/>
      <c r="C151" s="201"/>
      <c r="D151" s="202"/>
      <c r="E151" s="88"/>
      <c r="F151" s="183"/>
    </row>
    <row r="152" s="191" customFormat="1" spans="1:6">
      <c r="A152" s="180"/>
      <c r="B152" s="200"/>
      <c r="C152" s="201"/>
      <c r="D152" s="202"/>
      <c r="E152" s="88"/>
      <c r="F152" s="183"/>
    </row>
    <row r="153" s="191" customFormat="1" spans="1:6">
      <c r="A153" s="180"/>
      <c r="B153" s="200"/>
      <c r="C153" s="201"/>
      <c r="D153" s="202"/>
      <c r="E153" s="88"/>
      <c r="F153" s="183"/>
    </row>
    <row r="154" s="191" customFormat="1" spans="1:6">
      <c r="A154" s="180"/>
      <c r="B154" s="200"/>
      <c r="C154" s="201"/>
      <c r="D154" s="202"/>
      <c r="E154" s="88"/>
      <c r="F154" s="183"/>
    </row>
    <row r="155" s="191" customFormat="1" spans="1:6">
      <c r="A155" s="180"/>
      <c r="B155" s="200"/>
      <c r="C155" s="201"/>
      <c r="D155" s="202"/>
      <c r="E155" s="88"/>
      <c r="F155" s="183"/>
    </row>
    <row r="156" s="191" customFormat="1" spans="1:6">
      <c r="A156" s="180"/>
      <c r="B156" s="200"/>
      <c r="C156" s="201"/>
      <c r="D156" s="202"/>
      <c r="E156" s="88"/>
      <c r="F156" s="183"/>
    </row>
    <row r="157" s="191" customFormat="1" spans="1:6">
      <c r="A157" s="180"/>
      <c r="B157" s="200"/>
      <c r="C157" s="201"/>
      <c r="D157" s="202"/>
      <c r="E157" s="88"/>
      <c r="F157" s="183"/>
    </row>
    <row r="158" s="191" customFormat="1" spans="1:6">
      <c r="A158" s="180"/>
      <c r="B158" s="200"/>
      <c r="C158" s="201"/>
      <c r="D158" s="202"/>
      <c r="E158" s="88"/>
      <c r="F158" s="183"/>
    </row>
    <row r="159" s="191" customFormat="1" spans="1:6">
      <c r="A159" s="180"/>
      <c r="B159" s="200"/>
      <c r="C159" s="201"/>
      <c r="D159" s="202"/>
      <c r="E159" s="88"/>
      <c r="F159" s="183"/>
    </row>
    <row r="160" s="191" customFormat="1" spans="1:6">
      <c r="A160" s="180"/>
      <c r="B160" s="200"/>
      <c r="C160" s="201"/>
      <c r="D160" s="202"/>
      <c r="E160" s="88"/>
      <c r="F160" s="183"/>
    </row>
    <row r="161" s="191" customFormat="1" spans="1:6">
      <c r="A161" s="180"/>
      <c r="B161" s="200"/>
      <c r="C161" s="201"/>
      <c r="D161" s="202"/>
      <c r="E161" s="88"/>
      <c r="F161" s="183"/>
    </row>
    <row r="162" s="191" customFormat="1" spans="1:6">
      <c r="A162" s="180"/>
      <c r="B162" s="200"/>
      <c r="C162" s="201"/>
      <c r="D162" s="202"/>
      <c r="E162" s="88"/>
      <c r="F162" s="183"/>
    </row>
    <row r="163" s="191" customFormat="1" spans="1:6">
      <c r="A163" s="180"/>
      <c r="B163" s="200"/>
      <c r="C163" s="201"/>
      <c r="D163" s="202"/>
      <c r="E163" s="88"/>
      <c r="F163" s="183"/>
    </row>
    <row r="164" s="191" customFormat="1" spans="1:6">
      <c r="A164" s="180"/>
      <c r="B164" s="200"/>
      <c r="C164" s="201"/>
      <c r="D164" s="202"/>
      <c r="E164" s="88"/>
      <c r="F164" s="183"/>
    </row>
    <row r="165" s="191" customFormat="1" spans="1:6">
      <c r="A165" s="180"/>
      <c r="B165" s="200"/>
      <c r="C165" s="201"/>
      <c r="D165" s="202"/>
      <c r="E165" s="88"/>
      <c r="F165" s="183"/>
    </row>
    <row r="166" s="191" customFormat="1" spans="1:6">
      <c r="A166" s="180"/>
      <c r="B166" s="200"/>
      <c r="C166" s="201"/>
      <c r="D166" s="202"/>
      <c r="E166" s="88"/>
      <c r="F166" s="183"/>
    </row>
    <row r="167" s="191" customFormat="1" spans="1:6">
      <c r="A167" s="180"/>
      <c r="B167" s="200"/>
      <c r="C167" s="201"/>
      <c r="D167" s="202"/>
      <c r="E167" s="88"/>
      <c r="F167" s="183"/>
    </row>
    <row r="168" s="191" customFormat="1" spans="1:6">
      <c r="A168" s="180"/>
      <c r="B168" s="200"/>
      <c r="C168" s="201"/>
      <c r="D168" s="202"/>
      <c r="E168" s="88"/>
      <c r="F168" s="183"/>
    </row>
    <row r="169" s="191" customFormat="1" spans="1:6">
      <c r="A169" s="180"/>
      <c r="B169" s="200"/>
      <c r="C169" s="201"/>
      <c r="D169" s="202"/>
      <c r="E169" s="88"/>
      <c r="F169" s="183"/>
    </row>
    <row r="170" s="191" customFormat="1" spans="1:6">
      <c r="A170" s="180"/>
      <c r="B170" s="200"/>
      <c r="C170" s="201"/>
      <c r="D170" s="202"/>
      <c r="E170" s="88"/>
      <c r="F170" s="183"/>
    </row>
    <row r="171" s="191" customFormat="1" spans="1:6">
      <c r="A171" s="180"/>
      <c r="B171" s="200"/>
      <c r="C171" s="201"/>
      <c r="D171" s="202"/>
      <c r="E171" s="88"/>
      <c r="F171" s="183"/>
    </row>
    <row r="172" s="191" customFormat="1" spans="1:6">
      <c r="A172" s="180"/>
      <c r="B172" s="200"/>
      <c r="C172" s="201"/>
      <c r="D172" s="202"/>
      <c r="E172" s="88"/>
      <c r="F172" s="183"/>
    </row>
    <row r="173" s="191" customFormat="1" spans="1:6">
      <c r="A173" s="180"/>
      <c r="B173" s="200"/>
      <c r="C173" s="201"/>
      <c r="D173" s="202"/>
      <c r="E173" s="88"/>
      <c r="F173" s="183"/>
    </row>
    <row r="174" s="191" customFormat="1" spans="1:6">
      <c r="A174" s="180"/>
      <c r="B174" s="200"/>
      <c r="C174" s="201"/>
      <c r="D174" s="202"/>
      <c r="E174" s="88"/>
      <c r="F174" s="183"/>
    </row>
    <row r="175" s="191" customFormat="1" spans="1:6">
      <c r="A175" s="180"/>
      <c r="B175" s="200"/>
      <c r="C175" s="201"/>
      <c r="D175" s="202"/>
      <c r="E175" s="88"/>
      <c r="F175" s="183"/>
    </row>
    <row r="176" s="191" customFormat="1" spans="1:6">
      <c r="A176" s="180"/>
      <c r="B176" s="200"/>
      <c r="C176" s="201"/>
      <c r="D176" s="202"/>
      <c r="E176" s="88"/>
      <c r="F176" s="183"/>
    </row>
    <row r="177" s="191" customFormat="1" spans="1:6">
      <c r="A177" s="180"/>
      <c r="B177" s="200"/>
      <c r="C177" s="201"/>
      <c r="D177" s="202"/>
      <c r="E177" s="88"/>
      <c r="F177" s="183"/>
    </row>
    <row r="178" s="191" customFormat="1" spans="1:6">
      <c r="A178" s="180"/>
      <c r="B178" s="200"/>
      <c r="C178" s="201"/>
      <c r="D178" s="202"/>
      <c r="E178" s="88"/>
      <c r="F178" s="183"/>
    </row>
    <row r="179" s="191" customFormat="1" spans="1:6">
      <c r="A179" s="180"/>
      <c r="B179" s="200"/>
      <c r="C179" s="201"/>
      <c r="D179" s="202"/>
      <c r="E179" s="88"/>
      <c r="F179" s="183"/>
    </row>
    <row r="180" s="191" customFormat="1" spans="1:6">
      <c r="A180" s="180"/>
      <c r="B180" s="200"/>
      <c r="C180" s="201"/>
      <c r="D180" s="202"/>
      <c r="E180" s="88"/>
      <c r="F180" s="183"/>
    </row>
    <row r="181" s="191" customFormat="1" spans="1:6">
      <c r="A181" s="180"/>
      <c r="B181" s="200"/>
      <c r="C181" s="201"/>
      <c r="D181" s="202"/>
      <c r="E181" s="88"/>
      <c r="F181" s="183"/>
    </row>
    <row r="182" s="191" customFormat="1" spans="1:6">
      <c r="A182" s="180"/>
      <c r="B182" s="200"/>
      <c r="C182" s="201"/>
      <c r="D182" s="202"/>
      <c r="E182" s="88"/>
      <c r="F182" s="183"/>
    </row>
    <row r="183" s="191" customFormat="1" spans="1:6">
      <c r="A183" s="180"/>
      <c r="B183" s="200"/>
      <c r="C183" s="201"/>
      <c r="D183" s="202"/>
      <c r="E183" s="88"/>
      <c r="F183" s="183"/>
    </row>
    <row r="184" s="191" customFormat="1" spans="1:6">
      <c r="A184" s="180"/>
      <c r="B184" s="200"/>
      <c r="C184" s="201"/>
      <c r="D184" s="202"/>
      <c r="E184" s="88"/>
      <c r="F184" s="183"/>
    </row>
    <row r="185" s="191" customFormat="1" spans="1:6">
      <c r="A185" s="180"/>
      <c r="B185" s="200"/>
      <c r="C185" s="201"/>
      <c r="D185" s="202"/>
      <c r="E185" s="88"/>
      <c r="F185" s="183"/>
    </row>
    <row r="186" s="191" customFormat="1" spans="1:6">
      <c r="A186" s="180"/>
      <c r="B186" s="200"/>
      <c r="C186" s="201"/>
      <c r="D186" s="202"/>
      <c r="E186" s="88"/>
      <c r="F186" s="183"/>
    </row>
    <row r="187" s="191" customFormat="1" spans="1:6">
      <c r="A187" s="180"/>
      <c r="B187" s="200"/>
      <c r="C187" s="201"/>
      <c r="D187" s="202"/>
      <c r="E187" s="88"/>
      <c r="F187" s="183"/>
    </row>
    <row r="188" s="191" customFormat="1" spans="1:6">
      <c r="A188" s="180"/>
      <c r="B188" s="200"/>
      <c r="C188" s="201"/>
      <c r="D188" s="202"/>
      <c r="E188" s="88"/>
      <c r="F188" s="183"/>
    </row>
    <row r="189" s="191" customFormat="1" spans="1:6">
      <c r="A189" s="180"/>
      <c r="B189" s="200"/>
      <c r="C189" s="201"/>
      <c r="D189" s="202"/>
      <c r="E189" s="88"/>
      <c r="F189" s="183"/>
    </row>
    <row r="190" s="191" customFormat="1" spans="1:6">
      <c r="A190" s="180"/>
      <c r="B190" s="200"/>
      <c r="C190" s="201"/>
      <c r="D190" s="202"/>
      <c r="E190" s="88"/>
      <c r="F190" s="183"/>
    </row>
    <row r="191" s="191" customFormat="1" spans="1:6">
      <c r="A191" s="180"/>
      <c r="B191" s="200"/>
      <c r="C191" s="201"/>
      <c r="D191" s="202"/>
      <c r="E191" s="88"/>
      <c r="F191" s="183"/>
    </row>
    <row r="192" s="191" customFormat="1" spans="1:6">
      <c r="A192" s="180"/>
      <c r="B192" s="200"/>
      <c r="C192" s="201"/>
      <c r="D192" s="202"/>
      <c r="E192" s="88"/>
      <c r="F192" s="183"/>
    </row>
    <row r="193" s="191" customFormat="1" spans="1:6">
      <c r="A193" s="180"/>
      <c r="B193" s="200"/>
      <c r="C193" s="201"/>
      <c r="D193" s="202"/>
      <c r="E193" s="88"/>
      <c r="F193" s="183"/>
    </row>
    <row r="194" s="191" customFormat="1" spans="1:6">
      <c r="A194" s="180"/>
      <c r="B194" s="200"/>
      <c r="C194" s="201"/>
      <c r="D194" s="202"/>
      <c r="E194" s="88"/>
      <c r="F194" s="183"/>
    </row>
    <row r="195" s="191" customFormat="1" spans="1:6">
      <c r="A195" s="180"/>
      <c r="B195" s="200"/>
      <c r="C195" s="201"/>
      <c r="D195" s="202"/>
      <c r="E195" s="88"/>
      <c r="F195" s="183"/>
    </row>
    <row r="196" s="191" customFormat="1" spans="1:6">
      <c r="A196" s="180"/>
      <c r="B196" s="200"/>
      <c r="C196" s="201"/>
      <c r="D196" s="202"/>
      <c r="E196" s="88"/>
      <c r="F196" s="183"/>
    </row>
    <row r="197" s="191" customFormat="1" spans="1:6">
      <c r="A197" s="180"/>
      <c r="B197" s="200"/>
      <c r="C197" s="201"/>
      <c r="D197" s="202"/>
      <c r="E197" s="88"/>
      <c r="F197" s="183"/>
    </row>
    <row r="198" s="191" customFormat="1" spans="1:6">
      <c r="A198" s="180"/>
      <c r="B198" s="200"/>
      <c r="C198" s="201"/>
      <c r="D198" s="202"/>
      <c r="E198" s="88"/>
      <c r="F198" s="183"/>
    </row>
    <row r="199" s="191" customFormat="1" spans="1:6">
      <c r="A199" s="180"/>
      <c r="B199" s="200"/>
      <c r="C199" s="201"/>
      <c r="D199" s="202"/>
      <c r="E199" s="88"/>
      <c r="F199" s="183"/>
    </row>
    <row r="200" s="191" customFormat="1" spans="1:6">
      <c r="A200" s="180"/>
      <c r="B200" s="200"/>
      <c r="C200" s="201"/>
      <c r="D200" s="202"/>
      <c r="E200" s="88"/>
      <c r="F200" s="183"/>
    </row>
    <row r="201" s="191" customFormat="1" spans="1:6">
      <c r="A201" s="180"/>
      <c r="B201" s="200"/>
      <c r="C201" s="201"/>
      <c r="D201" s="202"/>
      <c r="E201" s="88"/>
      <c r="F201" s="183"/>
    </row>
    <row r="202" s="191" customFormat="1" spans="1:6">
      <c r="A202" s="180"/>
      <c r="B202" s="200"/>
      <c r="C202" s="201"/>
      <c r="D202" s="202"/>
      <c r="E202" s="88"/>
      <c r="F202" s="183"/>
    </row>
    <row r="203" s="191" customFormat="1" spans="1:6">
      <c r="A203" s="180"/>
      <c r="B203" s="200"/>
      <c r="C203" s="201"/>
      <c r="D203" s="202"/>
      <c r="E203" s="88"/>
      <c r="F203" s="183"/>
    </row>
    <row r="204" s="191" customFormat="1" spans="1:6">
      <c r="A204" s="180"/>
      <c r="B204" s="200"/>
      <c r="C204" s="201"/>
      <c r="D204" s="202"/>
      <c r="E204" s="88"/>
      <c r="F204" s="183"/>
    </row>
    <row r="205" s="191" customFormat="1" spans="1:6">
      <c r="A205" s="180"/>
      <c r="B205" s="200"/>
      <c r="C205" s="201"/>
      <c r="D205" s="202"/>
      <c r="E205" s="88"/>
      <c r="F205" s="183"/>
    </row>
    <row r="206" s="191" customFormat="1" spans="1:6">
      <c r="A206" s="180"/>
      <c r="B206" s="200"/>
      <c r="C206" s="201"/>
      <c r="D206" s="202"/>
      <c r="E206" s="88"/>
      <c r="F206" s="183"/>
    </row>
    <row r="207" s="191" customFormat="1" spans="1:6">
      <c r="A207" s="180"/>
      <c r="B207" s="200"/>
      <c r="C207" s="201"/>
      <c r="D207" s="202"/>
      <c r="E207" s="88"/>
      <c r="F207" s="183"/>
    </row>
    <row r="208" s="191" customFormat="1" spans="1:6">
      <c r="A208" s="180"/>
      <c r="B208" s="200"/>
      <c r="C208" s="201"/>
      <c r="D208" s="202"/>
      <c r="E208" s="88"/>
      <c r="F208" s="183"/>
    </row>
    <row r="209" s="191" customFormat="1" spans="1:6">
      <c r="A209" s="180"/>
      <c r="B209" s="200"/>
      <c r="C209" s="201"/>
      <c r="D209" s="202"/>
      <c r="E209" s="88"/>
      <c r="F209" s="183"/>
    </row>
    <row r="210" s="191" customFormat="1" spans="1:6">
      <c r="A210" s="180"/>
      <c r="B210" s="200"/>
      <c r="C210" s="201"/>
      <c r="D210" s="202"/>
      <c r="E210" s="88"/>
      <c r="F210" s="183"/>
    </row>
    <row r="211" s="191" customFormat="1" spans="1:6">
      <c r="A211" s="180"/>
      <c r="B211" s="200"/>
      <c r="C211" s="201"/>
      <c r="D211" s="202"/>
      <c r="E211" s="88"/>
      <c r="F211" s="183"/>
    </row>
    <row r="212" s="191" customFormat="1" spans="1:6">
      <c r="A212" s="180"/>
      <c r="B212" s="200"/>
      <c r="C212" s="201"/>
      <c r="D212" s="202"/>
      <c r="E212" s="88"/>
      <c r="F212" s="183"/>
    </row>
    <row r="213" s="191" customFormat="1" spans="1:6">
      <c r="A213" s="180"/>
      <c r="B213" s="200"/>
      <c r="C213" s="201"/>
      <c r="D213" s="202"/>
      <c r="E213" s="88"/>
      <c r="F213" s="183"/>
    </row>
    <row r="214" s="191" customFormat="1" spans="1:6">
      <c r="A214" s="180"/>
      <c r="B214" s="200"/>
      <c r="C214" s="201"/>
      <c r="D214" s="202"/>
      <c r="E214" s="88"/>
      <c r="F214" s="183"/>
    </row>
    <row r="215" s="191" customFormat="1" spans="1:6">
      <c r="A215" s="180"/>
      <c r="B215" s="200"/>
      <c r="C215" s="201"/>
      <c r="D215" s="202"/>
      <c r="E215" s="88"/>
      <c r="F215" s="183"/>
    </row>
    <row r="216" s="191" customFormat="1" spans="1:6">
      <c r="A216" s="180"/>
      <c r="B216" s="200"/>
      <c r="C216" s="201"/>
      <c r="D216" s="202"/>
      <c r="E216" s="88"/>
      <c r="F216" s="183"/>
    </row>
    <row r="217" s="191" customFormat="1" spans="1:6">
      <c r="A217" s="180"/>
      <c r="B217" s="200"/>
      <c r="C217" s="201"/>
      <c r="D217" s="202"/>
      <c r="E217" s="88"/>
      <c r="F217" s="183"/>
    </row>
    <row r="218" s="191" customFormat="1" spans="1:6">
      <c r="A218" s="180"/>
      <c r="B218" s="200"/>
      <c r="C218" s="201"/>
      <c r="D218" s="202"/>
      <c r="E218" s="88"/>
      <c r="F218" s="183"/>
    </row>
    <row r="219" s="191" customFormat="1" spans="1:6">
      <c r="A219" s="180"/>
      <c r="B219" s="200"/>
      <c r="C219" s="201"/>
      <c r="D219" s="202"/>
      <c r="E219" s="88"/>
      <c r="F219" s="183"/>
    </row>
    <row r="220" s="191" customFormat="1" spans="1:6">
      <c r="A220" s="180"/>
      <c r="B220" s="200"/>
      <c r="C220" s="201"/>
      <c r="D220" s="202"/>
      <c r="E220" s="88"/>
      <c r="F220" s="183"/>
    </row>
    <row r="221" s="191" customFormat="1" spans="1:6">
      <c r="A221" s="180"/>
      <c r="B221" s="200"/>
      <c r="C221" s="201"/>
      <c r="D221" s="202"/>
      <c r="E221" s="88"/>
      <c r="F221" s="183"/>
    </row>
    <row r="222" s="191" customFormat="1" spans="1:6">
      <c r="A222" s="180"/>
      <c r="B222" s="200"/>
      <c r="C222" s="201"/>
      <c r="D222" s="202"/>
      <c r="E222" s="88"/>
      <c r="F222" s="183"/>
    </row>
    <row r="223" s="191" customFormat="1" spans="1:6">
      <c r="A223" s="180"/>
      <c r="B223" s="200"/>
      <c r="C223" s="201"/>
      <c r="D223" s="202"/>
      <c r="E223" s="88"/>
      <c r="F223" s="183"/>
    </row>
    <row r="224" s="191" customFormat="1" spans="1:7">
      <c r="A224" s="180"/>
      <c r="B224" s="200"/>
      <c r="C224" s="201"/>
      <c r="D224" s="202"/>
      <c r="E224" s="88"/>
      <c r="F224" s="183"/>
      <c r="G224" s="205"/>
    </row>
    <row r="225" s="191" customFormat="1" spans="1:6">
      <c r="A225" s="180"/>
      <c r="B225" s="200"/>
      <c r="C225" s="201"/>
      <c r="D225" s="202"/>
      <c r="E225" s="88"/>
      <c r="F225" s="183"/>
    </row>
    <row r="226" s="191" customFormat="1" spans="1:6">
      <c r="A226" s="180"/>
      <c r="B226" s="200"/>
      <c r="C226" s="201"/>
      <c r="D226" s="202"/>
      <c r="E226" s="88"/>
      <c r="F226" s="183"/>
    </row>
    <row r="227" s="191" customFormat="1" spans="1:6">
      <c r="A227" s="180"/>
      <c r="B227" s="200"/>
      <c r="C227" s="201"/>
      <c r="D227" s="202"/>
      <c r="E227" s="88"/>
      <c r="F227" s="183"/>
    </row>
    <row r="228" s="191" customFormat="1" spans="1:6">
      <c r="A228" s="180"/>
      <c r="B228" s="200"/>
      <c r="C228" s="201"/>
      <c r="D228" s="202"/>
      <c r="E228" s="88"/>
      <c r="F228" s="183"/>
    </row>
    <row r="229" s="191" customFormat="1" spans="1:6">
      <c r="A229" s="180"/>
      <c r="B229" s="200"/>
      <c r="C229" s="201"/>
      <c r="D229" s="202"/>
      <c r="E229" s="88"/>
      <c r="F229" s="183"/>
    </row>
    <row r="230" s="191" customFormat="1" spans="1:6">
      <c r="A230" s="180"/>
      <c r="B230" s="200"/>
      <c r="C230" s="201"/>
      <c r="D230" s="202"/>
      <c r="E230" s="88"/>
      <c r="F230" s="183"/>
    </row>
    <row r="231" s="191" customFormat="1" spans="1:6">
      <c r="A231" s="180"/>
      <c r="B231" s="200"/>
      <c r="C231" s="201"/>
      <c r="D231" s="202"/>
      <c r="E231" s="88"/>
      <c r="F231" s="183"/>
    </row>
    <row r="232" s="191" customFormat="1" spans="1:6">
      <c r="A232" s="180"/>
      <c r="B232" s="200"/>
      <c r="C232" s="201"/>
      <c r="D232" s="202"/>
      <c r="E232" s="88"/>
      <c r="F232" s="183"/>
    </row>
    <row r="233" s="191" customFormat="1" spans="1:6">
      <c r="A233" s="180"/>
      <c r="B233" s="200"/>
      <c r="C233" s="201"/>
      <c r="D233" s="202"/>
      <c r="E233" s="88"/>
      <c r="F233" s="183"/>
    </row>
    <row r="234" s="191" customFormat="1" spans="1:6">
      <c r="A234" s="180"/>
      <c r="B234" s="200"/>
      <c r="C234" s="201"/>
      <c r="D234" s="202"/>
      <c r="E234" s="88"/>
      <c r="F234" s="183"/>
    </row>
    <row r="235" s="191" customFormat="1" spans="1:6">
      <c r="A235" s="180"/>
      <c r="B235" s="200"/>
      <c r="C235" s="201"/>
      <c r="D235" s="202"/>
      <c r="E235" s="88"/>
      <c r="F235" s="183"/>
    </row>
    <row r="236" s="191" customFormat="1" spans="1:6">
      <c r="A236" s="180"/>
      <c r="B236" s="200"/>
      <c r="C236" s="201"/>
      <c r="D236" s="202"/>
      <c r="E236" s="88"/>
      <c r="F236" s="183"/>
    </row>
    <row r="237" s="191" customFormat="1" spans="1:6">
      <c r="A237" s="180"/>
      <c r="B237" s="200"/>
      <c r="C237" s="201"/>
      <c r="D237" s="202"/>
      <c r="E237" s="88"/>
      <c r="F237" s="183"/>
    </row>
    <row r="238" s="191" customFormat="1" spans="1:6">
      <c r="A238" s="180"/>
      <c r="B238" s="200"/>
      <c r="C238" s="201"/>
      <c r="D238" s="202"/>
      <c r="E238" s="88"/>
      <c r="F238" s="183"/>
    </row>
    <row r="239" s="191" customFormat="1" spans="1:6">
      <c r="A239" s="180"/>
      <c r="B239" s="200"/>
      <c r="C239" s="201"/>
      <c r="D239" s="202"/>
      <c r="E239" s="88"/>
      <c r="F239" s="183"/>
    </row>
    <row r="240" s="191" customFormat="1" spans="1:6">
      <c r="A240" s="180"/>
      <c r="B240" s="200"/>
      <c r="C240" s="201"/>
      <c r="D240" s="202"/>
      <c r="E240" s="88"/>
      <c r="F240" s="183"/>
    </row>
    <row r="241" s="191" customFormat="1" spans="1:6">
      <c r="A241" s="180"/>
      <c r="B241" s="200"/>
      <c r="C241" s="201"/>
      <c r="D241" s="202"/>
      <c r="E241" s="88"/>
      <c r="F241" s="183"/>
    </row>
    <row r="242" s="191" customFormat="1" spans="1:6">
      <c r="A242" s="180"/>
      <c r="B242" s="200"/>
      <c r="C242" s="201"/>
      <c r="D242" s="202"/>
      <c r="E242" s="88"/>
      <c r="F242" s="183"/>
    </row>
    <row r="243" s="191" customFormat="1" spans="1:6">
      <c r="A243" s="180"/>
      <c r="B243" s="200"/>
      <c r="C243" s="201"/>
      <c r="D243" s="202"/>
      <c r="E243" s="88"/>
      <c r="F243" s="183"/>
    </row>
    <row r="244" s="191" customFormat="1" spans="1:6">
      <c r="A244" s="180"/>
      <c r="B244" s="200"/>
      <c r="C244" s="201"/>
      <c r="D244" s="202"/>
      <c r="E244" s="88"/>
      <c r="F244" s="183"/>
    </row>
    <row r="245" s="191" customFormat="1" spans="1:6">
      <c r="A245" s="180"/>
      <c r="B245" s="200"/>
      <c r="C245" s="201"/>
      <c r="D245" s="202"/>
      <c r="E245" s="88"/>
      <c r="F245" s="183"/>
    </row>
    <row r="246" s="191" customFormat="1" spans="1:6">
      <c r="A246" s="180"/>
      <c r="B246" s="200"/>
      <c r="C246" s="201"/>
      <c r="D246" s="202"/>
      <c r="E246" s="88"/>
      <c r="F246" s="183"/>
    </row>
    <row r="247" s="191" customFormat="1" spans="1:6">
      <c r="A247" s="180"/>
      <c r="B247" s="200"/>
      <c r="C247" s="201"/>
      <c r="D247" s="202"/>
      <c r="E247" s="88"/>
      <c r="F247" s="183"/>
    </row>
    <row r="248" s="191" customFormat="1" spans="1:6">
      <c r="A248" s="180"/>
      <c r="B248" s="200"/>
      <c r="C248" s="201"/>
      <c r="D248" s="202"/>
      <c r="E248" s="88"/>
      <c r="F248" s="183"/>
    </row>
    <row r="249" s="191" customFormat="1" spans="1:6">
      <c r="A249" s="180"/>
      <c r="B249" s="200"/>
      <c r="C249" s="201"/>
      <c r="D249" s="202"/>
      <c r="E249" s="88"/>
      <c r="F249" s="183"/>
    </row>
    <row r="250" s="191" customFormat="1" spans="1:6">
      <c r="A250" s="180"/>
      <c r="B250" s="200"/>
      <c r="C250" s="201"/>
      <c r="D250" s="202"/>
      <c r="E250" s="88"/>
      <c r="F250" s="183"/>
    </row>
    <row r="251" s="191" customFormat="1" spans="1:6">
      <c r="A251" s="180"/>
      <c r="B251" s="200"/>
      <c r="C251" s="201"/>
      <c r="D251" s="202"/>
      <c r="E251" s="88"/>
      <c r="F251" s="183"/>
    </row>
    <row r="252" s="191" customFormat="1" spans="1:6">
      <c r="A252" s="180"/>
      <c r="B252" s="200"/>
      <c r="C252" s="201"/>
      <c r="D252" s="202"/>
      <c r="E252" s="88"/>
      <c r="F252" s="183"/>
    </row>
    <row r="253" s="191" customFormat="1" spans="1:6">
      <c r="A253" s="180"/>
      <c r="B253" s="200"/>
      <c r="C253" s="201"/>
      <c r="D253" s="202"/>
      <c r="E253" s="88"/>
      <c r="F253" s="183"/>
    </row>
    <row r="254" s="191" customFormat="1" spans="1:6">
      <c r="A254" s="180"/>
      <c r="B254" s="200"/>
      <c r="C254" s="201"/>
      <c r="D254" s="202"/>
      <c r="E254" s="88"/>
      <c r="F254" s="183"/>
    </row>
    <row r="255" s="191" customFormat="1" spans="1:6">
      <c r="A255" s="180"/>
      <c r="B255" s="200"/>
      <c r="C255" s="201"/>
      <c r="D255" s="202"/>
      <c r="E255" s="88"/>
      <c r="F255" s="183"/>
    </row>
    <row r="256" s="191" customFormat="1" spans="1:6">
      <c r="A256" s="180"/>
      <c r="B256" s="200"/>
      <c r="C256" s="201"/>
      <c r="D256" s="202"/>
      <c r="E256" s="88"/>
      <c r="F256" s="183"/>
    </row>
    <row r="257" s="191" customFormat="1" spans="1:6">
      <c r="A257" s="180"/>
      <c r="B257" s="200"/>
      <c r="C257" s="201"/>
      <c r="D257" s="202"/>
      <c r="E257" s="88"/>
      <c r="F257" s="183"/>
    </row>
    <row r="258" s="191" customFormat="1" spans="1:6">
      <c r="A258" s="180"/>
      <c r="B258" s="200"/>
      <c r="C258" s="201"/>
      <c r="D258" s="202"/>
      <c r="E258" s="88"/>
      <c r="F258" s="183"/>
    </row>
    <row r="259" s="191" customFormat="1" spans="1:6">
      <c r="A259" s="180"/>
      <c r="B259" s="200"/>
      <c r="C259" s="201"/>
      <c r="D259" s="202"/>
      <c r="E259" s="88"/>
      <c r="F259" s="183"/>
    </row>
    <row r="260" s="191" customFormat="1" spans="1:6">
      <c r="A260" s="180"/>
      <c r="B260" s="200"/>
      <c r="C260" s="201"/>
      <c r="D260" s="202"/>
      <c r="E260" s="88"/>
      <c r="F260" s="183"/>
    </row>
    <row r="261" s="191" customFormat="1" spans="1:6">
      <c r="A261" s="180"/>
      <c r="B261" s="200"/>
      <c r="C261" s="201"/>
      <c r="D261" s="202"/>
      <c r="E261" s="88"/>
      <c r="F261" s="183"/>
    </row>
    <row r="262" s="191" customFormat="1" spans="1:6">
      <c r="A262" s="180"/>
      <c r="B262" s="200"/>
      <c r="C262" s="201"/>
      <c r="D262" s="202"/>
      <c r="E262" s="88"/>
      <c r="F262" s="183"/>
    </row>
    <row r="263" s="191" customFormat="1" spans="1:6">
      <c r="A263" s="180"/>
      <c r="B263" s="200"/>
      <c r="C263" s="201"/>
      <c r="D263" s="202"/>
      <c r="E263" s="88"/>
      <c r="F263" s="183"/>
    </row>
    <row r="264" s="191" customFormat="1" spans="1:6">
      <c r="A264" s="180"/>
      <c r="B264" s="200"/>
      <c r="C264" s="201"/>
      <c r="D264" s="202"/>
      <c r="E264" s="88"/>
      <c r="F264" s="183"/>
    </row>
    <row r="265" s="191" customFormat="1" spans="1:6">
      <c r="A265" s="180"/>
      <c r="B265" s="200"/>
      <c r="C265" s="201"/>
      <c r="D265" s="202"/>
      <c r="E265" s="88"/>
      <c r="F265" s="183"/>
    </row>
    <row r="266" s="191" customFormat="1" spans="1:6">
      <c r="A266" s="180"/>
      <c r="B266" s="200"/>
      <c r="C266" s="201"/>
      <c r="D266" s="202"/>
      <c r="E266" s="88"/>
      <c r="F266" s="183"/>
    </row>
    <row r="267" s="191" customFormat="1" spans="1:6">
      <c r="A267" s="180"/>
      <c r="B267" s="200"/>
      <c r="C267" s="201"/>
      <c r="D267" s="202"/>
      <c r="E267" s="88"/>
      <c r="F267" s="183"/>
    </row>
    <row r="268" s="191" customFormat="1" spans="1:6">
      <c r="A268" s="180"/>
      <c r="B268" s="200"/>
      <c r="C268" s="201"/>
      <c r="D268" s="202"/>
      <c r="E268" s="88"/>
      <c r="F268" s="183"/>
    </row>
    <row r="269" s="191" customFormat="1" spans="1:6">
      <c r="A269" s="180"/>
      <c r="B269" s="200"/>
      <c r="C269" s="201"/>
      <c r="D269" s="202"/>
      <c r="E269" s="88"/>
      <c r="F269" s="183"/>
    </row>
    <row r="270" s="191" customFormat="1" spans="1:6">
      <c r="A270" s="180"/>
      <c r="B270" s="200"/>
      <c r="C270" s="201"/>
      <c r="D270" s="202"/>
      <c r="E270" s="88"/>
      <c r="F270" s="183"/>
    </row>
    <row r="271" s="191" customFormat="1" spans="1:6">
      <c r="A271" s="180"/>
      <c r="B271" s="200"/>
      <c r="C271" s="201"/>
      <c r="D271" s="202"/>
      <c r="E271" s="88"/>
      <c r="F271" s="183"/>
    </row>
    <row r="272" s="191" customFormat="1" spans="1:6">
      <c r="A272" s="180"/>
      <c r="B272" s="200"/>
      <c r="C272" s="201"/>
      <c r="D272" s="202"/>
      <c r="E272" s="88"/>
      <c r="F272" s="183"/>
    </row>
    <row r="273" s="191" customFormat="1" spans="1:6">
      <c r="A273" s="180"/>
      <c r="B273" s="200"/>
      <c r="C273" s="201"/>
      <c r="D273" s="202"/>
      <c r="E273" s="88"/>
      <c r="F273" s="183"/>
    </row>
    <row r="274" s="191" customFormat="1" spans="1:6">
      <c r="A274" s="180"/>
      <c r="B274" s="200"/>
      <c r="C274" s="201"/>
      <c r="D274" s="202"/>
      <c r="E274" s="88"/>
      <c r="F274" s="183"/>
    </row>
    <row r="275" s="191" customFormat="1" spans="1:6">
      <c r="A275" s="180"/>
      <c r="B275" s="200"/>
      <c r="C275" s="201"/>
      <c r="D275" s="202"/>
      <c r="E275" s="88"/>
      <c r="F275" s="183"/>
    </row>
    <row r="276" s="191" customFormat="1" spans="1:6">
      <c r="A276" s="180"/>
      <c r="B276" s="200"/>
      <c r="C276" s="201"/>
      <c r="D276" s="202"/>
      <c r="E276" s="88"/>
      <c r="F276" s="183"/>
    </row>
    <row r="277" s="191" customFormat="1" spans="1:6">
      <c r="A277" s="180"/>
      <c r="B277" s="200"/>
      <c r="C277" s="201"/>
      <c r="D277" s="202"/>
      <c r="E277" s="88"/>
      <c r="F277" s="183"/>
    </row>
    <row r="278" s="191" customFormat="1" spans="1:6">
      <c r="A278" s="180"/>
      <c r="B278" s="200"/>
      <c r="C278" s="201"/>
      <c r="D278" s="202"/>
      <c r="E278" s="88"/>
      <c r="F278" s="183"/>
    </row>
    <row r="279" s="191" customFormat="1" spans="1:6">
      <c r="A279" s="180"/>
      <c r="B279" s="200"/>
      <c r="C279" s="201"/>
      <c r="D279" s="202"/>
      <c r="E279" s="88"/>
      <c r="F279" s="183"/>
    </row>
    <row r="280" s="191" customFormat="1" spans="1:6">
      <c r="A280" s="180"/>
      <c r="B280" s="200"/>
      <c r="C280" s="201"/>
      <c r="D280" s="202"/>
      <c r="E280" s="88"/>
      <c r="F280" s="183"/>
    </row>
    <row r="281" s="191" customFormat="1" spans="1:6">
      <c r="A281" s="180"/>
      <c r="B281" s="200"/>
      <c r="C281" s="201"/>
      <c r="D281" s="202"/>
      <c r="E281" s="88"/>
      <c r="F281" s="183"/>
    </row>
    <row r="282" s="191" customFormat="1" spans="1:6">
      <c r="A282" s="180"/>
      <c r="B282" s="200"/>
      <c r="C282" s="201"/>
      <c r="D282" s="202"/>
      <c r="E282" s="88"/>
      <c r="F282" s="183"/>
    </row>
    <row r="283" s="191" customFormat="1" spans="1:6">
      <c r="A283" s="180"/>
      <c r="B283" s="200"/>
      <c r="C283" s="201"/>
      <c r="D283" s="202"/>
      <c r="E283" s="88"/>
      <c r="F283" s="183"/>
    </row>
    <row r="284" s="191" customFormat="1" spans="1:6">
      <c r="A284" s="180"/>
      <c r="B284" s="200"/>
      <c r="C284" s="201"/>
      <c r="D284" s="202"/>
      <c r="E284" s="88"/>
      <c r="F284" s="183"/>
    </row>
    <row r="285" s="191" customFormat="1" spans="1:6">
      <c r="A285" s="180"/>
      <c r="B285" s="200"/>
      <c r="C285" s="201"/>
      <c r="D285" s="202"/>
      <c r="E285" s="88"/>
      <c r="F285" s="183"/>
    </row>
    <row r="286" s="191" customFormat="1" spans="1:6">
      <c r="A286" s="180"/>
      <c r="B286" s="200"/>
      <c r="C286" s="201"/>
      <c r="D286" s="202"/>
      <c r="E286" s="88"/>
      <c r="F286" s="183"/>
    </row>
    <row r="287" s="191" customFormat="1" spans="1:6">
      <c r="A287" s="180"/>
      <c r="B287" s="200"/>
      <c r="C287" s="201"/>
      <c r="D287" s="202"/>
      <c r="E287" s="88"/>
      <c r="F287" s="183"/>
    </row>
    <row r="288" s="191" customFormat="1" spans="1:6">
      <c r="A288" s="180"/>
      <c r="B288" s="200"/>
      <c r="C288" s="201"/>
      <c r="D288" s="202"/>
      <c r="E288" s="88"/>
      <c r="F288" s="183"/>
    </row>
    <row r="289" s="191" customFormat="1" spans="1:6">
      <c r="A289" s="180"/>
      <c r="B289" s="200"/>
      <c r="C289" s="201"/>
      <c r="D289" s="202"/>
      <c r="E289" s="88"/>
      <c r="F289" s="183"/>
    </row>
    <row r="290" s="191" customFormat="1" spans="1:6">
      <c r="A290" s="180"/>
      <c r="B290" s="200"/>
      <c r="C290" s="201"/>
      <c r="D290" s="202"/>
      <c r="E290" s="88"/>
      <c r="F290" s="183"/>
    </row>
    <row r="291" s="191" customFormat="1" spans="1:6">
      <c r="A291" s="180"/>
      <c r="B291" s="200"/>
      <c r="C291" s="201"/>
      <c r="D291" s="202"/>
      <c r="E291" s="88"/>
      <c r="F291" s="183"/>
    </row>
    <row r="292" s="191" customFormat="1" spans="1:6">
      <c r="A292" s="180"/>
      <c r="B292" s="200"/>
      <c r="C292" s="201"/>
      <c r="D292" s="202"/>
      <c r="E292" s="88"/>
      <c r="F292" s="183"/>
    </row>
    <row r="293" s="191" customFormat="1" spans="1:6">
      <c r="A293" s="180"/>
      <c r="B293" s="200"/>
      <c r="C293" s="201"/>
      <c r="D293" s="202"/>
      <c r="E293" s="88"/>
      <c r="F293" s="183"/>
    </row>
    <row r="294" s="191" customFormat="1" spans="1:6">
      <c r="A294" s="180"/>
      <c r="B294" s="200"/>
      <c r="C294" s="201"/>
      <c r="D294" s="202"/>
      <c r="E294" s="88"/>
      <c r="F294" s="183"/>
    </row>
    <row r="295" s="191" customFormat="1" spans="1:6">
      <c r="A295" s="180"/>
      <c r="B295" s="200"/>
      <c r="C295" s="201"/>
      <c r="D295" s="202"/>
      <c r="E295" s="88"/>
      <c r="F295" s="183"/>
    </row>
    <row r="296" s="191" customFormat="1" spans="1:6">
      <c r="A296" s="180"/>
      <c r="B296" s="200"/>
      <c r="C296" s="201"/>
      <c r="D296" s="202"/>
      <c r="E296" s="88"/>
      <c r="F296" s="183"/>
    </row>
    <row r="297" s="191" customFormat="1" spans="1:6">
      <c r="A297" s="180"/>
      <c r="B297" s="200"/>
      <c r="C297" s="201"/>
      <c r="D297" s="202"/>
      <c r="E297" s="88"/>
      <c r="F297" s="183"/>
    </row>
    <row r="298" s="191" customFormat="1" spans="1:6">
      <c r="A298" s="180"/>
      <c r="B298" s="200"/>
      <c r="C298" s="201"/>
      <c r="D298" s="202"/>
      <c r="E298" s="88"/>
      <c r="F298" s="183"/>
    </row>
    <row r="299" s="191" customFormat="1" spans="1:6">
      <c r="A299" s="180"/>
      <c r="B299" s="200"/>
      <c r="C299" s="201"/>
      <c r="D299" s="202"/>
      <c r="E299" s="88"/>
      <c r="F299" s="183"/>
    </row>
    <row r="300" s="191" customFormat="1" spans="1:6">
      <c r="A300" s="180"/>
      <c r="B300" s="200"/>
      <c r="C300" s="201"/>
      <c r="D300" s="202"/>
      <c r="E300" s="88"/>
      <c r="F300" s="183"/>
    </row>
    <row r="301" s="191" customFormat="1" spans="1:6">
      <c r="A301" s="180"/>
      <c r="B301" s="200"/>
      <c r="C301" s="201"/>
      <c r="D301" s="202"/>
      <c r="E301" s="88"/>
      <c r="F301" s="183"/>
    </row>
    <row r="302" s="191" customFormat="1" spans="1:6">
      <c r="A302" s="180"/>
      <c r="B302" s="200"/>
      <c r="C302" s="201"/>
      <c r="D302" s="202"/>
      <c r="E302" s="88"/>
      <c r="F302" s="183"/>
    </row>
    <row r="303" s="191" customFormat="1" spans="1:6">
      <c r="A303" s="180"/>
      <c r="B303" s="200"/>
      <c r="C303" s="201"/>
      <c r="D303" s="202"/>
      <c r="E303" s="88"/>
      <c r="F303" s="183"/>
    </row>
    <row r="304" s="191" customFormat="1" spans="1:6">
      <c r="A304" s="180"/>
      <c r="B304" s="200"/>
      <c r="C304" s="201"/>
      <c r="D304" s="202"/>
      <c r="E304" s="88"/>
      <c r="F304" s="183"/>
    </row>
    <row r="305" s="191" customFormat="1" spans="1:6">
      <c r="A305" s="180"/>
      <c r="B305" s="200"/>
      <c r="C305" s="201"/>
      <c r="D305" s="202"/>
      <c r="E305" s="88"/>
      <c r="F305" s="183"/>
    </row>
    <row r="306" s="191" customFormat="1" spans="1:6">
      <c r="A306" s="180"/>
      <c r="B306" s="200"/>
      <c r="C306" s="201"/>
      <c r="D306" s="202"/>
      <c r="E306" s="88"/>
      <c r="F306" s="183"/>
    </row>
    <row r="307" s="191" customFormat="1" spans="1:6">
      <c r="A307" s="180"/>
      <c r="B307" s="200"/>
      <c r="C307" s="201"/>
      <c r="D307" s="202"/>
      <c r="E307" s="88"/>
      <c r="F307" s="183"/>
    </row>
    <row r="308" s="191" customFormat="1" spans="1:6">
      <c r="A308" s="180"/>
      <c r="B308" s="200"/>
      <c r="C308" s="201"/>
      <c r="D308" s="202"/>
      <c r="E308" s="88"/>
      <c r="F308" s="183"/>
    </row>
    <row r="309" s="191" customFormat="1" spans="1:6">
      <c r="A309" s="180"/>
      <c r="B309" s="200"/>
      <c r="C309" s="201"/>
      <c r="D309" s="202"/>
      <c r="E309" s="88"/>
      <c r="F309" s="183"/>
    </row>
    <row r="310" s="191" customFormat="1" spans="1:6">
      <c r="A310" s="180"/>
      <c r="B310" s="200"/>
      <c r="C310" s="201"/>
      <c r="D310" s="202"/>
      <c r="E310" s="88"/>
      <c r="F310" s="183"/>
    </row>
    <row r="311" s="191" customFormat="1" spans="1:6">
      <c r="A311" s="180"/>
      <c r="B311" s="200"/>
      <c r="C311" s="201"/>
      <c r="D311" s="202"/>
      <c r="E311" s="88"/>
      <c r="F311" s="183"/>
    </row>
    <row r="312" s="191" customFormat="1" spans="1:6">
      <c r="A312" s="180"/>
      <c r="B312" s="200"/>
      <c r="C312" s="201"/>
      <c r="D312" s="202"/>
      <c r="E312" s="88"/>
      <c r="F312" s="183"/>
    </row>
    <row r="313" s="191" customFormat="1" spans="1:6">
      <c r="A313" s="180"/>
      <c r="B313" s="200"/>
      <c r="C313" s="201"/>
      <c r="D313" s="202"/>
      <c r="E313" s="88"/>
      <c r="F313" s="183"/>
    </row>
    <row r="314" s="191" customFormat="1" spans="1:6">
      <c r="A314" s="180"/>
      <c r="B314" s="200"/>
      <c r="C314" s="201"/>
      <c r="D314" s="202"/>
      <c r="E314" s="88"/>
      <c r="F314" s="183"/>
    </row>
    <row r="315" s="191" customFormat="1" spans="1:6">
      <c r="A315" s="180"/>
      <c r="B315" s="200"/>
      <c r="C315" s="201"/>
      <c r="D315" s="202"/>
      <c r="E315" s="88"/>
      <c r="F315" s="183"/>
    </row>
    <row r="316" s="191" customFormat="1" spans="1:6">
      <c r="A316" s="180"/>
      <c r="B316" s="200"/>
      <c r="C316" s="201"/>
      <c r="D316" s="202"/>
      <c r="E316" s="88"/>
      <c r="F316" s="183"/>
    </row>
    <row r="317" s="191" customFormat="1" spans="1:6">
      <c r="A317" s="180"/>
      <c r="B317" s="200"/>
      <c r="C317" s="201"/>
      <c r="D317" s="202"/>
      <c r="E317" s="88"/>
      <c r="F317" s="183"/>
    </row>
    <row r="318" s="191" customFormat="1" spans="1:6">
      <c r="A318" s="180"/>
      <c r="B318" s="200"/>
      <c r="C318" s="201"/>
      <c r="D318" s="202"/>
      <c r="E318" s="88"/>
      <c r="F318" s="183"/>
    </row>
    <row r="319" s="191" customFormat="1" spans="1:6">
      <c r="A319" s="180"/>
      <c r="B319" s="200"/>
      <c r="C319" s="201"/>
      <c r="D319" s="202"/>
      <c r="E319" s="88"/>
      <c r="F319" s="183"/>
    </row>
    <row r="320" s="191" customFormat="1" spans="1:6">
      <c r="A320" s="180"/>
      <c r="B320" s="200"/>
      <c r="C320" s="201"/>
      <c r="D320" s="202"/>
      <c r="E320" s="88"/>
      <c r="F320" s="183"/>
    </row>
    <row r="321" s="191" customFormat="1" spans="1:6">
      <c r="A321" s="180"/>
      <c r="B321" s="200"/>
      <c r="C321" s="201"/>
      <c r="D321" s="202"/>
      <c r="E321" s="88"/>
      <c r="F321" s="183"/>
    </row>
    <row r="322" s="191" customFormat="1" spans="1:8">
      <c r="A322" s="180"/>
      <c r="B322" s="200"/>
      <c r="C322" s="201"/>
      <c r="D322" s="202"/>
      <c r="E322" s="88"/>
      <c r="F322" s="183"/>
      <c r="H322" s="205"/>
    </row>
    <row r="323" s="191" customFormat="1" spans="1:8">
      <c r="A323" s="180"/>
      <c r="B323" s="200"/>
      <c r="C323" s="201"/>
      <c r="D323" s="202"/>
      <c r="E323" s="88"/>
      <c r="F323" s="183"/>
      <c r="H323" s="205"/>
    </row>
    <row r="324" s="191" customFormat="1" spans="1:6">
      <c r="A324" s="180"/>
      <c r="B324" s="200"/>
      <c r="C324" s="201"/>
      <c r="D324" s="202"/>
      <c r="E324" s="88"/>
      <c r="F324" s="183"/>
    </row>
    <row r="325" s="191" customFormat="1" spans="1:6">
      <c r="A325" s="180"/>
      <c r="B325" s="200"/>
      <c r="C325" s="201"/>
      <c r="D325" s="202"/>
      <c r="E325" s="88"/>
      <c r="F325" s="183"/>
    </row>
    <row r="326" s="191" customFormat="1" spans="1:6">
      <c r="A326" s="180"/>
      <c r="B326" s="200"/>
      <c r="C326" s="201"/>
      <c r="D326" s="202"/>
      <c r="E326" s="88"/>
      <c r="F326" s="183"/>
    </row>
    <row r="327" s="191" customFormat="1" spans="1:6">
      <c r="A327" s="180"/>
      <c r="B327" s="200"/>
      <c r="C327" s="201"/>
      <c r="D327" s="202"/>
      <c r="E327" s="88"/>
      <c r="F327" s="183"/>
    </row>
    <row r="328" s="191" customFormat="1" spans="1:6">
      <c r="A328" s="180"/>
      <c r="B328" s="200"/>
      <c r="C328" s="201"/>
      <c r="D328" s="202"/>
      <c r="E328" s="88"/>
      <c r="F328" s="183"/>
    </row>
    <row r="329" s="191" customFormat="1" spans="1:6">
      <c r="A329" s="180"/>
      <c r="B329" s="200"/>
      <c r="C329" s="201"/>
      <c r="D329" s="202"/>
      <c r="E329" s="88"/>
      <c r="F329" s="183"/>
    </row>
    <row r="330" s="191" customFormat="1" spans="1:6">
      <c r="A330" s="180"/>
      <c r="B330" s="200"/>
      <c r="C330" s="201"/>
      <c r="D330" s="202"/>
      <c r="E330" s="88"/>
      <c r="F330" s="183"/>
    </row>
    <row r="331" s="191" customFormat="1" spans="1:6">
      <c r="A331" s="180"/>
      <c r="B331" s="200"/>
      <c r="C331" s="201"/>
      <c r="D331" s="202"/>
      <c r="E331" s="88"/>
      <c r="F331" s="183"/>
    </row>
    <row r="332" s="191" customFormat="1" spans="1:6">
      <c r="A332" s="180"/>
      <c r="B332" s="200"/>
      <c r="C332" s="201"/>
      <c r="D332" s="202"/>
      <c r="E332" s="88"/>
      <c r="F332" s="183"/>
    </row>
    <row r="333" s="191" customFormat="1" spans="1:6">
      <c r="A333" s="180"/>
      <c r="B333" s="200"/>
      <c r="C333" s="201"/>
      <c r="D333" s="202"/>
      <c r="E333" s="88"/>
      <c r="F333" s="183"/>
    </row>
    <row r="334" s="191" customFormat="1" spans="1:6">
      <c r="A334" s="180"/>
      <c r="B334" s="200"/>
      <c r="C334" s="201"/>
      <c r="D334" s="202"/>
      <c r="E334" s="88"/>
      <c r="F334" s="183"/>
    </row>
    <row r="335" s="191" customFormat="1" spans="1:6">
      <c r="A335" s="180"/>
      <c r="B335" s="200"/>
      <c r="C335" s="201"/>
      <c r="D335" s="202"/>
      <c r="E335" s="88"/>
      <c r="F335" s="183"/>
    </row>
    <row r="336" s="191" customFormat="1" spans="1:6">
      <c r="A336" s="180"/>
      <c r="B336" s="200"/>
      <c r="C336" s="201"/>
      <c r="D336" s="202"/>
      <c r="E336" s="88"/>
      <c r="F336" s="183"/>
    </row>
    <row r="337" s="191" customFormat="1" spans="1:6">
      <c r="A337" s="180"/>
      <c r="B337" s="200"/>
      <c r="C337" s="201"/>
      <c r="D337" s="202"/>
      <c r="E337" s="88"/>
      <c r="F337" s="183"/>
    </row>
    <row r="338" s="191" customFormat="1" spans="1:6">
      <c r="A338" s="180"/>
      <c r="B338" s="200"/>
      <c r="C338" s="201"/>
      <c r="D338" s="202"/>
      <c r="E338" s="88"/>
      <c r="F338" s="183"/>
    </row>
    <row r="339" s="191" customFormat="1" spans="1:6">
      <c r="A339" s="180"/>
      <c r="B339" s="200"/>
      <c r="C339" s="201"/>
      <c r="D339" s="202"/>
      <c r="E339" s="88"/>
      <c r="F339" s="183"/>
    </row>
    <row r="340" s="191" customFormat="1" spans="1:6">
      <c r="A340" s="180"/>
      <c r="B340" s="200"/>
      <c r="C340" s="201"/>
      <c r="D340" s="202"/>
      <c r="E340" s="88"/>
      <c r="F340" s="183"/>
    </row>
    <row r="341" s="191" customFormat="1" spans="1:6">
      <c r="A341" s="180"/>
      <c r="B341" s="200"/>
      <c r="C341" s="201"/>
      <c r="D341" s="202"/>
      <c r="E341" s="88"/>
      <c r="F341" s="183"/>
    </row>
    <row r="342" s="191" customFormat="1" spans="1:6">
      <c r="A342" s="180"/>
      <c r="B342" s="200"/>
      <c r="C342" s="201"/>
      <c r="D342" s="202"/>
      <c r="E342" s="88"/>
      <c r="F342" s="183"/>
    </row>
    <row r="343" s="191" customFormat="1" spans="1:6">
      <c r="A343" s="180"/>
      <c r="B343" s="200"/>
      <c r="C343" s="201"/>
      <c r="D343" s="202"/>
      <c r="E343" s="88"/>
      <c r="F343" s="183"/>
    </row>
    <row r="344" s="191" customFormat="1" spans="1:6">
      <c r="A344" s="180"/>
      <c r="B344" s="200"/>
      <c r="C344" s="201"/>
      <c r="D344" s="202"/>
      <c r="E344" s="88"/>
      <c r="F344" s="183"/>
    </row>
    <row r="345" s="191" customFormat="1" spans="1:6">
      <c r="A345" s="180"/>
      <c r="B345" s="200"/>
      <c r="C345" s="201"/>
      <c r="D345" s="202"/>
      <c r="E345" s="88"/>
      <c r="F345" s="183"/>
    </row>
    <row r="346" s="191" customFormat="1" spans="1:6">
      <c r="A346" s="180"/>
      <c r="B346" s="200"/>
      <c r="C346" s="201"/>
      <c r="D346" s="202"/>
      <c r="E346" s="88"/>
      <c r="F346" s="183"/>
    </row>
    <row r="347" s="191" customFormat="1" spans="1:6">
      <c r="A347" s="180"/>
      <c r="B347" s="200"/>
      <c r="C347" s="201"/>
      <c r="D347" s="202"/>
      <c r="E347" s="88"/>
      <c r="F347" s="183"/>
    </row>
    <row r="348" s="191" customFormat="1" spans="1:6">
      <c r="A348" s="180"/>
      <c r="B348" s="200"/>
      <c r="C348" s="201"/>
      <c r="D348" s="202"/>
      <c r="E348" s="88"/>
      <c r="F348" s="183"/>
    </row>
    <row r="349" s="191" customFormat="1" spans="1:6">
      <c r="A349" s="180"/>
      <c r="B349" s="200"/>
      <c r="C349" s="201"/>
      <c r="D349" s="202"/>
      <c r="E349" s="88"/>
      <c r="F349" s="183"/>
    </row>
    <row r="350" s="191" customFormat="1" spans="1:8">
      <c r="A350" s="180"/>
      <c r="B350" s="200"/>
      <c r="C350" s="201"/>
      <c r="D350" s="202"/>
      <c r="E350" s="88"/>
      <c r="F350" s="183"/>
      <c r="H350" s="205"/>
    </row>
    <row r="351" s="191" customFormat="1" spans="1:6">
      <c r="A351" s="180"/>
      <c r="B351" s="200"/>
      <c r="C351" s="201"/>
      <c r="D351" s="202"/>
      <c r="E351" s="88"/>
      <c r="F351" s="183"/>
    </row>
    <row r="352" s="191" customFormat="1" spans="1:6">
      <c r="A352" s="180"/>
      <c r="B352" s="200"/>
      <c r="C352" s="201"/>
      <c r="D352" s="202"/>
      <c r="E352" s="88"/>
      <c r="F352" s="183"/>
    </row>
    <row r="353" s="191" customFormat="1" spans="1:6">
      <c r="A353" s="180"/>
      <c r="B353" s="200"/>
      <c r="C353" s="201"/>
      <c r="D353" s="202"/>
      <c r="E353" s="88"/>
      <c r="F353" s="183"/>
    </row>
    <row r="354" s="191" customFormat="1" spans="1:6">
      <c r="A354" s="180"/>
      <c r="B354" s="200"/>
      <c r="C354" s="201"/>
      <c r="D354" s="202"/>
      <c r="E354" s="88"/>
      <c r="F354" s="183"/>
    </row>
    <row r="355" s="191" customFormat="1" spans="1:6">
      <c r="A355" s="180"/>
      <c r="B355" s="200"/>
      <c r="C355" s="201"/>
      <c r="D355" s="202"/>
      <c r="E355" s="88"/>
      <c r="F355" s="183"/>
    </row>
    <row r="356" s="191" customFormat="1" spans="1:6">
      <c r="A356" s="180"/>
      <c r="B356" s="200"/>
      <c r="C356" s="201"/>
      <c r="D356" s="202"/>
      <c r="E356" s="88"/>
      <c r="F356" s="183"/>
    </row>
    <row r="357" s="191" customFormat="1" spans="1:6">
      <c r="A357" s="180"/>
      <c r="B357" s="200"/>
      <c r="C357" s="201"/>
      <c r="D357" s="202"/>
      <c r="E357" s="88"/>
      <c r="F357" s="183"/>
    </row>
    <row r="358" s="191" customFormat="1" spans="1:6">
      <c r="A358" s="180"/>
      <c r="B358" s="200"/>
      <c r="C358" s="201"/>
      <c r="D358" s="202"/>
      <c r="E358" s="88"/>
      <c r="F358" s="183"/>
    </row>
    <row r="359" s="191" customFormat="1" spans="1:6">
      <c r="A359" s="180"/>
      <c r="B359" s="200"/>
      <c r="C359" s="201"/>
      <c r="D359" s="202"/>
      <c r="E359" s="88"/>
      <c r="F359" s="183"/>
    </row>
    <row r="360" s="191" customFormat="1" spans="1:6">
      <c r="A360" s="180"/>
      <c r="B360" s="200"/>
      <c r="C360" s="201"/>
      <c r="D360" s="202"/>
      <c r="E360" s="88"/>
      <c r="F360" s="183"/>
    </row>
    <row r="361" s="191" customFormat="1" spans="1:6">
      <c r="A361" s="180"/>
      <c r="B361" s="200"/>
      <c r="C361" s="201"/>
      <c r="D361" s="202"/>
      <c r="E361" s="88"/>
      <c r="F361" s="183"/>
    </row>
    <row r="362" s="191" customFormat="1" spans="1:6">
      <c r="A362" s="180"/>
      <c r="B362" s="200"/>
      <c r="C362" s="201"/>
      <c r="D362" s="202"/>
      <c r="E362" s="88"/>
      <c r="F362" s="183"/>
    </row>
    <row r="363" s="191" customFormat="1" spans="1:6">
      <c r="A363" s="180"/>
      <c r="B363" s="200"/>
      <c r="C363" s="201"/>
      <c r="D363" s="202"/>
      <c r="E363" s="88"/>
      <c r="F363" s="183"/>
    </row>
    <row r="364" s="191" customFormat="1" spans="1:6">
      <c r="A364" s="180"/>
      <c r="B364" s="200"/>
      <c r="C364" s="201"/>
      <c r="D364" s="202"/>
      <c r="E364" s="88"/>
      <c r="F364" s="183"/>
    </row>
    <row r="365" s="191" customFormat="1" spans="1:6">
      <c r="A365" s="180"/>
      <c r="B365" s="200"/>
      <c r="C365" s="201"/>
      <c r="D365" s="202"/>
      <c r="E365" s="88"/>
      <c r="F365" s="183"/>
    </row>
    <row r="366" s="191" customFormat="1" spans="1:6">
      <c r="A366" s="180"/>
      <c r="B366" s="200"/>
      <c r="C366" s="201"/>
      <c r="D366" s="202"/>
      <c r="E366" s="88"/>
      <c r="F366" s="183"/>
    </row>
    <row r="367" s="191" customFormat="1" spans="1:6">
      <c r="A367" s="180"/>
      <c r="B367" s="200"/>
      <c r="C367" s="201"/>
      <c r="D367" s="202"/>
      <c r="E367" s="88"/>
      <c r="F367" s="183"/>
    </row>
    <row r="368" s="191" customFormat="1" spans="1:6">
      <c r="A368" s="180"/>
      <c r="B368" s="206"/>
      <c r="C368" s="201"/>
      <c r="D368" s="207"/>
      <c r="E368" s="88"/>
      <c r="F368" s="183"/>
    </row>
    <row r="369" s="191" customFormat="1" spans="1:6">
      <c r="A369" s="180"/>
      <c r="B369" s="206"/>
      <c r="C369" s="201"/>
      <c r="D369" s="207"/>
      <c r="E369" s="88"/>
      <c r="F369" s="183"/>
    </row>
    <row r="370" s="191" customFormat="1" spans="1:6">
      <c r="A370" s="180"/>
      <c r="B370" s="206"/>
      <c r="C370" s="201"/>
      <c r="D370" s="207"/>
      <c r="E370" s="88"/>
      <c r="F370" s="183"/>
    </row>
    <row r="371" s="191" customFormat="1" spans="1:6">
      <c r="A371" s="180"/>
      <c r="B371" s="206"/>
      <c r="C371" s="201"/>
      <c r="D371" s="207"/>
      <c r="E371" s="88"/>
      <c r="F371" s="183"/>
    </row>
    <row r="372" s="191" customFormat="1" spans="1:6">
      <c r="A372" s="180"/>
      <c r="B372" s="206"/>
      <c r="C372" s="201"/>
      <c r="D372" s="207"/>
      <c r="E372" s="88"/>
      <c r="F372" s="183"/>
    </row>
    <row r="373" s="191" customFormat="1" spans="1:6">
      <c r="A373" s="180"/>
      <c r="B373" s="206"/>
      <c r="C373" s="201"/>
      <c r="D373" s="207"/>
      <c r="E373" s="88"/>
      <c r="F373" s="183"/>
    </row>
    <row r="374" s="191" customFormat="1" spans="1:6">
      <c r="A374" s="180"/>
      <c r="B374" s="206"/>
      <c r="C374" s="201"/>
      <c r="D374" s="207"/>
      <c r="E374" s="88"/>
      <c r="F374" s="183"/>
    </row>
    <row r="375" s="191" customFormat="1" spans="1:6">
      <c r="A375" s="180"/>
      <c r="B375" s="206"/>
      <c r="C375" s="201"/>
      <c r="D375" s="207"/>
      <c r="E375" s="88"/>
      <c r="F375" s="183"/>
    </row>
    <row r="376" s="191" customFormat="1" spans="1:6">
      <c r="A376" s="180"/>
      <c r="B376" s="206"/>
      <c r="C376" s="201"/>
      <c r="D376" s="207"/>
      <c r="E376" s="88"/>
      <c r="F376" s="183"/>
    </row>
    <row r="377" s="191" customFormat="1" spans="1:6">
      <c r="A377" s="180"/>
      <c r="B377" s="206"/>
      <c r="C377" s="201"/>
      <c r="D377" s="207"/>
      <c r="E377" s="88"/>
      <c r="F377" s="183"/>
    </row>
    <row r="378" s="191" customFormat="1" spans="1:6">
      <c r="A378" s="180"/>
      <c r="B378" s="206"/>
      <c r="C378" s="201"/>
      <c r="D378" s="207"/>
      <c r="E378" s="88"/>
      <c r="F378" s="183"/>
    </row>
    <row r="379" s="191" customFormat="1" spans="1:6">
      <c r="A379" s="180"/>
      <c r="B379" s="206"/>
      <c r="C379" s="201"/>
      <c r="D379" s="207"/>
      <c r="E379" s="88"/>
      <c r="F379" s="183"/>
    </row>
    <row r="380" s="191" customFormat="1" spans="1:6">
      <c r="A380" s="180"/>
      <c r="B380" s="206"/>
      <c r="C380" s="201"/>
      <c r="D380" s="207"/>
      <c r="E380" s="88"/>
      <c r="F380" s="183"/>
    </row>
    <row r="381" s="191" customFormat="1" spans="1:6">
      <c r="A381" s="180"/>
      <c r="B381" s="206"/>
      <c r="C381" s="201"/>
      <c r="D381" s="207"/>
      <c r="E381" s="88"/>
      <c r="F381" s="183"/>
    </row>
    <row r="382" s="191" customFormat="1" spans="1:6">
      <c r="A382" s="180"/>
      <c r="B382" s="206"/>
      <c r="C382" s="201"/>
      <c r="D382" s="207"/>
      <c r="E382" s="88"/>
      <c r="F382" s="183"/>
    </row>
    <row r="383" s="191" customFormat="1" spans="1:6">
      <c r="A383" s="180"/>
      <c r="B383" s="206"/>
      <c r="C383" s="201"/>
      <c r="D383" s="207"/>
      <c r="E383" s="88"/>
      <c r="F383" s="183"/>
    </row>
    <row r="384" s="191" customFormat="1" spans="1:6">
      <c r="A384" s="180"/>
      <c r="B384" s="206"/>
      <c r="C384" s="201"/>
      <c r="D384" s="207"/>
      <c r="E384" s="88"/>
      <c r="F384" s="183"/>
    </row>
    <row r="385" s="191" customFormat="1" spans="1:6">
      <c r="A385" s="180"/>
      <c r="B385" s="206"/>
      <c r="C385" s="201"/>
      <c r="D385" s="207"/>
      <c r="E385" s="88"/>
      <c r="F385" s="183"/>
    </row>
    <row r="386" s="191" customFormat="1" spans="1:6">
      <c r="A386" s="180"/>
      <c r="B386" s="206"/>
      <c r="C386" s="201"/>
      <c r="D386" s="207"/>
      <c r="E386" s="88"/>
      <c r="F386" s="183"/>
    </row>
    <row r="387" s="191" customFormat="1" spans="1:6">
      <c r="A387" s="180"/>
      <c r="B387" s="206"/>
      <c r="C387" s="201"/>
      <c r="D387" s="207"/>
      <c r="E387" s="88"/>
      <c r="F387" s="183"/>
    </row>
    <row r="388" s="191" customFormat="1" spans="1:6">
      <c r="A388" s="180"/>
      <c r="B388" s="206"/>
      <c r="C388" s="201"/>
      <c r="D388" s="207"/>
      <c r="E388" s="88"/>
      <c r="F388" s="183"/>
    </row>
    <row r="389" s="191" customFormat="1" spans="1:6">
      <c r="A389" s="180"/>
      <c r="B389" s="206"/>
      <c r="C389" s="201"/>
      <c r="D389" s="207"/>
      <c r="E389" s="88"/>
      <c r="F389" s="183"/>
    </row>
    <row r="390" s="191" customFormat="1" spans="1:6">
      <c r="A390" s="180"/>
      <c r="B390" s="206"/>
      <c r="C390" s="201"/>
      <c r="D390" s="207"/>
      <c r="E390" s="88"/>
      <c r="F390" s="183"/>
    </row>
    <row r="391" s="191" customFormat="1" spans="1:6">
      <c r="A391" s="180"/>
      <c r="B391" s="206"/>
      <c r="C391" s="201"/>
      <c r="D391" s="207"/>
      <c r="E391" s="88"/>
      <c r="F391" s="183"/>
    </row>
    <row r="392" s="191" customFormat="1" spans="1:6">
      <c r="A392" s="180"/>
      <c r="B392" s="206"/>
      <c r="C392" s="201"/>
      <c r="D392" s="207"/>
      <c r="E392" s="88"/>
      <c r="F392" s="183"/>
    </row>
    <row r="393" s="191" customFormat="1" spans="1:6">
      <c r="A393" s="180"/>
      <c r="B393" s="206"/>
      <c r="C393" s="201"/>
      <c r="D393" s="207"/>
      <c r="E393" s="88"/>
      <c r="F393" s="183"/>
    </row>
    <row r="394" s="191" customFormat="1" spans="1:6">
      <c r="A394" s="180"/>
      <c r="B394" s="206"/>
      <c r="C394" s="201"/>
      <c r="D394" s="207"/>
      <c r="E394" s="88"/>
      <c r="F394" s="183"/>
    </row>
    <row r="395" s="191" customFormat="1" spans="1:6">
      <c r="A395" s="180"/>
      <c r="B395" s="206"/>
      <c r="C395" s="201"/>
      <c r="D395" s="207"/>
      <c r="E395" s="88"/>
      <c r="F395" s="183"/>
    </row>
    <row r="396" s="191" customFormat="1" spans="1:6">
      <c r="A396" s="180"/>
      <c r="B396" s="206"/>
      <c r="C396" s="201"/>
      <c r="D396" s="207"/>
      <c r="E396" s="88"/>
      <c r="F396" s="183"/>
    </row>
    <row r="397" s="191" customFormat="1" spans="1:6">
      <c r="A397" s="180"/>
      <c r="B397" s="206"/>
      <c r="C397" s="201"/>
      <c r="D397" s="207"/>
      <c r="E397" s="88"/>
      <c r="F397" s="183"/>
    </row>
    <row r="398" s="191" customFormat="1" spans="1:6">
      <c r="A398" s="180"/>
      <c r="B398" s="206"/>
      <c r="C398" s="201"/>
      <c r="D398" s="207"/>
      <c r="E398" s="88"/>
      <c r="F398" s="183"/>
    </row>
    <row r="399" s="191" customFormat="1" spans="1:6">
      <c r="A399" s="180"/>
      <c r="B399" s="206"/>
      <c r="C399" s="201"/>
      <c r="D399" s="207"/>
      <c r="E399" s="88"/>
      <c r="F399" s="183"/>
    </row>
    <row r="400" s="191" customFormat="1" spans="1:6">
      <c r="A400" s="180"/>
      <c r="B400" s="206"/>
      <c r="C400" s="201"/>
      <c r="D400" s="207"/>
      <c r="E400" s="88"/>
      <c r="F400" s="183"/>
    </row>
    <row r="401" s="191" customFormat="1" spans="1:6">
      <c r="A401" s="180"/>
      <c r="B401" s="206"/>
      <c r="C401" s="201"/>
      <c r="D401" s="207"/>
      <c r="E401" s="88"/>
      <c r="F401" s="183"/>
    </row>
    <row r="402" s="191" customFormat="1" spans="1:6">
      <c r="A402" s="180"/>
      <c r="B402" s="206"/>
      <c r="C402" s="201"/>
      <c r="D402" s="207"/>
      <c r="E402" s="88"/>
      <c r="F402" s="183"/>
    </row>
    <row r="403" s="191" customFormat="1" spans="1:6">
      <c r="A403" s="180"/>
      <c r="B403" s="206"/>
      <c r="C403" s="201"/>
      <c r="D403" s="207"/>
      <c r="E403" s="88"/>
      <c r="F403" s="183"/>
    </row>
    <row r="404" s="191" customFormat="1" spans="1:6">
      <c r="A404" s="180"/>
      <c r="B404" s="206"/>
      <c r="C404" s="201"/>
      <c r="D404" s="207"/>
      <c r="E404" s="88"/>
      <c r="F404" s="183"/>
    </row>
    <row r="405" s="191" customFormat="1" spans="1:6">
      <c r="A405" s="180"/>
      <c r="B405" s="206"/>
      <c r="C405" s="201"/>
      <c r="D405" s="207"/>
      <c r="E405" s="88"/>
      <c r="F405" s="183"/>
    </row>
    <row r="406" s="191" customFormat="1" spans="1:6">
      <c r="A406" s="180"/>
      <c r="B406" s="206"/>
      <c r="C406" s="201"/>
      <c r="D406" s="207"/>
      <c r="E406" s="88"/>
      <c r="F406" s="183"/>
    </row>
    <row r="407" s="191" customFormat="1" spans="1:6">
      <c r="A407" s="180"/>
      <c r="B407" s="206"/>
      <c r="C407" s="201"/>
      <c r="D407" s="207"/>
      <c r="E407" s="88"/>
      <c r="F407" s="183"/>
    </row>
    <row r="408" s="191" customFormat="1" spans="1:6">
      <c r="A408" s="180"/>
      <c r="B408" s="206"/>
      <c r="C408" s="201"/>
      <c r="D408" s="207"/>
      <c r="E408" s="88"/>
      <c r="F408" s="183"/>
    </row>
    <row r="409" s="191" customFormat="1" spans="1:6">
      <c r="A409" s="180"/>
      <c r="B409" s="206"/>
      <c r="C409" s="201"/>
      <c r="D409" s="207"/>
      <c r="E409" s="88"/>
      <c r="F409" s="183"/>
    </row>
    <row r="410" s="191" customFormat="1" spans="1:6">
      <c r="A410" s="180"/>
      <c r="B410" s="206"/>
      <c r="C410" s="201"/>
      <c r="D410" s="207"/>
      <c r="E410" s="88"/>
      <c r="F410" s="183"/>
    </row>
    <row r="411" s="191" customFormat="1" spans="1:6">
      <c r="A411" s="180"/>
      <c r="B411" s="206"/>
      <c r="C411" s="201"/>
      <c r="D411" s="207"/>
      <c r="E411" s="88"/>
      <c r="F411" s="183"/>
    </row>
    <row r="412" s="191" customFormat="1" spans="1:6">
      <c r="A412" s="180"/>
      <c r="B412" s="206"/>
      <c r="C412" s="201"/>
      <c r="D412" s="207"/>
      <c r="E412" s="88"/>
      <c r="F412" s="183"/>
    </row>
    <row r="413" s="191" customFormat="1" spans="1:6">
      <c r="A413" s="180"/>
      <c r="B413" s="208"/>
      <c r="C413" s="201"/>
      <c r="D413" s="209"/>
      <c r="E413" s="88"/>
      <c r="F413" s="173"/>
    </row>
    <row r="414" s="191" customFormat="1" spans="1:6">
      <c r="A414" s="180"/>
      <c r="B414" s="208"/>
      <c r="C414" s="201"/>
      <c r="D414" s="209"/>
      <c r="E414" s="88"/>
      <c r="F414" s="173"/>
    </row>
    <row r="415" s="191" customFormat="1" spans="1:6">
      <c r="A415" s="180"/>
      <c r="B415" s="200"/>
      <c r="C415" s="201"/>
      <c r="D415" s="207"/>
      <c r="E415" s="88"/>
      <c r="F415" s="183"/>
    </row>
    <row r="416" s="191" customFormat="1" spans="1:6">
      <c r="A416" s="180"/>
      <c r="B416" s="200"/>
      <c r="C416" s="201"/>
      <c r="D416" s="207"/>
      <c r="E416" s="88"/>
      <c r="F416" s="183"/>
    </row>
    <row r="417" s="191" customFormat="1" spans="1:6">
      <c r="A417" s="180"/>
      <c r="B417" s="200"/>
      <c r="C417" s="201"/>
      <c r="D417" s="207"/>
      <c r="E417" s="88"/>
      <c r="F417" s="183"/>
    </row>
    <row r="418" s="191" customFormat="1" spans="1:6">
      <c r="A418" s="180"/>
      <c r="B418" s="200"/>
      <c r="C418" s="201"/>
      <c r="D418" s="207"/>
      <c r="E418" s="88"/>
      <c r="F418" s="183"/>
    </row>
    <row r="419" s="191" customFormat="1" spans="1:6">
      <c r="A419" s="180"/>
      <c r="B419" s="200"/>
      <c r="C419" s="201"/>
      <c r="D419" s="207"/>
      <c r="E419" s="88"/>
      <c r="F419" s="183"/>
    </row>
    <row r="420" s="191" customFormat="1" spans="1:6">
      <c r="A420" s="180"/>
      <c r="B420" s="200"/>
      <c r="C420" s="201"/>
      <c r="D420" s="207"/>
      <c r="E420" s="88"/>
      <c r="F420" s="183"/>
    </row>
    <row r="421" s="191" customFormat="1" spans="1:6">
      <c r="A421" s="180"/>
      <c r="B421" s="200"/>
      <c r="C421" s="201"/>
      <c r="D421" s="207"/>
      <c r="E421" s="88"/>
      <c r="F421" s="183"/>
    </row>
    <row r="422" s="191" customFormat="1" spans="1:6">
      <c r="A422" s="180"/>
      <c r="B422" s="200"/>
      <c r="C422" s="201"/>
      <c r="D422" s="207"/>
      <c r="E422" s="88"/>
      <c r="F422" s="183"/>
    </row>
    <row r="423" s="191" customFormat="1" spans="1:6">
      <c r="A423" s="180"/>
      <c r="B423" s="200"/>
      <c r="C423" s="201"/>
      <c r="D423" s="207"/>
      <c r="E423" s="88"/>
      <c r="F423" s="183"/>
    </row>
    <row r="424" s="191" customFormat="1" spans="1:6">
      <c r="A424" s="180"/>
      <c r="B424" s="200"/>
      <c r="C424" s="201"/>
      <c r="D424" s="207"/>
      <c r="E424" s="88"/>
      <c r="F424" s="183"/>
    </row>
    <row r="425" s="191" customFormat="1" spans="1:6">
      <c r="A425" s="180"/>
      <c r="B425" s="200"/>
      <c r="C425" s="201"/>
      <c r="D425" s="202"/>
      <c r="E425" s="88"/>
      <c r="F425" s="183"/>
    </row>
    <row r="426" s="191" customFormat="1" spans="1:6">
      <c r="A426" s="180"/>
      <c r="B426" s="200"/>
      <c r="C426" s="201"/>
      <c r="D426" s="202"/>
      <c r="E426" s="88"/>
      <c r="F426" s="183"/>
    </row>
    <row r="427" s="191" customFormat="1" spans="1:6">
      <c r="A427" s="180"/>
      <c r="B427" s="210"/>
      <c r="C427" s="201"/>
      <c r="D427" s="202"/>
      <c r="E427" s="88"/>
      <c r="F427" s="183"/>
    </row>
    <row r="428" s="191" customFormat="1" spans="1:6">
      <c r="A428" s="180"/>
      <c r="B428" s="210"/>
      <c r="C428" s="201"/>
      <c r="D428" s="202"/>
      <c r="E428" s="88"/>
      <c r="F428" s="183"/>
    </row>
    <row r="429" s="191" customFormat="1" spans="1:6">
      <c r="A429" s="180"/>
      <c r="B429" s="210"/>
      <c r="C429" s="201"/>
      <c r="D429" s="202"/>
      <c r="E429" s="88"/>
      <c r="F429" s="183"/>
    </row>
    <row r="430" s="191" customFormat="1" spans="1:6">
      <c r="A430" s="180"/>
      <c r="B430" s="210"/>
      <c r="C430" s="201"/>
      <c r="D430" s="202"/>
      <c r="E430" s="88"/>
      <c r="F430" s="183"/>
    </row>
    <row r="431" s="191" customFormat="1" spans="1:6">
      <c r="A431" s="180"/>
      <c r="B431" s="210"/>
      <c r="C431" s="201"/>
      <c r="D431" s="202"/>
      <c r="E431" s="88"/>
      <c r="F431" s="183"/>
    </row>
    <row r="432" s="191" customFormat="1" spans="1:6">
      <c r="A432" s="180"/>
      <c r="B432" s="210"/>
      <c r="C432" s="201"/>
      <c r="D432" s="202"/>
      <c r="E432" s="88"/>
      <c r="F432" s="183"/>
    </row>
    <row r="433" s="191" customFormat="1" spans="1:6">
      <c r="A433" s="180"/>
      <c r="B433" s="210"/>
      <c r="C433" s="201"/>
      <c r="D433" s="202"/>
      <c r="E433" s="88"/>
      <c r="F433" s="183"/>
    </row>
    <row r="434" s="191" customFormat="1" spans="1:6">
      <c r="A434" s="180"/>
      <c r="B434" s="210"/>
      <c r="C434" s="201"/>
      <c r="D434" s="202"/>
      <c r="E434" s="88"/>
      <c r="F434" s="183"/>
    </row>
    <row r="435" s="191" customFormat="1" spans="1:6">
      <c r="A435" s="180"/>
      <c r="B435" s="210"/>
      <c r="C435" s="201"/>
      <c r="D435" s="202"/>
      <c r="E435" s="88"/>
      <c r="F435" s="183"/>
    </row>
    <row r="436" s="191" customFormat="1" spans="1:6">
      <c r="A436" s="180"/>
      <c r="B436" s="210"/>
      <c r="C436" s="201"/>
      <c r="D436" s="202"/>
      <c r="E436" s="88"/>
      <c r="F436" s="183"/>
    </row>
    <row r="437" s="191" customFormat="1" spans="1:6">
      <c r="A437" s="180"/>
      <c r="B437" s="210"/>
      <c r="C437" s="201"/>
      <c r="D437" s="202"/>
      <c r="E437" s="88"/>
      <c r="F437" s="183"/>
    </row>
    <row r="438" s="191" customFormat="1" spans="1:6">
      <c r="A438" s="180"/>
      <c r="B438" s="210"/>
      <c r="C438" s="201"/>
      <c r="D438" s="202"/>
      <c r="E438" s="88"/>
      <c r="F438" s="183"/>
    </row>
    <row r="439" s="191" customFormat="1" spans="1:6">
      <c r="A439" s="180"/>
      <c r="B439" s="210"/>
      <c r="C439" s="201"/>
      <c r="D439" s="202"/>
      <c r="E439" s="88"/>
      <c r="F439" s="183"/>
    </row>
    <row r="440" s="191" customFormat="1" spans="1:6">
      <c r="A440" s="180"/>
      <c r="B440" s="210"/>
      <c r="C440" s="201"/>
      <c r="D440" s="202"/>
      <c r="E440" s="88"/>
      <c r="F440" s="183"/>
    </row>
    <row r="441" s="191" customFormat="1" spans="1:6">
      <c r="A441" s="180"/>
      <c r="B441" s="210"/>
      <c r="C441" s="201"/>
      <c r="D441" s="202"/>
      <c r="E441" s="88"/>
      <c r="F441" s="183"/>
    </row>
    <row r="442" s="191" customFormat="1" spans="1:6">
      <c r="A442" s="180"/>
      <c r="B442" s="200"/>
      <c r="C442" s="211"/>
      <c r="D442" s="202"/>
      <c r="E442" s="88"/>
      <c r="F442" s="183"/>
    </row>
    <row r="443" s="191" customFormat="1" spans="1:6">
      <c r="A443" s="180"/>
      <c r="B443" s="212"/>
      <c r="C443" s="201"/>
      <c r="D443" s="202"/>
      <c r="E443" s="88"/>
      <c r="F443" s="183"/>
    </row>
    <row r="444" s="191" customFormat="1" spans="1:6">
      <c r="A444" s="180"/>
      <c r="B444" s="212"/>
      <c r="C444" s="201"/>
      <c r="D444" s="202"/>
      <c r="E444" s="88"/>
      <c r="F444" s="183"/>
    </row>
    <row r="445" s="191" customFormat="1" spans="1:6">
      <c r="A445" s="180"/>
      <c r="B445" s="212"/>
      <c r="C445" s="201"/>
      <c r="D445" s="202"/>
      <c r="E445" s="88"/>
      <c r="F445" s="183"/>
    </row>
    <row r="446" s="191" customFormat="1" spans="1:6">
      <c r="A446" s="180"/>
      <c r="B446" s="212"/>
      <c r="C446" s="201"/>
      <c r="D446" s="202"/>
      <c r="E446" s="88"/>
      <c r="F446" s="183"/>
    </row>
    <row r="447" s="191" customFormat="1" spans="1:6">
      <c r="A447" s="180"/>
      <c r="B447" s="212"/>
      <c r="C447" s="201"/>
      <c r="D447" s="202"/>
      <c r="E447" s="88"/>
      <c r="F447" s="183"/>
    </row>
    <row r="448" s="191" customFormat="1" spans="1:6">
      <c r="A448" s="180"/>
      <c r="B448" s="212"/>
      <c r="C448" s="201"/>
      <c r="D448" s="202"/>
      <c r="E448" s="88"/>
      <c r="F448" s="183"/>
    </row>
    <row r="449" s="191" customFormat="1" spans="1:6">
      <c r="A449" s="180"/>
      <c r="B449" s="212"/>
      <c r="C449" s="201"/>
      <c r="D449" s="202"/>
      <c r="E449" s="88"/>
      <c r="F449" s="183"/>
    </row>
    <row r="450" s="191" customFormat="1" spans="1:6">
      <c r="A450" s="180"/>
      <c r="B450" s="212"/>
      <c r="C450" s="201"/>
      <c r="D450" s="202"/>
      <c r="E450" s="88"/>
      <c r="F450" s="183"/>
    </row>
    <row r="451" s="191" customFormat="1" spans="1:6">
      <c r="A451" s="180"/>
      <c r="B451" s="212"/>
      <c r="C451" s="201"/>
      <c r="D451" s="202"/>
      <c r="E451" s="88"/>
      <c r="F451" s="183"/>
    </row>
    <row r="452" s="191" customFormat="1" spans="1:7">
      <c r="A452" s="180"/>
      <c r="B452" s="212"/>
      <c r="C452" s="201"/>
      <c r="D452" s="202"/>
      <c r="E452" s="88"/>
      <c r="F452" s="183"/>
      <c r="G452" s="205"/>
    </row>
    <row r="453" s="191" customFormat="1" spans="1:6">
      <c r="A453" s="180"/>
      <c r="B453" s="212"/>
      <c r="C453" s="201"/>
      <c r="D453" s="202"/>
      <c r="E453" s="88"/>
      <c r="F453" s="183"/>
    </row>
    <row r="454" s="191" customFormat="1" spans="1:6">
      <c r="A454" s="180"/>
      <c r="B454" s="212"/>
      <c r="C454" s="201"/>
      <c r="D454" s="202"/>
      <c r="E454" s="88"/>
      <c r="F454" s="183"/>
    </row>
    <row r="455" s="191" customFormat="1" spans="1:6">
      <c r="A455" s="180"/>
      <c r="B455" s="210"/>
      <c r="C455" s="201"/>
      <c r="D455" s="202"/>
      <c r="E455" s="88"/>
      <c r="F455" s="183"/>
    </row>
    <row r="456" s="191" customFormat="1" spans="1:6">
      <c r="A456" s="180"/>
      <c r="B456" s="210"/>
      <c r="C456" s="201"/>
      <c r="D456" s="202"/>
      <c r="E456" s="88"/>
      <c r="F456" s="183"/>
    </row>
    <row r="457" s="191" customFormat="1" spans="1:6">
      <c r="A457" s="180"/>
      <c r="B457" s="210"/>
      <c r="C457" s="201"/>
      <c r="D457" s="202"/>
      <c r="E457" s="88"/>
      <c r="F457" s="183"/>
    </row>
    <row r="458" s="191" customFormat="1" spans="1:6">
      <c r="A458" s="180"/>
      <c r="B458" s="210"/>
      <c r="C458" s="201"/>
      <c r="D458" s="202"/>
      <c r="E458" s="88"/>
      <c r="F458" s="183"/>
    </row>
    <row r="459" s="191" customFormat="1" spans="1:6">
      <c r="A459" s="180"/>
      <c r="B459" s="210"/>
      <c r="C459" s="201"/>
      <c r="D459" s="202"/>
      <c r="E459" s="88"/>
      <c r="F459" s="183"/>
    </row>
    <row r="460" s="191" customFormat="1" spans="1:6">
      <c r="A460" s="180"/>
      <c r="B460" s="210"/>
      <c r="C460" s="201"/>
      <c r="D460" s="202"/>
      <c r="E460" s="88"/>
      <c r="F460" s="183"/>
    </row>
    <row r="461" s="191" customFormat="1" spans="1:6">
      <c r="A461" s="180"/>
      <c r="B461" s="210"/>
      <c r="C461" s="201"/>
      <c r="D461" s="202"/>
      <c r="E461" s="88"/>
      <c r="F461" s="183"/>
    </row>
    <row r="462" s="191" customFormat="1" spans="1:6">
      <c r="A462" s="180"/>
      <c r="B462" s="210"/>
      <c r="C462" s="201"/>
      <c r="D462" s="202"/>
      <c r="E462" s="88"/>
      <c r="F462" s="183"/>
    </row>
    <row r="463" s="191" customFormat="1" spans="1:6">
      <c r="A463" s="180"/>
      <c r="B463" s="210"/>
      <c r="C463" s="201"/>
      <c r="D463" s="202"/>
      <c r="E463" s="88"/>
      <c r="F463" s="183"/>
    </row>
    <row r="464" s="191" customFormat="1" spans="1:6">
      <c r="A464" s="180"/>
      <c r="B464" s="210"/>
      <c r="C464" s="201"/>
      <c r="D464" s="202"/>
      <c r="E464" s="88"/>
      <c r="F464" s="183"/>
    </row>
    <row r="465" s="191" customFormat="1" spans="1:6">
      <c r="A465" s="180"/>
      <c r="B465" s="210"/>
      <c r="C465" s="201"/>
      <c r="D465" s="202"/>
      <c r="E465" s="88"/>
      <c r="F465" s="183"/>
    </row>
    <row r="466" s="191" customFormat="1" spans="1:6">
      <c r="A466" s="180"/>
      <c r="B466" s="210"/>
      <c r="C466" s="201"/>
      <c r="D466" s="202"/>
      <c r="E466" s="88"/>
      <c r="F466" s="183"/>
    </row>
    <row r="467" s="191" customFormat="1" spans="1:6">
      <c r="A467" s="180"/>
      <c r="B467" s="210"/>
      <c r="C467" s="201"/>
      <c r="D467" s="202"/>
      <c r="E467" s="88"/>
      <c r="F467" s="183"/>
    </row>
    <row r="468" s="191" customFormat="1" spans="1:6">
      <c r="A468" s="180"/>
      <c r="B468" s="210"/>
      <c r="C468" s="201"/>
      <c r="D468" s="202"/>
      <c r="E468" s="88"/>
      <c r="F468" s="183"/>
    </row>
    <row r="469" s="191" customFormat="1" spans="1:6">
      <c r="A469" s="180"/>
      <c r="B469" s="210"/>
      <c r="C469" s="201"/>
      <c r="D469" s="202"/>
      <c r="E469" s="88"/>
      <c r="F469" s="183"/>
    </row>
    <row r="470" s="191" customFormat="1" spans="1:6">
      <c r="A470" s="180"/>
      <c r="B470" s="210"/>
      <c r="C470" s="201"/>
      <c r="D470" s="202"/>
      <c r="E470" s="88"/>
      <c r="F470" s="183"/>
    </row>
    <row r="471" s="191" customFormat="1" spans="1:6">
      <c r="A471" s="180"/>
      <c r="B471" s="210"/>
      <c r="C471" s="201"/>
      <c r="D471" s="202"/>
      <c r="E471" s="88"/>
      <c r="F471" s="183"/>
    </row>
    <row r="472" s="191" customFormat="1" spans="1:6">
      <c r="A472" s="180"/>
      <c r="B472" s="210"/>
      <c r="C472" s="201"/>
      <c r="D472" s="202"/>
      <c r="E472" s="88"/>
      <c r="F472" s="183"/>
    </row>
    <row r="473" s="191" customFormat="1" spans="1:6">
      <c r="A473" s="180"/>
      <c r="B473" s="210"/>
      <c r="C473" s="201"/>
      <c r="D473" s="202"/>
      <c r="E473" s="88"/>
      <c r="F473" s="183"/>
    </row>
    <row r="474" s="191" customFormat="1" spans="1:6">
      <c r="A474" s="180"/>
      <c r="B474" s="183"/>
      <c r="C474" s="201"/>
      <c r="D474" s="88"/>
      <c r="E474" s="88"/>
      <c r="F474" s="183"/>
    </row>
    <row r="475" s="191" customFormat="1" spans="1:6">
      <c r="A475" s="180"/>
      <c r="B475" s="183"/>
      <c r="C475" s="201"/>
      <c r="D475" s="88"/>
      <c r="E475" s="88"/>
      <c r="F475" s="183"/>
    </row>
    <row r="476" s="191" customFormat="1" spans="1:6">
      <c r="A476" s="180"/>
      <c r="B476" s="183"/>
      <c r="C476" s="201"/>
      <c r="D476" s="88"/>
      <c r="E476" s="88"/>
      <c r="F476" s="183"/>
    </row>
    <row r="477" s="191" customFormat="1" spans="1:6">
      <c r="A477" s="180"/>
      <c r="B477" s="183"/>
      <c r="C477" s="201"/>
      <c r="D477" s="88"/>
      <c r="E477" s="88"/>
      <c r="F477" s="183"/>
    </row>
    <row r="478" s="191" customFormat="1" spans="1:6">
      <c r="A478" s="180"/>
      <c r="B478" s="183"/>
      <c r="C478" s="201"/>
      <c r="D478" s="88"/>
      <c r="E478" s="88"/>
      <c r="F478" s="183"/>
    </row>
    <row r="479" s="191" customFormat="1" spans="1:6">
      <c r="A479" s="180"/>
      <c r="B479" s="183"/>
      <c r="C479" s="201"/>
      <c r="D479" s="88"/>
      <c r="E479" s="88"/>
      <c r="F479" s="183"/>
    </row>
    <row r="480" s="191" customFormat="1" spans="1:6">
      <c r="A480" s="180"/>
      <c r="B480" s="183"/>
      <c r="C480" s="201"/>
      <c r="D480" s="88"/>
      <c r="E480" s="88"/>
      <c r="F480" s="183"/>
    </row>
    <row r="481" s="191" customFormat="1" spans="1:6">
      <c r="A481" s="180"/>
      <c r="B481" s="183"/>
      <c r="C481" s="201"/>
      <c r="D481" s="88"/>
      <c r="E481" s="88"/>
      <c r="F481" s="183"/>
    </row>
    <row r="482" s="191" customFormat="1" spans="1:6">
      <c r="A482" s="180"/>
      <c r="B482" s="213"/>
      <c r="C482" s="201"/>
      <c r="D482" s="88"/>
      <c r="E482" s="88"/>
      <c r="F482" s="183"/>
    </row>
    <row r="483" s="191" customFormat="1" spans="1:6">
      <c r="A483" s="180"/>
      <c r="B483" s="213"/>
      <c r="C483" s="201"/>
      <c r="D483" s="88"/>
      <c r="E483" s="88"/>
      <c r="F483" s="183"/>
    </row>
    <row r="484" s="191" customFormat="1" spans="1:6">
      <c r="A484" s="180"/>
      <c r="B484" s="213"/>
      <c r="C484" s="201"/>
      <c r="D484" s="88"/>
      <c r="E484" s="88"/>
      <c r="F484" s="183"/>
    </row>
    <row r="485" s="191" customFormat="1" spans="1:6">
      <c r="A485" s="180"/>
      <c r="B485" s="213"/>
      <c r="C485" s="201"/>
      <c r="D485" s="88"/>
      <c r="E485" s="88"/>
      <c r="F485" s="183"/>
    </row>
    <row r="486" s="191" customFormat="1" spans="1:6">
      <c r="A486" s="180"/>
      <c r="B486" s="213"/>
      <c r="C486" s="201"/>
      <c r="D486" s="88"/>
      <c r="E486" s="88"/>
      <c r="F486" s="183"/>
    </row>
    <row r="487" s="191" customFormat="1" spans="1:6">
      <c r="A487" s="180"/>
      <c r="B487" s="213"/>
      <c r="C487" s="201"/>
      <c r="D487" s="88"/>
      <c r="E487" s="88"/>
      <c r="F487" s="183"/>
    </row>
    <row r="488" s="191" customFormat="1" spans="1:6">
      <c r="A488" s="180"/>
      <c r="B488" s="213"/>
      <c r="C488" s="201"/>
      <c r="D488" s="88"/>
      <c r="E488" s="88"/>
      <c r="F488" s="183"/>
    </row>
    <row r="489" s="191" customFormat="1" spans="1:6">
      <c r="A489" s="180"/>
      <c r="B489" s="213"/>
      <c r="C489" s="201"/>
      <c r="D489" s="88"/>
      <c r="E489" s="88"/>
      <c r="F489" s="183"/>
    </row>
    <row r="490" s="191" customFormat="1" spans="1:6">
      <c r="A490" s="180"/>
      <c r="B490" s="213"/>
      <c r="C490" s="201"/>
      <c r="D490" s="88"/>
      <c r="E490" s="88"/>
      <c r="F490" s="183"/>
    </row>
    <row r="491" s="191" customFormat="1" spans="1:6">
      <c r="A491" s="180"/>
      <c r="B491" s="213"/>
      <c r="C491" s="201"/>
      <c r="D491" s="88"/>
      <c r="E491" s="88"/>
      <c r="F491" s="183"/>
    </row>
    <row r="492" s="191" customFormat="1" spans="1:6">
      <c r="A492" s="180"/>
      <c r="B492" s="213"/>
      <c r="C492" s="201"/>
      <c r="D492" s="88"/>
      <c r="E492" s="88"/>
      <c r="F492" s="183"/>
    </row>
    <row r="493" s="191" customFormat="1" spans="1:6">
      <c r="A493" s="180"/>
      <c r="B493" s="213"/>
      <c r="C493" s="201"/>
      <c r="D493" s="88"/>
      <c r="E493" s="88"/>
      <c r="F493" s="183"/>
    </row>
    <row r="494" s="191" customFormat="1" spans="1:6">
      <c r="A494" s="180"/>
      <c r="B494" s="213"/>
      <c r="C494" s="201"/>
      <c r="D494" s="88"/>
      <c r="E494" s="88"/>
      <c r="F494" s="183"/>
    </row>
    <row r="495" s="191" customFormat="1" spans="1:6">
      <c r="A495" s="180"/>
      <c r="B495" s="213"/>
      <c r="C495" s="201"/>
      <c r="D495" s="88"/>
      <c r="E495" s="88"/>
      <c r="F495" s="183"/>
    </row>
    <row r="496" s="191" customFormat="1" spans="1:6">
      <c r="A496" s="180"/>
      <c r="B496" s="213"/>
      <c r="C496" s="201"/>
      <c r="D496" s="88"/>
      <c r="E496" s="88"/>
      <c r="F496" s="183"/>
    </row>
    <row r="497" s="191" customFormat="1" spans="1:6">
      <c r="A497" s="180"/>
      <c r="B497" s="213"/>
      <c r="C497" s="201"/>
      <c r="D497" s="88"/>
      <c r="E497" s="88"/>
      <c r="F497" s="183"/>
    </row>
    <row r="498" s="191" customFormat="1" spans="1:6">
      <c r="A498" s="180"/>
      <c r="B498" s="213"/>
      <c r="C498" s="201"/>
      <c r="D498" s="88"/>
      <c r="E498" s="88"/>
      <c r="F498" s="183"/>
    </row>
    <row r="499" s="191" customFormat="1" spans="1:6">
      <c r="A499" s="180"/>
      <c r="B499" s="213"/>
      <c r="C499" s="201"/>
      <c r="D499" s="88"/>
      <c r="E499" s="88"/>
      <c r="F499" s="183"/>
    </row>
    <row r="500" s="191" customFormat="1" spans="1:7">
      <c r="A500" s="180"/>
      <c r="B500" s="213"/>
      <c r="C500" s="201"/>
      <c r="D500" s="88"/>
      <c r="E500" s="88"/>
      <c r="F500" s="183"/>
      <c r="G500" s="205"/>
    </row>
    <row r="501" s="191" customFormat="1" spans="1:6">
      <c r="A501" s="180"/>
      <c r="B501" s="213"/>
      <c r="C501" s="201"/>
      <c r="D501" s="88"/>
      <c r="E501" s="88"/>
      <c r="F501" s="183"/>
    </row>
    <row r="502" s="191" customFormat="1" spans="1:6">
      <c r="A502" s="180"/>
      <c r="B502" s="213"/>
      <c r="C502" s="201"/>
      <c r="D502" s="88"/>
      <c r="E502" s="88"/>
      <c r="F502" s="183"/>
    </row>
    <row r="503" s="191" customFormat="1" spans="1:6">
      <c r="A503" s="180"/>
      <c r="B503" s="213"/>
      <c r="C503" s="201"/>
      <c r="D503" s="88"/>
      <c r="E503" s="88"/>
      <c r="F503" s="183"/>
    </row>
    <row r="504" s="191" customFormat="1" spans="1:6">
      <c r="A504" s="180"/>
      <c r="B504" s="213"/>
      <c r="C504" s="201"/>
      <c r="D504" s="88"/>
      <c r="E504" s="88"/>
      <c r="F504" s="183"/>
    </row>
    <row r="505" spans="1:6">
      <c r="A505" s="180"/>
      <c r="B505" s="213"/>
      <c r="C505" s="201"/>
      <c r="D505" s="88"/>
      <c r="E505" s="88"/>
      <c r="F505" s="183"/>
    </row>
    <row r="506" spans="1:6">
      <c r="A506" s="180"/>
      <c r="B506" s="213"/>
      <c r="C506" s="201"/>
      <c r="D506" s="88"/>
      <c r="E506" s="88"/>
      <c r="F506" s="183"/>
    </row>
    <row r="507" spans="1:6">
      <c r="A507" s="180"/>
      <c r="B507" s="213"/>
      <c r="C507" s="201"/>
      <c r="D507" s="88"/>
      <c r="E507" s="88"/>
      <c r="F507" s="183"/>
    </row>
    <row r="508" spans="1:6">
      <c r="A508" s="180"/>
      <c r="B508" s="213"/>
      <c r="C508" s="201"/>
      <c r="D508" s="88"/>
      <c r="E508" s="88"/>
      <c r="F508" s="183"/>
    </row>
    <row r="509" spans="1:6">
      <c r="A509" s="180"/>
      <c r="B509" s="213"/>
      <c r="C509" s="201"/>
      <c r="D509" s="88"/>
      <c r="E509" s="88"/>
      <c r="F509" s="183"/>
    </row>
    <row r="510" spans="1:6">
      <c r="A510" s="180"/>
      <c r="B510" s="213"/>
      <c r="C510" s="201"/>
      <c r="D510" s="88"/>
      <c r="E510" s="88"/>
      <c r="F510" s="183"/>
    </row>
    <row r="511" spans="1:6">
      <c r="A511" s="180"/>
      <c r="B511" s="213"/>
      <c r="C511" s="201"/>
      <c r="D511" s="88"/>
      <c r="E511" s="88"/>
      <c r="F511" s="183"/>
    </row>
    <row r="512" spans="1:6">
      <c r="A512" s="180"/>
      <c r="B512" s="213"/>
      <c r="C512" s="201"/>
      <c r="D512" s="88"/>
      <c r="E512" s="88"/>
      <c r="F512" s="183"/>
    </row>
    <row r="513" spans="1:6">
      <c r="A513" s="180"/>
      <c r="B513" s="213"/>
      <c r="C513" s="201"/>
      <c r="D513" s="88"/>
      <c r="E513" s="88"/>
      <c r="F513" s="183"/>
    </row>
    <row r="514" spans="1:6">
      <c r="A514" s="180"/>
      <c r="B514" s="213"/>
      <c r="C514" s="201"/>
      <c r="D514" s="88"/>
      <c r="E514" s="88"/>
      <c r="F514" s="183"/>
    </row>
    <row r="515" spans="1:6">
      <c r="A515" s="180"/>
      <c r="B515" s="213"/>
      <c r="C515" s="201"/>
      <c r="D515" s="88"/>
      <c r="E515" s="88"/>
      <c r="F515" s="183"/>
    </row>
    <row r="516" spans="1:6">
      <c r="A516" s="180"/>
      <c r="B516" s="213"/>
      <c r="C516" s="201"/>
      <c r="D516" s="88"/>
      <c r="E516" s="88"/>
      <c r="F516" s="183"/>
    </row>
    <row r="517" spans="1:6">
      <c r="A517" s="180"/>
      <c r="B517" s="213"/>
      <c r="C517" s="201"/>
      <c r="D517" s="88"/>
      <c r="E517" s="88"/>
      <c r="F517" s="183"/>
    </row>
    <row r="518" spans="1:6">
      <c r="A518" s="180"/>
      <c r="B518" s="213"/>
      <c r="C518" s="201"/>
      <c r="D518" s="88"/>
      <c r="E518" s="88"/>
      <c r="F518" s="183"/>
    </row>
    <row r="519" spans="1:6">
      <c r="A519" s="180"/>
      <c r="B519" s="213"/>
      <c r="C519" s="201"/>
      <c r="D519" s="88"/>
      <c r="E519" s="88"/>
      <c r="F519" s="183"/>
    </row>
    <row r="520" spans="1:6">
      <c r="A520" s="180"/>
      <c r="B520" s="213"/>
      <c r="C520" s="201"/>
      <c r="D520" s="88"/>
      <c r="E520" s="88"/>
      <c r="F520" s="183"/>
    </row>
    <row r="521" spans="1:6">
      <c r="A521" s="180"/>
      <c r="B521" s="213"/>
      <c r="C521" s="201"/>
      <c r="D521" s="88"/>
      <c r="E521" s="88"/>
      <c r="F521" s="183"/>
    </row>
    <row r="522" spans="1:6">
      <c r="A522" s="180"/>
      <c r="B522" s="213"/>
      <c r="C522" s="201"/>
      <c r="D522" s="88"/>
      <c r="E522" s="88"/>
      <c r="F522" s="183"/>
    </row>
    <row r="523" spans="1:6">
      <c r="A523" s="180"/>
      <c r="B523" s="213"/>
      <c r="C523" s="201"/>
      <c r="D523" s="88"/>
      <c r="E523" s="88"/>
      <c r="F523" s="183"/>
    </row>
    <row r="524" spans="1:6">
      <c r="A524" s="180"/>
      <c r="B524" s="213"/>
      <c r="C524" s="201"/>
      <c r="D524" s="88"/>
      <c r="E524" s="88"/>
      <c r="F524" s="183"/>
    </row>
    <row r="525" spans="1:6">
      <c r="A525" s="180"/>
      <c r="B525" s="213"/>
      <c r="C525" s="201"/>
      <c r="D525" s="88"/>
      <c r="E525" s="88"/>
      <c r="F525" s="183"/>
    </row>
    <row r="526" spans="1:6">
      <c r="A526" s="180"/>
      <c r="B526" s="213"/>
      <c r="C526" s="201"/>
      <c r="D526" s="88"/>
      <c r="E526" s="88"/>
      <c r="F526" s="183"/>
    </row>
    <row r="527" spans="1:6">
      <c r="A527" s="180"/>
      <c r="B527" s="213"/>
      <c r="C527" s="201"/>
      <c r="D527" s="88"/>
      <c r="E527" s="88"/>
      <c r="F527" s="183"/>
    </row>
    <row r="528" spans="1:6">
      <c r="A528" s="180"/>
      <c r="B528" s="213"/>
      <c r="C528" s="201"/>
      <c r="D528" s="88"/>
      <c r="E528" s="88"/>
      <c r="F528" s="183"/>
    </row>
    <row r="529" spans="1:6">
      <c r="A529" s="180"/>
      <c r="B529" s="213"/>
      <c r="C529" s="201"/>
      <c r="D529" s="88"/>
      <c r="E529" s="88"/>
      <c r="F529" s="183"/>
    </row>
    <row r="530" spans="1:6">
      <c r="A530" s="180"/>
      <c r="B530" s="213"/>
      <c r="C530" s="201"/>
      <c r="D530" s="88"/>
      <c r="E530" s="88"/>
      <c r="F530" s="183"/>
    </row>
    <row r="531" spans="1:6">
      <c r="A531" s="180"/>
      <c r="B531" s="213"/>
      <c r="C531" s="201"/>
      <c r="D531" s="88"/>
      <c r="E531" s="88"/>
      <c r="F531" s="183"/>
    </row>
    <row r="532" spans="1:6">
      <c r="A532" s="180"/>
      <c r="B532" s="213"/>
      <c r="C532" s="201"/>
      <c r="D532" s="88"/>
      <c r="E532" s="88"/>
      <c r="F532" s="183"/>
    </row>
    <row r="533" spans="1:6">
      <c r="A533" s="180"/>
      <c r="B533" s="213"/>
      <c r="C533" s="201"/>
      <c r="D533" s="88"/>
      <c r="E533" s="88"/>
      <c r="F533" s="183"/>
    </row>
    <row r="534" spans="1:6">
      <c r="A534" s="180"/>
      <c r="B534" s="213"/>
      <c r="C534" s="201"/>
      <c r="D534" s="88"/>
      <c r="E534" s="88"/>
      <c r="F534" s="183"/>
    </row>
    <row r="535" spans="1:6">
      <c r="A535" s="180"/>
      <c r="B535" s="213"/>
      <c r="C535" s="201"/>
      <c r="D535" s="88"/>
      <c r="E535" s="88"/>
      <c r="F535" s="183"/>
    </row>
    <row r="536" spans="1:6">
      <c r="A536" s="180"/>
      <c r="B536" s="213"/>
      <c r="C536" s="201"/>
      <c r="D536" s="88"/>
      <c r="E536" s="88"/>
      <c r="F536" s="183"/>
    </row>
    <row r="537" spans="1:6">
      <c r="A537" s="180"/>
      <c r="B537" s="213"/>
      <c r="C537" s="201"/>
      <c r="D537" s="88"/>
      <c r="E537" s="88"/>
      <c r="F537" s="183"/>
    </row>
    <row r="538" spans="1:6">
      <c r="A538" s="180"/>
      <c r="B538" s="213"/>
      <c r="C538" s="201"/>
      <c r="D538" s="88"/>
      <c r="E538" s="88"/>
      <c r="F538" s="183"/>
    </row>
    <row r="539" spans="1:6">
      <c r="A539" s="180"/>
      <c r="B539" s="213"/>
      <c r="C539" s="201"/>
      <c r="D539" s="88"/>
      <c r="E539" s="88"/>
      <c r="F539" s="183"/>
    </row>
    <row r="540" spans="1:6">
      <c r="A540" s="180"/>
      <c r="B540" s="213"/>
      <c r="C540" s="201"/>
      <c r="D540" s="88"/>
      <c r="E540" s="88"/>
      <c r="F540" s="183"/>
    </row>
    <row r="541" spans="1:6">
      <c r="A541" s="180"/>
      <c r="B541" s="213"/>
      <c r="C541" s="201"/>
      <c r="D541" s="88"/>
      <c r="E541" s="88">
        <f>D541*C541</f>
        <v>0</v>
      </c>
      <c r="F541" s="88">
        <f>SUM(F2:F540)</f>
        <v>0</v>
      </c>
    </row>
  </sheetData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70"/>
  <sheetViews>
    <sheetView zoomScale="90" zoomScaleNormal="90" workbookViewId="0">
      <pane ySplit="1" topLeftCell="A2" activePane="bottomLeft" state="frozen"/>
      <selection/>
      <selection pane="bottomLeft" activeCell="H81" sqref="H81"/>
    </sheetView>
  </sheetViews>
  <sheetFormatPr defaultColWidth="9.140625" defaultRowHeight="17.6" outlineLevelCol="7"/>
  <cols>
    <col min="1" max="1" width="28.3828125" style="145" customWidth="1"/>
    <col min="2" max="2" width="32.1796875" style="146" customWidth="1"/>
    <col min="3" max="3" width="9.140625" style="147"/>
    <col min="4" max="4" width="13.3828125" style="144" customWidth="1"/>
    <col min="5" max="5" width="27.96875" style="144" customWidth="1"/>
    <col min="6" max="6" width="28.1640625" style="144" customWidth="1"/>
    <col min="7" max="7" width="29.25" style="144" customWidth="1"/>
    <col min="8" max="8" width="14.9375" style="144"/>
    <col min="9" max="16384" width="9.140625" style="144"/>
  </cols>
  <sheetData>
    <row r="1" s="27" customFormat="1" ht="20.4" spans="1:7">
      <c r="A1" s="148" t="s">
        <v>0</v>
      </c>
      <c r="B1" s="149" t="s">
        <v>1</v>
      </c>
      <c r="C1" s="150" t="s">
        <v>2</v>
      </c>
      <c r="D1" s="151" t="s">
        <v>3</v>
      </c>
      <c r="E1" s="151" t="s">
        <v>4</v>
      </c>
      <c r="F1" s="151" t="s">
        <v>5</v>
      </c>
      <c r="G1" s="27" t="s">
        <v>6</v>
      </c>
    </row>
    <row r="2" s="144" customFormat="1" spans="1:7">
      <c r="A2" s="178"/>
      <c r="B2" s="153"/>
      <c r="C2" s="153"/>
      <c r="D2" s="155"/>
      <c r="E2" s="155"/>
      <c r="F2" s="173"/>
      <c r="G2" s="179"/>
    </row>
    <row r="3" s="144" customFormat="1" spans="1:7">
      <c r="A3" s="178"/>
      <c r="B3" s="153"/>
      <c r="C3" s="153"/>
      <c r="D3" s="155"/>
      <c r="E3" s="155"/>
      <c r="F3" s="173"/>
      <c r="G3" s="179"/>
    </row>
    <row r="4" s="144" customFormat="1" spans="1:7">
      <c r="A4" s="178"/>
      <c r="B4" s="153"/>
      <c r="C4" s="153"/>
      <c r="D4" s="155"/>
      <c r="E4" s="155"/>
      <c r="F4" s="173"/>
      <c r="G4" s="179"/>
    </row>
    <row r="5" s="144" customFormat="1" spans="1:8">
      <c r="A5" s="178"/>
      <c r="B5" s="153"/>
      <c r="C5" s="153"/>
      <c r="D5" s="155"/>
      <c r="E5" s="155"/>
      <c r="F5" s="173"/>
      <c r="G5" s="179"/>
      <c r="H5" s="168"/>
    </row>
    <row r="6" s="144" customFormat="1" spans="1:7">
      <c r="A6" s="178"/>
      <c r="B6" s="153"/>
      <c r="C6" s="153"/>
      <c r="D6" s="155"/>
      <c r="E6" s="155"/>
      <c r="F6" s="173"/>
      <c r="G6" s="179"/>
    </row>
    <row r="7" s="144" customFormat="1" spans="1:7">
      <c r="A7" s="178"/>
      <c r="B7" s="153"/>
      <c r="C7" s="153"/>
      <c r="D7" s="155"/>
      <c r="E7" s="155"/>
      <c r="F7" s="173"/>
      <c r="G7" s="179"/>
    </row>
    <row r="8" s="144" customFormat="1" spans="1:7">
      <c r="A8" s="178"/>
      <c r="B8" s="153"/>
      <c r="C8" s="153"/>
      <c r="D8" s="155"/>
      <c r="E8" s="155"/>
      <c r="F8" s="173"/>
      <c r="G8" s="179"/>
    </row>
    <row r="9" s="144" customFormat="1" spans="1:7">
      <c r="A9" s="178"/>
      <c r="B9" s="153"/>
      <c r="C9" s="153"/>
      <c r="D9" s="155"/>
      <c r="E9" s="155"/>
      <c r="F9" s="173"/>
      <c r="G9" s="179"/>
    </row>
    <row r="10" s="144" customFormat="1" spans="1:7">
      <c r="A10" s="178"/>
      <c r="B10" s="153"/>
      <c r="C10" s="153"/>
      <c r="D10" s="155"/>
      <c r="E10" s="155"/>
      <c r="F10" s="173"/>
      <c r="G10" s="179"/>
    </row>
    <row r="11" s="144" customFormat="1" spans="1:7">
      <c r="A11" s="178"/>
      <c r="B11" s="153"/>
      <c r="C11" s="153"/>
      <c r="D11" s="155"/>
      <c r="E11" s="155"/>
      <c r="F11" s="173"/>
      <c r="G11" s="179"/>
    </row>
    <row r="12" s="144" customFormat="1" spans="1:7">
      <c r="A12" s="178"/>
      <c r="B12" s="153"/>
      <c r="C12" s="153"/>
      <c r="D12" s="155"/>
      <c r="E12" s="155"/>
      <c r="F12" s="173"/>
      <c r="G12" s="179"/>
    </row>
    <row r="13" s="144" customFormat="1" spans="1:7">
      <c r="A13" s="178"/>
      <c r="B13" s="153"/>
      <c r="C13" s="153"/>
      <c r="D13" s="155"/>
      <c r="E13" s="155"/>
      <c r="F13" s="173"/>
      <c r="G13" s="179"/>
    </row>
    <row r="14" s="144" customFormat="1" spans="1:7">
      <c r="A14" s="178"/>
      <c r="B14" s="153"/>
      <c r="C14" s="153"/>
      <c r="D14" s="155"/>
      <c r="E14" s="155"/>
      <c r="F14" s="173"/>
      <c r="G14" s="179"/>
    </row>
    <row r="15" s="144" customFormat="1" spans="1:7">
      <c r="A15" s="178"/>
      <c r="B15" s="153"/>
      <c r="C15" s="153"/>
      <c r="D15" s="155"/>
      <c r="E15" s="155"/>
      <c r="F15" s="173"/>
      <c r="G15" s="179"/>
    </row>
    <row r="16" s="144" customFormat="1" spans="1:7">
      <c r="A16" s="178"/>
      <c r="B16" s="153"/>
      <c r="C16" s="153"/>
      <c r="D16" s="155"/>
      <c r="E16" s="155"/>
      <c r="F16" s="173"/>
      <c r="G16" s="179"/>
    </row>
    <row r="17" s="144" customFormat="1" spans="1:7">
      <c r="A17" s="178"/>
      <c r="B17" s="153"/>
      <c r="C17" s="153"/>
      <c r="D17" s="155"/>
      <c r="E17" s="155"/>
      <c r="F17" s="173"/>
      <c r="G17" s="179"/>
    </row>
    <row r="18" s="144" customFormat="1" spans="1:7">
      <c r="A18" s="178"/>
      <c r="B18" s="153"/>
      <c r="C18" s="153"/>
      <c r="D18" s="155"/>
      <c r="E18" s="155"/>
      <c r="F18" s="173"/>
      <c r="G18" s="179"/>
    </row>
    <row r="19" s="144" customFormat="1" spans="1:7">
      <c r="A19" s="178"/>
      <c r="B19" s="153"/>
      <c r="C19" s="153"/>
      <c r="D19" s="155"/>
      <c r="E19" s="155"/>
      <c r="F19" s="173"/>
      <c r="G19" s="179"/>
    </row>
    <row r="20" s="144" customFormat="1" spans="1:7">
      <c r="A20" s="178"/>
      <c r="B20" s="153"/>
      <c r="C20" s="153"/>
      <c r="D20" s="155"/>
      <c r="E20" s="155"/>
      <c r="F20" s="173"/>
      <c r="G20" s="179"/>
    </row>
    <row r="21" s="144" customFormat="1" spans="1:7">
      <c r="A21" s="178"/>
      <c r="B21" s="153"/>
      <c r="C21" s="153"/>
      <c r="D21" s="155"/>
      <c r="E21" s="155"/>
      <c r="F21" s="173"/>
      <c r="G21" s="179"/>
    </row>
    <row r="22" s="144" customFormat="1" spans="1:7">
      <c r="A22" s="178"/>
      <c r="B22" s="153"/>
      <c r="C22" s="153"/>
      <c r="D22" s="155"/>
      <c r="E22" s="155"/>
      <c r="F22" s="173"/>
      <c r="G22" s="179"/>
    </row>
    <row r="23" s="144" customFormat="1" spans="1:7">
      <c r="A23" s="178"/>
      <c r="B23" s="153"/>
      <c r="C23" s="153"/>
      <c r="D23" s="155"/>
      <c r="E23" s="155"/>
      <c r="F23" s="173"/>
      <c r="G23" s="179"/>
    </row>
    <row r="24" s="144" customFormat="1" spans="1:7">
      <c r="A24" s="178"/>
      <c r="B24" s="153"/>
      <c r="C24" s="153"/>
      <c r="D24" s="155"/>
      <c r="E24" s="155"/>
      <c r="F24" s="173"/>
      <c r="G24" s="179"/>
    </row>
    <row r="25" s="144" customFormat="1" spans="1:7">
      <c r="A25" s="178"/>
      <c r="B25" s="153"/>
      <c r="C25" s="153"/>
      <c r="D25" s="155"/>
      <c r="E25" s="155"/>
      <c r="F25" s="173"/>
      <c r="G25" s="179"/>
    </row>
    <row r="26" s="144" customFormat="1" spans="1:7">
      <c r="A26" s="178"/>
      <c r="B26" s="153"/>
      <c r="C26" s="153"/>
      <c r="D26" s="155"/>
      <c r="E26" s="155"/>
      <c r="F26" s="173"/>
      <c r="G26" s="179"/>
    </row>
    <row r="27" s="144" customFormat="1" spans="1:7">
      <c r="A27" s="178"/>
      <c r="B27" s="153"/>
      <c r="C27" s="153"/>
      <c r="D27" s="155"/>
      <c r="E27" s="155"/>
      <c r="F27" s="173"/>
      <c r="G27" s="179"/>
    </row>
    <row r="28" s="144" customFormat="1" spans="1:7">
      <c r="A28" s="178"/>
      <c r="B28" s="153"/>
      <c r="C28" s="153"/>
      <c r="D28" s="155"/>
      <c r="E28" s="155"/>
      <c r="F28" s="173"/>
      <c r="G28" s="179"/>
    </row>
    <row r="29" s="144" customFormat="1" spans="1:7">
      <c r="A29" s="178"/>
      <c r="B29" s="153"/>
      <c r="C29" s="153"/>
      <c r="D29" s="155"/>
      <c r="E29" s="155"/>
      <c r="F29" s="173"/>
      <c r="G29" s="179"/>
    </row>
    <row r="30" s="144" customFormat="1" spans="1:7">
      <c r="A30" s="178"/>
      <c r="B30" s="153"/>
      <c r="C30" s="153"/>
      <c r="D30" s="155"/>
      <c r="E30" s="155"/>
      <c r="F30" s="173"/>
      <c r="G30" s="179"/>
    </row>
    <row r="31" s="144" customFormat="1" spans="1:7">
      <c r="A31" s="178"/>
      <c r="B31" s="153"/>
      <c r="C31" s="153"/>
      <c r="D31" s="155"/>
      <c r="E31" s="155"/>
      <c r="F31" s="173"/>
      <c r="G31" s="179"/>
    </row>
    <row r="32" s="144" customFormat="1" spans="1:7">
      <c r="A32" s="178"/>
      <c r="B32" s="153"/>
      <c r="C32" s="153"/>
      <c r="D32" s="155"/>
      <c r="E32" s="155"/>
      <c r="F32" s="173"/>
      <c r="G32" s="179"/>
    </row>
    <row r="33" s="144" customFormat="1" spans="1:7">
      <c r="A33" s="178"/>
      <c r="B33" s="153"/>
      <c r="C33" s="153"/>
      <c r="D33" s="155"/>
      <c r="E33" s="155"/>
      <c r="F33" s="173"/>
      <c r="G33" s="179"/>
    </row>
    <row r="34" s="144" customFormat="1" spans="1:7">
      <c r="A34" s="178"/>
      <c r="B34" s="153"/>
      <c r="C34" s="153"/>
      <c r="D34" s="155"/>
      <c r="E34" s="155"/>
      <c r="F34" s="173"/>
      <c r="G34" s="179"/>
    </row>
    <row r="35" ht="13" customHeight="1" spans="1:7">
      <c r="A35" s="178"/>
      <c r="B35" s="153"/>
      <c r="C35" s="153"/>
      <c r="D35" s="155"/>
      <c r="E35" s="155"/>
      <c r="F35" s="173"/>
      <c r="G35" s="179"/>
    </row>
    <row r="36" spans="1:7">
      <c r="A36" s="178"/>
      <c r="B36" s="153"/>
      <c r="C36" s="153"/>
      <c r="D36" s="155"/>
      <c r="E36" s="155"/>
      <c r="F36" s="173"/>
      <c r="G36" s="179"/>
    </row>
    <row r="37" spans="1:7">
      <c r="A37" s="178"/>
      <c r="B37" s="153"/>
      <c r="C37" s="153"/>
      <c r="D37" s="155"/>
      <c r="E37" s="155"/>
      <c r="F37" s="173"/>
      <c r="G37" s="179"/>
    </row>
    <row r="38" spans="1:7">
      <c r="A38" s="178"/>
      <c r="B38" s="153"/>
      <c r="C38" s="153"/>
      <c r="D38" s="155"/>
      <c r="E38" s="155"/>
      <c r="F38" s="173"/>
      <c r="G38" s="179"/>
    </row>
    <row r="39" spans="1:7">
      <c r="A39" s="178"/>
      <c r="B39" s="153"/>
      <c r="C39" s="153"/>
      <c r="D39" s="155"/>
      <c r="E39" s="155"/>
      <c r="F39" s="173"/>
      <c r="G39" s="179"/>
    </row>
    <row r="40" spans="1:7">
      <c r="A40" s="178"/>
      <c r="B40" s="153"/>
      <c r="C40" s="153"/>
      <c r="D40" s="155"/>
      <c r="E40" s="155"/>
      <c r="F40" s="173"/>
      <c r="G40" s="179"/>
    </row>
    <row r="41" spans="1:7">
      <c r="A41" s="178"/>
      <c r="B41" s="153"/>
      <c r="C41" s="153"/>
      <c r="D41" s="155"/>
      <c r="E41" s="155"/>
      <c r="F41" s="173"/>
      <c r="G41" s="179"/>
    </row>
    <row r="42" spans="1:7">
      <c r="A42" s="178"/>
      <c r="B42" s="153"/>
      <c r="C42" s="153"/>
      <c r="D42" s="155"/>
      <c r="E42" s="155"/>
      <c r="F42" s="173"/>
      <c r="G42" s="179"/>
    </row>
    <row r="43" spans="1:7">
      <c r="A43" s="178"/>
      <c r="B43" s="153"/>
      <c r="C43" s="153"/>
      <c r="D43" s="155"/>
      <c r="E43" s="155"/>
      <c r="F43" s="173"/>
      <c r="G43" s="179"/>
    </row>
    <row r="44" spans="1:7">
      <c r="A44" s="178"/>
      <c r="B44" s="153"/>
      <c r="C44" s="153"/>
      <c r="D44" s="155"/>
      <c r="E44" s="155"/>
      <c r="F44" s="173"/>
      <c r="G44" s="179"/>
    </row>
    <row r="45" spans="1:7">
      <c r="A45" s="178"/>
      <c r="B45" s="153"/>
      <c r="C45" s="153"/>
      <c r="D45" s="155"/>
      <c r="E45" s="155"/>
      <c r="F45" s="173"/>
      <c r="G45" s="179"/>
    </row>
    <row r="46" spans="1:7">
      <c r="A46" s="178"/>
      <c r="B46" s="153"/>
      <c r="C46" s="153"/>
      <c r="D46" s="155"/>
      <c r="E46" s="155"/>
      <c r="F46" s="173"/>
      <c r="G46" s="179"/>
    </row>
    <row r="47" spans="1:7">
      <c r="A47" s="178"/>
      <c r="B47" s="153"/>
      <c r="C47" s="153"/>
      <c r="D47" s="155"/>
      <c r="E47" s="155"/>
      <c r="F47" s="173"/>
      <c r="G47" s="179"/>
    </row>
    <row r="48" spans="1:7">
      <c r="A48" s="178"/>
      <c r="B48" s="153"/>
      <c r="C48" s="153"/>
      <c r="D48" s="155"/>
      <c r="E48" s="155"/>
      <c r="F48" s="173"/>
      <c r="G48" s="179"/>
    </row>
    <row r="49" spans="1:7">
      <c r="A49" s="178"/>
      <c r="B49" s="153"/>
      <c r="C49" s="153"/>
      <c r="D49" s="155"/>
      <c r="E49" s="155"/>
      <c r="F49" s="173"/>
      <c r="G49" s="179"/>
    </row>
    <row r="50" spans="1:7">
      <c r="A50" s="178"/>
      <c r="B50" s="153"/>
      <c r="C50" s="153"/>
      <c r="D50" s="155"/>
      <c r="E50" s="155"/>
      <c r="F50" s="173"/>
      <c r="G50" s="179"/>
    </row>
    <row r="51" spans="1:7">
      <c r="A51" s="178"/>
      <c r="B51" s="153"/>
      <c r="C51" s="153"/>
      <c r="D51" s="155"/>
      <c r="E51" s="155"/>
      <c r="F51" s="173"/>
      <c r="G51" s="179"/>
    </row>
    <row r="52" spans="1:7">
      <c r="A52" s="178"/>
      <c r="B52" s="153"/>
      <c r="C52" s="153"/>
      <c r="D52" s="155"/>
      <c r="E52" s="155"/>
      <c r="F52" s="173"/>
      <c r="G52" s="179"/>
    </row>
    <row r="53" spans="1:7">
      <c r="A53" s="178"/>
      <c r="B53" s="153"/>
      <c r="C53" s="153"/>
      <c r="D53" s="155"/>
      <c r="E53" s="155"/>
      <c r="F53" s="173"/>
      <c r="G53" s="179"/>
    </row>
    <row r="54" spans="1:7">
      <c r="A54" s="178"/>
      <c r="B54" s="153"/>
      <c r="C54" s="153"/>
      <c r="D54" s="155"/>
      <c r="E54" s="155"/>
      <c r="F54" s="173"/>
      <c r="G54" s="179"/>
    </row>
    <row r="55" spans="1:7">
      <c r="A55" s="178"/>
      <c r="B55" s="153"/>
      <c r="C55" s="153"/>
      <c r="D55" s="155"/>
      <c r="E55" s="155"/>
      <c r="F55" s="173"/>
      <c r="G55" s="179"/>
    </row>
    <row r="56" spans="1:7">
      <c r="A56" s="178"/>
      <c r="B56" s="153"/>
      <c r="C56" s="153"/>
      <c r="D56" s="155"/>
      <c r="E56" s="155"/>
      <c r="F56" s="173"/>
      <c r="G56" s="179"/>
    </row>
    <row r="57" spans="1:7">
      <c r="A57" s="178"/>
      <c r="B57" s="153"/>
      <c r="C57" s="153"/>
      <c r="D57" s="155"/>
      <c r="E57" s="155"/>
      <c r="F57" s="173"/>
      <c r="G57" s="179"/>
    </row>
    <row r="58" spans="1:7">
      <c r="A58" s="178"/>
      <c r="B58" s="153"/>
      <c r="C58" s="153"/>
      <c r="D58" s="155"/>
      <c r="E58" s="155"/>
      <c r="F58" s="173"/>
      <c r="G58" s="179"/>
    </row>
    <row r="59" spans="1:7">
      <c r="A59" s="178"/>
      <c r="B59" s="153"/>
      <c r="C59" s="153"/>
      <c r="D59" s="155"/>
      <c r="E59" s="155"/>
      <c r="F59" s="173"/>
      <c r="G59" s="179"/>
    </row>
    <row r="60" spans="1:7">
      <c r="A60" s="178"/>
      <c r="B60" s="153"/>
      <c r="C60" s="153"/>
      <c r="D60" s="155"/>
      <c r="E60" s="155"/>
      <c r="F60" s="173"/>
      <c r="G60" s="179"/>
    </row>
    <row r="61" spans="1:7">
      <c r="A61" s="178"/>
      <c r="B61" s="153"/>
      <c r="C61" s="153"/>
      <c r="D61" s="155"/>
      <c r="E61" s="155"/>
      <c r="F61" s="173"/>
      <c r="G61" s="179"/>
    </row>
    <row r="62" spans="1:7">
      <c r="A62" s="178"/>
      <c r="B62" s="153"/>
      <c r="C62" s="153"/>
      <c r="D62" s="155"/>
      <c r="E62" s="155"/>
      <c r="F62" s="173"/>
      <c r="G62" s="179"/>
    </row>
    <row r="63" spans="1:7">
      <c r="A63" s="178"/>
      <c r="B63" s="153"/>
      <c r="C63" s="153"/>
      <c r="D63" s="155"/>
      <c r="E63" s="155"/>
      <c r="F63" s="173"/>
      <c r="G63" s="179"/>
    </row>
    <row r="64" spans="1:7">
      <c r="A64" s="178"/>
      <c r="B64" s="153"/>
      <c r="C64" s="153"/>
      <c r="D64" s="155"/>
      <c r="E64" s="155"/>
      <c r="F64" s="173"/>
      <c r="G64" s="179"/>
    </row>
    <row r="65" spans="1:7">
      <c r="A65" s="178"/>
      <c r="B65" s="153"/>
      <c r="C65" s="153"/>
      <c r="D65" s="155"/>
      <c r="E65" s="155"/>
      <c r="F65" s="173"/>
      <c r="G65" s="179"/>
    </row>
    <row r="66" spans="1:7">
      <c r="A66" s="178"/>
      <c r="B66" s="153"/>
      <c r="C66" s="153"/>
      <c r="D66" s="155"/>
      <c r="E66" s="155"/>
      <c r="F66" s="173"/>
      <c r="G66" s="179"/>
    </row>
    <row r="67" spans="1:7">
      <c r="A67" s="178"/>
      <c r="B67" s="153"/>
      <c r="C67" s="153"/>
      <c r="D67" s="155"/>
      <c r="E67" s="155"/>
      <c r="F67" s="173"/>
      <c r="G67" s="179"/>
    </row>
    <row r="68" spans="1:7">
      <c r="A68" s="178"/>
      <c r="B68" s="153"/>
      <c r="C68" s="153"/>
      <c r="D68" s="155"/>
      <c r="E68" s="155"/>
      <c r="F68" s="173"/>
      <c r="G68" s="179"/>
    </row>
    <row r="69" spans="1:7">
      <c r="A69" s="178"/>
      <c r="B69" s="153"/>
      <c r="C69" s="153"/>
      <c r="D69" s="155"/>
      <c r="E69" s="155"/>
      <c r="F69" s="173"/>
      <c r="G69" s="179"/>
    </row>
    <row r="70" spans="1:7">
      <c r="A70" s="178"/>
      <c r="B70" s="153"/>
      <c r="C70" s="153"/>
      <c r="D70" s="155"/>
      <c r="E70" s="155"/>
      <c r="F70" s="173"/>
      <c r="G70" s="179"/>
    </row>
    <row r="71" spans="1:7">
      <c r="A71" s="178"/>
      <c r="B71" s="153"/>
      <c r="C71" s="153"/>
      <c r="D71" s="155"/>
      <c r="E71" s="155"/>
      <c r="F71" s="173"/>
      <c r="G71" s="179"/>
    </row>
    <row r="72" spans="1:7">
      <c r="A72" s="178"/>
      <c r="B72" s="153"/>
      <c r="C72" s="153"/>
      <c r="D72" s="155"/>
      <c r="E72" s="155"/>
      <c r="F72" s="173"/>
      <c r="G72" s="179"/>
    </row>
    <row r="73" spans="1:7">
      <c r="A73" s="178"/>
      <c r="B73" s="153"/>
      <c r="C73" s="153"/>
      <c r="D73" s="155"/>
      <c r="E73" s="155"/>
      <c r="F73" s="173"/>
      <c r="G73" s="179"/>
    </row>
    <row r="74" spans="1:7">
      <c r="A74" s="178"/>
      <c r="B74" s="153"/>
      <c r="C74" s="153"/>
      <c r="D74" s="155"/>
      <c r="E74" s="155"/>
      <c r="F74" s="173"/>
      <c r="G74" s="179"/>
    </row>
    <row r="75" spans="1:7">
      <c r="A75" s="178"/>
      <c r="B75" s="153"/>
      <c r="C75" s="153"/>
      <c r="D75" s="155"/>
      <c r="E75" s="155"/>
      <c r="F75" s="173"/>
      <c r="G75" s="179"/>
    </row>
    <row r="76" spans="1:7">
      <c r="A76" s="178"/>
      <c r="B76" s="153"/>
      <c r="C76" s="153"/>
      <c r="D76" s="155"/>
      <c r="E76" s="155"/>
      <c r="F76" s="173"/>
      <c r="G76" s="179"/>
    </row>
    <row r="77" spans="1:7">
      <c r="A77" s="178"/>
      <c r="B77" s="153"/>
      <c r="C77" s="153"/>
      <c r="D77" s="155"/>
      <c r="E77" s="155"/>
      <c r="F77" s="173"/>
      <c r="G77" s="179"/>
    </row>
    <row r="78" spans="1:7">
      <c r="A78" s="178"/>
      <c r="B78" s="153"/>
      <c r="C78" s="153"/>
      <c r="D78" s="155"/>
      <c r="E78" s="155"/>
      <c r="F78" s="173"/>
      <c r="G78" s="179"/>
    </row>
    <row r="79" spans="1:7">
      <c r="A79" s="178"/>
      <c r="B79" s="153"/>
      <c r="C79" s="153"/>
      <c r="D79" s="155"/>
      <c r="E79" s="155"/>
      <c r="F79" s="173"/>
      <c r="G79" s="179"/>
    </row>
    <row r="80" spans="1:7">
      <c r="A80" s="178"/>
      <c r="B80" s="153"/>
      <c r="C80" s="153"/>
      <c r="D80" s="155"/>
      <c r="E80" s="155"/>
      <c r="F80" s="173"/>
      <c r="G80" s="179"/>
    </row>
    <row r="81" spans="1:7">
      <c r="A81" s="178"/>
      <c r="B81" s="153"/>
      <c r="C81" s="153"/>
      <c r="D81" s="155"/>
      <c r="E81" s="155"/>
      <c r="F81" s="173"/>
      <c r="G81" s="179"/>
    </row>
    <row r="82" spans="1:7">
      <c r="A82" s="178"/>
      <c r="B82" s="153"/>
      <c r="C82" s="153"/>
      <c r="D82" s="155"/>
      <c r="E82" s="155"/>
      <c r="F82" s="173"/>
      <c r="G82" s="179"/>
    </row>
    <row r="83" spans="1:7">
      <c r="A83" s="178"/>
      <c r="B83" s="153"/>
      <c r="C83" s="153"/>
      <c r="D83" s="155"/>
      <c r="E83" s="155"/>
      <c r="F83" s="173"/>
      <c r="G83" s="179"/>
    </row>
    <row r="84" spans="1:7">
      <c r="A84" s="178"/>
      <c r="B84" s="153"/>
      <c r="C84" s="153"/>
      <c r="D84" s="155"/>
      <c r="E84" s="155"/>
      <c r="F84" s="173"/>
      <c r="G84" s="179"/>
    </row>
    <row r="85" spans="1:7">
      <c r="A85" s="178"/>
      <c r="B85" s="153"/>
      <c r="C85" s="153"/>
      <c r="D85" s="155"/>
      <c r="E85" s="155"/>
      <c r="F85" s="173"/>
      <c r="G85" s="179"/>
    </row>
    <row r="86" spans="1:7">
      <c r="A86" s="178"/>
      <c r="B86" s="153"/>
      <c r="C86" s="153"/>
      <c r="D86" s="155"/>
      <c r="E86" s="155"/>
      <c r="F86" s="173"/>
      <c r="G86" s="179"/>
    </row>
    <row r="87" spans="1:7">
      <c r="A87" s="178"/>
      <c r="B87" s="153"/>
      <c r="C87" s="153"/>
      <c r="D87" s="155"/>
      <c r="E87" s="155"/>
      <c r="F87" s="173"/>
      <c r="G87" s="179"/>
    </row>
    <row r="88" spans="1:7">
      <c r="A88" s="180"/>
      <c r="B88" s="181"/>
      <c r="C88" s="182"/>
      <c r="D88" s="88"/>
      <c r="E88" s="88"/>
      <c r="F88" s="183"/>
      <c r="G88" s="179"/>
    </row>
    <row r="89" spans="1:7">
      <c r="A89" s="180"/>
      <c r="B89" s="181"/>
      <c r="C89" s="182"/>
      <c r="D89" s="88"/>
      <c r="E89" s="88"/>
      <c r="F89" s="183"/>
      <c r="G89" s="179"/>
    </row>
    <row r="90" spans="1:7">
      <c r="A90" s="180"/>
      <c r="B90" s="181"/>
      <c r="C90" s="182"/>
      <c r="D90" s="88"/>
      <c r="E90" s="88"/>
      <c r="F90" s="183"/>
      <c r="G90" s="179"/>
    </row>
    <row r="91" spans="1:7">
      <c r="A91" s="180"/>
      <c r="B91" s="181"/>
      <c r="C91" s="182"/>
      <c r="D91" s="88"/>
      <c r="E91" s="88"/>
      <c r="F91" s="183"/>
      <c r="G91" s="179"/>
    </row>
    <row r="92" spans="1:7">
      <c r="A92" s="180"/>
      <c r="B92" s="181"/>
      <c r="C92" s="182"/>
      <c r="D92" s="88"/>
      <c r="E92" s="88"/>
      <c r="F92" s="183"/>
      <c r="G92" s="179"/>
    </row>
    <row r="93" spans="1:7">
      <c r="A93" s="180"/>
      <c r="B93" s="181"/>
      <c r="C93" s="182"/>
      <c r="D93" s="88"/>
      <c r="E93" s="88"/>
      <c r="F93" s="183"/>
      <c r="G93" s="179"/>
    </row>
    <row r="94" spans="1:7">
      <c r="A94" s="180"/>
      <c r="B94" s="181"/>
      <c r="C94" s="182"/>
      <c r="D94" s="88"/>
      <c r="E94" s="88"/>
      <c r="F94" s="183"/>
      <c r="G94" s="179"/>
    </row>
    <row r="95" spans="1:7">
      <c r="A95" s="180"/>
      <c r="B95" s="181"/>
      <c r="C95" s="182"/>
      <c r="D95" s="88"/>
      <c r="E95" s="88"/>
      <c r="F95" s="183"/>
      <c r="G95" s="179"/>
    </row>
    <row r="96" spans="1:8">
      <c r="A96" s="180"/>
      <c r="B96" s="181"/>
      <c r="C96" s="182"/>
      <c r="D96" s="88"/>
      <c r="E96" s="88"/>
      <c r="F96" s="183"/>
      <c r="G96" s="179"/>
      <c r="H96" s="168"/>
    </row>
    <row r="97" spans="1:7">
      <c r="A97" s="180"/>
      <c r="B97" s="181"/>
      <c r="C97" s="182"/>
      <c r="D97" s="88"/>
      <c r="E97" s="88"/>
      <c r="F97" s="183"/>
      <c r="G97" s="179"/>
    </row>
    <row r="98" spans="1:7">
      <c r="A98" s="180"/>
      <c r="B98" s="181"/>
      <c r="C98" s="182"/>
      <c r="D98" s="88"/>
      <c r="E98" s="88"/>
      <c r="F98" s="183"/>
      <c r="G98" s="179"/>
    </row>
    <row r="99" spans="1:7">
      <c r="A99" s="180"/>
      <c r="B99" s="181"/>
      <c r="C99" s="182"/>
      <c r="D99" s="88"/>
      <c r="E99" s="88"/>
      <c r="F99" s="183"/>
      <c r="G99" s="179"/>
    </row>
    <row r="100" spans="1:7">
      <c r="A100" s="180"/>
      <c r="B100" s="181"/>
      <c r="C100" s="182"/>
      <c r="D100" s="88"/>
      <c r="E100" s="88"/>
      <c r="F100" s="183"/>
      <c r="G100" s="179"/>
    </row>
    <row r="101" spans="1:7">
      <c r="A101" s="180"/>
      <c r="B101" s="181"/>
      <c r="C101" s="182"/>
      <c r="D101" s="88"/>
      <c r="E101" s="88"/>
      <c r="F101" s="183"/>
      <c r="G101" s="179"/>
    </row>
    <row r="102" spans="1:7">
      <c r="A102" s="180"/>
      <c r="B102" s="181"/>
      <c r="C102" s="182"/>
      <c r="D102" s="88"/>
      <c r="E102" s="88"/>
      <c r="F102" s="183"/>
      <c r="G102" s="179"/>
    </row>
    <row r="103" spans="1:7">
      <c r="A103" s="180"/>
      <c r="B103" s="181"/>
      <c r="C103" s="182"/>
      <c r="D103" s="88"/>
      <c r="E103" s="88"/>
      <c r="F103" s="183"/>
      <c r="G103" s="179"/>
    </row>
    <row r="104" spans="1:7">
      <c r="A104" s="180"/>
      <c r="B104" s="181"/>
      <c r="C104" s="182"/>
      <c r="D104" s="88"/>
      <c r="E104" s="88"/>
      <c r="F104" s="183"/>
      <c r="G104" s="179"/>
    </row>
    <row r="105" spans="1:7">
      <c r="A105" s="180"/>
      <c r="B105" s="181"/>
      <c r="C105" s="182"/>
      <c r="D105" s="88"/>
      <c r="E105" s="88"/>
      <c r="F105" s="183"/>
      <c r="G105" s="179"/>
    </row>
    <row r="106" spans="1:7">
      <c r="A106" s="180"/>
      <c r="B106" s="181"/>
      <c r="C106" s="182"/>
      <c r="D106" s="88"/>
      <c r="E106" s="88"/>
      <c r="F106" s="183"/>
      <c r="G106" s="179"/>
    </row>
    <row r="107" spans="1:7">
      <c r="A107" s="180"/>
      <c r="B107" s="181"/>
      <c r="C107" s="182"/>
      <c r="D107" s="88"/>
      <c r="E107" s="88"/>
      <c r="F107" s="183"/>
      <c r="G107" s="179"/>
    </row>
    <row r="108" spans="1:7">
      <c r="A108" s="180"/>
      <c r="B108" s="181"/>
      <c r="C108" s="182"/>
      <c r="D108" s="88"/>
      <c r="E108" s="88"/>
      <c r="F108" s="183"/>
      <c r="G108" s="179"/>
    </row>
    <row r="109" spans="1:7">
      <c r="A109" s="180"/>
      <c r="B109" s="181"/>
      <c r="C109" s="182"/>
      <c r="D109" s="88"/>
      <c r="E109" s="88"/>
      <c r="F109" s="183"/>
      <c r="G109" s="179"/>
    </row>
    <row r="110" spans="1:7">
      <c r="A110" s="178"/>
      <c r="B110" s="153"/>
      <c r="C110" s="153"/>
      <c r="D110" s="155"/>
      <c r="E110" s="88"/>
      <c r="F110" s="173"/>
      <c r="G110" s="179"/>
    </row>
    <row r="111" spans="1:7">
      <c r="A111" s="178"/>
      <c r="B111" s="153"/>
      <c r="C111" s="153"/>
      <c r="D111" s="155"/>
      <c r="E111" s="88"/>
      <c r="F111" s="173"/>
      <c r="G111" s="179"/>
    </row>
    <row r="112" spans="1:7">
      <c r="A112" s="178"/>
      <c r="B112" s="153"/>
      <c r="C112" s="153"/>
      <c r="D112" s="155"/>
      <c r="E112" s="88"/>
      <c r="F112" s="173"/>
      <c r="G112" s="179"/>
    </row>
    <row r="113" spans="1:7">
      <c r="A113" s="178"/>
      <c r="B113" s="153"/>
      <c r="C113" s="153"/>
      <c r="D113" s="155"/>
      <c r="E113" s="88"/>
      <c r="F113" s="173"/>
      <c r="G113" s="179"/>
    </row>
    <row r="114" spans="1:7">
      <c r="A114" s="178"/>
      <c r="B114" s="153"/>
      <c r="C114" s="153"/>
      <c r="D114" s="155"/>
      <c r="E114" s="88"/>
      <c r="F114" s="173"/>
      <c r="G114" s="179"/>
    </row>
    <row r="115" spans="1:7">
      <c r="A115" s="178"/>
      <c r="B115" s="153"/>
      <c r="C115" s="153"/>
      <c r="D115" s="155"/>
      <c r="E115" s="88"/>
      <c r="F115" s="173"/>
      <c r="G115" s="179"/>
    </row>
    <row r="116" spans="1:7">
      <c r="A116" s="178"/>
      <c r="B116" s="153"/>
      <c r="C116" s="153"/>
      <c r="D116" s="155"/>
      <c r="E116" s="88"/>
      <c r="F116" s="173"/>
      <c r="G116" s="179"/>
    </row>
    <row r="117" spans="1:7">
      <c r="A117" s="178"/>
      <c r="B117" s="153"/>
      <c r="C117" s="153"/>
      <c r="D117" s="155"/>
      <c r="E117" s="88"/>
      <c r="F117" s="173"/>
      <c r="G117" s="179"/>
    </row>
    <row r="118" spans="1:7">
      <c r="A118" s="178"/>
      <c r="B118" s="153"/>
      <c r="C118" s="153"/>
      <c r="D118" s="155"/>
      <c r="E118" s="88"/>
      <c r="F118" s="173"/>
      <c r="G118" s="179"/>
    </row>
    <row r="119" spans="1:7">
      <c r="A119" s="178"/>
      <c r="B119" s="153"/>
      <c r="C119" s="153"/>
      <c r="D119" s="155"/>
      <c r="E119" s="88"/>
      <c r="F119" s="173"/>
      <c r="G119" s="179"/>
    </row>
    <row r="120" spans="1:7">
      <c r="A120" s="178"/>
      <c r="B120" s="153"/>
      <c r="C120" s="153"/>
      <c r="D120" s="155"/>
      <c r="E120" s="88"/>
      <c r="F120" s="173"/>
      <c r="G120" s="179"/>
    </row>
    <row r="121" spans="1:7">
      <c r="A121" s="178"/>
      <c r="B121" s="153"/>
      <c r="C121" s="153"/>
      <c r="D121" s="155"/>
      <c r="E121" s="88"/>
      <c r="F121" s="173"/>
      <c r="G121" s="179"/>
    </row>
    <row r="122" spans="1:7">
      <c r="A122" s="178"/>
      <c r="B122" s="153"/>
      <c r="C122" s="153"/>
      <c r="D122" s="155"/>
      <c r="E122" s="88"/>
      <c r="F122" s="173"/>
      <c r="G122" s="179"/>
    </row>
    <row r="123" spans="1:7">
      <c r="A123" s="178"/>
      <c r="B123" s="153"/>
      <c r="C123" s="153"/>
      <c r="D123" s="155"/>
      <c r="E123" s="88"/>
      <c r="F123" s="173"/>
      <c r="G123" s="179"/>
    </row>
    <row r="124" spans="1:7">
      <c r="A124" s="178"/>
      <c r="B124" s="153"/>
      <c r="C124" s="153"/>
      <c r="D124" s="155"/>
      <c r="E124" s="88"/>
      <c r="F124" s="173"/>
      <c r="G124" s="179"/>
    </row>
    <row r="125" spans="1:7">
      <c r="A125" s="178"/>
      <c r="B125" s="153"/>
      <c r="C125" s="153"/>
      <c r="D125" s="155"/>
      <c r="E125" s="88"/>
      <c r="F125" s="173"/>
      <c r="G125" s="179"/>
    </row>
    <row r="126" spans="1:7">
      <c r="A126" s="178"/>
      <c r="B126" s="153"/>
      <c r="C126" s="153"/>
      <c r="D126" s="155"/>
      <c r="E126" s="88"/>
      <c r="F126" s="173"/>
      <c r="G126" s="179"/>
    </row>
    <row r="127" spans="1:7">
      <c r="A127" s="178"/>
      <c r="B127" s="153"/>
      <c r="C127" s="153"/>
      <c r="D127" s="155"/>
      <c r="E127" s="88"/>
      <c r="F127" s="173"/>
      <c r="G127" s="179"/>
    </row>
    <row r="128" spans="1:7">
      <c r="A128" s="178"/>
      <c r="B128" s="153"/>
      <c r="C128" s="153"/>
      <c r="D128" s="155"/>
      <c r="E128" s="88"/>
      <c r="F128" s="173"/>
      <c r="G128" s="179"/>
    </row>
    <row r="129" spans="1:7">
      <c r="A129" s="178"/>
      <c r="B129" s="153"/>
      <c r="C129" s="153"/>
      <c r="D129" s="155"/>
      <c r="E129" s="88"/>
      <c r="F129" s="173"/>
      <c r="G129" s="179"/>
    </row>
    <row r="130" spans="1:7">
      <c r="A130" s="178"/>
      <c r="B130" s="153"/>
      <c r="C130" s="153"/>
      <c r="D130" s="155"/>
      <c r="E130" s="88"/>
      <c r="F130" s="173"/>
      <c r="G130" s="179"/>
    </row>
    <row r="131" spans="1:7">
      <c r="A131" s="178"/>
      <c r="B131" s="153"/>
      <c r="C131" s="153"/>
      <c r="D131" s="155"/>
      <c r="E131" s="88"/>
      <c r="F131" s="173"/>
      <c r="G131" s="179"/>
    </row>
    <row r="132" spans="1:7">
      <c r="A132" s="178"/>
      <c r="B132" s="153"/>
      <c r="C132" s="153"/>
      <c r="D132" s="155"/>
      <c r="E132" s="88"/>
      <c r="F132" s="173"/>
      <c r="G132" s="179"/>
    </row>
    <row r="133" spans="1:7">
      <c r="A133" s="178"/>
      <c r="B133" s="153"/>
      <c r="C133" s="153"/>
      <c r="D133" s="155"/>
      <c r="E133" s="88"/>
      <c r="F133" s="173"/>
      <c r="G133" s="179"/>
    </row>
    <row r="134" spans="1:7">
      <c r="A134" s="178"/>
      <c r="B134" s="153"/>
      <c r="C134" s="153"/>
      <c r="D134" s="155"/>
      <c r="E134" s="88"/>
      <c r="F134" s="173"/>
      <c r="G134" s="179"/>
    </row>
    <row r="135" spans="1:7">
      <c r="A135" s="178"/>
      <c r="B135" s="153"/>
      <c r="C135" s="153"/>
      <c r="D135" s="155"/>
      <c r="E135" s="88"/>
      <c r="F135" s="173"/>
      <c r="G135" s="179"/>
    </row>
    <row r="136" spans="1:7">
      <c r="A136" s="178"/>
      <c r="B136" s="153"/>
      <c r="C136" s="153"/>
      <c r="D136" s="155"/>
      <c r="E136" s="88"/>
      <c r="F136" s="173"/>
      <c r="G136" s="179"/>
    </row>
    <row r="137" spans="1:7">
      <c r="A137" s="178"/>
      <c r="B137" s="153"/>
      <c r="C137" s="153"/>
      <c r="D137" s="155"/>
      <c r="E137" s="88"/>
      <c r="F137" s="173"/>
      <c r="G137" s="179"/>
    </row>
    <row r="138" spans="1:7">
      <c r="A138" s="178"/>
      <c r="B138" s="153"/>
      <c r="C138" s="153"/>
      <c r="D138" s="155"/>
      <c r="E138" s="88"/>
      <c r="F138" s="173"/>
      <c r="G138" s="179"/>
    </row>
    <row r="139" spans="1:7">
      <c r="A139" s="178"/>
      <c r="B139" s="153"/>
      <c r="C139" s="153"/>
      <c r="D139" s="155"/>
      <c r="E139" s="88"/>
      <c r="F139" s="173"/>
      <c r="G139" s="179"/>
    </row>
    <row r="140" spans="1:7">
      <c r="A140" s="178"/>
      <c r="B140" s="153"/>
      <c r="C140" s="153"/>
      <c r="D140" s="155"/>
      <c r="E140" s="88"/>
      <c r="F140" s="173"/>
      <c r="G140" s="179"/>
    </row>
    <row r="141" spans="1:7">
      <c r="A141" s="178"/>
      <c r="B141" s="153"/>
      <c r="C141" s="153"/>
      <c r="D141" s="155"/>
      <c r="E141" s="88"/>
      <c r="F141" s="173"/>
      <c r="G141" s="179"/>
    </row>
    <row r="142" spans="1:7">
      <c r="A142" s="178"/>
      <c r="B142" s="153"/>
      <c r="C142" s="153"/>
      <c r="D142" s="155"/>
      <c r="E142" s="88"/>
      <c r="F142" s="173"/>
      <c r="G142" s="179"/>
    </row>
    <row r="143" spans="1:7">
      <c r="A143" s="178"/>
      <c r="B143" s="153"/>
      <c r="C143" s="153"/>
      <c r="D143" s="155"/>
      <c r="E143" s="88"/>
      <c r="F143" s="173"/>
      <c r="G143" s="179"/>
    </row>
    <row r="144" spans="1:7">
      <c r="A144" s="178"/>
      <c r="B144" s="153"/>
      <c r="C144" s="153"/>
      <c r="D144" s="155"/>
      <c r="E144" s="88"/>
      <c r="F144" s="173"/>
      <c r="G144" s="179"/>
    </row>
    <row r="145" spans="1:7">
      <c r="A145" s="178"/>
      <c r="B145" s="153"/>
      <c r="C145" s="153"/>
      <c r="D145" s="155"/>
      <c r="E145" s="88"/>
      <c r="F145" s="173"/>
      <c r="G145" s="179"/>
    </row>
    <row r="146" spans="1:7">
      <c r="A146" s="178"/>
      <c r="B146" s="153"/>
      <c r="C146" s="153"/>
      <c r="D146" s="155"/>
      <c r="E146" s="88"/>
      <c r="F146" s="173"/>
      <c r="G146" s="179"/>
    </row>
    <row r="147" spans="1:7">
      <c r="A147" s="178"/>
      <c r="B147" s="153"/>
      <c r="C147" s="153"/>
      <c r="D147" s="155"/>
      <c r="E147" s="88"/>
      <c r="F147" s="173"/>
      <c r="G147" s="179"/>
    </row>
    <row r="148" spans="1:7">
      <c r="A148" s="178"/>
      <c r="B148" s="153"/>
      <c r="C148" s="153"/>
      <c r="D148" s="155"/>
      <c r="E148" s="88"/>
      <c r="F148" s="173"/>
      <c r="G148" s="179"/>
    </row>
    <row r="149" spans="1:7">
      <c r="A149" s="178"/>
      <c r="B149" s="153"/>
      <c r="C149" s="153"/>
      <c r="D149" s="155"/>
      <c r="E149" s="88"/>
      <c r="F149" s="173"/>
      <c r="G149" s="179"/>
    </row>
    <row r="150" spans="1:7">
      <c r="A150" s="178"/>
      <c r="B150" s="153"/>
      <c r="C150" s="153"/>
      <c r="D150" s="155"/>
      <c r="E150" s="88"/>
      <c r="F150" s="173"/>
      <c r="G150" s="179"/>
    </row>
    <row r="151" spans="1:7">
      <c r="A151" s="178"/>
      <c r="B151" s="153"/>
      <c r="C151" s="153"/>
      <c r="D151" s="155"/>
      <c r="E151" s="88"/>
      <c r="F151" s="173"/>
      <c r="G151" s="179"/>
    </row>
    <row r="152" spans="1:7">
      <c r="A152" s="178"/>
      <c r="B152" s="153"/>
      <c r="C152" s="153"/>
      <c r="D152" s="155"/>
      <c r="E152" s="88"/>
      <c r="F152" s="173"/>
      <c r="G152" s="179"/>
    </row>
    <row r="153" spans="1:7">
      <c r="A153" s="178"/>
      <c r="B153" s="153"/>
      <c r="C153" s="153"/>
      <c r="D153" s="155"/>
      <c r="E153" s="88"/>
      <c r="F153" s="173"/>
      <c r="G153" s="179"/>
    </row>
    <row r="154" spans="1:7">
      <c r="A154" s="178"/>
      <c r="B154" s="153"/>
      <c r="C154" s="153"/>
      <c r="D154" s="155"/>
      <c r="E154" s="88"/>
      <c r="F154" s="173"/>
      <c r="G154" s="179"/>
    </row>
    <row r="155" spans="1:7">
      <c r="A155" s="178"/>
      <c r="B155" s="153"/>
      <c r="C155" s="153"/>
      <c r="D155" s="155"/>
      <c r="E155" s="88"/>
      <c r="F155" s="173"/>
      <c r="G155" s="179"/>
    </row>
    <row r="156" spans="1:7">
      <c r="A156" s="178"/>
      <c r="B156" s="153"/>
      <c r="C156" s="153"/>
      <c r="D156" s="155"/>
      <c r="E156" s="88"/>
      <c r="F156" s="173"/>
      <c r="G156" s="179"/>
    </row>
    <row r="157" spans="1:7">
      <c r="A157" s="178"/>
      <c r="B157" s="153"/>
      <c r="C157" s="153"/>
      <c r="D157" s="155"/>
      <c r="E157" s="88"/>
      <c r="F157" s="173"/>
      <c r="G157" s="179"/>
    </row>
    <row r="158" spans="1:7">
      <c r="A158" s="178"/>
      <c r="B158" s="153"/>
      <c r="C158" s="153"/>
      <c r="D158" s="155"/>
      <c r="E158" s="88"/>
      <c r="F158" s="173"/>
      <c r="G158" s="179"/>
    </row>
    <row r="159" spans="1:7">
      <c r="A159" s="178"/>
      <c r="B159" s="153"/>
      <c r="C159" s="153"/>
      <c r="D159" s="155"/>
      <c r="E159" s="88"/>
      <c r="F159" s="173"/>
      <c r="G159" s="179"/>
    </row>
    <row r="160" spans="1:7">
      <c r="A160" s="178"/>
      <c r="B160" s="153"/>
      <c r="C160" s="153"/>
      <c r="D160" s="155"/>
      <c r="E160" s="88"/>
      <c r="F160" s="173"/>
      <c r="G160" s="179"/>
    </row>
    <row r="161" spans="1:7">
      <c r="A161" s="178"/>
      <c r="B161" s="153"/>
      <c r="C161" s="153"/>
      <c r="D161" s="155"/>
      <c r="E161" s="88"/>
      <c r="F161" s="173"/>
      <c r="G161" s="179"/>
    </row>
    <row r="162" spans="1:7">
      <c r="A162" s="178"/>
      <c r="B162" s="153"/>
      <c r="C162" s="153"/>
      <c r="D162" s="155"/>
      <c r="E162" s="88"/>
      <c r="F162" s="173"/>
      <c r="G162" s="179"/>
    </row>
    <row r="163" spans="1:7">
      <c r="A163" s="178"/>
      <c r="B163" s="153"/>
      <c r="C163" s="153"/>
      <c r="D163" s="155"/>
      <c r="E163" s="88"/>
      <c r="F163" s="173"/>
      <c r="G163" s="179"/>
    </row>
    <row r="164" spans="1:7">
      <c r="A164" s="178"/>
      <c r="B164" s="153"/>
      <c r="C164" s="153"/>
      <c r="D164" s="155"/>
      <c r="E164" s="88"/>
      <c r="F164" s="173"/>
      <c r="G164" s="179"/>
    </row>
    <row r="165" spans="1:7">
      <c r="A165" s="178"/>
      <c r="B165" s="153"/>
      <c r="C165" s="153"/>
      <c r="D165" s="155"/>
      <c r="E165" s="88"/>
      <c r="F165" s="173"/>
      <c r="G165" s="179"/>
    </row>
    <row r="166" spans="1:8">
      <c r="A166" s="178"/>
      <c r="B166" s="153"/>
      <c r="C166" s="153"/>
      <c r="D166" s="155"/>
      <c r="E166" s="88"/>
      <c r="F166" s="173"/>
      <c r="G166" s="179"/>
      <c r="H166" s="168"/>
    </row>
    <row r="167" spans="1:7">
      <c r="A167" s="178"/>
      <c r="B167" s="153"/>
      <c r="C167" s="153"/>
      <c r="D167" s="155"/>
      <c r="E167" s="88"/>
      <c r="F167" s="173"/>
      <c r="G167" s="179"/>
    </row>
    <row r="168" spans="1:7">
      <c r="A168" s="178"/>
      <c r="B168" s="153"/>
      <c r="C168" s="153"/>
      <c r="D168" s="155"/>
      <c r="E168" s="88"/>
      <c r="F168" s="173"/>
      <c r="G168" s="179"/>
    </row>
    <row r="169" spans="1:7">
      <c r="A169" s="178"/>
      <c r="B169" s="153"/>
      <c r="C169" s="153"/>
      <c r="D169" s="155"/>
      <c r="E169" s="88"/>
      <c r="F169" s="173"/>
      <c r="G169" s="179"/>
    </row>
    <row r="170" spans="1:7">
      <c r="A170" s="178"/>
      <c r="B170" s="153"/>
      <c r="C170" s="153"/>
      <c r="D170" s="155"/>
      <c r="E170" s="88"/>
      <c r="F170" s="173"/>
      <c r="G170" s="179"/>
    </row>
    <row r="171" spans="1:7">
      <c r="A171" s="178"/>
      <c r="B171" s="153"/>
      <c r="C171" s="153"/>
      <c r="D171" s="155"/>
      <c r="E171" s="88"/>
      <c r="F171" s="173"/>
      <c r="G171" s="179"/>
    </row>
    <row r="172" spans="1:7">
      <c r="A172" s="178"/>
      <c r="B172" s="153"/>
      <c r="C172" s="153"/>
      <c r="D172" s="155"/>
      <c r="E172" s="88"/>
      <c r="F172" s="173"/>
      <c r="G172" s="179"/>
    </row>
    <row r="173" spans="1:7">
      <c r="A173" s="178"/>
      <c r="B173" s="153"/>
      <c r="C173" s="153"/>
      <c r="D173" s="155"/>
      <c r="E173" s="88"/>
      <c r="F173" s="173"/>
      <c r="G173" s="179"/>
    </row>
    <row r="174" spans="1:7">
      <c r="A174" s="178"/>
      <c r="B174" s="153"/>
      <c r="C174" s="153"/>
      <c r="D174" s="155"/>
      <c r="E174" s="88"/>
      <c r="F174" s="173"/>
      <c r="G174" s="179"/>
    </row>
    <row r="175" spans="1:7">
      <c r="A175" s="178"/>
      <c r="B175" s="153"/>
      <c r="C175" s="153"/>
      <c r="D175" s="155"/>
      <c r="E175" s="88"/>
      <c r="F175" s="173"/>
      <c r="G175" s="179"/>
    </row>
    <row r="176" spans="1:7">
      <c r="A176" s="178"/>
      <c r="B176" s="153"/>
      <c r="C176" s="153"/>
      <c r="D176" s="155"/>
      <c r="E176" s="88"/>
      <c r="F176" s="173"/>
      <c r="G176" s="179"/>
    </row>
    <row r="177" spans="1:7">
      <c r="A177" s="178"/>
      <c r="B177" s="153"/>
      <c r="C177" s="153"/>
      <c r="D177" s="155"/>
      <c r="E177" s="88"/>
      <c r="F177" s="173"/>
      <c r="G177" s="179"/>
    </row>
    <row r="178" spans="1:7">
      <c r="A178" s="178"/>
      <c r="B178" s="153"/>
      <c r="C178" s="153"/>
      <c r="D178" s="155"/>
      <c r="E178" s="88"/>
      <c r="F178" s="173"/>
      <c r="G178" s="179"/>
    </row>
    <row r="179" spans="1:7">
      <c r="A179" s="178"/>
      <c r="B179" s="153"/>
      <c r="C179" s="153"/>
      <c r="D179" s="155"/>
      <c r="E179" s="88"/>
      <c r="F179" s="173"/>
      <c r="G179" s="179"/>
    </row>
    <row r="180" spans="1:7">
      <c r="A180" s="178"/>
      <c r="B180" s="153"/>
      <c r="C180" s="153"/>
      <c r="D180" s="155"/>
      <c r="E180" s="88"/>
      <c r="F180" s="173"/>
      <c r="G180" s="179"/>
    </row>
    <row r="181" spans="1:7">
      <c r="A181" s="178"/>
      <c r="B181" s="153"/>
      <c r="C181" s="153"/>
      <c r="D181" s="155"/>
      <c r="E181" s="88"/>
      <c r="F181" s="173"/>
      <c r="G181" s="179"/>
    </row>
    <row r="182" spans="1:7">
      <c r="A182" s="178"/>
      <c r="B182" s="153"/>
      <c r="C182" s="153"/>
      <c r="D182" s="155"/>
      <c r="E182" s="88"/>
      <c r="F182" s="173"/>
      <c r="G182" s="179"/>
    </row>
    <row r="183" spans="1:7">
      <c r="A183" s="178"/>
      <c r="B183" s="153"/>
      <c r="C183" s="153"/>
      <c r="D183" s="155"/>
      <c r="E183" s="88"/>
      <c r="F183" s="173"/>
      <c r="G183" s="179"/>
    </row>
    <row r="184" spans="1:7">
      <c r="A184" s="178"/>
      <c r="B184" s="153"/>
      <c r="C184" s="153"/>
      <c r="D184" s="155"/>
      <c r="E184" s="88"/>
      <c r="F184" s="173"/>
      <c r="G184" s="179"/>
    </row>
    <row r="185" spans="1:7">
      <c r="A185" s="178"/>
      <c r="B185" s="153"/>
      <c r="C185" s="153"/>
      <c r="D185" s="155"/>
      <c r="E185" s="88"/>
      <c r="F185" s="173"/>
      <c r="G185" s="179"/>
    </row>
    <row r="186" spans="1:7">
      <c r="A186" s="178"/>
      <c r="B186" s="153"/>
      <c r="C186" s="153"/>
      <c r="D186" s="155"/>
      <c r="E186" s="88"/>
      <c r="F186" s="173"/>
      <c r="G186" s="179"/>
    </row>
    <row r="187" spans="1:7">
      <c r="A187" s="178"/>
      <c r="B187" s="153"/>
      <c r="C187" s="153"/>
      <c r="D187" s="155"/>
      <c r="E187" s="88"/>
      <c r="F187" s="173"/>
      <c r="G187" s="179"/>
    </row>
    <row r="188" spans="1:7">
      <c r="A188" s="178"/>
      <c r="B188" s="153"/>
      <c r="C188" s="153"/>
      <c r="D188" s="155"/>
      <c r="E188" s="88"/>
      <c r="F188" s="173"/>
      <c r="G188" s="179"/>
    </row>
    <row r="189" spans="1:7">
      <c r="A189" s="178"/>
      <c r="B189" s="153"/>
      <c r="C189" s="153"/>
      <c r="D189" s="155"/>
      <c r="E189" s="88"/>
      <c r="F189" s="173"/>
      <c r="G189" s="179"/>
    </row>
    <row r="190" spans="1:7">
      <c r="A190" s="178"/>
      <c r="B190" s="153"/>
      <c r="C190" s="153"/>
      <c r="D190" s="155"/>
      <c r="E190" s="88"/>
      <c r="F190" s="173"/>
      <c r="G190" s="179"/>
    </row>
    <row r="191" spans="1:7">
      <c r="A191" s="178"/>
      <c r="B191" s="153"/>
      <c r="C191" s="153"/>
      <c r="D191" s="155"/>
      <c r="E191" s="88"/>
      <c r="F191" s="173"/>
      <c r="G191" s="179"/>
    </row>
    <row r="192" spans="1:7">
      <c r="A192" s="178"/>
      <c r="B192" s="153"/>
      <c r="C192" s="153"/>
      <c r="D192" s="155"/>
      <c r="E192" s="88"/>
      <c r="F192" s="173"/>
      <c r="G192" s="179"/>
    </row>
    <row r="193" spans="1:7">
      <c r="A193" s="178"/>
      <c r="B193" s="153"/>
      <c r="C193" s="153"/>
      <c r="D193" s="155"/>
      <c r="E193" s="88"/>
      <c r="F193" s="173"/>
      <c r="G193" s="179"/>
    </row>
    <row r="194" spans="1:7">
      <c r="A194" s="178"/>
      <c r="B194" s="153"/>
      <c r="C194" s="153"/>
      <c r="D194" s="155"/>
      <c r="E194" s="88"/>
      <c r="F194" s="173"/>
      <c r="G194" s="179"/>
    </row>
    <row r="195" spans="1:7">
      <c r="A195" s="178"/>
      <c r="B195" s="153"/>
      <c r="C195" s="153"/>
      <c r="D195" s="155"/>
      <c r="E195" s="88"/>
      <c r="F195" s="173"/>
      <c r="G195" s="179"/>
    </row>
    <row r="196" spans="1:7">
      <c r="A196" s="178"/>
      <c r="B196" s="153"/>
      <c r="C196" s="153"/>
      <c r="D196" s="155"/>
      <c r="E196" s="88"/>
      <c r="F196" s="173"/>
      <c r="G196" s="179"/>
    </row>
    <row r="197" spans="1:7">
      <c r="A197" s="178"/>
      <c r="B197" s="153"/>
      <c r="C197" s="153"/>
      <c r="D197" s="155"/>
      <c r="E197" s="88"/>
      <c r="F197" s="173"/>
      <c r="G197" s="179"/>
    </row>
    <row r="198" spans="1:7">
      <c r="A198" s="178"/>
      <c r="B198" s="153"/>
      <c r="C198" s="153"/>
      <c r="D198" s="155"/>
      <c r="E198" s="88"/>
      <c r="F198" s="173"/>
      <c r="G198" s="179"/>
    </row>
    <row r="199" spans="1:7">
      <c r="A199" s="178"/>
      <c r="B199" s="153"/>
      <c r="C199" s="153"/>
      <c r="D199" s="155"/>
      <c r="E199" s="88"/>
      <c r="F199" s="173"/>
      <c r="G199" s="179"/>
    </row>
    <row r="200" spans="1:7">
      <c r="A200" s="178"/>
      <c r="B200" s="153"/>
      <c r="C200" s="153"/>
      <c r="D200" s="155"/>
      <c r="E200" s="88"/>
      <c r="F200" s="173"/>
      <c r="G200" s="179"/>
    </row>
    <row r="201" spans="1:7">
      <c r="A201" s="178"/>
      <c r="B201" s="153"/>
      <c r="C201" s="153"/>
      <c r="D201" s="155"/>
      <c r="E201" s="88"/>
      <c r="F201" s="173"/>
      <c r="G201" s="179"/>
    </row>
    <row r="202" spans="1:7">
      <c r="A202" s="178"/>
      <c r="B202" s="153"/>
      <c r="C202" s="153"/>
      <c r="D202" s="155"/>
      <c r="E202" s="88"/>
      <c r="F202" s="173"/>
      <c r="G202" s="185"/>
    </row>
    <row r="203" spans="1:7">
      <c r="A203" s="178"/>
      <c r="B203" s="153"/>
      <c r="C203" s="153"/>
      <c r="D203" s="155"/>
      <c r="E203" s="88"/>
      <c r="F203" s="173"/>
      <c r="G203" s="179"/>
    </row>
    <row r="204" spans="1:7">
      <c r="A204" s="178"/>
      <c r="B204" s="153"/>
      <c r="C204" s="153"/>
      <c r="D204" s="155"/>
      <c r="E204" s="88"/>
      <c r="F204" s="173"/>
      <c r="G204" s="179"/>
    </row>
    <row r="205" spans="1:7">
      <c r="A205" s="178"/>
      <c r="B205" s="153"/>
      <c r="C205" s="153"/>
      <c r="D205" s="155"/>
      <c r="E205" s="88"/>
      <c r="F205" s="173"/>
      <c r="G205" s="179"/>
    </row>
    <row r="206" spans="1:7">
      <c r="A206" s="178"/>
      <c r="B206" s="153"/>
      <c r="C206" s="153"/>
      <c r="D206" s="155"/>
      <c r="E206" s="88"/>
      <c r="F206" s="173"/>
      <c r="G206" s="179"/>
    </row>
    <row r="207" spans="1:7">
      <c r="A207" s="178"/>
      <c r="B207" s="153"/>
      <c r="C207" s="153"/>
      <c r="D207" s="155"/>
      <c r="E207" s="88"/>
      <c r="F207" s="173"/>
      <c r="G207" s="179"/>
    </row>
    <row r="208" spans="1:7">
      <c r="A208" s="178"/>
      <c r="B208" s="153"/>
      <c r="C208" s="153"/>
      <c r="D208" s="155"/>
      <c r="E208" s="88"/>
      <c r="F208" s="173"/>
      <c r="G208" s="179"/>
    </row>
    <row r="209" spans="1:7">
      <c r="A209" s="178"/>
      <c r="B209" s="153"/>
      <c r="C209" s="153"/>
      <c r="D209" s="155"/>
      <c r="E209" s="88"/>
      <c r="F209" s="173"/>
      <c r="G209" s="179"/>
    </row>
    <row r="210" spans="1:7">
      <c r="A210" s="178"/>
      <c r="B210" s="153"/>
      <c r="C210" s="153"/>
      <c r="D210" s="155"/>
      <c r="E210" s="88"/>
      <c r="F210" s="173"/>
      <c r="G210" s="179"/>
    </row>
    <row r="211" spans="1:7">
      <c r="A211" s="178"/>
      <c r="B211" s="153"/>
      <c r="C211" s="153"/>
      <c r="D211" s="155"/>
      <c r="E211" s="88"/>
      <c r="F211" s="173"/>
      <c r="G211" s="179"/>
    </row>
    <row r="212" spans="1:7">
      <c r="A212" s="178"/>
      <c r="B212" s="153"/>
      <c r="C212" s="153"/>
      <c r="D212" s="155"/>
      <c r="E212" s="88"/>
      <c r="F212" s="173"/>
      <c r="G212" s="179"/>
    </row>
    <row r="213" spans="1:7">
      <c r="A213" s="178"/>
      <c r="B213" s="153"/>
      <c r="C213" s="153"/>
      <c r="D213" s="155"/>
      <c r="E213" s="88"/>
      <c r="F213" s="173"/>
      <c r="G213" s="179"/>
    </row>
    <row r="214" spans="1:7">
      <c r="A214" s="178"/>
      <c r="B214" s="153"/>
      <c r="C214" s="153"/>
      <c r="D214" s="155"/>
      <c r="E214" s="88"/>
      <c r="F214" s="173"/>
      <c r="G214" s="179"/>
    </row>
    <row r="215" spans="1:7">
      <c r="A215" s="178"/>
      <c r="B215" s="153"/>
      <c r="C215" s="153"/>
      <c r="D215" s="155"/>
      <c r="E215" s="88"/>
      <c r="F215" s="173"/>
      <c r="G215" s="179"/>
    </row>
    <row r="216" spans="1:7">
      <c r="A216" s="178"/>
      <c r="B216" s="153"/>
      <c r="C216" s="153"/>
      <c r="D216" s="155"/>
      <c r="E216" s="88"/>
      <c r="F216" s="173"/>
      <c r="G216" s="179"/>
    </row>
    <row r="217" spans="1:7">
      <c r="A217" s="178"/>
      <c r="B217" s="153"/>
      <c r="C217" s="153"/>
      <c r="D217" s="155"/>
      <c r="E217" s="88"/>
      <c r="F217" s="173"/>
      <c r="G217" s="179"/>
    </row>
    <row r="218" spans="1:7">
      <c r="A218" s="178"/>
      <c r="B218" s="153"/>
      <c r="C218" s="153"/>
      <c r="D218" s="155"/>
      <c r="E218" s="88"/>
      <c r="F218" s="173"/>
      <c r="G218" s="179"/>
    </row>
    <row r="219" spans="1:7">
      <c r="A219" s="178"/>
      <c r="B219" s="153"/>
      <c r="C219" s="153"/>
      <c r="D219" s="155"/>
      <c r="E219" s="88"/>
      <c r="F219" s="173"/>
      <c r="G219" s="179"/>
    </row>
    <row r="220" spans="1:7">
      <c r="A220" s="178"/>
      <c r="B220" s="153"/>
      <c r="C220" s="153"/>
      <c r="D220" s="155"/>
      <c r="E220" s="88"/>
      <c r="F220" s="173"/>
      <c r="G220" s="179"/>
    </row>
    <row r="221" spans="1:7">
      <c r="A221" s="178"/>
      <c r="B221" s="153"/>
      <c r="C221" s="153"/>
      <c r="D221" s="155"/>
      <c r="E221" s="88"/>
      <c r="F221" s="173"/>
      <c r="G221" s="179"/>
    </row>
    <row r="222" spans="1:7">
      <c r="A222" s="178"/>
      <c r="B222" s="153"/>
      <c r="C222" s="153"/>
      <c r="D222" s="155"/>
      <c r="E222" s="88"/>
      <c r="F222" s="173"/>
      <c r="G222" s="179"/>
    </row>
    <row r="223" spans="1:7">
      <c r="A223" s="178"/>
      <c r="B223" s="153"/>
      <c r="C223" s="153"/>
      <c r="D223" s="155"/>
      <c r="E223" s="88"/>
      <c r="F223" s="173"/>
      <c r="G223" s="179"/>
    </row>
    <row r="224" spans="1:7">
      <c r="A224" s="178"/>
      <c r="B224" s="153"/>
      <c r="C224" s="153"/>
      <c r="D224" s="155"/>
      <c r="E224" s="88"/>
      <c r="F224" s="173"/>
      <c r="G224" s="179"/>
    </row>
    <row r="225" spans="1:7">
      <c r="A225" s="178"/>
      <c r="B225" s="153"/>
      <c r="C225" s="153"/>
      <c r="D225" s="155"/>
      <c r="E225" s="88"/>
      <c r="F225" s="173"/>
      <c r="G225" s="179"/>
    </row>
    <row r="226" spans="1:7">
      <c r="A226" s="178"/>
      <c r="B226" s="153"/>
      <c r="C226" s="153"/>
      <c r="D226" s="155"/>
      <c r="E226" s="88"/>
      <c r="F226" s="173"/>
      <c r="G226" s="179"/>
    </row>
    <row r="227" spans="1:7">
      <c r="A227" s="178"/>
      <c r="B227" s="153"/>
      <c r="C227" s="153"/>
      <c r="D227" s="155"/>
      <c r="E227" s="88"/>
      <c r="F227" s="173"/>
      <c r="G227" s="179"/>
    </row>
    <row r="228" spans="1:7">
      <c r="A228" s="178"/>
      <c r="B228" s="153"/>
      <c r="C228" s="153"/>
      <c r="D228" s="155"/>
      <c r="E228" s="88"/>
      <c r="F228" s="173"/>
      <c r="G228" s="179"/>
    </row>
    <row r="229" spans="1:7">
      <c r="A229" s="178"/>
      <c r="B229" s="153"/>
      <c r="C229" s="153"/>
      <c r="D229" s="155"/>
      <c r="E229" s="88"/>
      <c r="F229" s="173"/>
      <c r="G229" s="179"/>
    </row>
    <row r="230" spans="1:7">
      <c r="A230" s="178"/>
      <c r="B230" s="153"/>
      <c r="C230" s="153"/>
      <c r="D230" s="155"/>
      <c r="E230" s="88"/>
      <c r="F230" s="173"/>
      <c r="G230" s="179"/>
    </row>
    <row r="231" spans="1:7">
      <c r="A231" s="178"/>
      <c r="B231" s="153"/>
      <c r="C231" s="153"/>
      <c r="D231" s="155"/>
      <c r="E231" s="88"/>
      <c r="F231" s="173"/>
      <c r="G231" s="179"/>
    </row>
    <row r="232" spans="1:7">
      <c r="A232" s="178"/>
      <c r="B232" s="153"/>
      <c r="C232" s="153"/>
      <c r="D232" s="155"/>
      <c r="E232" s="88"/>
      <c r="F232" s="173"/>
      <c r="G232" s="179"/>
    </row>
    <row r="233" spans="1:7">
      <c r="A233" s="178"/>
      <c r="B233" s="153"/>
      <c r="C233" s="184"/>
      <c r="D233" s="155"/>
      <c r="E233" s="88"/>
      <c r="F233" s="173"/>
      <c r="G233" s="179"/>
    </row>
    <row r="234" spans="1:7">
      <c r="A234" s="178"/>
      <c r="B234" s="153"/>
      <c r="C234" s="184"/>
      <c r="D234" s="155"/>
      <c r="E234" s="88"/>
      <c r="F234" s="173"/>
      <c r="G234" s="179"/>
    </row>
    <row r="235" spans="1:7">
      <c r="A235" s="178"/>
      <c r="B235" s="153"/>
      <c r="C235" s="184"/>
      <c r="D235" s="155"/>
      <c r="E235" s="88"/>
      <c r="F235" s="173"/>
      <c r="G235" s="179"/>
    </row>
    <row r="236" spans="1:7">
      <c r="A236" s="178"/>
      <c r="B236" s="153"/>
      <c r="C236" s="184"/>
      <c r="D236" s="155"/>
      <c r="E236" s="88"/>
      <c r="F236" s="173"/>
      <c r="G236" s="179"/>
    </row>
    <row r="237" spans="1:7">
      <c r="A237" s="178"/>
      <c r="B237" s="153"/>
      <c r="C237" s="184"/>
      <c r="D237" s="155"/>
      <c r="E237" s="88"/>
      <c r="F237" s="173"/>
      <c r="G237" s="179"/>
    </row>
    <row r="238" spans="1:7">
      <c r="A238" s="178"/>
      <c r="B238" s="153"/>
      <c r="C238" s="184"/>
      <c r="D238" s="155"/>
      <c r="E238" s="88"/>
      <c r="F238" s="173"/>
      <c r="G238" s="179"/>
    </row>
    <row r="239" spans="1:7">
      <c r="A239" s="178"/>
      <c r="B239" s="153"/>
      <c r="C239" s="184"/>
      <c r="D239" s="155"/>
      <c r="E239" s="88"/>
      <c r="F239" s="173"/>
      <c r="G239" s="179"/>
    </row>
    <row r="240" spans="1:7">
      <c r="A240" s="178"/>
      <c r="B240" s="153"/>
      <c r="C240" s="184"/>
      <c r="D240" s="155"/>
      <c r="E240" s="88"/>
      <c r="F240" s="173"/>
      <c r="G240" s="179"/>
    </row>
    <row r="241" spans="1:7">
      <c r="A241" s="178"/>
      <c r="B241" s="153"/>
      <c r="C241" s="184"/>
      <c r="D241" s="155"/>
      <c r="E241" s="88"/>
      <c r="F241" s="173"/>
      <c r="G241" s="179"/>
    </row>
    <row r="242" spans="1:7">
      <c r="A242" s="178"/>
      <c r="B242" s="153"/>
      <c r="C242" s="184"/>
      <c r="D242" s="155"/>
      <c r="E242" s="88"/>
      <c r="F242" s="173"/>
      <c r="G242" s="179"/>
    </row>
    <row r="243" spans="1:7">
      <c r="A243" s="178"/>
      <c r="B243" s="153"/>
      <c r="C243" s="184"/>
      <c r="D243" s="155"/>
      <c r="E243" s="88"/>
      <c r="F243" s="173"/>
      <c r="G243" s="179"/>
    </row>
    <row r="244" spans="1:7">
      <c r="A244" s="178"/>
      <c r="B244" s="153"/>
      <c r="C244" s="184"/>
      <c r="D244" s="155"/>
      <c r="E244" s="88"/>
      <c r="F244" s="173"/>
      <c r="G244" s="179"/>
    </row>
    <row r="245" spans="1:7">
      <c r="A245" s="178"/>
      <c r="B245" s="153"/>
      <c r="C245" s="184"/>
      <c r="D245" s="155"/>
      <c r="E245" s="88"/>
      <c r="F245" s="173"/>
      <c r="G245" s="179"/>
    </row>
    <row r="246" spans="1:7">
      <c r="A246" s="178"/>
      <c r="B246" s="153"/>
      <c r="C246" s="184"/>
      <c r="D246" s="155"/>
      <c r="E246" s="88"/>
      <c r="F246" s="173"/>
      <c r="G246" s="179"/>
    </row>
    <row r="247" spans="1:7">
      <c r="A247" s="178"/>
      <c r="B247" s="153"/>
      <c r="C247" s="184"/>
      <c r="D247" s="155"/>
      <c r="E247" s="88"/>
      <c r="F247" s="173"/>
      <c r="G247" s="179"/>
    </row>
    <row r="248" spans="1:7">
      <c r="A248" s="178"/>
      <c r="B248" s="153"/>
      <c r="C248" s="184"/>
      <c r="D248" s="155"/>
      <c r="E248" s="88"/>
      <c r="F248" s="173"/>
      <c r="G248" s="179"/>
    </row>
    <row r="249" spans="1:7">
      <c r="A249" s="178"/>
      <c r="B249" s="153"/>
      <c r="C249" s="184"/>
      <c r="D249" s="155"/>
      <c r="E249" s="88"/>
      <c r="F249" s="173"/>
      <c r="G249" s="179"/>
    </row>
    <row r="250" spans="1:7">
      <c r="A250" s="178"/>
      <c r="B250" s="153"/>
      <c r="C250" s="184"/>
      <c r="D250" s="155"/>
      <c r="E250" s="88"/>
      <c r="F250" s="173"/>
      <c r="G250" s="179"/>
    </row>
    <row r="251" spans="1:7">
      <c r="A251" s="178"/>
      <c r="B251" s="153"/>
      <c r="C251" s="184"/>
      <c r="D251" s="155"/>
      <c r="E251" s="88"/>
      <c r="F251" s="173"/>
      <c r="G251" s="179"/>
    </row>
    <row r="252" spans="1:7">
      <c r="A252" s="178"/>
      <c r="B252" s="153"/>
      <c r="C252" s="184"/>
      <c r="D252" s="155"/>
      <c r="E252" s="88"/>
      <c r="F252" s="173"/>
      <c r="G252" s="179"/>
    </row>
    <row r="253" spans="1:7">
      <c r="A253" s="178"/>
      <c r="B253" s="153"/>
      <c r="C253" s="184"/>
      <c r="D253" s="155"/>
      <c r="E253" s="88"/>
      <c r="F253" s="173"/>
      <c r="G253" s="179"/>
    </row>
    <row r="254" spans="1:7">
      <c r="A254" s="178"/>
      <c r="B254" s="153"/>
      <c r="C254" s="184"/>
      <c r="D254" s="155"/>
      <c r="E254" s="88"/>
      <c r="F254" s="173"/>
      <c r="G254" s="179"/>
    </row>
    <row r="255" spans="1:7">
      <c r="A255" s="178"/>
      <c r="B255" s="153"/>
      <c r="C255" s="153"/>
      <c r="D255" s="155"/>
      <c r="E255" s="88"/>
      <c r="F255" s="173"/>
      <c r="G255" s="179"/>
    </row>
    <row r="256" spans="1:7">
      <c r="A256" s="178"/>
      <c r="B256" s="153"/>
      <c r="C256" s="153"/>
      <c r="D256" s="155"/>
      <c r="E256" s="88"/>
      <c r="F256" s="173"/>
      <c r="G256" s="179"/>
    </row>
    <row r="257" spans="1:7">
      <c r="A257" s="178"/>
      <c r="B257" s="153"/>
      <c r="C257" s="153"/>
      <c r="D257" s="155"/>
      <c r="E257" s="88"/>
      <c r="F257" s="173"/>
      <c r="G257" s="179"/>
    </row>
    <row r="258" spans="1:7">
      <c r="A258" s="178"/>
      <c r="B258" s="153"/>
      <c r="C258" s="153"/>
      <c r="D258" s="155"/>
      <c r="E258" s="88"/>
      <c r="F258" s="173"/>
      <c r="G258" s="179"/>
    </row>
    <row r="259" spans="1:7">
      <c r="A259" s="178"/>
      <c r="B259" s="153"/>
      <c r="C259" s="153"/>
      <c r="D259" s="155"/>
      <c r="E259" s="88"/>
      <c r="F259" s="173"/>
      <c r="G259" s="179"/>
    </row>
    <row r="260" spans="1:7">
      <c r="A260" s="178"/>
      <c r="B260" s="153"/>
      <c r="C260" s="153"/>
      <c r="D260" s="155"/>
      <c r="E260" s="88"/>
      <c r="F260" s="173"/>
      <c r="G260" s="179"/>
    </row>
    <row r="261" spans="1:7">
      <c r="A261" s="178"/>
      <c r="B261" s="153"/>
      <c r="C261" s="153"/>
      <c r="D261" s="155"/>
      <c r="E261" s="88"/>
      <c r="F261" s="173"/>
      <c r="G261" s="179"/>
    </row>
    <row r="262" spans="1:7">
      <c r="A262" s="178"/>
      <c r="B262" s="153"/>
      <c r="C262" s="153"/>
      <c r="D262" s="155"/>
      <c r="E262" s="88"/>
      <c r="F262" s="173"/>
      <c r="G262" s="179"/>
    </row>
    <row r="263" spans="1:7">
      <c r="A263" s="178"/>
      <c r="B263" s="153"/>
      <c r="C263" s="153"/>
      <c r="D263" s="155"/>
      <c r="E263" s="88"/>
      <c r="F263" s="173"/>
      <c r="G263" s="179"/>
    </row>
    <row r="264" spans="1:7">
      <c r="A264" s="178"/>
      <c r="B264" s="153"/>
      <c r="C264" s="153"/>
      <c r="D264" s="155"/>
      <c r="E264" s="88"/>
      <c r="F264" s="173"/>
      <c r="G264" s="179"/>
    </row>
    <row r="265" spans="1:7">
      <c r="A265" s="178"/>
      <c r="B265" s="153"/>
      <c r="C265" s="153"/>
      <c r="D265" s="155"/>
      <c r="E265" s="88"/>
      <c r="F265" s="173"/>
      <c r="G265" s="179"/>
    </row>
    <row r="266" spans="1:7">
      <c r="A266" s="178"/>
      <c r="B266" s="153"/>
      <c r="C266" s="153"/>
      <c r="D266" s="155"/>
      <c r="E266" s="88"/>
      <c r="F266" s="173"/>
      <c r="G266" s="179"/>
    </row>
    <row r="267" spans="1:7">
      <c r="A267" s="178"/>
      <c r="B267" s="153"/>
      <c r="C267" s="153"/>
      <c r="D267" s="155"/>
      <c r="E267" s="88"/>
      <c r="F267" s="173"/>
      <c r="G267" s="179"/>
    </row>
    <row r="268" spans="1:7">
      <c r="A268" s="178"/>
      <c r="B268" s="153"/>
      <c r="C268" s="153"/>
      <c r="D268" s="155"/>
      <c r="E268" s="88"/>
      <c r="F268" s="173"/>
      <c r="G268" s="179"/>
    </row>
    <row r="269" spans="1:7">
      <c r="A269" s="178"/>
      <c r="B269" s="153"/>
      <c r="C269" s="153"/>
      <c r="D269" s="155"/>
      <c r="E269" s="88"/>
      <c r="F269" s="173"/>
      <c r="G269" s="179"/>
    </row>
    <row r="270" spans="1:7">
      <c r="A270" s="178"/>
      <c r="B270" s="153"/>
      <c r="C270" s="153"/>
      <c r="D270" s="155"/>
      <c r="E270" s="88"/>
      <c r="F270" s="173"/>
      <c r="G270" s="179"/>
    </row>
    <row r="271" spans="1:7">
      <c r="A271" s="178"/>
      <c r="B271" s="153"/>
      <c r="C271" s="153"/>
      <c r="D271" s="155"/>
      <c r="E271" s="88"/>
      <c r="F271" s="173"/>
      <c r="G271" s="179"/>
    </row>
    <row r="272" spans="1:7">
      <c r="A272" s="178"/>
      <c r="B272" s="153"/>
      <c r="C272" s="153"/>
      <c r="D272" s="155"/>
      <c r="E272" s="88"/>
      <c r="F272" s="173"/>
      <c r="G272" s="179"/>
    </row>
    <row r="273" spans="1:7">
      <c r="A273" s="178"/>
      <c r="B273" s="153"/>
      <c r="C273" s="153"/>
      <c r="D273" s="155"/>
      <c r="E273" s="88"/>
      <c r="F273" s="173"/>
      <c r="G273" s="179"/>
    </row>
    <row r="274" spans="1:7">
      <c r="A274" s="178"/>
      <c r="B274" s="153"/>
      <c r="C274" s="153"/>
      <c r="D274" s="155"/>
      <c r="E274" s="88"/>
      <c r="F274" s="173"/>
      <c r="G274" s="179"/>
    </row>
    <row r="275" spans="1:7">
      <c r="A275" s="178"/>
      <c r="B275" s="153"/>
      <c r="C275" s="153"/>
      <c r="D275" s="155"/>
      <c r="E275" s="88"/>
      <c r="F275" s="173"/>
      <c r="G275" s="179"/>
    </row>
    <row r="276" spans="1:7">
      <c r="A276" s="178"/>
      <c r="B276" s="153"/>
      <c r="C276" s="153"/>
      <c r="D276" s="155"/>
      <c r="E276" s="88"/>
      <c r="F276" s="173"/>
      <c r="G276" s="179"/>
    </row>
    <row r="277" spans="1:7">
      <c r="A277" s="178"/>
      <c r="B277" s="153"/>
      <c r="C277" s="153"/>
      <c r="D277" s="155"/>
      <c r="E277" s="88"/>
      <c r="F277" s="173"/>
      <c r="G277" s="179"/>
    </row>
    <row r="278" spans="1:7">
      <c r="A278" s="178"/>
      <c r="B278" s="153"/>
      <c r="C278" s="153"/>
      <c r="D278" s="155"/>
      <c r="E278" s="88"/>
      <c r="F278" s="173"/>
      <c r="G278" s="179"/>
    </row>
    <row r="279" spans="1:7">
      <c r="A279" s="178"/>
      <c r="B279" s="153"/>
      <c r="C279" s="153"/>
      <c r="D279" s="155"/>
      <c r="E279" s="88"/>
      <c r="F279" s="173"/>
      <c r="G279" s="179"/>
    </row>
    <row r="280" spans="1:7">
      <c r="A280" s="178"/>
      <c r="B280" s="153"/>
      <c r="C280" s="153"/>
      <c r="D280" s="155"/>
      <c r="E280" s="88"/>
      <c r="F280" s="173"/>
      <c r="G280" s="185"/>
    </row>
    <row r="281" spans="1:7">
      <c r="A281" s="178"/>
      <c r="B281" s="153"/>
      <c r="C281" s="153"/>
      <c r="D281" s="155"/>
      <c r="E281" s="88"/>
      <c r="F281" s="173"/>
      <c r="G281" s="179"/>
    </row>
    <row r="282" spans="1:7">
      <c r="A282" s="178"/>
      <c r="B282" s="153"/>
      <c r="C282" s="153"/>
      <c r="D282" s="155"/>
      <c r="E282" s="88"/>
      <c r="F282" s="173"/>
      <c r="G282" s="179"/>
    </row>
    <row r="283" spans="1:7">
      <c r="A283" s="180"/>
      <c r="B283" s="181"/>
      <c r="C283" s="153"/>
      <c r="D283" s="155"/>
      <c r="E283" s="88"/>
      <c r="F283" s="173"/>
      <c r="G283" s="179"/>
    </row>
    <row r="284" spans="1:7">
      <c r="A284" s="180"/>
      <c r="B284" s="181"/>
      <c r="C284" s="153"/>
      <c r="D284" s="155"/>
      <c r="E284" s="88"/>
      <c r="F284" s="173"/>
      <c r="G284" s="179"/>
    </row>
    <row r="285" spans="1:7">
      <c r="A285" s="180"/>
      <c r="B285" s="181"/>
      <c r="C285" s="153"/>
      <c r="D285" s="155"/>
      <c r="E285" s="88"/>
      <c r="F285" s="173"/>
      <c r="G285" s="179"/>
    </row>
    <row r="286" spans="1:7">
      <c r="A286" s="180"/>
      <c r="B286" s="181"/>
      <c r="C286" s="153"/>
      <c r="D286" s="155"/>
      <c r="E286" s="88"/>
      <c r="F286" s="173"/>
      <c r="G286" s="179"/>
    </row>
    <row r="287" spans="1:7">
      <c r="A287" s="180"/>
      <c r="B287" s="181"/>
      <c r="C287" s="153"/>
      <c r="D287" s="155"/>
      <c r="E287" s="88"/>
      <c r="F287" s="173"/>
      <c r="G287" s="179"/>
    </row>
    <row r="288" spans="1:7">
      <c r="A288" s="180"/>
      <c r="B288" s="153"/>
      <c r="C288" s="153"/>
      <c r="D288" s="155"/>
      <c r="E288" s="88"/>
      <c r="F288" s="173"/>
      <c r="G288" s="179"/>
    </row>
    <row r="289" spans="1:7">
      <c r="A289" s="180"/>
      <c r="B289" s="153"/>
      <c r="C289" s="153"/>
      <c r="D289" s="155"/>
      <c r="E289" s="88"/>
      <c r="F289" s="173"/>
      <c r="G289" s="179"/>
    </row>
    <row r="290" spans="1:7">
      <c r="A290" s="180"/>
      <c r="B290" s="153"/>
      <c r="C290" s="153"/>
      <c r="D290" s="155"/>
      <c r="E290" s="88"/>
      <c r="F290" s="173"/>
      <c r="G290" s="179"/>
    </row>
    <row r="291" spans="1:7">
      <c r="A291" s="180"/>
      <c r="B291" s="153"/>
      <c r="C291" s="153"/>
      <c r="D291" s="155"/>
      <c r="E291" s="88"/>
      <c r="F291" s="173"/>
      <c r="G291" s="179"/>
    </row>
    <row r="292" spans="1:7">
      <c r="A292" s="180"/>
      <c r="B292" s="153"/>
      <c r="C292" s="153"/>
      <c r="D292" s="155"/>
      <c r="E292" s="88"/>
      <c r="F292" s="173"/>
      <c r="G292" s="179"/>
    </row>
    <row r="293" spans="1:7">
      <c r="A293" s="180"/>
      <c r="B293" s="153"/>
      <c r="C293" s="153"/>
      <c r="D293" s="155"/>
      <c r="E293" s="88"/>
      <c r="F293" s="173"/>
      <c r="G293" s="179"/>
    </row>
    <row r="294" spans="1:7">
      <c r="A294" s="180"/>
      <c r="B294" s="153"/>
      <c r="C294" s="153"/>
      <c r="D294" s="155"/>
      <c r="E294" s="88"/>
      <c r="F294" s="173"/>
      <c r="G294" s="179"/>
    </row>
    <row r="295" spans="1:7">
      <c r="A295" s="180"/>
      <c r="B295" s="153"/>
      <c r="C295" s="153"/>
      <c r="D295" s="155"/>
      <c r="E295" s="88"/>
      <c r="F295" s="173"/>
      <c r="G295" s="179"/>
    </row>
    <row r="296" spans="1:7">
      <c r="A296" s="180"/>
      <c r="B296" s="153"/>
      <c r="C296" s="153"/>
      <c r="D296" s="155"/>
      <c r="E296" s="88"/>
      <c r="F296" s="173"/>
      <c r="G296" s="179"/>
    </row>
    <row r="297" spans="1:7">
      <c r="A297" s="180"/>
      <c r="B297" s="153"/>
      <c r="C297" s="153"/>
      <c r="D297" s="155"/>
      <c r="E297" s="88"/>
      <c r="F297" s="173"/>
      <c r="G297" s="179"/>
    </row>
    <row r="298" spans="1:7">
      <c r="A298" s="180"/>
      <c r="B298" s="153"/>
      <c r="C298" s="153"/>
      <c r="D298" s="155"/>
      <c r="E298" s="88"/>
      <c r="F298" s="173"/>
      <c r="G298" s="179"/>
    </row>
    <row r="299" spans="1:7">
      <c r="A299" s="180"/>
      <c r="B299" s="153"/>
      <c r="C299" s="153"/>
      <c r="D299" s="155"/>
      <c r="E299" s="88"/>
      <c r="F299" s="173"/>
      <c r="G299" s="179"/>
    </row>
    <row r="300" spans="1:7">
      <c r="A300" s="180"/>
      <c r="B300" s="153"/>
      <c r="C300" s="153"/>
      <c r="D300" s="155"/>
      <c r="E300" s="88"/>
      <c r="F300" s="173"/>
      <c r="G300" s="179"/>
    </row>
    <row r="301" spans="1:7">
      <c r="A301" s="180"/>
      <c r="B301" s="153"/>
      <c r="C301" s="153"/>
      <c r="D301" s="155"/>
      <c r="E301" s="88"/>
      <c r="F301" s="173"/>
      <c r="G301" s="179"/>
    </row>
    <row r="302" spans="1:7">
      <c r="A302" s="180"/>
      <c r="B302" s="153"/>
      <c r="C302" s="153"/>
      <c r="D302" s="155"/>
      <c r="E302" s="88"/>
      <c r="F302" s="173"/>
      <c r="G302" s="179"/>
    </row>
    <row r="303" spans="1:7">
      <c r="A303" s="180"/>
      <c r="B303" s="153"/>
      <c r="C303" s="153"/>
      <c r="D303" s="155"/>
      <c r="E303" s="88"/>
      <c r="F303" s="173"/>
      <c r="G303" s="179"/>
    </row>
    <row r="304" spans="1:7">
      <c r="A304" s="178"/>
      <c r="B304" s="153"/>
      <c r="C304" s="153"/>
      <c r="D304" s="155"/>
      <c r="E304" s="88"/>
      <c r="F304" s="173"/>
      <c r="G304" s="179"/>
    </row>
    <row r="305" spans="1:7">
      <c r="A305" s="178"/>
      <c r="B305" s="153"/>
      <c r="C305" s="153"/>
      <c r="D305" s="155"/>
      <c r="E305" s="88"/>
      <c r="F305" s="173"/>
      <c r="G305" s="179"/>
    </row>
    <row r="306" spans="1:8">
      <c r="A306" s="178"/>
      <c r="B306" s="153"/>
      <c r="C306" s="153"/>
      <c r="D306" s="155"/>
      <c r="E306" s="88"/>
      <c r="F306" s="173"/>
      <c r="G306" s="179"/>
      <c r="H306" s="168"/>
    </row>
    <row r="307" spans="1:7">
      <c r="A307" s="178"/>
      <c r="B307" s="153"/>
      <c r="C307" s="153"/>
      <c r="D307" s="155"/>
      <c r="E307" s="88"/>
      <c r="F307" s="173"/>
      <c r="G307" s="179"/>
    </row>
    <row r="308" spans="1:7">
      <c r="A308" s="178"/>
      <c r="B308" s="153"/>
      <c r="C308" s="153"/>
      <c r="D308" s="155"/>
      <c r="E308" s="88"/>
      <c r="F308" s="173"/>
      <c r="G308" s="179"/>
    </row>
    <row r="309" spans="1:7">
      <c r="A309" s="178"/>
      <c r="B309" s="153"/>
      <c r="C309" s="153"/>
      <c r="D309" s="155"/>
      <c r="E309" s="88"/>
      <c r="F309" s="173"/>
      <c r="G309" s="179"/>
    </row>
    <row r="310" spans="1:7">
      <c r="A310" s="178"/>
      <c r="B310" s="153"/>
      <c r="C310" s="153"/>
      <c r="D310" s="155"/>
      <c r="E310" s="88"/>
      <c r="F310" s="173"/>
      <c r="G310" s="179"/>
    </row>
    <row r="311" spans="1:7">
      <c r="A311" s="178"/>
      <c r="B311" s="153"/>
      <c r="C311" s="153"/>
      <c r="D311" s="155"/>
      <c r="E311" s="88"/>
      <c r="F311" s="173"/>
      <c r="G311" s="179"/>
    </row>
    <row r="312" spans="1:7">
      <c r="A312" s="178"/>
      <c r="B312" s="153"/>
      <c r="C312" s="153"/>
      <c r="D312" s="155"/>
      <c r="E312" s="88"/>
      <c r="F312" s="173"/>
      <c r="G312" s="179"/>
    </row>
    <row r="313" spans="1:7">
      <c r="A313" s="178"/>
      <c r="B313" s="153"/>
      <c r="C313" s="153"/>
      <c r="D313" s="155"/>
      <c r="E313" s="88"/>
      <c r="F313" s="173"/>
      <c r="G313" s="179"/>
    </row>
    <row r="314" spans="1:7">
      <c r="A314" s="178"/>
      <c r="B314" s="153"/>
      <c r="C314" s="153"/>
      <c r="D314" s="155"/>
      <c r="E314" s="88"/>
      <c r="F314" s="173"/>
      <c r="G314" s="179"/>
    </row>
    <row r="315" spans="1:7">
      <c r="A315" s="178"/>
      <c r="B315" s="153"/>
      <c r="C315" s="153"/>
      <c r="D315" s="155"/>
      <c r="E315" s="88"/>
      <c r="F315" s="173"/>
      <c r="G315" s="179"/>
    </row>
    <row r="316" spans="1:7">
      <c r="A316" s="178"/>
      <c r="B316" s="153"/>
      <c r="C316" s="153"/>
      <c r="D316" s="155"/>
      <c r="E316" s="88"/>
      <c r="F316" s="173"/>
      <c r="G316" s="179"/>
    </row>
    <row r="317" spans="1:7">
      <c r="A317" s="178"/>
      <c r="B317" s="153"/>
      <c r="C317" s="153"/>
      <c r="D317" s="155"/>
      <c r="E317" s="88"/>
      <c r="F317" s="173"/>
      <c r="G317" s="179"/>
    </row>
    <row r="318" spans="1:7">
      <c r="A318" s="178"/>
      <c r="B318" s="153"/>
      <c r="C318" s="153"/>
      <c r="D318" s="155"/>
      <c r="E318" s="88"/>
      <c r="F318" s="173"/>
      <c r="G318" s="179"/>
    </row>
    <row r="319" spans="1:7">
      <c r="A319" s="178"/>
      <c r="B319" s="153"/>
      <c r="C319" s="153"/>
      <c r="D319" s="155"/>
      <c r="E319" s="88"/>
      <c r="F319" s="173"/>
      <c r="G319" s="179"/>
    </row>
    <row r="320" spans="1:7">
      <c r="A320" s="178"/>
      <c r="B320" s="153"/>
      <c r="C320" s="153"/>
      <c r="D320" s="155"/>
      <c r="E320" s="88"/>
      <c r="F320" s="173"/>
      <c r="G320" s="179"/>
    </row>
    <row r="321" spans="1:7">
      <c r="A321" s="178"/>
      <c r="B321" s="153"/>
      <c r="C321" s="153"/>
      <c r="D321" s="155"/>
      <c r="E321" s="88"/>
      <c r="F321" s="173"/>
      <c r="G321" s="179"/>
    </row>
    <row r="322" spans="1:7">
      <c r="A322" s="178"/>
      <c r="B322" s="153"/>
      <c r="C322" s="153"/>
      <c r="D322" s="155"/>
      <c r="E322" s="88"/>
      <c r="F322" s="173"/>
      <c r="G322" s="179"/>
    </row>
    <row r="323" spans="1:7">
      <c r="A323" s="178"/>
      <c r="B323" s="153"/>
      <c r="C323" s="153"/>
      <c r="D323" s="155"/>
      <c r="E323" s="88"/>
      <c r="F323" s="173"/>
      <c r="G323" s="179"/>
    </row>
    <row r="324" spans="1:7">
      <c r="A324" s="178"/>
      <c r="B324" s="153"/>
      <c r="C324" s="153"/>
      <c r="D324" s="155"/>
      <c r="E324" s="88"/>
      <c r="F324" s="173"/>
      <c r="G324" s="179"/>
    </row>
    <row r="325" spans="1:7">
      <c r="A325" s="178"/>
      <c r="B325" s="153"/>
      <c r="C325" s="153"/>
      <c r="D325" s="155"/>
      <c r="E325" s="88"/>
      <c r="F325" s="173"/>
      <c r="G325" s="179"/>
    </row>
    <row r="326" spans="1:7">
      <c r="A326" s="178"/>
      <c r="B326" s="153"/>
      <c r="C326" s="153"/>
      <c r="D326" s="155"/>
      <c r="E326" s="88"/>
      <c r="F326" s="173"/>
      <c r="G326" s="179"/>
    </row>
    <row r="327" spans="1:7">
      <c r="A327" s="178"/>
      <c r="B327" s="153"/>
      <c r="C327" s="153"/>
      <c r="D327" s="155"/>
      <c r="E327" s="88"/>
      <c r="F327" s="173"/>
      <c r="G327" s="179"/>
    </row>
    <row r="328" spans="1:7">
      <c r="A328" s="178"/>
      <c r="B328" s="153"/>
      <c r="C328" s="153"/>
      <c r="D328" s="155"/>
      <c r="E328" s="88"/>
      <c r="F328" s="173"/>
      <c r="G328" s="179"/>
    </row>
    <row r="329" spans="1:7">
      <c r="A329" s="178"/>
      <c r="B329" s="153"/>
      <c r="C329" s="153"/>
      <c r="D329" s="155"/>
      <c r="E329" s="88"/>
      <c r="F329" s="173"/>
      <c r="G329" s="179"/>
    </row>
    <row r="330" spans="1:7">
      <c r="A330" s="178"/>
      <c r="B330" s="153"/>
      <c r="C330" s="153"/>
      <c r="D330" s="155"/>
      <c r="E330" s="88"/>
      <c r="F330" s="173"/>
      <c r="G330" s="179"/>
    </row>
    <row r="331" spans="1:7">
      <c r="A331" s="178"/>
      <c r="B331" s="153"/>
      <c r="C331" s="153"/>
      <c r="D331" s="155"/>
      <c r="E331" s="88"/>
      <c r="F331" s="173"/>
      <c r="G331" s="179"/>
    </row>
    <row r="332" spans="1:7">
      <c r="A332" s="178"/>
      <c r="B332" s="153"/>
      <c r="C332" s="153"/>
      <c r="D332" s="155"/>
      <c r="E332" s="88"/>
      <c r="F332" s="173"/>
      <c r="G332" s="179"/>
    </row>
    <row r="333" spans="1:7">
      <c r="A333" s="178"/>
      <c r="B333" s="153"/>
      <c r="C333" s="153"/>
      <c r="D333" s="155"/>
      <c r="E333" s="88"/>
      <c r="F333" s="173"/>
      <c r="G333" s="179"/>
    </row>
    <row r="334" spans="1:7">
      <c r="A334" s="178"/>
      <c r="B334" s="153"/>
      <c r="C334" s="153"/>
      <c r="D334" s="155"/>
      <c r="E334" s="88"/>
      <c r="F334" s="173"/>
      <c r="G334" s="179"/>
    </row>
    <row r="335" spans="1:7">
      <c r="A335" s="178"/>
      <c r="B335" s="153"/>
      <c r="C335" s="153"/>
      <c r="D335" s="155"/>
      <c r="E335" s="88"/>
      <c r="F335" s="173"/>
      <c r="G335" s="179"/>
    </row>
    <row r="336" spans="1:7">
      <c r="A336" s="178"/>
      <c r="B336" s="153"/>
      <c r="C336" s="153"/>
      <c r="D336" s="155"/>
      <c r="E336" s="88"/>
      <c r="F336" s="173"/>
      <c r="G336" s="179"/>
    </row>
    <row r="337" spans="1:7">
      <c r="A337" s="178"/>
      <c r="B337" s="153"/>
      <c r="C337" s="153"/>
      <c r="D337" s="155"/>
      <c r="E337" s="88"/>
      <c r="F337" s="173"/>
      <c r="G337" s="179"/>
    </row>
    <row r="338" spans="1:7">
      <c r="A338" s="178"/>
      <c r="B338" s="153"/>
      <c r="C338" s="153"/>
      <c r="D338" s="155"/>
      <c r="E338" s="88"/>
      <c r="F338" s="173"/>
      <c r="G338" s="179"/>
    </row>
    <row r="339" spans="1:7">
      <c r="A339" s="178"/>
      <c r="B339" s="153"/>
      <c r="C339" s="153"/>
      <c r="D339" s="155"/>
      <c r="E339" s="88"/>
      <c r="F339" s="173"/>
      <c r="G339" s="179"/>
    </row>
    <row r="340" spans="1:7">
      <c r="A340" s="178"/>
      <c r="B340" s="153"/>
      <c r="C340" s="153"/>
      <c r="D340" s="155"/>
      <c r="E340" s="88"/>
      <c r="F340" s="173"/>
      <c r="G340" s="179"/>
    </row>
    <row r="341" spans="1:7">
      <c r="A341" s="178"/>
      <c r="B341" s="153"/>
      <c r="C341" s="153"/>
      <c r="D341" s="155"/>
      <c r="E341" s="88"/>
      <c r="F341" s="173"/>
      <c r="G341" s="179"/>
    </row>
    <row r="342" spans="1:7">
      <c r="A342" s="178"/>
      <c r="B342" s="153"/>
      <c r="C342" s="153"/>
      <c r="D342" s="155"/>
      <c r="E342" s="88"/>
      <c r="F342" s="173"/>
      <c r="G342" s="179"/>
    </row>
    <row r="343" spans="1:7">
      <c r="A343" s="178"/>
      <c r="B343" s="153"/>
      <c r="C343" s="153"/>
      <c r="D343" s="155"/>
      <c r="E343" s="88"/>
      <c r="F343" s="173"/>
      <c r="G343" s="179"/>
    </row>
    <row r="344" spans="1:7">
      <c r="A344" s="178"/>
      <c r="B344" s="153"/>
      <c r="C344" s="153"/>
      <c r="D344" s="155"/>
      <c r="E344" s="88"/>
      <c r="F344" s="173"/>
      <c r="G344" s="179"/>
    </row>
    <row r="345" spans="1:7">
      <c r="A345" s="178"/>
      <c r="B345" s="153"/>
      <c r="C345" s="153"/>
      <c r="D345" s="155"/>
      <c r="E345" s="88"/>
      <c r="F345" s="173"/>
      <c r="G345" s="179"/>
    </row>
    <row r="346" spans="1:7">
      <c r="A346" s="178"/>
      <c r="B346" s="153"/>
      <c r="C346" s="153"/>
      <c r="D346" s="155"/>
      <c r="E346" s="88"/>
      <c r="F346" s="173"/>
      <c r="G346" s="179"/>
    </row>
    <row r="347" spans="1:7">
      <c r="A347" s="178"/>
      <c r="B347" s="153"/>
      <c r="C347" s="153"/>
      <c r="D347" s="155"/>
      <c r="E347" s="88"/>
      <c r="F347" s="173"/>
      <c r="G347" s="179"/>
    </row>
    <row r="348" spans="1:7">
      <c r="A348" s="178"/>
      <c r="B348" s="153"/>
      <c r="C348" s="153"/>
      <c r="D348" s="155"/>
      <c r="E348" s="88"/>
      <c r="F348" s="173"/>
      <c r="G348" s="179"/>
    </row>
    <row r="349" spans="1:7">
      <c r="A349" s="178"/>
      <c r="B349" s="153"/>
      <c r="C349" s="153"/>
      <c r="D349" s="155"/>
      <c r="E349" s="88"/>
      <c r="F349" s="173"/>
      <c r="G349" s="179"/>
    </row>
    <row r="350" spans="1:7">
      <c r="A350" s="178"/>
      <c r="B350" s="153"/>
      <c r="C350" s="153"/>
      <c r="D350" s="155"/>
      <c r="E350" s="88"/>
      <c r="F350" s="173"/>
      <c r="G350" s="179"/>
    </row>
    <row r="351" spans="1:7">
      <c r="A351" s="178"/>
      <c r="B351" s="153"/>
      <c r="C351" s="153"/>
      <c r="D351" s="155"/>
      <c r="E351" s="88"/>
      <c r="F351" s="173"/>
      <c r="G351" s="179"/>
    </row>
    <row r="352" spans="1:7">
      <c r="A352" s="178"/>
      <c r="B352" s="153"/>
      <c r="C352" s="153"/>
      <c r="D352" s="155"/>
      <c r="E352" s="88"/>
      <c r="F352" s="173"/>
      <c r="G352" s="179"/>
    </row>
    <row r="353" spans="1:7">
      <c r="A353" s="178"/>
      <c r="B353" s="153"/>
      <c r="C353" s="153"/>
      <c r="D353" s="155"/>
      <c r="E353" s="88"/>
      <c r="F353" s="173"/>
      <c r="G353" s="179"/>
    </row>
    <row r="354" spans="1:7">
      <c r="A354" s="178"/>
      <c r="B354" s="153"/>
      <c r="C354" s="153"/>
      <c r="D354" s="155"/>
      <c r="E354" s="88"/>
      <c r="F354" s="173"/>
      <c r="G354" s="179"/>
    </row>
    <row r="355" spans="1:7">
      <c r="A355" s="178"/>
      <c r="B355" s="153"/>
      <c r="C355" s="153"/>
      <c r="D355" s="155"/>
      <c r="E355" s="88"/>
      <c r="F355" s="173"/>
      <c r="G355" s="179"/>
    </row>
    <row r="356" spans="1:7">
      <c r="A356" s="178"/>
      <c r="B356" s="153"/>
      <c r="C356" s="153"/>
      <c r="D356" s="155"/>
      <c r="E356" s="88"/>
      <c r="F356" s="173"/>
      <c r="G356" s="179"/>
    </row>
    <row r="357" spans="1:7">
      <c r="A357" s="178"/>
      <c r="B357" s="153"/>
      <c r="C357" s="153"/>
      <c r="D357" s="155"/>
      <c r="E357" s="88"/>
      <c r="F357" s="173"/>
      <c r="G357" s="179"/>
    </row>
    <row r="358" spans="1:7">
      <c r="A358" s="178"/>
      <c r="B358" s="153"/>
      <c r="C358" s="153"/>
      <c r="D358" s="155"/>
      <c r="E358" s="88"/>
      <c r="F358" s="173"/>
      <c r="G358" s="179"/>
    </row>
    <row r="359" spans="1:7">
      <c r="A359" s="178"/>
      <c r="B359" s="153"/>
      <c r="C359" s="153"/>
      <c r="D359" s="155"/>
      <c r="E359" s="88"/>
      <c r="F359" s="173"/>
      <c r="G359" s="179"/>
    </row>
    <row r="360" spans="1:7">
      <c r="A360" s="178"/>
      <c r="B360" s="153"/>
      <c r="C360" s="153"/>
      <c r="D360" s="155"/>
      <c r="E360" s="88"/>
      <c r="F360" s="173"/>
      <c r="G360" s="179"/>
    </row>
    <row r="361" spans="1:7">
      <c r="A361" s="178"/>
      <c r="B361" s="153"/>
      <c r="C361" s="153"/>
      <c r="D361" s="155"/>
      <c r="E361" s="88"/>
      <c r="F361" s="173"/>
      <c r="G361" s="179"/>
    </row>
    <row r="362" spans="1:7">
      <c r="A362" s="178"/>
      <c r="B362" s="153"/>
      <c r="C362" s="153"/>
      <c r="D362" s="155"/>
      <c r="E362" s="88"/>
      <c r="F362" s="173"/>
      <c r="G362" s="179"/>
    </row>
    <row r="363" spans="1:7">
      <c r="A363" s="178"/>
      <c r="B363" s="153"/>
      <c r="C363" s="153"/>
      <c r="D363" s="155"/>
      <c r="E363" s="88"/>
      <c r="F363" s="173"/>
      <c r="G363" s="179"/>
    </row>
    <row r="364" spans="1:7">
      <c r="A364" s="178"/>
      <c r="B364" s="153"/>
      <c r="C364" s="153"/>
      <c r="D364" s="155"/>
      <c r="E364" s="88"/>
      <c r="F364" s="173"/>
      <c r="G364" s="179"/>
    </row>
    <row r="365" spans="1:7">
      <c r="A365" s="178"/>
      <c r="B365" s="153"/>
      <c r="C365" s="153"/>
      <c r="D365" s="155"/>
      <c r="E365" s="88"/>
      <c r="F365" s="173"/>
      <c r="G365" s="179"/>
    </row>
    <row r="366" spans="1:7">
      <c r="A366" s="178"/>
      <c r="B366" s="153"/>
      <c r="C366" s="153"/>
      <c r="D366" s="155"/>
      <c r="E366" s="88"/>
      <c r="F366" s="173"/>
      <c r="G366" s="179"/>
    </row>
    <row r="367" spans="1:7">
      <c r="A367" s="178"/>
      <c r="B367" s="153"/>
      <c r="C367" s="153"/>
      <c r="D367" s="155"/>
      <c r="E367" s="88"/>
      <c r="F367" s="173"/>
      <c r="G367" s="179"/>
    </row>
    <row r="368" spans="1:7">
      <c r="A368" s="178"/>
      <c r="B368" s="153"/>
      <c r="C368" s="153"/>
      <c r="D368" s="155"/>
      <c r="E368" s="88"/>
      <c r="F368" s="173"/>
      <c r="G368" s="179"/>
    </row>
    <row r="369" spans="1:7">
      <c r="A369" s="178"/>
      <c r="B369" s="153"/>
      <c r="C369" s="153"/>
      <c r="D369" s="155"/>
      <c r="E369" s="88"/>
      <c r="F369" s="173"/>
      <c r="G369" s="179"/>
    </row>
    <row r="370" spans="1:7">
      <c r="A370" s="178"/>
      <c r="B370" s="153"/>
      <c r="C370" s="153"/>
      <c r="D370" s="155"/>
      <c r="E370" s="88"/>
      <c r="F370" s="173"/>
      <c r="G370" s="179"/>
    </row>
    <row r="371" spans="1:7">
      <c r="A371" s="178"/>
      <c r="B371" s="153"/>
      <c r="C371" s="153"/>
      <c r="D371" s="155"/>
      <c r="E371" s="88"/>
      <c r="F371" s="173"/>
      <c r="G371" s="179"/>
    </row>
    <row r="372" spans="1:7">
      <c r="A372" s="178"/>
      <c r="B372" s="153"/>
      <c r="C372" s="153"/>
      <c r="D372" s="155"/>
      <c r="E372" s="88"/>
      <c r="F372" s="173"/>
      <c r="G372" s="179"/>
    </row>
    <row r="373" spans="1:7">
      <c r="A373" s="178"/>
      <c r="B373" s="153"/>
      <c r="C373" s="153"/>
      <c r="D373" s="155"/>
      <c r="E373" s="88"/>
      <c r="F373" s="173"/>
      <c r="G373" s="179"/>
    </row>
    <row r="374" spans="1:7">
      <c r="A374" s="178"/>
      <c r="B374" s="153"/>
      <c r="C374" s="153"/>
      <c r="D374" s="155"/>
      <c r="E374" s="88"/>
      <c r="F374" s="173"/>
      <c r="G374" s="179"/>
    </row>
    <row r="375" spans="1:7">
      <c r="A375" s="178"/>
      <c r="B375" s="153"/>
      <c r="C375" s="153"/>
      <c r="D375" s="155"/>
      <c r="E375" s="88"/>
      <c r="F375" s="173"/>
      <c r="G375" s="179"/>
    </row>
    <row r="376" spans="1:7">
      <c r="A376" s="178"/>
      <c r="B376" s="153"/>
      <c r="C376" s="153"/>
      <c r="D376" s="155"/>
      <c r="E376" s="88"/>
      <c r="F376" s="173"/>
      <c r="G376" s="179"/>
    </row>
    <row r="377" spans="1:7">
      <c r="A377" s="178"/>
      <c r="B377" s="153"/>
      <c r="C377" s="153"/>
      <c r="D377" s="155"/>
      <c r="E377" s="88"/>
      <c r="F377" s="173"/>
      <c r="G377" s="179"/>
    </row>
    <row r="378" spans="1:7">
      <c r="A378" s="178"/>
      <c r="B378" s="153"/>
      <c r="C378" s="153"/>
      <c r="D378" s="155"/>
      <c r="E378" s="88"/>
      <c r="F378" s="173"/>
      <c r="G378" s="179"/>
    </row>
    <row r="379" spans="1:7">
      <c r="A379" s="178"/>
      <c r="B379" s="153"/>
      <c r="C379" s="153"/>
      <c r="D379" s="155"/>
      <c r="E379" s="88"/>
      <c r="F379" s="173"/>
      <c r="G379" s="179"/>
    </row>
    <row r="380" spans="1:7">
      <c r="A380" s="178"/>
      <c r="B380" s="153"/>
      <c r="C380" s="153"/>
      <c r="D380" s="155"/>
      <c r="E380" s="88"/>
      <c r="F380" s="173"/>
      <c r="G380" s="179"/>
    </row>
    <row r="381" spans="1:7">
      <c r="A381" s="178"/>
      <c r="B381" s="153"/>
      <c r="C381" s="153"/>
      <c r="D381" s="155"/>
      <c r="E381" s="88"/>
      <c r="F381" s="173"/>
      <c r="G381" s="179"/>
    </row>
    <row r="382" spans="1:7">
      <c r="A382" s="178"/>
      <c r="B382" s="153"/>
      <c r="C382" s="153"/>
      <c r="D382" s="155"/>
      <c r="E382" s="88"/>
      <c r="F382" s="173"/>
      <c r="G382" s="179"/>
    </row>
    <row r="383" spans="1:7">
      <c r="A383" s="178"/>
      <c r="B383" s="153"/>
      <c r="C383" s="153"/>
      <c r="D383" s="155"/>
      <c r="E383" s="88"/>
      <c r="F383" s="173"/>
      <c r="G383" s="179"/>
    </row>
    <row r="384" spans="1:7">
      <c r="A384" s="178"/>
      <c r="B384" s="153"/>
      <c r="C384" s="153"/>
      <c r="D384" s="155"/>
      <c r="E384" s="88"/>
      <c r="F384" s="173"/>
      <c r="G384" s="185"/>
    </row>
    <row r="385" spans="1:7">
      <c r="A385" s="178"/>
      <c r="B385" s="153"/>
      <c r="C385" s="153"/>
      <c r="D385" s="155"/>
      <c r="E385" s="88"/>
      <c r="F385" s="173"/>
      <c r="G385" s="179"/>
    </row>
    <row r="386" spans="1:7">
      <c r="A386" s="178"/>
      <c r="B386" s="153"/>
      <c r="C386" s="153"/>
      <c r="D386" s="155"/>
      <c r="E386" s="88"/>
      <c r="F386" s="173"/>
      <c r="G386" s="179"/>
    </row>
    <row r="387" spans="1:7">
      <c r="A387" s="178"/>
      <c r="B387" s="153"/>
      <c r="C387" s="153"/>
      <c r="D387" s="155"/>
      <c r="E387" s="88"/>
      <c r="F387" s="173"/>
      <c r="G387" s="179"/>
    </row>
    <row r="388" spans="1:7">
      <c r="A388" s="178"/>
      <c r="B388" s="153"/>
      <c r="C388" s="153"/>
      <c r="D388" s="155"/>
      <c r="E388" s="88"/>
      <c r="F388" s="173"/>
      <c r="G388" s="179"/>
    </row>
    <row r="389" spans="1:7">
      <c r="A389" s="178"/>
      <c r="B389" s="153"/>
      <c r="C389" s="153"/>
      <c r="D389" s="155"/>
      <c r="E389" s="88"/>
      <c r="F389" s="173"/>
      <c r="G389" s="179"/>
    </row>
    <row r="390" spans="1:7">
      <c r="A390" s="178"/>
      <c r="B390" s="153"/>
      <c r="C390" s="153"/>
      <c r="D390" s="155"/>
      <c r="E390" s="88"/>
      <c r="F390" s="173"/>
      <c r="G390" s="179"/>
    </row>
    <row r="391" spans="1:7">
      <c r="A391" s="178"/>
      <c r="B391" s="153"/>
      <c r="C391" s="153"/>
      <c r="D391" s="155"/>
      <c r="E391" s="88"/>
      <c r="F391" s="173"/>
      <c r="G391" s="179"/>
    </row>
    <row r="392" spans="1:7">
      <c r="A392" s="178"/>
      <c r="B392" s="153"/>
      <c r="C392" s="153"/>
      <c r="D392" s="155"/>
      <c r="E392" s="88"/>
      <c r="F392" s="173"/>
      <c r="G392" s="179"/>
    </row>
    <row r="393" spans="1:7">
      <c r="A393" s="178"/>
      <c r="B393" s="153"/>
      <c r="C393" s="153"/>
      <c r="D393" s="155"/>
      <c r="E393" s="88"/>
      <c r="F393" s="173"/>
      <c r="G393" s="179"/>
    </row>
    <row r="394" spans="1:7">
      <c r="A394" s="178"/>
      <c r="B394" s="153"/>
      <c r="C394" s="153"/>
      <c r="D394" s="155"/>
      <c r="E394" s="88"/>
      <c r="F394" s="173"/>
      <c r="G394" s="179"/>
    </row>
    <row r="395" spans="1:7">
      <c r="A395" s="178"/>
      <c r="B395" s="153"/>
      <c r="C395" s="153"/>
      <c r="D395" s="155"/>
      <c r="E395" s="88"/>
      <c r="F395" s="173"/>
      <c r="G395" s="179"/>
    </row>
    <row r="396" spans="1:7">
      <c r="A396" s="178"/>
      <c r="B396" s="153"/>
      <c r="C396" s="153"/>
      <c r="D396" s="155"/>
      <c r="E396" s="88"/>
      <c r="F396" s="173"/>
      <c r="G396" s="179"/>
    </row>
    <row r="397" spans="1:7">
      <c r="A397" s="178"/>
      <c r="B397" s="153"/>
      <c r="C397" s="153"/>
      <c r="D397" s="155"/>
      <c r="E397" s="88"/>
      <c r="F397" s="173"/>
      <c r="G397" s="179"/>
    </row>
    <row r="398" spans="1:7">
      <c r="A398" s="178"/>
      <c r="B398" s="153"/>
      <c r="C398" s="153"/>
      <c r="D398" s="155"/>
      <c r="E398" s="88"/>
      <c r="F398" s="173"/>
      <c r="G398" s="179"/>
    </row>
    <row r="399" spans="1:7">
      <c r="A399" s="178"/>
      <c r="B399" s="153"/>
      <c r="C399" s="153"/>
      <c r="D399" s="155"/>
      <c r="E399" s="88"/>
      <c r="F399" s="173"/>
      <c r="G399" s="179"/>
    </row>
    <row r="400" spans="1:7">
      <c r="A400" s="178"/>
      <c r="B400" s="153"/>
      <c r="C400" s="153"/>
      <c r="D400" s="155"/>
      <c r="E400" s="88"/>
      <c r="F400" s="173"/>
      <c r="G400" s="179"/>
    </row>
    <row r="401" spans="1:7">
      <c r="A401" s="178"/>
      <c r="B401" s="153"/>
      <c r="C401" s="153"/>
      <c r="D401" s="155"/>
      <c r="E401" s="88"/>
      <c r="F401" s="173"/>
      <c r="G401" s="179"/>
    </row>
    <row r="402" spans="1:7">
      <c r="A402" s="178"/>
      <c r="B402" s="153"/>
      <c r="C402" s="153"/>
      <c r="D402" s="155"/>
      <c r="E402" s="88"/>
      <c r="F402" s="173"/>
      <c r="G402" s="179"/>
    </row>
    <row r="403" spans="1:7">
      <c r="A403" s="178"/>
      <c r="B403" s="153"/>
      <c r="C403" s="153"/>
      <c r="D403" s="155"/>
      <c r="E403" s="88"/>
      <c r="F403" s="173"/>
      <c r="G403" s="179"/>
    </row>
    <row r="404" spans="1:7">
      <c r="A404" s="178"/>
      <c r="B404" s="153"/>
      <c r="C404" s="153"/>
      <c r="D404" s="155"/>
      <c r="E404" s="88"/>
      <c r="F404" s="173"/>
      <c r="G404" s="179"/>
    </row>
    <row r="405" spans="1:7">
      <c r="A405" s="178"/>
      <c r="B405" s="153"/>
      <c r="C405" s="153"/>
      <c r="D405" s="155"/>
      <c r="E405" s="88"/>
      <c r="F405" s="173"/>
      <c r="G405" s="179"/>
    </row>
    <row r="406" spans="1:7">
      <c r="A406" s="178"/>
      <c r="B406" s="153"/>
      <c r="C406" s="153"/>
      <c r="D406" s="155"/>
      <c r="E406" s="88"/>
      <c r="F406" s="173"/>
      <c r="G406" s="179"/>
    </row>
    <row r="407" spans="1:7">
      <c r="A407" s="178"/>
      <c r="B407" s="153"/>
      <c r="C407" s="153"/>
      <c r="D407" s="155"/>
      <c r="E407" s="88"/>
      <c r="F407" s="173"/>
      <c r="G407" s="179"/>
    </row>
    <row r="408" spans="1:7">
      <c r="A408" s="178"/>
      <c r="B408" s="153"/>
      <c r="C408" s="153"/>
      <c r="D408" s="155"/>
      <c r="E408" s="88"/>
      <c r="F408" s="173"/>
      <c r="G408" s="179"/>
    </row>
    <row r="409" spans="1:7">
      <c r="A409" s="178"/>
      <c r="B409" s="153"/>
      <c r="C409" s="153"/>
      <c r="D409" s="155"/>
      <c r="E409" s="88"/>
      <c r="F409" s="173"/>
      <c r="G409" s="179"/>
    </row>
    <row r="410" spans="1:7">
      <c r="A410" s="178"/>
      <c r="B410" s="153"/>
      <c r="C410" s="153"/>
      <c r="D410" s="155"/>
      <c r="E410" s="88"/>
      <c r="F410" s="173"/>
      <c r="G410" s="179"/>
    </row>
    <row r="411" spans="1:7">
      <c r="A411" s="178"/>
      <c r="B411" s="153"/>
      <c r="C411" s="153"/>
      <c r="D411" s="155"/>
      <c r="E411" s="88"/>
      <c r="F411" s="173"/>
      <c r="G411" s="179"/>
    </row>
    <row r="412" spans="1:7">
      <c r="A412" s="178"/>
      <c r="B412" s="153"/>
      <c r="C412" s="153"/>
      <c r="D412" s="155"/>
      <c r="E412" s="88"/>
      <c r="F412" s="173"/>
      <c r="G412" s="179"/>
    </row>
    <row r="413" spans="1:7">
      <c r="A413" s="178"/>
      <c r="B413" s="153"/>
      <c r="C413" s="153"/>
      <c r="D413" s="155"/>
      <c r="E413" s="88"/>
      <c r="F413" s="173"/>
      <c r="G413" s="179"/>
    </row>
    <row r="414" spans="1:7">
      <c r="A414" s="178"/>
      <c r="B414" s="153"/>
      <c r="C414" s="153"/>
      <c r="D414" s="155"/>
      <c r="E414" s="88"/>
      <c r="F414" s="173"/>
      <c r="G414" s="179"/>
    </row>
    <row r="415" spans="1:7">
      <c r="A415" s="178"/>
      <c r="B415" s="153"/>
      <c r="C415" s="153"/>
      <c r="D415" s="155"/>
      <c r="E415" s="88"/>
      <c r="F415" s="173"/>
      <c r="G415" s="179"/>
    </row>
    <row r="416" spans="1:7">
      <c r="A416" s="178"/>
      <c r="B416" s="153"/>
      <c r="C416" s="153"/>
      <c r="D416" s="155"/>
      <c r="E416" s="88"/>
      <c r="F416" s="173"/>
      <c r="G416" s="179"/>
    </row>
    <row r="417" spans="1:7">
      <c r="A417" s="178"/>
      <c r="B417" s="153"/>
      <c r="C417" s="153"/>
      <c r="D417" s="155"/>
      <c r="E417" s="88"/>
      <c r="F417" s="173"/>
      <c r="G417" s="179"/>
    </row>
    <row r="418" spans="1:7">
      <c r="A418" s="178"/>
      <c r="B418" s="153"/>
      <c r="C418" s="153"/>
      <c r="D418" s="155"/>
      <c r="E418" s="88"/>
      <c r="F418" s="173"/>
      <c r="G418" s="179"/>
    </row>
    <row r="419" spans="1:7">
      <c r="A419" s="178"/>
      <c r="B419" s="153"/>
      <c r="C419" s="153"/>
      <c r="D419" s="155"/>
      <c r="E419" s="88"/>
      <c r="F419" s="173"/>
      <c r="G419" s="179"/>
    </row>
    <row r="420" spans="1:7">
      <c r="A420" s="178"/>
      <c r="B420" s="153"/>
      <c r="C420" s="153"/>
      <c r="D420" s="155"/>
      <c r="E420" s="88"/>
      <c r="F420" s="173"/>
      <c r="G420" s="179"/>
    </row>
    <row r="421" spans="1:7">
      <c r="A421" s="178"/>
      <c r="B421" s="153"/>
      <c r="C421" s="153"/>
      <c r="D421" s="155"/>
      <c r="E421" s="88"/>
      <c r="F421" s="173"/>
      <c r="G421" s="179"/>
    </row>
    <row r="422" spans="1:7">
      <c r="A422" s="178"/>
      <c r="B422" s="153"/>
      <c r="C422" s="153"/>
      <c r="D422" s="155"/>
      <c r="E422" s="88"/>
      <c r="F422" s="173"/>
      <c r="G422" s="179"/>
    </row>
    <row r="423" spans="1:7">
      <c r="A423" s="178"/>
      <c r="B423" s="153"/>
      <c r="C423" s="153"/>
      <c r="D423" s="155"/>
      <c r="E423" s="88"/>
      <c r="F423" s="173"/>
      <c r="G423" s="179"/>
    </row>
    <row r="424" spans="1:7">
      <c r="A424" s="178"/>
      <c r="B424" s="153"/>
      <c r="C424" s="153"/>
      <c r="D424" s="155"/>
      <c r="E424" s="88"/>
      <c r="F424" s="173"/>
      <c r="G424" s="179"/>
    </row>
    <row r="425" spans="1:7">
      <c r="A425" s="178"/>
      <c r="B425" s="153"/>
      <c r="C425" s="153"/>
      <c r="D425" s="155"/>
      <c r="E425" s="88"/>
      <c r="F425" s="173"/>
      <c r="G425" s="179"/>
    </row>
    <row r="426" spans="1:7">
      <c r="A426" s="178"/>
      <c r="B426" s="153"/>
      <c r="C426" s="153"/>
      <c r="D426" s="155"/>
      <c r="E426" s="88"/>
      <c r="F426" s="173"/>
      <c r="G426" s="179"/>
    </row>
    <row r="427" spans="1:7">
      <c r="A427" s="178"/>
      <c r="B427" s="153"/>
      <c r="C427" s="153"/>
      <c r="D427" s="155"/>
      <c r="E427" s="88"/>
      <c r="F427" s="173"/>
      <c r="G427" s="179"/>
    </row>
    <row r="428" spans="1:7">
      <c r="A428" s="178"/>
      <c r="B428" s="153"/>
      <c r="C428" s="153"/>
      <c r="D428" s="155"/>
      <c r="E428" s="88"/>
      <c r="F428" s="173"/>
      <c r="G428" s="179"/>
    </row>
    <row r="429" spans="1:7">
      <c r="A429" s="178"/>
      <c r="B429" s="153"/>
      <c r="C429" s="153"/>
      <c r="D429" s="155"/>
      <c r="E429" s="88"/>
      <c r="F429" s="173"/>
      <c r="G429" s="179"/>
    </row>
    <row r="430" spans="1:7">
      <c r="A430" s="178"/>
      <c r="B430" s="153"/>
      <c r="C430" s="153"/>
      <c r="D430" s="155"/>
      <c r="E430" s="88"/>
      <c r="F430" s="173"/>
      <c r="G430" s="179"/>
    </row>
    <row r="431" spans="1:7">
      <c r="A431" s="178"/>
      <c r="B431" s="153"/>
      <c r="C431" s="153"/>
      <c r="D431" s="155"/>
      <c r="E431" s="88"/>
      <c r="F431" s="173"/>
      <c r="G431" s="179"/>
    </row>
    <row r="432" spans="1:7">
      <c r="A432" s="178"/>
      <c r="B432" s="153"/>
      <c r="C432" s="153"/>
      <c r="D432" s="155"/>
      <c r="E432" s="88"/>
      <c r="F432" s="173"/>
      <c r="G432" s="179"/>
    </row>
    <row r="433" spans="1:7">
      <c r="A433" s="178"/>
      <c r="B433" s="153"/>
      <c r="C433" s="153"/>
      <c r="D433" s="155"/>
      <c r="E433" s="88"/>
      <c r="F433" s="173"/>
      <c r="G433" s="179"/>
    </row>
    <row r="434" spans="1:7">
      <c r="A434" s="178"/>
      <c r="B434" s="153"/>
      <c r="C434" s="153"/>
      <c r="D434" s="155"/>
      <c r="E434" s="88"/>
      <c r="F434" s="173"/>
      <c r="G434" s="179"/>
    </row>
    <row r="435" spans="1:7">
      <c r="A435" s="178"/>
      <c r="B435" s="153"/>
      <c r="C435" s="153"/>
      <c r="D435" s="155"/>
      <c r="E435" s="88"/>
      <c r="F435" s="173"/>
      <c r="G435" s="179"/>
    </row>
    <row r="436" spans="1:7">
      <c r="A436" s="178"/>
      <c r="B436" s="153"/>
      <c r="C436" s="153"/>
      <c r="D436" s="155"/>
      <c r="E436" s="88"/>
      <c r="F436" s="173"/>
      <c r="G436" s="179"/>
    </row>
    <row r="437" spans="1:7">
      <c r="A437" s="178"/>
      <c r="B437" s="153"/>
      <c r="C437" s="153"/>
      <c r="D437" s="155"/>
      <c r="E437" s="88"/>
      <c r="F437" s="173"/>
      <c r="G437" s="179"/>
    </row>
    <row r="438" spans="1:7">
      <c r="A438" s="178"/>
      <c r="B438" s="153"/>
      <c r="C438" s="153"/>
      <c r="D438" s="155"/>
      <c r="E438" s="88"/>
      <c r="F438" s="173"/>
      <c r="G438" s="179"/>
    </row>
    <row r="439" spans="1:7">
      <c r="A439" s="178"/>
      <c r="B439" s="153"/>
      <c r="C439" s="153"/>
      <c r="D439" s="155"/>
      <c r="E439" s="88"/>
      <c r="F439" s="173"/>
      <c r="G439" s="179"/>
    </row>
    <row r="440" spans="1:7">
      <c r="A440" s="178"/>
      <c r="B440" s="153"/>
      <c r="C440" s="153"/>
      <c r="D440" s="155"/>
      <c r="E440" s="88"/>
      <c r="F440" s="173"/>
      <c r="G440" s="179"/>
    </row>
    <row r="441" spans="1:7">
      <c r="A441" s="178"/>
      <c r="B441" s="153"/>
      <c r="C441" s="153"/>
      <c r="D441" s="155"/>
      <c r="E441" s="88"/>
      <c r="F441" s="173"/>
      <c r="G441" s="179"/>
    </row>
    <row r="442" spans="1:7">
      <c r="A442" s="178"/>
      <c r="B442" s="153"/>
      <c r="C442" s="153"/>
      <c r="D442" s="155"/>
      <c r="E442" s="88"/>
      <c r="F442" s="173"/>
      <c r="G442" s="179"/>
    </row>
    <row r="443" spans="1:7">
      <c r="A443" s="178"/>
      <c r="B443" s="153"/>
      <c r="C443" s="153"/>
      <c r="D443" s="155"/>
      <c r="E443" s="88"/>
      <c r="F443" s="173"/>
      <c r="G443" s="179"/>
    </row>
    <row r="444" spans="1:7">
      <c r="A444" s="178"/>
      <c r="B444" s="153"/>
      <c r="C444" s="153"/>
      <c r="D444" s="155"/>
      <c r="E444" s="88"/>
      <c r="F444" s="173"/>
      <c r="G444" s="179"/>
    </row>
    <row r="445" spans="1:7">
      <c r="A445" s="178"/>
      <c r="B445" s="153"/>
      <c r="C445" s="153"/>
      <c r="D445" s="155"/>
      <c r="E445" s="88"/>
      <c r="F445" s="173"/>
      <c r="G445" s="179"/>
    </row>
    <row r="446" spans="1:7">
      <c r="A446" s="178"/>
      <c r="B446" s="153"/>
      <c r="C446" s="153"/>
      <c r="D446" s="155"/>
      <c r="E446" s="88"/>
      <c r="F446" s="173"/>
      <c r="G446" s="179"/>
    </row>
    <row r="447" spans="1:7">
      <c r="A447" s="178"/>
      <c r="B447" s="153"/>
      <c r="C447" s="153"/>
      <c r="D447" s="155"/>
      <c r="E447" s="88"/>
      <c r="F447" s="173"/>
      <c r="G447" s="179"/>
    </row>
    <row r="448" spans="1:7">
      <c r="A448" s="178"/>
      <c r="B448" s="153"/>
      <c r="C448" s="153"/>
      <c r="D448" s="155"/>
      <c r="E448" s="88"/>
      <c r="F448" s="173"/>
      <c r="G448" s="179"/>
    </row>
    <row r="449" spans="1:7">
      <c r="A449" s="178"/>
      <c r="B449" s="153"/>
      <c r="C449" s="153"/>
      <c r="D449" s="155"/>
      <c r="E449" s="88"/>
      <c r="F449" s="173"/>
      <c r="G449" s="179"/>
    </row>
    <row r="450" spans="1:7">
      <c r="A450" s="178"/>
      <c r="B450" s="153"/>
      <c r="C450" s="153"/>
      <c r="D450" s="155"/>
      <c r="E450" s="88"/>
      <c r="F450" s="173"/>
      <c r="G450" s="179"/>
    </row>
    <row r="451" spans="1:7">
      <c r="A451" s="178"/>
      <c r="B451" s="153"/>
      <c r="C451" s="153"/>
      <c r="D451" s="155"/>
      <c r="E451" s="88"/>
      <c r="F451" s="173"/>
      <c r="G451" s="179"/>
    </row>
    <row r="452" spans="1:7">
      <c r="A452" s="178"/>
      <c r="B452" s="153"/>
      <c r="C452" s="153"/>
      <c r="D452" s="155"/>
      <c r="E452" s="88"/>
      <c r="F452" s="173"/>
      <c r="G452" s="179"/>
    </row>
    <row r="453" spans="1:7">
      <c r="A453" s="178"/>
      <c r="B453" s="153"/>
      <c r="C453" s="153"/>
      <c r="D453" s="155"/>
      <c r="E453" s="88"/>
      <c r="F453" s="173"/>
      <c r="G453" s="179"/>
    </row>
    <row r="454" spans="1:7">
      <c r="A454" s="178"/>
      <c r="B454" s="153"/>
      <c r="C454" s="153"/>
      <c r="D454" s="155"/>
      <c r="E454" s="88"/>
      <c r="F454" s="173"/>
      <c r="G454" s="179"/>
    </row>
    <row r="455" spans="1:7">
      <c r="A455" s="178"/>
      <c r="B455" s="153"/>
      <c r="C455" s="153"/>
      <c r="D455" s="155"/>
      <c r="E455" s="88"/>
      <c r="F455" s="173"/>
      <c r="G455" s="179"/>
    </row>
    <row r="456" spans="1:7">
      <c r="A456" s="178"/>
      <c r="B456" s="153"/>
      <c r="C456" s="153"/>
      <c r="D456" s="155"/>
      <c r="E456" s="88"/>
      <c r="F456" s="173"/>
      <c r="G456" s="179"/>
    </row>
    <row r="457" spans="1:7">
      <c r="A457" s="178"/>
      <c r="B457" s="153"/>
      <c r="C457" s="153"/>
      <c r="D457" s="155"/>
      <c r="E457" s="88"/>
      <c r="F457" s="173"/>
      <c r="G457" s="179"/>
    </row>
    <row r="458" spans="1:7">
      <c r="A458" s="178"/>
      <c r="B458" s="153"/>
      <c r="C458" s="153"/>
      <c r="D458" s="155"/>
      <c r="E458" s="88"/>
      <c r="F458" s="173"/>
      <c r="G458" s="179"/>
    </row>
    <row r="459" spans="1:7">
      <c r="A459" s="178"/>
      <c r="B459" s="153"/>
      <c r="C459" s="153"/>
      <c r="D459" s="155"/>
      <c r="E459" s="88"/>
      <c r="F459" s="173"/>
      <c r="G459" s="179"/>
    </row>
    <row r="460" spans="1:7">
      <c r="A460" s="178"/>
      <c r="B460" s="153"/>
      <c r="C460" s="153"/>
      <c r="D460" s="155"/>
      <c r="E460" s="88"/>
      <c r="F460" s="173"/>
      <c r="G460" s="179"/>
    </row>
    <row r="461" spans="1:7">
      <c r="A461" s="178"/>
      <c r="B461" s="153"/>
      <c r="C461" s="153"/>
      <c r="D461" s="155"/>
      <c r="E461" s="88"/>
      <c r="F461" s="173"/>
      <c r="G461" s="179"/>
    </row>
    <row r="462" spans="1:7">
      <c r="A462" s="178"/>
      <c r="B462" s="153"/>
      <c r="C462" s="153"/>
      <c r="D462" s="155"/>
      <c r="E462" s="88"/>
      <c r="F462" s="173"/>
      <c r="G462" s="179"/>
    </row>
    <row r="463" spans="1:7">
      <c r="A463" s="178"/>
      <c r="B463" s="153"/>
      <c r="C463" s="153"/>
      <c r="D463" s="155"/>
      <c r="E463" s="88"/>
      <c r="F463" s="173"/>
      <c r="G463" s="179"/>
    </row>
    <row r="464" spans="1:7">
      <c r="A464" s="178"/>
      <c r="B464" s="153"/>
      <c r="C464" s="153"/>
      <c r="D464" s="155"/>
      <c r="E464" s="88"/>
      <c r="F464" s="173"/>
      <c r="G464" s="179"/>
    </row>
    <row r="465" spans="1:7">
      <c r="A465" s="178"/>
      <c r="B465" s="153"/>
      <c r="C465" s="153"/>
      <c r="D465" s="155"/>
      <c r="E465" s="88"/>
      <c r="F465" s="173"/>
      <c r="G465" s="179"/>
    </row>
    <row r="466" spans="1:7">
      <c r="A466" s="178"/>
      <c r="B466" s="153"/>
      <c r="C466" s="153"/>
      <c r="D466" s="155"/>
      <c r="E466" s="88"/>
      <c r="F466" s="173"/>
      <c r="G466" s="179"/>
    </row>
    <row r="467" spans="1:7">
      <c r="A467" s="178"/>
      <c r="B467" s="153"/>
      <c r="C467" s="153"/>
      <c r="D467" s="155"/>
      <c r="E467" s="88"/>
      <c r="F467" s="173"/>
      <c r="G467" s="179"/>
    </row>
    <row r="468" spans="1:7">
      <c r="A468" s="178"/>
      <c r="B468" s="153"/>
      <c r="C468" s="153"/>
      <c r="D468" s="155"/>
      <c r="E468" s="88"/>
      <c r="F468" s="173"/>
      <c r="G468" s="179"/>
    </row>
    <row r="469" spans="1:7">
      <c r="A469" s="178"/>
      <c r="B469" s="153"/>
      <c r="C469" s="153"/>
      <c r="D469" s="155"/>
      <c r="E469" s="88"/>
      <c r="F469" s="173"/>
      <c r="G469" s="179"/>
    </row>
    <row r="470" spans="1:7">
      <c r="A470" s="178"/>
      <c r="B470" s="153"/>
      <c r="C470" s="153"/>
      <c r="D470" s="155"/>
      <c r="E470" s="88"/>
      <c r="F470" s="173"/>
      <c r="G470" s="179"/>
    </row>
    <row r="471" spans="1:7">
      <c r="A471" s="178"/>
      <c r="B471" s="153"/>
      <c r="C471" s="153"/>
      <c r="D471" s="155"/>
      <c r="E471" s="88"/>
      <c r="F471" s="173"/>
      <c r="G471" s="179"/>
    </row>
    <row r="472" spans="1:7">
      <c r="A472" s="178"/>
      <c r="B472" s="153"/>
      <c r="C472" s="153"/>
      <c r="D472" s="155"/>
      <c r="E472" s="88"/>
      <c r="F472" s="173"/>
      <c r="G472" s="179"/>
    </row>
    <row r="473" spans="1:8">
      <c r="A473" s="178"/>
      <c r="B473" s="153"/>
      <c r="C473" s="153"/>
      <c r="D473" s="155"/>
      <c r="E473" s="88"/>
      <c r="F473" s="173"/>
      <c r="G473" s="179"/>
      <c r="H473" s="186"/>
    </row>
    <row r="474" spans="1:8">
      <c r="A474" s="178"/>
      <c r="B474" s="153"/>
      <c r="C474" s="153"/>
      <c r="D474" s="155"/>
      <c r="E474" s="88"/>
      <c r="F474" s="173"/>
      <c r="G474" s="179"/>
      <c r="H474" s="186"/>
    </row>
    <row r="475" spans="1:8">
      <c r="A475" s="178"/>
      <c r="B475" s="153"/>
      <c r="C475" s="153"/>
      <c r="D475" s="155"/>
      <c r="E475" s="88"/>
      <c r="F475" s="173"/>
      <c r="G475" s="179"/>
      <c r="H475" s="186"/>
    </row>
    <row r="476" spans="1:8">
      <c r="A476" s="178"/>
      <c r="B476" s="153"/>
      <c r="C476" s="153"/>
      <c r="D476" s="155"/>
      <c r="E476" s="88"/>
      <c r="F476" s="173"/>
      <c r="G476" s="179"/>
      <c r="H476" s="186"/>
    </row>
    <row r="477" spans="1:8">
      <c r="A477" s="178"/>
      <c r="B477" s="153"/>
      <c r="C477" s="153"/>
      <c r="D477" s="155"/>
      <c r="E477" s="88"/>
      <c r="F477" s="173"/>
      <c r="G477" s="179"/>
      <c r="H477" s="186"/>
    </row>
    <row r="478" spans="1:8">
      <c r="A478" s="178"/>
      <c r="B478" s="153"/>
      <c r="C478" s="153"/>
      <c r="D478" s="155"/>
      <c r="E478" s="88"/>
      <c r="F478" s="173"/>
      <c r="G478" s="179"/>
      <c r="H478" s="186"/>
    </row>
    <row r="479" spans="1:8">
      <c r="A479" s="178"/>
      <c r="B479" s="153"/>
      <c r="C479" s="153"/>
      <c r="D479" s="155"/>
      <c r="E479" s="88"/>
      <c r="F479" s="173"/>
      <c r="G479" s="179"/>
      <c r="H479" s="186"/>
    </row>
    <row r="480" spans="1:8">
      <c r="A480" s="178"/>
      <c r="B480" s="153"/>
      <c r="C480" s="153"/>
      <c r="D480" s="155"/>
      <c r="E480" s="88"/>
      <c r="F480" s="173"/>
      <c r="G480" s="179"/>
      <c r="H480" s="186"/>
    </row>
    <row r="481" spans="1:8">
      <c r="A481" s="178"/>
      <c r="B481" s="153"/>
      <c r="C481" s="153"/>
      <c r="D481" s="155"/>
      <c r="E481" s="88"/>
      <c r="F481" s="173"/>
      <c r="G481" s="179"/>
      <c r="H481" s="186"/>
    </row>
    <row r="482" spans="1:8">
      <c r="A482" s="178"/>
      <c r="B482" s="153"/>
      <c r="C482" s="153"/>
      <c r="D482" s="155"/>
      <c r="E482" s="88"/>
      <c r="F482" s="173"/>
      <c r="G482" s="179"/>
      <c r="H482" s="186"/>
    </row>
    <row r="483" spans="1:8">
      <c r="A483" s="178"/>
      <c r="B483" s="153"/>
      <c r="C483" s="153"/>
      <c r="D483" s="155"/>
      <c r="E483" s="88"/>
      <c r="F483" s="173"/>
      <c r="G483" s="179"/>
      <c r="H483" s="186"/>
    </row>
    <row r="484" spans="1:8">
      <c r="A484" s="178"/>
      <c r="B484" s="153"/>
      <c r="C484" s="153"/>
      <c r="D484" s="155"/>
      <c r="E484" s="88"/>
      <c r="F484" s="173"/>
      <c r="G484" s="179"/>
      <c r="H484" s="186"/>
    </row>
    <row r="485" spans="1:8">
      <c r="A485" s="178"/>
      <c r="B485" s="153"/>
      <c r="C485" s="153"/>
      <c r="D485" s="155"/>
      <c r="E485" s="88"/>
      <c r="F485" s="173"/>
      <c r="G485" s="179"/>
      <c r="H485" s="186"/>
    </row>
    <row r="486" spans="1:8">
      <c r="A486" s="178"/>
      <c r="B486" s="153"/>
      <c r="C486" s="153"/>
      <c r="D486" s="155"/>
      <c r="E486" s="88"/>
      <c r="F486" s="173"/>
      <c r="G486" s="179"/>
      <c r="H486" s="186"/>
    </row>
    <row r="487" spans="1:8">
      <c r="A487" s="178"/>
      <c r="B487" s="153"/>
      <c r="C487" s="153"/>
      <c r="D487" s="155"/>
      <c r="E487" s="88"/>
      <c r="F487" s="173"/>
      <c r="G487" s="179"/>
      <c r="H487" s="186"/>
    </row>
    <row r="488" spans="1:8">
      <c r="A488" s="178"/>
      <c r="B488" s="153"/>
      <c r="C488" s="153"/>
      <c r="D488" s="155"/>
      <c r="E488" s="88"/>
      <c r="F488" s="173"/>
      <c r="G488" s="179"/>
      <c r="H488" s="186"/>
    </row>
    <row r="489" spans="1:8">
      <c r="A489" s="178"/>
      <c r="B489" s="153"/>
      <c r="C489" s="153"/>
      <c r="D489" s="155"/>
      <c r="E489" s="88"/>
      <c r="F489" s="173"/>
      <c r="G489" s="179"/>
      <c r="H489" s="186"/>
    </row>
    <row r="490" spans="1:8">
      <c r="A490" s="178"/>
      <c r="B490" s="153"/>
      <c r="C490" s="153"/>
      <c r="D490" s="155"/>
      <c r="E490" s="88"/>
      <c r="F490" s="173"/>
      <c r="G490" s="179"/>
      <c r="H490" s="186"/>
    </row>
    <row r="491" spans="1:8">
      <c r="A491" s="178"/>
      <c r="B491" s="153"/>
      <c r="C491" s="153"/>
      <c r="D491" s="155"/>
      <c r="E491" s="88"/>
      <c r="F491" s="173"/>
      <c r="G491" s="179"/>
      <c r="H491" s="186"/>
    </row>
    <row r="492" spans="1:8">
      <c r="A492" s="178"/>
      <c r="B492" s="153"/>
      <c r="C492" s="153"/>
      <c r="D492" s="155"/>
      <c r="E492" s="88"/>
      <c r="F492" s="173"/>
      <c r="G492" s="179"/>
      <c r="H492" s="186"/>
    </row>
    <row r="493" spans="1:7">
      <c r="A493" s="178"/>
      <c r="B493" s="153"/>
      <c r="C493" s="153"/>
      <c r="D493" s="155"/>
      <c r="E493" s="88"/>
      <c r="F493" s="173"/>
      <c r="G493" s="179"/>
    </row>
    <row r="494" spans="1:7">
      <c r="A494" s="178"/>
      <c r="B494" s="153"/>
      <c r="C494" s="153"/>
      <c r="D494" s="155"/>
      <c r="E494" s="88"/>
      <c r="F494" s="173"/>
      <c r="G494" s="179"/>
    </row>
    <row r="495" spans="1:7">
      <c r="A495" s="178"/>
      <c r="B495" s="153"/>
      <c r="C495" s="153"/>
      <c r="D495" s="155"/>
      <c r="E495" s="88"/>
      <c r="F495" s="173"/>
      <c r="G495" s="179"/>
    </row>
    <row r="496" spans="1:7">
      <c r="A496" s="178"/>
      <c r="B496" s="153"/>
      <c r="C496" s="153"/>
      <c r="D496" s="155"/>
      <c r="E496" s="88"/>
      <c r="F496" s="173"/>
      <c r="G496" s="179"/>
    </row>
    <row r="497" spans="1:7">
      <c r="A497" s="178"/>
      <c r="B497" s="153"/>
      <c r="C497" s="153"/>
      <c r="D497" s="155"/>
      <c r="E497" s="88"/>
      <c r="F497" s="173"/>
      <c r="G497" s="179"/>
    </row>
    <row r="498" spans="1:7">
      <c r="A498" s="178"/>
      <c r="B498" s="153"/>
      <c r="C498" s="153"/>
      <c r="D498" s="155"/>
      <c r="E498" s="88"/>
      <c r="F498" s="173"/>
      <c r="G498" s="179"/>
    </row>
    <row r="499" spans="1:7">
      <c r="A499" s="178"/>
      <c r="B499" s="153"/>
      <c r="C499" s="153"/>
      <c r="D499" s="155"/>
      <c r="E499" s="88"/>
      <c r="F499" s="173"/>
      <c r="G499" s="179"/>
    </row>
    <row r="500" spans="1:7">
      <c r="A500" s="178"/>
      <c r="B500" s="153"/>
      <c r="C500" s="153"/>
      <c r="D500" s="155"/>
      <c r="E500" s="88"/>
      <c r="F500" s="173"/>
      <c r="G500" s="179"/>
    </row>
    <row r="501" spans="1:7">
      <c r="A501" s="178"/>
      <c r="B501" s="153"/>
      <c r="C501" s="153"/>
      <c r="D501" s="155"/>
      <c r="E501" s="88"/>
      <c r="F501" s="173"/>
      <c r="G501" s="179"/>
    </row>
    <row r="502" spans="1:7">
      <c r="A502" s="178"/>
      <c r="B502" s="153"/>
      <c r="C502" s="153"/>
      <c r="D502" s="155"/>
      <c r="E502" s="88"/>
      <c r="F502" s="173"/>
      <c r="G502" s="179"/>
    </row>
    <row r="503" spans="1:7">
      <c r="A503" s="178"/>
      <c r="B503" s="153"/>
      <c r="C503" s="153"/>
      <c r="D503" s="155"/>
      <c r="E503" s="88"/>
      <c r="F503" s="173"/>
      <c r="G503" s="179"/>
    </row>
    <row r="504" spans="1:7">
      <c r="A504" s="178"/>
      <c r="B504" s="153"/>
      <c r="C504" s="153"/>
      <c r="D504" s="155"/>
      <c r="E504" s="88"/>
      <c r="F504" s="173"/>
      <c r="G504" s="179"/>
    </row>
    <row r="505" spans="1:7">
      <c r="A505" s="178"/>
      <c r="B505" s="153"/>
      <c r="C505" s="153"/>
      <c r="D505" s="155"/>
      <c r="E505" s="88"/>
      <c r="F505" s="173"/>
      <c r="G505" s="179"/>
    </row>
    <row r="506" spans="1:7">
      <c r="A506" s="178"/>
      <c r="B506" s="153"/>
      <c r="C506" s="153"/>
      <c r="D506" s="155"/>
      <c r="E506" s="88"/>
      <c r="F506" s="173"/>
      <c r="G506" s="179"/>
    </row>
    <row r="507" spans="1:7">
      <c r="A507" s="178"/>
      <c r="B507" s="153"/>
      <c r="C507" s="153"/>
      <c r="D507" s="155"/>
      <c r="E507" s="88"/>
      <c r="F507" s="173"/>
      <c r="G507" s="179"/>
    </row>
    <row r="508" spans="1:7">
      <c r="A508" s="178"/>
      <c r="B508" s="153"/>
      <c r="C508" s="153"/>
      <c r="D508" s="155"/>
      <c r="E508" s="88"/>
      <c r="F508" s="173"/>
      <c r="G508" s="179"/>
    </row>
    <row r="509" spans="1:7">
      <c r="A509" s="178"/>
      <c r="B509" s="153"/>
      <c r="C509" s="153"/>
      <c r="D509" s="155"/>
      <c r="E509" s="88"/>
      <c r="F509" s="173"/>
      <c r="G509" s="179"/>
    </row>
    <row r="510" spans="1:7">
      <c r="A510" s="178"/>
      <c r="B510" s="153"/>
      <c r="C510" s="153"/>
      <c r="D510" s="155"/>
      <c r="E510" s="88"/>
      <c r="F510" s="173"/>
      <c r="G510" s="179"/>
    </row>
    <row r="511" spans="1:7">
      <c r="A511" s="178"/>
      <c r="B511" s="153"/>
      <c r="C511" s="153"/>
      <c r="D511" s="155"/>
      <c r="E511" s="88"/>
      <c r="F511" s="173"/>
      <c r="G511" s="179"/>
    </row>
    <row r="512" spans="1:7">
      <c r="A512" s="178"/>
      <c r="B512" s="153"/>
      <c r="C512" s="153"/>
      <c r="D512" s="155"/>
      <c r="E512" s="88"/>
      <c r="F512" s="173"/>
      <c r="G512" s="179"/>
    </row>
    <row r="513" spans="1:7">
      <c r="A513" s="178"/>
      <c r="B513" s="153"/>
      <c r="C513" s="153"/>
      <c r="D513" s="155"/>
      <c r="E513" s="88"/>
      <c r="F513" s="173"/>
      <c r="G513" s="179"/>
    </row>
    <row r="514" spans="1:7">
      <c r="A514" s="178"/>
      <c r="B514" s="153"/>
      <c r="C514" s="153"/>
      <c r="D514" s="155"/>
      <c r="E514" s="88"/>
      <c r="F514" s="173"/>
      <c r="G514" s="179"/>
    </row>
    <row r="515" spans="1:7">
      <c r="A515" s="178"/>
      <c r="B515" s="153"/>
      <c r="C515" s="153"/>
      <c r="D515" s="155"/>
      <c r="E515" s="88"/>
      <c r="F515" s="173"/>
      <c r="G515" s="179"/>
    </row>
    <row r="516" spans="1:7">
      <c r="A516" s="178"/>
      <c r="B516" s="153"/>
      <c r="C516" s="153"/>
      <c r="D516" s="155"/>
      <c r="E516" s="88"/>
      <c r="F516" s="173"/>
      <c r="G516" s="179"/>
    </row>
    <row r="517" spans="1:7">
      <c r="A517" s="178"/>
      <c r="B517" s="153"/>
      <c r="C517" s="153"/>
      <c r="D517" s="155"/>
      <c r="E517" s="88"/>
      <c r="F517" s="173"/>
      <c r="G517" s="179"/>
    </row>
    <row r="518" spans="1:7">
      <c r="A518" s="178"/>
      <c r="B518" s="153"/>
      <c r="C518" s="153"/>
      <c r="D518" s="155"/>
      <c r="E518" s="88"/>
      <c r="F518" s="173"/>
      <c r="G518" s="179"/>
    </row>
    <row r="519" spans="1:7">
      <c r="A519" s="178"/>
      <c r="B519" s="153"/>
      <c r="C519" s="153"/>
      <c r="D519" s="155"/>
      <c r="E519" s="88"/>
      <c r="F519" s="173"/>
      <c r="G519" s="179"/>
    </row>
    <row r="520" spans="1:7">
      <c r="A520" s="178"/>
      <c r="B520" s="153"/>
      <c r="C520" s="153"/>
      <c r="D520" s="155"/>
      <c r="E520" s="88"/>
      <c r="F520" s="173"/>
      <c r="G520" s="179"/>
    </row>
    <row r="521" spans="1:7">
      <c r="A521" s="178"/>
      <c r="B521" s="153"/>
      <c r="C521" s="153"/>
      <c r="D521" s="155"/>
      <c r="E521" s="88"/>
      <c r="F521" s="173"/>
      <c r="G521" s="179"/>
    </row>
    <row r="522" spans="1:7">
      <c r="A522" s="178"/>
      <c r="B522" s="153"/>
      <c r="C522" s="153"/>
      <c r="D522" s="155"/>
      <c r="E522" s="88"/>
      <c r="F522" s="173"/>
      <c r="G522" s="179"/>
    </row>
    <row r="523" spans="1:7">
      <c r="A523" s="178"/>
      <c r="B523" s="153"/>
      <c r="C523" s="153"/>
      <c r="D523" s="155"/>
      <c r="E523" s="88"/>
      <c r="F523" s="173"/>
      <c r="G523" s="179"/>
    </row>
    <row r="524" spans="1:7">
      <c r="A524" s="178"/>
      <c r="B524" s="153"/>
      <c r="C524" s="153"/>
      <c r="D524" s="155"/>
      <c r="E524" s="88"/>
      <c r="F524" s="173"/>
      <c r="G524" s="179"/>
    </row>
    <row r="525" spans="1:7">
      <c r="A525" s="178"/>
      <c r="B525" s="153"/>
      <c r="C525" s="153"/>
      <c r="D525" s="155"/>
      <c r="E525" s="88"/>
      <c r="F525" s="173"/>
      <c r="G525" s="179"/>
    </row>
    <row r="526" spans="1:7">
      <c r="A526" s="178"/>
      <c r="B526" s="153"/>
      <c r="C526" s="153"/>
      <c r="D526" s="155"/>
      <c r="E526" s="88"/>
      <c r="F526" s="173"/>
      <c r="G526" s="179"/>
    </row>
    <row r="527" spans="1:7">
      <c r="A527" s="178"/>
      <c r="B527" s="153"/>
      <c r="C527" s="153"/>
      <c r="D527" s="155"/>
      <c r="E527" s="88"/>
      <c r="F527" s="173"/>
      <c r="G527" s="179"/>
    </row>
    <row r="528" spans="1:7">
      <c r="A528" s="178"/>
      <c r="B528" s="153"/>
      <c r="C528" s="153"/>
      <c r="D528" s="155"/>
      <c r="E528" s="88"/>
      <c r="F528" s="173"/>
      <c r="G528" s="179"/>
    </row>
    <row r="529" spans="1:7">
      <c r="A529" s="178"/>
      <c r="B529" s="153"/>
      <c r="C529" s="153"/>
      <c r="D529" s="155"/>
      <c r="E529" s="88"/>
      <c r="F529" s="173"/>
      <c r="G529" s="179"/>
    </row>
    <row r="530" spans="1:7">
      <c r="A530" s="178"/>
      <c r="B530" s="153"/>
      <c r="C530" s="153"/>
      <c r="D530" s="155"/>
      <c r="E530" s="88"/>
      <c r="F530" s="173"/>
      <c r="G530" s="179"/>
    </row>
    <row r="531" spans="1:7">
      <c r="A531" s="178"/>
      <c r="B531" s="153"/>
      <c r="C531" s="153"/>
      <c r="D531" s="155"/>
      <c r="E531" s="88"/>
      <c r="F531" s="173"/>
      <c r="G531" s="179"/>
    </row>
    <row r="532" spans="1:7">
      <c r="A532" s="178"/>
      <c r="B532" s="153"/>
      <c r="C532" s="153"/>
      <c r="D532" s="155"/>
      <c r="E532" s="88"/>
      <c r="F532" s="173"/>
      <c r="G532" s="179"/>
    </row>
    <row r="533" spans="1:7">
      <c r="A533" s="178"/>
      <c r="B533" s="153"/>
      <c r="C533" s="153"/>
      <c r="D533" s="155"/>
      <c r="E533" s="88"/>
      <c r="F533" s="173"/>
      <c r="G533" s="179"/>
    </row>
    <row r="534" spans="1:7">
      <c r="A534" s="178"/>
      <c r="B534" s="153"/>
      <c r="C534" s="153"/>
      <c r="D534" s="155"/>
      <c r="E534" s="88"/>
      <c r="F534" s="173"/>
      <c r="G534" s="179"/>
    </row>
    <row r="535" spans="1:7">
      <c r="A535" s="178"/>
      <c r="B535" s="153"/>
      <c r="C535" s="153"/>
      <c r="D535" s="155"/>
      <c r="E535" s="88"/>
      <c r="F535" s="173"/>
      <c r="G535" s="179"/>
    </row>
    <row r="536" spans="1:7">
      <c r="A536" s="178"/>
      <c r="B536" s="153"/>
      <c r="C536" s="153"/>
      <c r="D536" s="155"/>
      <c r="E536" s="88"/>
      <c r="F536" s="173"/>
      <c r="G536" s="179"/>
    </row>
    <row r="537" spans="1:7">
      <c r="A537" s="178"/>
      <c r="B537" s="187"/>
      <c r="C537" s="187"/>
      <c r="D537" s="155"/>
      <c r="E537" s="88"/>
      <c r="F537" s="183"/>
      <c r="G537" s="179"/>
    </row>
    <row r="538" spans="1:7">
      <c r="A538" s="178"/>
      <c r="B538" s="187"/>
      <c r="C538" s="187"/>
      <c r="D538" s="155"/>
      <c r="E538" s="88"/>
      <c r="F538" s="183"/>
      <c r="G538" s="179"/>
    </row>
    <row r="539" spans="1:7">
      <c r="A539" s="178"/>
      <c r="B539" s="153"/>
      <c r="C539" s="153"/>
      <c r="D539" s="155"/>
      <c r="E539" s="88"/>
      <c r="F539" s="183"/>
      <c r="G539" s="179"/>
    </row>
    <row r="540" spans="1:7">
      <c r="A540" s="178"/>
      <c r="B540" s="153"/>
      <c r="C540" s="153"/>
      <c r="D540" s="155"/>
      <c r="E540" s="88"/>
      <c r="F540" s="183"/>
      <c r="G540" s="179"/>
    </row>
    <row r="541" spans="1:7">
      <c r="A541" s="178"/>
      <c r="B541" s="153"/>
      <c r="C541" s="153"/>
      <c r="D541" s="155"/>
      <c r="E541" s="88"/>
      <c r="F541" s="183"/>
      <c r="G541" s="179"/>
    </row>
    <row r="542" spans="1:7">
      <c r="A542" s="178"/>
      <c r="B542" s="153"/>
      <c r="C542" s="153"/>
      <c r="D542" s="155"/>
      <c r="E542" s="88"/>
      <c r="F542" s="183"/>
      <c r="G542" s="179"/>
    </row>
    <row r="543" spans="1:7">
      <c r="A543" s="178"/>
      <c r="B543" s="153"/>
      <c r="C543" s="153"/>
      <c r="D543" s="155"/>
      <c r="E543" s="88"/>
      <c r="F543" s="183"/>
      <c r="G543" s="179"/>
    </row>
    <row r="544" spans="1:7">
      <c r="A544" s="178"/>
      <c r="B544" s="153"/>
      <c r="C544" s="153"/>
      <c r="D544" s="155"/>
      <c r="E544" s="88"/>
      <c r="F544" s="183"/>
      <c r="G544" s="179"/>
    </row>
    <row r="545" spans="1:7">
      <c r="A545" s="178"/>
      <c r="B545" s="153"/>
      <c r="C545" s="153"/>
      <c r="D545" s="155"/>
      <c r="E545" s="88"/>
      <c r="F545" s="183"/>
      <c r="G545" s="179"/>
    </row>
    <row r="546" spans="1:7">
      <c r="A546" s="178"/>
      <c r="B546" s="153"/>
      <c r="C546" s="153"/>
      <c r="D546" s="155"/>
      <c r="E546" s="88"/>
      <c r="F546" s="183"/>
      <c r="G546" s="179"/>
    </row>
    <row r="547" spans="1:7">
      <c r="A547" s="178"/>
      <c r="B547" s="153"/>
      <c r="C547" s="153"/>
      <c r="D547" s="155"/>
      <c r="E547" s="88"/>
      <c r="F547" s="183"/>
      <c r="G547" s="179"/>
    </row>
    <row r="548" spans="1:7">
      <c r="A548" s="178"/>
      <c r="B548" s="153"/>
      <c r="C548" s="153"/>
      <c r="D548" s="155"/>
      <c r="E548" s="88"/>
      <c r="F548" s="183"/>
      <c r="G548" s="179"/>
    </row>
    <row r="549" spans="1:7">
      <c r="A549" s="178"/>
      <c r="B549" s="153"/>
      <c r="C549" s="153"/>
      <c r="D549" s="155"/>
      <c r="E549" s="88"/>
      <c r="F549" s="183"/>
      <c r="G549" s="179"/>
    </row>
    <row r="550" spans="1:7">
      <c r="A550" s="178"/>
      <c r="B550" s="153"/>
      <c r="C550" s="153"/>
      <c r="D550" s="155"/>
      <c r="E550" s="88"/>
      <c r="F550" s="183"/>
      <c r="G550" s="179"/>
    </row>
    <row r="551" spans="1:7">
      <c r="A551" s="178"/>
      <c r="B551" s="153"/>
      <c r="C551" s="153"/>
      <c r="D551" s="155"/>
      <c r="E551" s="88"/>
      <c r="F551" s="183"/>
      <c r="G551" s="179"/>
    </row>
    <row r="552" spans="1:7">
      <c r="A552" s="178"/>
      <c r="B552" s="153"/>
      <c r="C552" s="153"/>
      <c r="D552" s="155"/>
      <c r="E552" s="88"/>
      <c r="F552" s="183"/>
      <c r="G552" s="179"/>
    </row>
    <row r="553" spans="1:7">
      <c r="A553" s="178"/>
      <c r="B553" s="153"/>
      <c r="C553" s="153"/>
      <c r="D553" s="155"/>
      <c r="E553" s="88"/>
      <c r="F553" s="183"/>
      <c r="G553" s="179"/>
    </row>
    <row r="554" spans="1:7">
      <c r="A554" s="178"/>
      <c r="B554" s="153"/>
      <c r="C554" s="153"/>
      <c r="D554" s="155"/>
      <c r="E554" s="88"/>
      <c r="F554" s="183"/>
      <c r="G554" s="179"/>
    </row>
    <row r="555" spans="1:7">
      <c r="A555" s="178"/>
      <c r="B555" s="153"/>
      <c r="C555" s="153"/>
      <c r="D555" s="155"/>
      <c r="E555" s="88"/>
      <c r="F555" s="183"/>
      <c r="G555" s="179"/>
    </row>
    <row r="556" spans="1:7">
      <c r="A556" s="178"/>
      <c r="B556" s="153"/>
      <c r="C556" s="153"/>
      <c r="D556" s="155"/>
      <c r="E556" s="88"/>
      <c r="F556" s="183"/>
      <c r="G556" s="179"/>
    </row>
    <row r="557" spans="1:7">
      <c r="A557" s="178"/>
      <c r="B557" s="153"/>
      <c r="C557" s="153"/>
      <c r="D557" s="155"/>
      <c r="E557" s="88"/>
      <c r="F557" s="183"/>
      <c r="G557" s="179"/>
    </row>
    <row r="558" spans="1:7">
      <c r="A558" s="178"/>
      <c r="B558" s="153"/>
      <c r="C558" s="153"/>
      <c r="D558" s="155"/>
      <c r="E558" s="88"/>
      <c r="F558" s="183"/>
      <c r="G558" s="179"/>
    </row>
    <row r="559" spans="1:6">
      <c r="A559" s="178"/>
      <c r="B559" s="153"/>
      <c r="C559" s="153"/>
      <c r="D559" s="155"/>
      <c r="E559" s="88"/>
      <c r="F559" s="173"/>
    </row>
    <row r="560" spans="1:6">
      <c r="A560" s="178"/>
      <c r="B560" s="153"/>
      <c r="C560" s="153"/>
      <c r="D560" s="155"/>
      <c r="E560" s="88"/>
      <c r="F560" s="173"/>
    </row>
    <row r="561" spans="1:6">
      <c r="A561" s="178"/>
      <c r="B561" s="153"/>
      <c r="C561" s="153"/>
      <c r="D561" s="155"/>
      <c r="E561" s="88"/>
      <c r="F561" s="173"/>
    </row>
    <row r="562" spans="1:6">
      <c r="A562" s="178"/>
      <c r="B562" s="153"/>
      <c r="C562" s="153"/>
      <c r="D562" s="155"/>
      <c r="E562" s="88"/>
      <c r="F562" s="173"/>
    </row>
    <row r="563" spans="1:6">
      <c r="A563" s="178"/>
      <c r="B563" s="153"/>
      <c r="C563" s="153"/>
      <c r="D563" s="155"/>
      <c r="E563" s="88"/>
      <c r="F563" s="173"/>
    </row>
    <row r="564" spans="1:6">
      <c r="A564" s="178"/>
      <c r="B564" s="153"/>
      <c r="C564" s="153"/>
      <c r="D564" s="155"/>
      <c r="E564" s="88"/>
      <c r="F564" s="173"/>
    </row>
    <row r="565" spans="1:6">
      <c r="A565" s="178"/>
      <c r="B565" s="153"/>
      <c r="C565" s="153"/>
      <c r="D565" s="155"/>
      <c r="E565" s="88"/>
      <c r="F565" s="173"/>
    </row>
    <row r="566" spans="1:6">
      <c r="A566" s="178"/>
      <c r="B566" s="153"/>
      <c r="C566" s="153"/>
      <c r="D566" s="155"/>
      <c r="E566" s="88"/>
      <c r="F566" s="173"/>
    </row>
    <row r="567" spans="1:6">
      <c r="A567" s="178"/>
      <c r="B567" s="153"/>
      <c r="C567" s="153"/>
      <c r="D567" s="155"/>
      <c r="E567" s="88"/>
      <c r="F567" s="173"/>
    </row>
    <row r="568" spans="1:6">
      <c r="A568" s="178"/>
      <c r="B568" s="153"/>
      <c r="C568" s="153"/>
      <c r="D568" s="155"/>
      <c r="E568" s="88"/>
      <c r="F568" s="173"/>
    </row>
    <row r="569" spans="1:6">
      <c r="A569" s="178"/>
      <c r="B569" s="153"/>
      <c r="C569" s="153"/>
      <c r="D569" s="155"/>
      <c r="E569" s="88"/>
      <c r="F569" s="173"/>
    </row>
    <row r="570" spans="1:6">
      <c r="A570" s="178"/>
      <c r="B570" s="153"/>
      <c r="C570" s="153"/>
      <c r="D570" s="155"/>
      <c r="E570" s="88"/>
      <c r="F570" s="173"/>
    </row>
    <row r="571" spans="1:6">
      <c r="A571" s="178"/>
      <c r="B571" s="153"/>
      <c r="C571" s="153"/>
      <c r="D571" s="155"/>
      <c r="E571" s="88"/>
      <c r="F571" s="173"/>
    </row>
    <row r="572" spans="1:6">
      <c r="A572" s="178"/>
      <c r="B572" s="153"/>
      <c r="C572" s="153"/>
      <c r="D572" s="155"/>
      <c r="E572" s="88"/>
      <c r="F572" s="173"/>
    </row>
    <row r="573" spans="1:6">
      <c r="A573" s="178"/>
      <c r="B573" s="153"/>
      <c r="C573" s="153"/>
      <c r="D573" s="155"/>
      <c r="E573" s="88"/>
      <c r="F573" s="173"/>
    </row>
    <row r="574" spans="1:6">
      <c r="A574" s="178"/>
      <c r="B574" s="153"/>
      <c r="C574" s="153"/>
      <c r="D574" s="155"/>
      <c r="E574" s="88"/>
      <c r="F574" s="173"/>
    </row>
    <row r="575" spans="1:6">
      <c r="A575" s="178"/>
      <c r="B575" s="153"/>
      <c r="C575" s="153"/>
      <c r="D575" s="155"/>
      <c r="E575" s="88"/>
      <c r="F575" s="173"/>
    </row>
    <row r="576" spans="1:6">
      <c r="A576" s="178"/>
      <c r="B576" s="153"/>
      <c r="C576" s="153"/>
      <c r="D576" s="155"/>
      <c r="E576" s="88"/>
      <c r="F576" s="173"/>
    </row>
    <row r="577" spans="1:6">
      <c r="A577" s="178"/>
      <c r="B577" s="153"/>
      <c r="C577" s="153"/>
      <c r="D577" s="155"/>
      <c r="E577" s="88"/>
      <c r="F577" s="173"/>
    </row>
    <row r="578" spans="1:6">
      <c r="A578" s="178"/>
      <c r="B578" s="153"/>
      <c r="C578" s="153"/>
      <c r="D578" s="155"/>
      <c r="E578" s="88"/>
      <c r="F578" s="173"/>
    </row>
    <row r="579" spans="1:6">
      <c r="A579" s="178"/>
      <c r="B579" s="153"/>
      <c r="C579" s="153"/>
      <c r="D579" s="155"/>
      <c r="E579" s="88"/>
      <c r="F579" s="173"/>
    </row>
    <row r="580" spans="1:6">
      <c r="A580" s="178"/>
      <c r="B580" s="153"/>
      <c r="C580" s="153"/>
      <c r="D580" s="155"/>
      <c r="E580" s="88"/>
      <c r="F580" s="173"/>
    </row>
    <row r="581" spans="1:6">
      <c r="A581" s="178"/>
      <c r="B581" s="153"/>
      <c r="C581" s="153"/>
      <c r="D581" s="155"/>
      <c r="E581" s="88"/>
      <c r="F581" s="173"/>
    </row>
    <row r="582" spans="1:6">
      <c r="A582" s="178"/>
      <c r="B582" s="153"/>
      <c r="C582" s="153"/>
      <c r="D582" s="155"/>
      <c r="E582" s="88"/>
      <c r="F582" s="173"/>
    </row>
    <row r="583" spans="1:6">
      <c r="A583" s="178"/>
      <c r="B583" s="153"/>
      <c r="C583" s="153"/>
      <c r="D583" s="155"/>
      <c r="E583" s="88"/>
      <c r="F583" s="173"/>
    </row>
    <row r="584" spans="1:6">
      <c r="A584" s="178"/>
      <c r="B584" s="153"/>
      <c r="C584" s="153"/>
      <c r="D584" s="155"/>
      <c r="E584" s="88"/>
      <c r="F584" s="173"/>
    </row>
    <row r="585" spans="1:6">
      <c r="A585" s="178"/>
      <c r="B585" s="153"/>
      <c r="C585" s="153"/>
      <c r="D585" s="155"/>
      <c r="E585" s="88"/>
      <c r="F585" s="173"/>
    </row>
    <row r="586" spans="1:6">
      <c r="A586" s="178"/>
      <c r="B586" s="153"/>
      <c r="C586" s="153"/>
      <c r="D586" s="155"/>
      <c r="E586" s="88"/>
      <c r="F586" s="173"/>
    </row>
    <row r="587" spans="1:6">
      <c r="A587" s="178"/>
      <c r="B587" s="153"/>
      <c r="C587" s="153"/>
      <c r="D587" s="155"/>
      <c r="E587" s="88"/>
      <c r="F587" s="173"/>
    </row>
    <row r="588" spans="1:6">
      <c r="A588" s="178"/>
      <c r="B588" s="153"/>
      <c r="C588" s="153"/>
      <c r="D588" s="155"/>
      <c r="E588" s="88"/>
      <c r="F588" s="173"/>
    </row>
    <row r="589" spans="1:6">
      <c r="A589" s="178"/>
      <c r="B589" s="153"/>
      <c r="C589" s="153"/>
      <c r="D589" s="155"/>
      <c r="E589" s="88"/>
      <c r="F589" s="173"/>
    </row>
    <row r="590" spans="1:6">
      <c r="A590" s="178"/>
      <c r="B590" s="153"/>
      <c r="C590" s="153"/>
      <c r="D590" s="155"/>
      <c r="E590" s="88"/>
      <c r="F590" s="173"/>
    </row>
    <row r="591" spans="1:6">
      <c r="A591" s="178"/>
      <c r="B591" s="153"/>
      <c r="C591" s="153"/>
      <c r="D591" s="155"/>
      <c r="E591" s="88"/>
      <c r="F591" s="173"/>
    </row>
    <row r="592" spans="1:6">
      <c r="A592" s="178"/>
      <c r="B592" s="153"/>
      <c r="C592" s="153"/>
      <c r="D592" s="155"/>
      <c r="E592" s="88"/>
      <c r="F592" s="188"/>
    </row>
    <row r="593" spans="1:6">
      <c r="A593" s="178"/>
      <c r="B593" s="153"/>
      <c r="C593" s="153"/>
      <c r="D593" s="155"/>
      <c r="E593" s="88"/>
      <c r="F593" s="188"/>
    </row>
    <row r="594" spans="1:6">
      <c r="A594" s="178"/>
      <c r="B594" s="153"/>
      <c r="C594" s="153"/>
      <c r="D594" s="155"/>
      <c r="E594" s="88"/>
      <c r="F594" s="188"/>
    </row>
    <row r="595" spans="1:6">
      <c r="A595" s="178"/>
      <c r="B595" s="153"/>
      <c r="C595" s="153"/>
      <c r="D595" s="155"/>
      <c r="E595" s="88"/>
      <c r="F595" s="188"/>
    </row>
    <row r="596" spans="1:6">
      <c r="A596" s="178"/>
      <c r="B596" s="153"/>
      <c r="C596" s="153"/>
      <c r="D596" s="155"/>
      <c r="E596" s="88"/>
      <c r="F596" s="188"/>
    </row>
    <row r="597" spans="1:6">
      <c r="A597" s="178"/>
      <c r="B597" s="153"/>
      <c r="C597" s="153"/>
      <c r="D597" s="155"/>
      <c r="E597" s="88"/>
      <c r="F597" s="188"/>
    </row>
    <row r="598" spans="1:6">
      <c r="A598" s="178"/>
      <c r="B598" s="153"/>
      <c r="C598" s="153"/>
      <c r="D598" s="155"/>
      <c r="E598" s="88"/>
      <c r="F598" s="188"/>
    </row>
    <row r="599" spans="1:6">
      <c r="A599" s="178"/>
      <c r="B599" s="153"/>
      <c r="C599" s="153"/>
      <c r="D599" s="155"/>
      <c r="E599" s="88"/>
      <c r="F599" s="188"/>
    </row>
    <row r="600" spans="1:6">
      <c r="A600" s="178"/>
      <c r="B600" s="153"/>
      <c r="C600" s="153"/>
      <c r="D600" s="155"/>
      <c r="E600" s="88"/>
      <c r="F600" s="188"/>
    </row>
    <row r="601" spans="1:6">
      <c r="A601" s="178"/>
      <c r="B601" s="153"/>
      <c r="C601" s="153"/>
      <c r="D601" s="155"/>
      <c r="E601" s="88"/>
      <c r="F601" s="188"/>
    </row>
    <row r="602" spans="1:6">
      <c r="A602" s="178"/>
      <c r="B602" s="153"/>
      <c r="C602" s="153"/>
      <c r="D602" s="155"/>
      <c r="E602" s="88"/>
      <c r="F602" s="188"/>
    </row>
    <row r="603" spans="1:6">
      <c r="A603" s="178"/>
      <c r="B603" s="153"/>
      <c r="C603" s="153"/>
      <c r="D603" s="155"/>
      <c r="E603" s="88"/>
      <c r="F603" s="188"/>
    </row>
    <row r="604" spans="1:6">
      <c r="A604" s="178"/>
      <c r="B604" s="153"/>
      <c r="C604" s="153"/>
      <c r="D604" s="155"/>
      <c r="E604" s="88"/>
      <c r="F604" s="188"/>
    </row>
    <row r="605" spans="1:6">
      <c r="A605" s="178"/>
      <c r="B605" s="153"/>
      <c r="C605" s="153"/>
      <c r="D605" s="155"/>
      <c r="E605" s="88"/>
      <c r="F605" s="188"/>
    </row>
    <row r="606" spans="1:6">
      <c r="A606" s="178"/>
      <c r="B606" s="153"/>
      <c r="C606" s="153"/>
      <c r="D606" s="155"/>
      <c r="E606" s="88"/>
      <c r="F606" s="188"/>
    </row>
    <row r="607" spans="1:6">
      <c r="A607" s="178"/>
      <c r="B607" s="153"/>
      <c r="C607" s="153"/>
      <c r="D607" s="155"/>
      <c r="E607" s="88"/>
      <c r="F607" s="188"/>
    </row>
    <row r="608" spans="1:6">
      <c r="A608" s="178"/>
      <c r="B608" s="153"/>
      <c r="C608" s="153"/>
      <c r="D608" s="155"/>
      <c r="E608" s="88"/>
      <c r="F608" s="188"/>
    </row>
    <row r="609" spans="1:6">
      <c r="A609" s="178"/>
      <c r="B609" s="153"/>
      <c r="C609" s="153"/>
      <c r="D609" s="155"/>
      <c r="E609" s="88"/>
      <c r="F609" s="188"/>
    </row>
    <row r="610" spans="1:6">
      <c r="A610" s="178"/>
      <c r="B610" s="153"/>
      <c r="C610" s="153"/>
      <c r="D610" s="155"/>
      <c r="E610" s="88"/>
      <c r="F610" s="188"/>
    </row>
    <row r="611" spans="1:6">
      <c r="A611" s="178"/>
      <c r="B611" s="153"/>
      <c r="C611" s="153"/>
      <c r="D611" s="155"/>
      <c r="E611" s="88"/>
      <c r="F611" s="188"/>
    </row>
    <row r="612" spans="1:6">
      <c r="A612" s="178"/>
      <c r="B612" s="153"/>
      <c r="C612" s="153"/>
      <c r="D612" s="155"/>
      <c r="E612" s="88"/>
      <c r="F612" s="188"/>
    </row>
    <row r="613" spans="1:6">
      <c r="A613" s="178"/>
      <c r="B613" s="153"/>
      <c r="C613" s="153"/>
      <c r="D613" s="155"/>
      <c r="E613" s="88"/>
      <c r="F613" s="188"/>
    </row>
    <row r="614" spans="1:6">
      <c r="A614" s="178"/>
      <c r="B614" s="153"/>
      <c r="C614" s="153"/>
      <c r="D614" s="155"/>
      <c r="E614" s="88"/>
      <c r="F614" s="188"/>
    </row>
    <row r="615" spans="1:6">
      <c r="A615" s="178"/>
      <c r="B615" s="153"/>
      <c r="C615" s="153"/>
      <c r="D615" s="155"/>
      <c r="E615" s="88"/>
      <c r="F615" s="188"/>
    </row>
    <row r="616" spans="1:6">
      <c r="A616" s="178"/>
      <c r="B616" s="153"/>
      <c r="C616" s="153"/>
      <c r="D616" s="155"/>
      <c r="E616" s="88"/>
      <c r="F616" s="188"/>
    </row>
    <row r="617" spans="1:6">
      <c r="A617" s="178"/>
      <c r="B617" s="153"/>
      <c r="C617" s="153"/>
      <c r="D617" s="155"/>
      <c r="E617" s="88"/>
      <c r="F617" s="188"/>
    </row>
    <row r="618" spans="1:6">
      <c r="A618" s="178"/>
      <c r="B618" s="153"/>
      <c r="C618" s="153"/>
      <c r="D618" s="155"/>
      <c r="E618" s="88"/>
      <c r="F618" s="188"/>
    </row>
    <row r="619" spans="1:6">
      <c r="A619" s="178"/>
      <c r="B619" s="153"/>
      <c r="C619" s="153"/>
      <c r="D619" s="155"/>
      <c r="E619" s="88"/>
      <c r="F619" s="188"/>
    </row>
    <row r="620" spans="1:6">
      <c r="A620" s="178"/>
      <c r="B620" s="153"/>
      <c r="C620" s="153"/>
      <c r="D620" s="155"/>
      <c r="E620" s="88"/>
      <c r="F620" s="188"/>
    </row>
    <row r="621" spans="1:6">
      <c r="A621" s="178"/>
      <c r="B621" s="153"/>
      <c r="C621" s="153"/>
      <c r="D621" s="155"/>
      <c r="E621" s="88"/>
      <c r="F621" s="188"/>
    </row>
    <row r="622" spans="1:6">
      <c r="A622" s="178"/>
      <c r="B622" s="153"/>
      <c r="C622" s="153"/>
      <c r="D622" s="155"/>
      <c r="E622" s="88"/>
      <c r="F622" s="188"/>
    </row>
    <row r="623" spans="1:6">
      <c r="A623" s="178"/>
      <c r="B623" s="153"/>
      <c r="C623" s="153"/>
      <c r="D623" s="155"/>
      <c r="E623" s="88"/>
      <c r="F623" s="188"/>
    </row>
    <row r="624" spans="1:6">
      <c r="A624" s="178"/>
      <c r="B624" s="153"/>
      <c r="C624" s="153"/>
      <c r="D624" s="155"/>
      <c r="E624" s="88"/>
      <c r="F624" s="188"/>
    </row>
    <row r="625" spans="1:6">
      <c r="A625" s="178"/>
      <c r="B625" s="153"/>
      <c r="C625" s="153"/>
      <c r="D625" s="155"/>
      <c r="E625" s="88"/>
      <c r="F625" s="188"/>
    </row>
    <row r="626" spans="1:6">
      <c r="A626" s="178"/>
      <c r="B626" s="153"/>
      <c r="C626" s="153"/>
      <c r="D626" s="155"/>
      <c r="E626" s="88"/>
      <c r="F626" s="188"/>
    </row>
    <row r="627" spans="1:6">
      <c r="A627" s="178"/>
      <c r="B627" s="153"/>
      <c r="C627" s="153"/>
      <c r="D627" s="155"/>
      <c r="E627" s="88"/>
      <c r="F627" s="188"/>
    </row>
    <row r="628" spans="1:6">
      <c r="A628" s="178"/>
      <c r="B628" s="153"/>
      <c r="C628" s="153"/>
      <c r="D628" s="155"/>
      <c r="E628" s="88"/>
      <c r="F628" s="188"/>
    </row>
    <row r="629" spans="1:6">
      <c r="A629" s="178"/>
      <c r="B629" s="153"/>
      <c r="C629" s="153"/>
      <c r="D629" s="155"/>
      <c r="E629" s="88"/>
      <c r="F629" s="188"/>
    </row>
    <row r="630" spans="1:6">
      <c r="A630" s="178"/>
      <c r="B630" s="153"/>
      <c r="C630" s="153"/>
      <c r="D630" s="155"/>
      <c r="E630" s="88"/>
      <c r="F630" s="188"/>
    </row>
    <row r="631" spans="1:6">
      <c r="A631" s="178"/>
      <c r="B631" s="153"/>
      <c r="C631" s="153"/>
      <c r="D631" s="155"/>
      <c r="E631" s="88"/>
      <c r="F631" s="188"/>
    </row>
    <row r="632" spans="1:6">
      <c r="A632" s="178"/>
      <c r="B632" s="153"/>
      <c r="C632" s="153"/>
      <c r="D632" s="155"/>
      <c r="E632" s="88"/>
      <c r="F632" s="188"/>
    </row>
    <row r="633" spans="1:6">
      <c r="A633" s="178"/>
      <c r="B633" s="153"/>
      <c r="C633" s="153"/>
      <c r="D633" s="155"/>
      <c r="E633" s="88"/>
      <c r="F633" s="188"/>
    </row>
    <row r="634" spans="1:6">
      <c r="A634" s="178"/>
      <c r="B634" s="153"/>
      <c r="C634" s="153"/>
      <c r="D634" s="155"/>
      <c r="E634" s="88"/>
      <c r="F634" s="188"/>
    </row>
    <row r="635" spans="1:6">
      <c r="A635" s="178"/>
      <c r="B635" s="153"/>
      <c r="C635" s="153"/>
      <c r="D635" s="155"/>
      <c r="E635" s="88"/>
      <c r="F635" s="188"/>
    </row>
    <row r="636" spans="1:6">
      <c r="A636" s="178"/>
      <c r="B636" s="153"/>
      <c r="C636" s="153"/>
      <c r="D636" s="155"/>
      <c r="E636" s="88"/>
      <c r="F636" s="188"/>
    </row>
    <row r="637" spans="1:6">
      <c r="A637" s="178"/>
      <c r="B637" s="153"/>
      <c r="C637" s="153"/>
      <c r="D637" s="155"/>
      <c r="E637" s="88"/>
      <c r="F637" s="188"/>
    </row>
    <row r="638" spans="1:6">
      <c r="A638" s="178"/>
      <c r="B638" s="153"/>
      <c r="C638" s="153"/>
      <c r="D638" s="155"/>
      <c r="E638" s="88"/>
      <c r="F638" s="188"/>
    </row>
    <row r="639" spans="1:6">
      <c r="A639" s="178"/>
      <c r="B639" s="153"/>
      <c r="C639" s="153"/>
      <c r="D639" s="155"/>
      <c r="E639" s="88"/>
      <c r="F639" s="188"/>
    </row>
    <row r="640" spans="1:6">
      <c r="A640" s="178"/>
      <c r="B640" s="153"/>
      <c r="C640" s="153"/>
      <c r="D640" s="155"/>
      <c r="E640" s="88"/>
      <c r="F640" s="188"/>
    </row>
    <row r="641" spans="1:6">
      <c r="A641" s="178"/>
      <c r="B641" s="153"/>
      <c r="C641" s="153"/>
      <c r="D641" s="155"/>
      <c r="E641" s="88"/>
      <c r="F641" s="188"/>
    </row>
    <row r="642" spans="1:6">
      <c r="A642" s="178"/>
      <c r="B642" s="153"/>
      <c r="C642" s="153"/>
      <c r="D642" s="155"/>
      <c r="E642" s="88"/>
      <c r="F642" s="188"/>
    </row>
    <row r="643" spans="1:6">
      <c r="A643" s="178"/>
      <c r="B643" s="153"/>
      <c r="C643" s="153"/>
      <c r="D643" s="155"/>
      <c r="E643" s="88"/>
      <c r="F643" s="188"/>
    </row>
    <row r="644" spans="1:6">
      <c r="A644" s="178"/>
      <c r="B644" s="153"/>
      <c r="C644" s="153"/>
      <c r="D644" s="155"/>
      <c r="E644" s="88"/>
      <c r="F644" s="188"/>
    </row>
    <row r="645" spans="1:6">
      <c r="A645" s="178"/>
      <c r="B645" s="153"/>
      <c r="C645" s="153"/>
      <c r="D645" s="155"/>
      <c r="E645" s="88"/>
      <c r="F645" s="188"/>
    </row>
    <row r="646" spans="1:6">
      <c r="A646" s="178"/>
      <c r="B646" s="153"/>
      <c r="C646" s="153"/>
      <c r="D646" s="155"/>
      <c r="E646" s="88"/>
      <c r="F646" s="188"/>
    </row>
    <row r="647" spans="1:6">
      <c r="A647" s="178"/>
      <c r="B647" s="153"/>
      <c r="C647" s="153"/>
      <c r="D647" s="155"/>
      <c r="E647" s="88"/>
      <c r="F647" s="188"/>
    </row>
    <row r="648" spans="1:6">
      <c r="A648" s="178"/>
      <c r="B648" s="153"/>
      <c r="C648" s="153"/>
      <c r="D648" s="155"/>
      <c r="E648" s="88"/>
      <c r="F648" s="188"/>
    </row>
    <row r="649" spans="1:6">
      <c r="A649" s="178"/>
      <c r="B649" s="153"/>
      <c r="C649" s="153"/>
      <c r="D649" s="155"/>
      <c r="E649" s="88"/>
      <c r="F649" s="188"/>
    </row>
    <row r="650" spans="1:6">
      <c r="A650" s="178"/>
      <c r="B650" s="153"/>
      <c r="C650" s="153"/>
      <c r="D650" s="155"/>
      <c r="E650" s="88"/>
      <c r="F650" s="188"/>
    </row>
    <row r="651" spans="1:6">
      <c r="A651" s="178"/>
      <c r="B651" s="153"/>
      <c r="C651" s="153"/>
      <c r="D651" s="155"/>
      <c r="E651" s="88"/>
      <c r="F651" s="188"/>
    </row>
    <row r="652" spans="1:6">
      <c r="A652" s="178"/>
      <c r="B652" s="153"/>
      <c r="C652" s="153"/>
      <c r="D652" s="155"/>
      <c r="E652" s="88"/>
      <c r="F652" s="188"/>
    </row>
    <row r="653" spans="1:6">
      <c r="A653" s="178"/>
      <c r="B653" s="153"/>
      <c r="C653" s="153"/>
      <c r="D653" s="155"/>
      <c r="E653" s="88"/>
      <c r="F653" s="188"/>
    </row>
    <row r="654" spans="1:6">
      <c r="A654" s="178"/>
      <c r="B654" s="153"/>
      <c r="C654" s="153"/>
      <c r="D654" s="155"/>
      <c r="E654" s="88"/>
      <c r="F654" s="188"/>
    </row>
    <row r="655" spans="1:6">
      <c r="A655" s="178"/>
      <c r="B655" s="153"/>
      <c r="C655" s="153"/>
      <c r="D655" s="155"/>
      <c r="E655" s="88"/>
      <c r="F655" s="188"/>
    </row>
    <row r="656" spans="1:6">
      <c r="A656" s="178"/>
      <c r="B656" s="153"/>
      <c r="C656" s="153"/>
      <c r="D656" s="155"/>
      <c r="E656" s="88"/>
      <c r="F656" s="188"/>
    </row>
    <row r="657" spans="1:6">
      <c r="A657" s="178"/>
      <c r="B657" s="153"/>
      <c r="C657" s="153"/>
      <c r="D657" s="155"/>
      <c r="E657" s="88"/>
      <c r="F657" s="188"/>
    </row>
    <row r="658" spans="1:6">
      <c r="A658" s="178"/>
      <c r="B658" s="153"/>
      <c r="C658" s="153"/>
      <c r="D658" s="155"/>
      <c r="E658" s="88"/>
      <c r="F658" s="188"/>
    </row>
    <row r="659" spans="1:6">
      <c r="A659" s="178"/>
      <c r="B659" s="153"/>
      <c r="C659" s="153"/>
      <c r="D659" s="155"/>
      <c r="E659" s="88"/>
      <c r="F659" s="188"/>
    </row>
    <row r="660" spans="1:6">
      <c r="A660" s="156"/>
      <c r="B660" s="163"/>
      <c r="C660" s="154"/>
      <c r="D660" s="189"/>
      <c r="E660" s="88"/>
      <c r="F660" s="188"/>
    </row>
    <row r="661" spans="1:6">
      <c r="A661" s="156"/>
      <c r="B661" s="163"/>
      <c r="C661" s="154"/>
      <c r="D661" s="189"/>
      <c r="E661" s="189"/>
      <c r="F661" s="188"/>
    </row>
    <row r="662" spans="1:6">
      <c r="A662" s="156"/>
      <c r="B662" s="163"/>
      <c r="C662" s="154"/>
      <c r="D662" s="189"/>
      <c r="E662" s="189"/>
      <c r="F662" s="188"/>
    </row>
    <row r="663" spans="1:6">
      <c r="A663" s="156"/>
      <c r="B663" s="163"/>
      <c r="C663" s="154"/>
      <c r="D663" s="189"/>
      <c r="E663" s="189"/>
      <c r="F663" s="188"/>
    </row>
    <row r="664" spans="1:6">
      <c r="A664" s="156"/>
      <c r="B664" s="163"/>
      <c r="C664" s="154"/>
      <c r="D664" s="190"/>
      <c r="E664" s="189"/>
      <c r="F664" s="188"/>
    </row>
    <row r="665" spans="1:6">
      <c r="A665" s="156"/>
      <c r="B665" s="163"/>
      <c r="C665" s="154"/>
      <c r="D665" s="190"/>
      <c r="E665" s="189"/>
      <c r="F665" s="188"/>
    </row>
    <row r="666" spans="1:6">
      <c r="A666" s="156"/>
      <c r="B666" s="163"/>
      <c r="C666" s="154"/>
      <c r="D666" s="190"/>
      <c r="E666" s="189"/>
      <c r="F666" s="188"/>
    </row>
    <row r="667" spans="1:8">
      <c r="A667" s="156"/>
      <c r="B667" s="163"/>
      <c r="C667" s="154"/>
      <c r="D667" s="164"/>
      <c r="E667" s="164"/>
      <c r="F667" s="177">
        <f>SUM(F2:F666)</f>
        <v>0</v>
      </c>
      <c r="G667" s="177"/>
      <c r="H667" s="168"/>
    </row>
    <row r="668" spans="6:7">
      <c r="F668" s="147"/>
      <c r="G668" s="147"/>
    </row>
    <row r="670" spans="6:6">
      <c r="F670" s="168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C21" sqref="C21"/>
    </sheetView>
  </sheetViews>
  <sheetFormatPr defaultColWidth="9.140625" defaultRowHeight="17.6" outlineLevelCol="7"/>
  <cols>
    <col min="1" max="1" width="12.6875" style="145" customWidth="1"/>
    <col min="2" max="2" width="32.1796875" style="146" customWidth="1"/>
    <col min="3" max="3" width="9.140625" style="147"/>
    <col min="4" max="4" width="13.3828125" style="144" customWidth="1"/>
    <col min="5" max="5" width="13.625" style="144" customWidth="1"/>
    <col min="6" max="6" width="13.75" style="144" customWidth="1"/>
    <col min="7" max="7" width="29.25" style="144" customWidth="1"/>
    <col min="8" max="8" width="14.9375" style="144"/>
    <col min="9" max="16384" width="9.140625" style="144"/>
  </cols>
  <sheetData>
    <row r="1" s="27" customFormat="1" ht="20.4" spans="1:7">
      <c r="A1" s="148" t="s">
        <v>0</v>
      </c>
      <c r="B1" s="149" t="s">
        <v>1</v>
      </c>
      <c r="C1" s="150" t="s">
        <v>2</v>
      </c>
      <c r="D1" s="151" t="s">
        <v>3</v>
      </c>
      <c r="E1" s="151" t="s">
        <v>4</v>
      </c>
      <c r="F1" s="151" t="s">
        <v>5</v>
      </c>
      <c r="G1" s="151" t="s">
        <v>7</v>
      </c>
    </row>
    <row r="2" s="144" customFormat="1" ht="18" customHeight="1" spans="1:7">
      <c r="A2" s="152"/>
      <c r="B2" s="153"/>
      <c r="C2" s="154"/>
      <c r="D2" s="155"/>
      <c r="E2" s="155">
        <f t="shared" ref="E2:E10" si="0">D2*C2</f>
        <v>0</v>
      </c>
      <c r="F2" s="165">
        <f>SUM(E2:E7)</f>
        <v>0</v>
      </c>
      <c r="G2" s="166"/>
    </row>
    <row r="3" s="144" customFormat="1" ht="18" customHeight="1" spans="1:7">
      <c r="A3" s="152"/>
      <c r="B3" s="153"/>
      <c r="C3" s="154"/>
      <c r="D3" s="155"/>
      <c r="E3" s="155">
        <f t="shared" si="0"/>
        <v>0</v>
      </c>
      <c r="F3" s="165"/>
      <c r="G3" s="167"/>
    </row>
    <row r="4" s="144" customFormat="1" ht="18" customHeight="1" spans="1:7">
      <c r="A4" s="152"/>
      <c r="B4" s="153"/>
      <c r="C4" s="154"/>
      <c r="D4" s="155"/>
      <c r="E4" s="155">
        <f t="shared" si="0"/>
        <v>0</v>
      </c>
      <c r="F4" s="165"/>
      <c r="G4" s="167"/>
    </row>
    <row r="5" s="144" customFormat="1" ht="18" customHeight="1" spans="1:8">
      <c r="A5" s="152"/>
      <c r="B5" s="153"/>
      <c r="C5" s="154"/>
      <c r="D5" s="155"/>
      <c r="E5" s="155">
        <f t="shared" si="0"/>
        <v>0</v>
      </c>
      <c r="F5" s="165"/>
      <c r="G5" s="167"/>
      <c r="H5" s="168"/>
    </row>
    <row r="6" s="144" customFormat="1" ht="18" customHeight="1" spans="1:7">
      <c r="A6" s="152"/>
      <c r="B6" s="153"/>
      <c r="C6" s="154"/>
      <c r="D6" s="155"/>
      <c r="E6" s="155">
        <f t="shared" si="0"/>
        <v>0</v>
      </c>
      <c r="F6" s="165"/>
      <c r="G6" s="167"/>
    </row>
    <row r="7" s="144" customFormat="1" ht="18" customHeight="1" spans="1:7">
      <c r="A7" s="152"/>
      <c r="B7" s="153"/>
      <c r="C7" s="154"/>
      <c r="D7" s="155"/>
      <c r="E7" s="155">
        <f t="shared" si="0"/>
        <v>0</v>
      </c>
      <c r="F7" s="165"/>
      <c r="G7" s="169"/>
    </row>
    <row r="8" s="144" customFormat="1" ht="40" customHeight="1" spans="1:7">
      <c r="A8" s="156"/>
      <c r="B8" s="153"/>
      <c r="C8" s="154"/>
      <c r="D8" s="155"/>
      <c r="E8" s="155">
        <f t="shared" si="0"/>
        <v>0</v>
      </c>
      <c r="F8" s="170">
        <f>SUM(E8:E10)</f>
        <v>0</v>
      </c>
      <c r="G8" s="166"/>
    </row>
    <row r="9" s="144" customFormat="1" ht="40" customHeight="1" spans="1:7">
      <c r="A9" s="157"/>
      <c r="B9" s="153"/>
      <c r="C9" s="154"/>
      <c r="D9" s="155"/>
      <c r="E9" s="155">
        <f t="shared" si="0"/>
        <v>0</v>
      </c>
      <c r="F9" s="171"/>
      <c r="G9" s="167"/>
    </row>
    <row r="10" s="144" customFormat="1" ht="40" customHeight="1" spans="1:7">
      <c r="A10" s="158"/>
      <c r="B10" s="153"/>
      <c r="C10" s="154"/>
      <c r="D10" s="155"/>
      <c r="E10" s="155">
        <f t="shared" si="0"/>
        <v>0</v>
      </c>
      <c r="F10" s="172"/>
      <c r="G10" s="169"/>
    </row>
    <row r="11" s="144" customFormat="1" spans="1:7">
      <c r="A11" s="152"/>
      <c r="B11" s="153"/>
      <c r="C11" s="154"/>
      <c r="D11" s="155"/>
      <c r="E11" s="155"/>
      <c r="F11" s="173"/>
      <c r="G11" s="174"/>
    </row>
    <row r="12" s="144" customFormat="1" spans="1:7">
      <c r="A12" s="152"/>
      <c r="B12" s="153"/>
      <c r="C12" s="154"/>
      <c r="D12" s="155"/>
      <c r="E12" s="155"/>
      <c r="F12" s="173"/>
      <c r="G12" s="174"/>
    </row>
    <row r="13" s="144" customFormat="1" spans="1:7">
      <c r="A13" s="152"/>
      <c r="B13" s="153"/>
      <c r="C13" s="154"/>
      <c r="D13" s="155"/>
      <c r="E13" s="155"/>
      <c r="F13" s="173"/>
      <c r="G13" s="174"/>
    </row>
    <row r="14" s="144" customFormat="1" spans="1:7">
      <c r="A14" s="152"/>
      <c r="B14" s="153"/>
      <c r="C14" s="154"/>
      <c r="D14" s="155"/>
      <c r="E14" s="155"/>
      <c r="F14" s="173"/>
      <c r="G14" s="174"/>
    </row>
    <row r="15" s="144" customFormat="1" spans="1:7">
      <c r="A15" s="152"/>
      <c r="B15" s="153"/>
      <c r="C15" s="154"/>
      <c r="D15" s="155"/>
      <c r="E15" s="155"/>
      <c r="F15" s="173"/>
      <c r="G15" s="174"/>
    </row>
    <row r="16" s="144" customFormat="1" spans="1:7">
      <c r="A16" s="152"/>
      <c r="B16" s="153"/>
      <c r="C16" s="154"/>
      <c r="D16" s="155"/>
      <c r="E16" s="155"/>
      <c r="F16" s="173"/>
      <c r="G16" s="174"/>
    </row>
    <row r="17" s="144" customFormat="1" spans="1:7">
      <c r="A17" s="152"/>
      <c r="B17" s="153"/>
      <c r="C17" s="154"/>
      <c r="D17" s="155"/>
      <c r="E17" s="155"/>
      <c r="F17" s="173"/>
      <c r="G17" s="174"/>
    </row>
    <row r="18" s="144" customFormat="1" spans="1:7">
      <c r="A18" s="152"/>
      <c r="B18" s="153"/>
      <c r="C18" s="154"/>
      <c r="D18" s="155"/>
      <c r="E18" s="155"/>
      <c r="F18" s="173"/>
      <c r="G18" s="174"/>
    </row>
    <row r="19" s="144" customFormat="1" spans="1:7">
      <c r="A19" s="159"/>
      <c r="B19" s="160"/>
      <c r="C19" s="161"/>
      <c r="D19" s="162"/>
      <c r="E19" s="162"/>
      <c r="F19" s="175"/>
      <c r="G19" s="176"/>
    </row>
    <row r="20" s="144" customFormat="1" spans="1:7">
      <c r="A20" s="159"/>
      <c r="B20" s="160"/>
      <c r="C20" s="161"/>
      <c r="D20" s="162"/>
      <c r="E20" s="162"/>
      <c r="F20" s="175"/>
      <c r="G20" s="176"/>
    </row>
    <row r="21" s="144" customFormat="1" spans="1:8">
      <c r="A21" s="152"/>
      <c r="B21" s="163"/>
      <c r="C21" s="154"/>
      <c r="D21" s="164"/>
      <c r="E21" s="164"/>
      <c r="F21" s="177">
        <f>SUM(F2:F20)</f>
        <v>0</v>
      </c>
      <c r="G21" s="177"/>
      <c r="H21" s="168"/>
    </row>
    <row r="22" s="144" customFormat="1" spans="1:7">
      <c r="A22" s="145"/>
      <c r="B22" s="146"/>
      <c r="C22" s="147"/>
      <c r="F22" s="147"/>
      <c r="G22" s="147"/>
    </row>
    <row r="24" s="144" customFormat="1" spans="1:6">
      <c r="A24" s="145"/>
      <c r="B24" s="146"/>
      <c r="C24" s="147"/>
      <c r="F24" s="168"/>
    </row>
  </sheetData>
  <mergeCells count="6">
    <mergeCell ref="A2:A7"/>
    <mergeCell ref="A8:A10"/>
    <mergeCell ref="F2:F7"/>
    <mergeCell ref="F8:F10"/>
    <mergeCell ref="G2:G7"/>
    <mergeCell ref="G8:G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zoomScale="75" zoomScaleNormal="75" workbookViewId="0">
      <pane ySplit="1" topLeftCell="A44" activePane="bottomLeft" state="frozen"/>
      <selection/>
      <selection pane="bottomLeft" activeCell="D61" sqref="D61:G61"/>
    </sheetView>
  </sheetViews>
  <sheetFormatPr defaultColWidth="9.140625" defaultRowHeight="23.2" outlineLevelCol="7"/>
  <cols>
    <col min="1" max="1" width="18.859375" style="127" customWidth="1"/>
    <col min="2" max="2" width="35.5703125" style="128" customWidth="1"/>
    <col min="3" max="3" width="24.1875" style="129" customWidth="1"/>
    <col min="4" max="4" width="24.7109375" style="125" customWidth="1"/>
    <col min="5" max="5" width="36.9609375" style="125" customWidth="1"/>
    <col min="6" max="6" width="27.0078125" style="125" customWidth="1"/>
    <col min="7" max="7" width="22" style="125" customWidth="1"/>
    <col min="8" max="8" width="15.5703125" style="125"/>
    <col min="9" max="11" width="12.859375" style="125"/>
    <col min="12" max="16384" width="9.140625" style="125"/>
  </cols>
  <sheetData>
    <row r="1" spans="1:7">
      <c r="A1" s="130" t="s">
        <v>0</v>
      </c>
      <c r="B1" s="131" t="s">
        <v>8</v>
      </c>
      <c r="C1" s="132" t="s">
        <v>9</v>
      </c>
      <c r="D1" s="132" t="s">
        <v>3</v>
      </c>
      <c r="E1" s="132" t="s">
        <v>7</v>
      </c>
      <c r="F1" s="132" t="s">
        <v>4</v>
      </c>
      <c r="G1" s="132" t="s">
        <v>5</v>
      </c>
    </row>
    <row r="2" s="125" customFormat="1" spans="1:7">
      <c r="A2" s="16"/>
      <c r="B2" s="133"/>
      <c r="C2" s="134"/>
      <c r="D2" s="135"/>
      <c r="E2" s="141"/>
      <c r="F2" s="142">
        <f>SUM(C2*D2)</f>
        <v>0</v>
      </c>
      <c r="G2" s="142">
        <f>SUM(F2:F6)</f>
        <v>0</v>
      </c>
    </row>
    <row r="3" s="125" customFormat="1" spans="1:7">
      <c r="A3" s="16"/>
      <c r="B3" s="133"/>
      <c r="C3" s="134"/>
      <c r="D3" s="135"/>
      <c r="E3" s="141"/>
      <c r="F3" s="142">
        <f>SUM(C3*D3)</f>
        <v>0</v>
      </c>
      <c r="G3" s="142"/>
    </row>
    <row r="4" s="125" customFormat="1" spans="1:7">
      <c r="A4" s="16"/>
      <c r="B4" s="133"/>
      <c r="C4" s="134"/>
      <c r="D4" s="135"/>
      <c r="E4" s="141"/>
      <c r="F4" s="142">
        <f>SUM(C4*D4)</f>
        <v>0</v>
      </c>
      <c r="G4" s="142"/>
    </row>
    <row r="5" s="125" customFormat="1" spans="1:7">
      <c r="A5" s="16"/>
      <c r="B5" s="133"/>
      <c r="C5" s="134"/>
      <c r="D5" s="135"/>
      <c r="E5" s="141"/>
      <c r="F5" s="142">
        <f t="shared" ref="F2:F10" si="0">SUM(C5*D5)</f>
        <v>0</v>
      </c>
      <c r="G5" s="142"/>
    </row>
    <row r="6" s="125" customFormat="1" spans="1:7">
      <c r="A6" s="16"/>
      <c r="B6" s="133"/>
      <c r="C6" s="134"/>
      <c r="D6" s="135"/>
      <c r="E6" s="141"/>
      <c r="F6" s="142">
        <f t="shared" si="0"/>
        <v>0</v>
      </c>
      <c r="G6" s="142"/>
    </row>
    <row r="7" s="125" customFormat="1" spans="1:7">
      <c r="A7" s="16"/>
      <c r="B7" s="136"/>
      <c r="C7" s="134"/>
      <c r="D7" s="135"/>
      <c r="E7" s="141"/>
      <c r="F7" s="142">
        <f t="shared" si="0"/>
        <v>0</v>
      </c>
      <c r="G7" s="142">
        <f>SUM(F7)</f>
        <v>0</v>
      </c>
    </row>
    <row r="8" s="125" customFormat="1" spans="1:7">
      <c r="A8" s="16"/>
      <c r="B8" s="133"/>
      <c r="C8" s="134"/>
      <c r="D8" s="135"/>
      <c r="E8" s="141"/>
      <c r="F8" s="142">
        <f t="shared" si="0"/>
        <v>0</v>
      </c>
      <c r="G8" s="142">
        <f>SUM(F8:F9)</f>
        <v>0</v>
      </c>
    </row>
    <row r="9" s="125" customFormat="1" spans="1:7">
      <c r="A9" s="16"/>
      <c r="B9" s="133"/>
      <c r="C9" s="134"/>
      <c r="D9" s="135"/>
      <c r="E9" s="141"/>
      <c r="F9" s="142">
        <f t="shared" si="0"/>
        <v>0</v>
      </c>
      <c r="G9" s="142"/>
    </row>
    <row r="10" s="125" customFormat="1" spans="1:7">
      <c r="A10" s="16"/>
      <c r="B10" s="133"/>
      <c r="C10" s="134"/>
      <c r="D10" s="135"/>
      <c r="E10" s="141"/>
      <c r="F10" s="142">
        <f t="shared" si="0"/>
        <v>0</v>
      </c>
      <c r="G10" s="142">
        <f>SUM(F10:F12)</f>
        <v>0</v>
      </c>
    </row>
    <row r="11" s="125" customFormat="1" spans="1:7">
      <c r="A11" s="16"/>
      <c r="B11" s="133"/>
      <c r="C11" s="134"/>
      <c r="D11" s="135"/>
      <c r="E11" s="141"/>
      <c r="F11" s="142">
        <f t="shared" ref="F11:F13" si="1">SUM(C11*D11)</f>
        <v>0</v>
      </c>
      <c r="G11" s="142"/>
    </row>
    <row r="12" s="125" customFormat="1" spans="1:7">
      <c r="A12" s="16"/>
      <c r="B12" s="137"/>
      <c r="C12" s="134"/>
      <c r="D12" s="135"/>
      <c r="E12" s="141"/>
      <c r="F12" s="142">
        <f t="shared" si="1"/>
        <v>0</v>
      </c>
      <c r="G12" s="142"/>
    </row>
    <row r="13" s="125" customFormat="1" spans="1:7">
      <c r="A13" s="16"/>
      <c r="B13" s="133"/>
      <c r="C13" s="134"/>
      <c r="D13" s="135"/>
      <c r="E13" s="141"/>
      <c r="F13" s="142">
        <f t="shared" si="1"/>
        <v>0</v>
      </c>
      <c r="G13" s="142">
        <f>SUM(F13:F17)</f>
        <v>0</v>
      </c>
    </row>
    <row r="14" s="125" customFormat="1" spans="1:7">
      <c r="A14" s="16"/>
      <c r="B14" s="133"/>
      <c r="C14" s="134"/>
      <c r="D14" s="135"/>
      <c r="E14" s="141"/>
      <c r="F14" s="142">
        <f>C14*D14</f>
        <v>0</v>
      </c>
      <c r="G14" s="142"/>
    </row>
    <row r="15" s="125" customFormat="1" spans="1:7">
      <c r="A15" s="16"/>
      <c r="B15" s="133"/>
      <c r="C15" s="134"/>
      <c r="D15" s="135"/>
      <c r="E15" s="141"/>
      <c r="F15" s="142">
        <f>C15*D15</f>
        <v>0</v>
      </c>
      <c r="G15" s="142"/>
    </row>
    <row r="16" s="125" customFormat="1" spans="1:7">
      <c r="A16" s="16"/>
      <c r="B16" s="133"/>
      <c r="C16" s="134"/>
      <c r="D16" s="135"/>
      <c r="E16" s="141"/>
      <c r="F16" s="142">
        <f t="shared" ref="F16:F18" si="2">SUM(C16*D16)</f>
        <v>0</v>
      </c>
      <c r="G16" s="142"/>
    </row>
    <row r="17" s="125" customFormat="1" spans="1:7">
      <c r="A17" s="16"/>
      <c r="B17" s="133"/>
      <c r="C17" s="134"/>
      <c r="D17" s="135"/>
      <c r="E17" s="141"/>
      <c r="F17" s="142">
        <f t="shared" si="2"/>
        <v>0</v>
      </c>
      <c r="G17" s="142"/>
    </row>
    <row r="18" s="125" customFormat="1" spans="1:7">
      <c r="A18" s="16"/>
      <c r="B18" s="136"/>
      <c r="C18" s="134"/>
      <c r="D18" s="135"/>
      <c r="E18" s="141"/>
      <c r="F18" s="142">
        <f t="shared" si="2"/>
        <v>0</v>
      </c>
      <c r="G18" s="142">
        <f>SUM(F18)</f>
        <v>0</v>
      </c>
    </row>
    <row r="19" s="125" customFormat="1" spans="1:7">
      <c r="A19" s="16"/>
      <c r="B19" s="137"/>
      <c r="C19" s="134"/>
      <c r="D19" s="135"/>
      <c r="E19" s="141"/>
      <c r="F19" s="142">
        <f t="shared" ref="F19:F30" si="3">SUM(C19*D19)</f>
        <v>0</v>
      </c>
      <c r="G19" s="142">
        <f>SUM(F19:F20)</f>
        <v>0</v>
      </c>
    </row>
    <row r="20" s="125" customFormat="1" spans="1:7">
      <c r="A20" s="16"/>
      <c r="B20" s="137"/>
      <c r="C20" s="134"/>
      <c r="D20" s="135"/>
      <c r="E20" s="141"/>
      <c r="F20" s="142">
        <f t="shared" si="3"/>
        <v>0</v>
      </c>
      <c r="G20" s="142"/>
    </row>
    <row r="21" s="125" customFormat="1" spans="1:7">
      <c r="A21" s="16"/>
      <c r="B21" s="137"/>
      <c r="C21" s="134"/>
      <c r="D21" s="135"/>
      <c r="E21" s="141"/>
      <c r="F21" s="142">
        <f t="shared" si="3"/>
        <v>0</v>
      </c>
      <c r="G21" s="142">
        <f>SUM(F21:F26)</f>
        <v>0</v>
      </c>
    </row>
    <row r="22" s="125" customFormat="1" spans="1:7">
      <c r="A22" s="16"/>
      <c r="B22" s="137"/>
      <c r="C22" s="134"/>
      <c r="D22" s="135"/>
      <c r="E22" s="141"/>
      <c r="F22" s="142">
        <f t="shared" si="3"/>
        <v>0</v>
      </c>
      <c r="G22" s="142"/>
    </row>
    <row r="23" s="125" customFormat="1" spans="1:7">
      <c r="A23" s="16"/>
      <c r="B23" s="137"/>
      <c r="C23" s="134"/>
      <c r="D23" s="135"/>
      <c r="E23" s="141"/>
      <c r="F23" s="142">
        <f t="shared" si="3"/>
        <v>0</v>
      </c>
      <c r="G23" s="142"/>
    </row>
    <row r="24" s="125" customFormat="1" spans="1:7">
      <c r="A24" s="16"/>
      <c r="B24" s="137"/>
      <c r="C24" s="134"/>
      <c r="D24" s="135"/>
      <c r="E24" s="141"/>
      <c r="F24" s="142">
        <f t="shared" si="3"/>
        <v>0</v>
      </c>
      <c r="G24" s="142"/>
    </row>
    <row r="25" s="125" customFormat="1" spans="1:7">
      <c r="A25" s="16"/>
      <c r="B25" s="137"/>
      <c r="C25" s="134"/>
      <c r="D25" s="135"/>
      <c r="E25" s="141"/>
      <c r="F25" s="142">
        <f t="shared" si="3"/>
        <v>0</v>
      </c>
      <c r="G25" s="142"/>
    </row>
    <row r="26" s="125" customFormat="1" spans="1:7">
      <c r="A26" s="16"/>
      <c r="B26" s="137"/>
      <c r="C26" s="134"/>
      <c r="D26" s="135"/>
      <c r="E26" s="141"/>
      <c r="F26" s="142">
        <f t="shared" si="3"/>
        <v>0</v>
      </c>
      <c r="G26" s="142"/>
    </row>
    <row r="27" s="125" customFormat="1" spans="1:7">
      <c r="A27" s="16"/>
      <c r="B27" s="137"/>
      <c r="C27" s="134"/>
      <c r="D27" s="135"/>
      <c r="E27" s="141"/>
      <c r="F27" s="142">
        <f t="shared" si="3"/>
        <v>0</v>
      </c>
      <c r="G27" s="142">
        <f>SUM(F27:F28)</f>
        <v>0</v>
      </c>
    </row>
    <row r="28" s="125" customFormat="1" spans="1:7">
      <c r="A28" s="16"/>
      <c r="B28" s="133"/>
      <c r="C28" s="134"/>
      <c r="D28" s="135"/>
      <c r="E28" s="141"/>
      <c r="F28" s="142">
        <f t="shared" si="3"/>
        <v>0</v>
      </c>
      <c r="G28" s="142"/>
    </row>
    <row r="29" s="125" customFormat="1" spans="1:7">
      <c r="A29" s="16"/>
      <c r="B29" s="133"/>
      <c r="C29" s="134"/>
      <c r="D29" s="135"/>
      <c r="E29" s="141"/>
      <c r="F29" s="142">
        <f t="shared" si="3"/>
        <v>0</v>
      </c>
      <c r="G29" s="142">
        <f>SUM(F29)</f>
        <v>0</v>
      </c>
    </row>
    <row r="30" s="125" customFormat="1" spans="1:7">
      <c r="A30" s="16"/>
      <c r="B30" s="133"/>
      <c r="C30" s="134"/>
      <c r="D30" s="135"/>
      <c r="E30" s="141"/>
      <c r="F30" s="142">
        <f t="shared" si="3"/>
        <v>0</v>
      </c>
      <c r="G30" s="142">
        <f>SUM(F30:F32)</f>
        <v>0</v>
      </c>
    </row>
    <row r="31" s="125" customFormat="1" spans="1:7">
      <c r="A31" s="16"/>
      <c r="B31" s="133"/>
      <c r="C31" s="134"/>
      <c r="D31" s="135"/>
      <c r="E31" s="141"/>
      <c r="F31" s="142">
        <f>C31*D31</f>
        <v>0</v>
      </c>
      <c r="G31" s="142"/>
    </row>
    <row r="32" s="125" customFormat="1" spans="1:7">
      <c r="A32" s="16"/>
      <c r="B32" s="133"/>
      <c r="C32" s="134"/>
      <c r="D32" s="135"/>
      <c r="E32" s="141"/>
      <c r="F32" s="142">
        <f>C32*D32</f>
        <v>0</v>
      </c>
      <c r="G32" s="142"/>
    </row>
    <row r="33" s="125" customFormat="1" spans="1:7">
      <c r="A33" s="16"/>
      <c r="B33" s="133"/>
      <c r="C33" s="134"/>
      <c r="D33" s="135"/>
      <c r="E33" s="141"/>
      <c r="F33" s="142">
        <f>C33*D33</f>
        <v>0</v>
      </c>
      <c r="G33" s="142">
        <f>SUM(F33:F37)</f>
        <v>0</v>
      </c>
    </row>
    <row r="34" s="125" customFormat="1" spans="1:7">
      <c r="A34" s="16"/>
      <c r="B34" s="133"/>
      <c r="C34" s="134"/>
      <c r="D34" s="135"/>
      <c r="E34" s="141"/>
      <c r="F34" s="142">
        <f t="shared" ref="F34:F54" si="4">SUM(C34*D34)</f>
        <v>0</v>
      </c>
      <c r="G34" s="142"/>
    </row>
    <row r="35" s="125" customFormat="1" spans="1:7">
      <c r="A35" s="16"/>
      <c r="B35" s="133"/>
      <c r="C35" s="134"/>
      <c r="D35" s="135"/>
      <c r="E35" s="141"/>
      <c r="F35" s="142">
        <f t="shared" si="4"/>
        <v>0</v>
      </c>
      <c r="G35" s="142"/>
    </row>
    <row r="36" s="125" customFormat="1" spans="1:7">
      <c r="A36" s="16"/>
      <c r="B36" s="133"/>
      <c r="C36" s="134"/>
      <c r="D36" s="135"/>
      <c r="E36" s="141"/>
      <c r="F36" s="142">
        <f t="shared" si="4"/>
        <v>0</v>
      </c>
      <c r="G36" s="142"/>
    </row>
    <row r="37" s="125" customFormat="1" spans="1:7">
      <c r="A37" s="16"/>
      <c r="B37" s="133"/>
      <c r="C37" s="134"/>
      <c r="D37" s="133"/>
      <c r="E37" s="141"/>
      <c r="F37" s="142">
        <f t="shared" si="4"/>
        <v>0</v>
      </c>
      <c r="G37" s="142"/>
    </row>
    <row r="38" s="125" customFormat="1" spans="1:7">
      <c r="A38" s="16"/>
      <c r="B38" s="133"/>
      <c r="C38" s="134"/>
      <c r="D38" s="133"/>
      <c r="E38" s="136"/>
      <c r="F38" s="142">
        <f t="shared" si="4"/>
        <v>0</v>
      </c>
      <c r="G38" s="133">
        <f>SUM(F38:F41)</f>
        <v>0</v>
      </c>
    </row>
    <row r="39" s="125" customFormat="1" spans="1:7">
      <c r="A39" s="16"/>
      <c r="B39" s="133"/>
      <c r="C39" s="134"/>
      <c r="D39" s="133"/>
      <c r="E39" s="136"/>
      <c r="F39" s="142">
        <f t="shared" si="4"/>
        <v>0</v>
      </c>
      <c r="G39" s="133"/>
    </row>
    <row r="40" s="125" customFormat="1" spans="1:7">
      <c r="A40" s="16"/>
      <c r="B40" s="133"/>
      <c r="C40" s="134"/>
      <c r="D40" s="133"/>
      <c r="E40" s="136"/>
      <c r="F40" s="142">
        <f t="shared" si="4"/>
        <v>0</v>
      </c>
      <c r="G40" s="133"/>
    </row>
    <row r="41" s="125" customFormat="1" spans="1:7">
      <c r="A41" s="16"/>
      <c r="B41" s="133"/>
      <c r="C41" s="134"/>
      <c r="D41" s="133"/>
      <c r="E41" s="136"/>
      <c r="F41" s="142">
        <f t="shared" si="4"/>
        <v>0</v>
      </c>
      <c r="G41" s="133"/>
    </row>
    <row r="42" s="125" customFormat="1" spans="1:7">
      <c r="A42" s="16"/>
      <c r="B42" s="133"/>
      <c r="C42" s="134"/>
      <c r="D42" s="133"/>
      <c r="E42" s="136"/>
      <c r="F42" s="133">
        <f t="shared" si="4"/>
        <v>0</v>
      </c>
      <c r="G42" s="133">
        <f>SUM(F42:F46)</f>
        <v>0</v>
      </c>
    </row>
    <row r="43" s="125" customFormat="1" spans="1:7">
      <c r="A43" s="16"/>
      <c r="B43" s="133"/>
      <c r="C43" s="134"/>
      <c r="D43" s="133"/>
      <c r="E43" s="136"/>
      <c r="F43" s="133">
        <f t="shared" si="4"/>
        <v>0</v>
      </c>
      <c r="G43" s="133"/>
    </row>
    <row r="44" s="125" customFormat="1" spans="1:7">
      <c r="A44" s="16"/>
      <c r="B44" s="133"/>
      <c r="C44" s="134"/>
      <c r="D44" s="133"/>
      <c r="E44" s="136"/>
      <c r="F44" s="133">
        <f t="shared" si="4"/>
        <v>0</v>
      </c>
      <c r="G44" s="133"/>
    </row>
    <row r="45" s="125" customFormat="1" spans="1:7">
      <c r="A45" s="16"/>
      <c r="B45" s="133"/>
      <c r="C45" s="134"/>
      <c r="D45" s="133"/>
      <c r="E45" s="136"/>
      <c r="F45" s="133">
        <f t="shared" si="4"/>
        <v>0</v>
      </c>
      <c r="G45" s="133"/>
    </row>
    <row r="46" s="125" customFormat="1" spans="1:7">
      <c r="A46" s="16"/>
      <c r="B46" s="133"/>
      <c r="C46" s="134"/>
      <c r="D46" s="133"/>
      <c r="E46" s="136"/>
      <c r="F46" s="133">
        <f t="shared" si="4"/>
        <v>0</v>
      </c>
      <c r="G46" s="133"/>
    </row>
    <row r="47" s="125" customFormat="1" spans="1:7">
      <c r="A47" s="16"/>
      <c r="B47" s="133"/>
      <c r="C47" s="134"/>
      <c r="D47" s="135"/>
      <c r="E47" s="136"/>
      <c r="F47" s="133">
        <f t="shared" si="4"/>
        <v>0</v>
      </c>
      <c r="G47" s="142">
        <f>SUM(F47:F50)</f>
        <v>0</v>
      </c>
    </row>
    <row r="48" s="125" customFormat="1" spans="1:7">
      <c r="A48" s="16"/>
      <c r="B48" s="133"/>
      <c r="C48" s="134"/>
      <c r="D48" s="135"/>
      <c r="E48" s="136"/>
      <c r="F48" s="133">
        <f t="shared" si="4"/>
        <v>0</v>
      </c>
      <c r="G48" s="142"/>
    </row>
    <row r="49" s="125" customFormat="1" spans="1:7">
      <c r="A49" s="16"/>
      <c r="B49" s="133"/>
      <c r="C49" s="134"/>
      <c r="D49" s="135"/>
      <c r="E49" s="136"/>
      <c r="F49" s="133">
        <f t="shared" si="4"/>
        <v>0</v>
      </c>
      <c r="G49" s="142"/>
    </row>
    <row r="50" s="125" customFormat="1" spans="1:7">
      <c r="A50" s="16"/>
      <c r="B50" s="133"/>
      <c r="C50" s="134"/>
      <c r="D50" s="135"/>
      <c r="E50" s="136"/>
      <c r="F50" s="133">
        <f t="shared" si="4"/>
        <v>0</v>
      </c>
      <c r="G50" s="142"/>
    </row>
    <row r="51" s="125" customFormat="1" spans="1:7">
      <c r="A51" s="16"/>
      <c r="B51" s="133"/>
      <c r="C51" s="134"/>
      <c r="D51" s="135"/>
      <c r="E51" s="141"/>
      <c r="F51" s="133">
        <f t="shared" si="4"/>
        <v>0</v>
      </c>
      <c r="G51" s="142">
        <f>SUM(F51:F54)</f>
        <v>0</v>
      </c>
    </row>
    <row r="52" s="125" customFormat="1" spans="1:8">
      <c r="A52" s="16"/>
      <c r="B52" s="133"/>
      <c r="C52" s="134"/>
      <c r="D52" s="135"/>
      <c r="E52" s="141"/>
      <c r="F52" s="133">
        <f t="shared" si="4"/>
        <v>0</v>
      </c>
      <c r="G52" s="142"/>
      <c r="H52" s="143"/>
    </row>
    <row r="53" s="126" customFormat="1" spans="1:7">
      <c r="A53" s="16"/>
      <c r="B53" s="133"/>
      <c r="C53" s="134"/>
      <c r="D53" s="135"/>
      <c r="E53" s="141"/>
      <c r="F53" s="133">
        <f t="shared" si="4"/>
        <v>0</v>
      </c>
      <c r="G53" s="142"/>
    </row>
    <row r="54" s="126" customFormat="1" spans="1:7">
      <c r="A54" s="16"/>
      <c r="B54" s="133"/>
      <c r="C54" s="134"/>
      <c r="D54" s="135"/>
      <c r="E54" s="141"/>
      <c r="F54" s="133">
        <f t="shared" si="4"/>
        <v>0</v>
      </c>
      <c r="G54" s="142"/>
    </row>
    <row r="55" s="126" customFormat="1" spans="1:7">
      <c r="A55" s="16"/>
      <c r="B55" s="133"/>
      <c r="C55" s="134"/>
      <c r="D55" s="135"/>
      <c r="E55" s="19"/>
      <c r="F55" s="19"/>
      <c r="G55" s="142"/>
    </row>
    <row r="56" s="126" customFormat="1" spans="1:7">
      <c r="A56" s="16"/>
      <c r="B56" s="133"/>
      <c r="C56" s="134"/>
      <c r="D56" s="135"/>
      <c r="E56" s="19"/>
      <c r="F56" s="19"/>
      <c r="G56" s="142"/>
    </row>
    <row r="57" s="126" customFormat="1" spans="1:7">
      <c r="A57" s="16"/>
      <c r="B57" s="133"/>
      <c r="C57" s="134"/>
      <c r="D57" s="135"/>
      <c r="E57" s="19"/>
      <c r="F57" s="19"/>
      <c r="G57" s="142"/>
    </row>
    <row r="58" s="126" customFormat="1" spans="1:7">
      <c r="A58" s="16"/>
      <c r="B58" s="133"/>
      <c r="C58" s="134"/>
      <c r="D58" s="135"/>
      <c r="E58" s="19"/>
      <c r="F58" s="19"/>
      <c r="G58" s="142"/>
    </row>
    <row r="59" s="126" customFormat="1" spans="1:7">
      <c r="A59" s="16"/>
      <c r="B59" s="133"/>
      <c r="C59" s="134"/>
      <c r="D59" s="135"/>
      <c r="E59" s="19"/>
      <c r="F59" s="19"/>
      <c r="G59" s="142"/>
    </row>
    <row r="60" s="126" customFormat="1" spans="1:7">
      <c r="A60" s="16"/>
      <c r="B60" s="133"/>
      <c r="C60" s="134"/>
      <c r="D60" s="135"/>
      <c r="E60" s="19"/>
      <c r="F60" s="19"/>
      <c r="G60" s="142"/>
    </row>
    <row r="61" s="125" customFormat="1" ht="31" customHeight="1" spans="1:8">
      <c r="A61" s="138"/>
      <c r="B61" s="138"/>
      <c r="C61" s="139"/>
      <c r="D61" s="140">
        <f>SUM(G2:G60)</f>
        <v>0</v>
      </c>
      <c r="E61" s="140"/>
      <c r="F61" s="140"/>
      <c r="G61" s="140"/>
      <c r="H61" s="143"/>
    </row>
  </sheetData>
  <mergeCells count="1">
    <mergeCell ref="D61:G6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opLeftCell="B1" workbookViewId="0">
      <pane ySplit="1" topLeftCell="A2" activePane="bottomLeft" state="frozen"/>
      <selection/>
      <selection pane="bottomLeft" activeCell="H12" sqref="H12"/>
    </sheetView>
  </sheetViews>
  <sheetFormatPr defaultColWidth="9.140625" defaultRowHeight="23.2" outlineLevelCol="7"/>
  <cols>
    <col min="1" max="1" width="19.140625" style="109" customWidth="1"/>
    <col min="2" max="2" width="26.7109375" style="108" customWidth="1"/>
    <col min="3" max="3" width="33.921875" style="110" customWidth="1"/>
    <col min="4" max="4" width="29.703125" style="110" customWidth="1"/>
    <col min="5" max="5" width="48.046875" style="108" customWidth="1"/>
    <col min="6" max="6" width="23.359375" style="108" customWidth="1"/>
    <col min="7" max="8" width="19.2890625" style="108" customWidth="1"/>
    <col min="9" max="9" width="12.859375" style="108"/>
    <col min="10" max="16384" width="9.140625" style="108"/>
  </cols>
  <sheetData>
    <row r="1" ht="35" customHeight="1" spans="1:8">
      <c r="A1" s="111" t="s">
        <v>0</v>
      </c>
      <c r="B1" s="112" t="s">
        <v>10</v>
      </c>
      <c r="C1" s="112" t="s">
        <v>11</v>
      </c>
      <c r="D1" s="112" t="s">
        <v>12</v>
      </c>
      <c r="E1" s="112" t="s">
        <v>13</v>
      </c>
      <c r="F1" s="112" t="s">
        <v>3</v>
      </c>
      <c r="G1" s="112" t="s">
        <v>4</v>
      </c>
      <c r="H1" s="121" t="s">
        <v>5</v>
      </c>
    </row>
    <row r="2" s="108" customFormat="1" spans="1:8">
      <c r="A2" s="113"/>
      <c r="B2" s="114"/>
      <c r="C2" s="115"/>
      <c r="D2" s="116"/>
      <c r="E2" s="122"/>
      <c r="F2" s="123"/>
      <c r="G2" s="123">
        <f>D2*F2</f>
        <v>0</v>
      </c>
      <c r="H2" s="123">
        <f>SUM(G2)</f>
        <v>0</v>
      </c>
    </row>
    <row r="3" s="108" customFormat="1" spans="1:8">
      <c r="A3" s="113"/>
      <c r="B3" s="114"/>
      <c r="C3" s="115"/>
      <c r="D3" s="116"/>
      <c r="E3" s="122"/>
      <c r="F3" s="123"/>
      <c r="G3" s="123">
        <f>SUM(D3*F3+D4*F4)</f>
        <v>0</v>
      </c>
      <c r="H3" s="122"/>
    </row>
    <row r="4" s="108" customFormat="1" spans="1:8">
      <c r="A4" s="113"/>
      <c r="B4" s="114"/>
      <c r="C4" s="115"/>
      <c r="D4" s="116"/>
      <c r="E4" s="122"/>
      <c r="F4" s="123"/>
      <c r="G4" s="123"/>
      <c r="H4" s="122"/>
    </row>
    <row r="5" s="108" customFormat="1" spans="1:8">
      <c r="A5" s="113"/>
      <c r="B5" s="114"/>
      <c r="C5" s="117"/>
      <c r="D5" s="118"/>
      <c r="E5" s="122"/>
      <c r="F5" s="123"/>
      <c r="G5" s="123">
        <f>SUM(D5*F5+D6*F6+D7*F7)</f>
        <v>0</v>
      </c>
      <c r="H5" s="122"/>
    </row>
    <row r="6" s="108" customFormat="1" spans="1:8">
      <c r="A6" s="113"/>
      <c r="B6" s="114"/>
      <c r="C6" s="117"/>
      <c r="D6" s="118"/>
      <c r="E6" s="122"/>
      <c r="F6" s="123"/>
      <c r="G6" s="123"/>
      <c r="H6" s="122"/>
    </row>
    <row r="7" s="108" customFormat="1" spans="1:8">
      <c r="A7" s="113"/>
      <c r="B7" s="114"/>
      <c r="C7" s="117"/>
      <c r="D7" s="118"/>
      <c r="E7" s="122"/>
      <c r="F7" s="123"/>
      <c r="G7" s="123"/>
      <c r="H7" s="122"/>
    </row>
    <row r="8" s="108" customFormat="1" spans="1:8">
      <c r="A8" s="113"/>
      <c r="B8" s="114"/>
      <c r="C8" s="117"/>
      <c r="D8" s="118"/>
      <c r="E8" s="122"/>
      <c r="F8" s="123"/>
      <c r="G8" s="123">
        <f>SUM(D8*F8)</f>
        <v>0</v>
      </c>
      <c r="H8" s="122"/>
    </row>
    <row r="9" s="108" customFormat="1" spans="1:8">
      <c r="A9" s="113"/>
      <c r="B9" s="114"/>
      <c r="C9" s="117"/>
      <c r="D9" s="118"/>
      <c r="E9" s="122"/>
      <c r="F9" s="123"/>
      <c r="G9" s="123"/>
      <c r="H9" s="122"/>
    </row>
    <row r="10" s="108" customFormat="1" spans="1:8">
      <c r="A10" s="113"/>
      <c r="B10" s="114"/>
      <c r="C10" s="117"/>
      <c r="D10" s="118"/>
      <c r="E10" s="122"/>
      <c r="F10" s="123"/>
      <c r="G10" s="123"/>
      <c r="H10" s="122"/>
    </row>
    <row r="11" s="108" customFormat="1" spans="1:8">
      <c r="A11" s="113"/>
      <c r="B11" s="114"/>
      <c r="C11" s="117"/>
      <c r="D11" s="118"/>
      <c r="E11" s="122"/>
      <c r="F11" s="123"/>
      <c r="G11" s="123"/>
      <c r="H11" s="122"/>
    </row>
    <row r="12" s="108" customFormat="1" ht="21" customHeight="1" spans="1:8">
      <c r="A12" s="119"/>
      <c r="B12" s="120"/>
      <c r="C12" s="120"/>
      <c r="D12" s="120"/>
      <c r="E12" s="119" t="s">
        <v>14</v>
      </c>
      <c r="F12" s="120"/>
      <c r="G12" s="120"/>
      <c r="H12" s="124">
        <f>SUM(H2:H11)</f>
        <v>0</v>
      </c>
    </row>
  </sheetData>
  <mergeCells count="2">
    <mergeCell ref="A12:C12"/>
    <mergeCell ref="E12:G1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zoomScale="85" zoomScaleNormal="85" workbookViewId="0">
      <pane ySplit="1" topLeftCell="A2" activePane="bottomLeft" state="frozen"/>
      <selection/>
      <selection pane="bottomLeft" activeCell="H14" sqref="H14"/>
    </sheetView>
  </sheetViews>
  <sheetFormatPr defaultColWidth="9.140625" defaultRowHeight="16.8"/>
  <cols>
    <col min="1" max="1" width="8.8828125" customWidth="1"/>
    <col min="2" max="2" width="20.140625" customWidth="1"/>
    <col min="3" max="3" width="25.140625" style="7" customWidth="1"/>
    <col min="4" max="4" width="14.7265625" style="7" customWidth="1"/>
    <col min="5" max="5" width="35.125" customWidth="1"/>
    <col min="6" max="8" width="20.9921875" customWidth="1"/>
    <col min="9" max="9" width="12.859375"/>
  </cols>
  <sheetData>
    <row r="1" ht="16" customHeight="1" spans="1:8">
      <c r="A1" s="94" t="s">
        <v>0</v>
      </c>
      <c r="B1" s="94" t="s">
        <v>10</v>
      </c>
      <c r="C1" s="95" t="s">
        <v>11</v>
      </c>
      <c r="D1" s="95" t="s">
        <v>12</v>
      </c>
      <c r="E1" s="94" t="s">
        <v>7</v>
      </c>
      <c r="F1" s="94" t="s">
        <v>3</v>
      </c>
      <c r="G1" s="94" t="s">
        <v>15</v>
      </c>
      <c r="H1" s="94" t="s">
        <v>5</v>
      </c>
    </row>
    <row r="2" spans="1:12">
      <c r="A2" s="96"/>
      <c r="B2" s="96"/>
      <c r="C2" s="97"/>
      <c r="D2" s="98"/>
      <c r="E2" s="102"/>
      <c r="F2" s="103"/>
      <c r="G2" s="103">
        <f t="shared" ref="G2:G9" si="0">SUM(D2*F2)</f>
        <v>0</v>
      </c>
      <c r="H2" s="103">
        <f>SUM(G2:G4)</f>
        <v>0</v>
      </c>
      <c r="L2" s="75"/>
    </row>
    <row r="3" spans="1:11">
      <c r="A3" s="96"/>
      <c r="B3" s="96"/>
      <c r="C3" s="81"/>
      <c r="D3" s="82"/>
      <c r="E3" s="102"/>
      <c r="F3" s="103"/>
      <c r="G3" s="103">
        <f t="shared" si="0"/>
        <v>0</v>
      </c>
      <c r="H3" s="103"/>
      <c r="K3" s="75"/>
    </row>
    <row r="4" spans="1:11">
      <c r="A4" s="96"/>
      <c r="B4" s="96"/>
      <c r="C4" s="81"/>
      <c r="D4" s="82"/>
      <c r="E4" s="102"/>
      <c r="F4" s="103"/>
      <c r="G4" s="103">
        <f t="shared" si="0"/>
        <v>0</v>
      </c>
      <c r="H4" s="103"/>
      <c r="K4" s="75"/>
    </row>
    <row r="5" spans="1:11">
      <c r="A5" s="96"/>
      <c r="B5" s="96"/>
      <c r="C5" s="81"/>
      <c r="D5" s="82"/>
      <c r="E5" s="102"/>
      <c r="F5" s="103"/>
      <c r="G5" s="103">
        <f t="shared" si="0"/>
        <v>0</v>
      </c>
      <c r="H5" s="103">
        <f>SUM(G5:G6)</f>
        <v>0</v>
      </c>
      <c r="K5" s="75"/>
    </row>
    <row r="6" spans="1:8">
      <c r="A6" s="96"/>
      <c r="B6" s="96"/>
      <c r="C6" s="81"/>
      <c r="D6" s="82"/>
      <c r="E6" s="102"/>
      <c r="F6" s="104"/>
      <c r="G6" s="103">
        <f t="shared" si="0"/>
        <v>0</v>
      </c>
      <c r="H6" s="103"/>
    </row>
    <row r="7" spans="1:8">
      <c r="A7" s="96"/>
      <c r="B7" s="96"/>
      <c r="C7" s="88"/>
      <c r="D7" s="82"/>
      <c r="E7" s="102"/>
      <c r="F7" s="104"/>
      <c r="G7" s="103">
        <f t="shared" si="0"/>
        <v>0</v>
      </c>
      <c r="H7" s="104">
        <f>SUM(G7:G8)</f>
        <v>0</v>
      </c>
    </row>
    <row r="8" spans="1:8">
      <c r="A8" s="96"/>
      <c r="B8" s="96"/>
      <c r="C8" s="88"/>
      <c r="D8" s="82"/>
      <c r="E8" s="102"/>
      <c r="F8" s="104"/>
      <c r="G8" s="103">
        <f t="shared" si="0"/>
        <v>0</v>
      </c>
      <c r="H8" s="104"/>
    </row>
    <row r="9" spans="1:11">
      <c r="A9" s="96"/>
      <c r="B9" s="96"/>
      <c r="C9" s="81"/>
      <c r="D9" s="82"/>
      <c r="E9" s="102"/>
      <c r="F9" s="104"/>
      <c r="G9" s="104">
        <f>D9*F9</f>
        <v>0</v>
      </c>
      <c r="H9" s="104">
        <f>SUM(G9:G11)</f>
        <v>0</v>
      </c>
      <c r="K9" s="75"/>
    </row>
    <row r="10" spans="1:11">
      <c r="A10" s="96"/>
      <c r="B10" s="96"/>
      <c r="C10" s="81"/>
      <c r="D10" s="82"/>
      <c r="E10" s="102"/>
      <c r="F10" s="104"/>
      <c r="G10" s="104">
        <f>D10*F10</f>
        <v>0</v>
      </c>
      <c r="H10" s="104"/>
      <c r="K10" s="75"/>
    </row>
    <row r="11" spans="1:11">
      <c r="A11" s="96"/>
      <c r="B11" s="96"/>
      <c r="C11" s="81"/>
      <c r="D11" s="82"/>
      <c r="E11" s="102"/>
      <c r="F11" s="104"/>
      <c r="G11" s="104">
        <f>D11*F11</f>
        <v>0</v>
      </c>
      <c r="H11" s="104"/>
      <c r="K11" s="75"/>
    </row>
    <row r="12" spans="1:11">
      <c r="A12" s="99"/>
      <c r="B12" s="99"/>
      <c r="C12" s="100"/>
      <c r="D12" s="101"/>
      <c r="E12" s="105"/>
      <c r="F12" s="106"/>
      <c r="G12" s="106">
        <f>D12*F12</f>
        <v>0</v>
      </c>
      <c r="H12" s="106"/>
      <c r="K12" s="75"/>
    </row>
    <row r="13" ht="15" customHeight="1" spans="1:8">
      <c r="A13" s="61"/>
      <c r="B13" s="61"/>
      <c r="C13" s="61"/>
      <c r="D13" s="61"/>
      <c r="E13" s="107"/>
      <c r="F13" s="107"/>
      <c r="G13" s="104"/>
      <c r="H13" s="107">
        <f>SUM(H2:H12)</f>
        <v>0</v>
      </c>
    </row>
  </sheetData>
  <mergeCells count="1">
    <mergeCell ref="A13:C1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zoomScale="85" zoomScaleNormal="85" workbookViewId="0">
      <pane ySplit="1" topLeftCell="A2" activePane="bottomLeft" state="frozen"/>
      <selection/>
      <selection pane="bottomLeft" activeCell="C5" sqref="C5"/>
    </sheetView>
  </sheetViews>
  <sheetFormatPr defaultColWidth="9.140625" defaultRowHeight="16.8"/>
  <cols>
    <col min="1" max="1" width="19" style="11" customWidth="1"/>
    <col min="2" max="2" width="13.7109375" style="75" customWidth="1"/>
    <col min="3" max="3" width="28.859375" customWidth="1"/>
    <col min="4" max="4" width="25.4296875" customWidth="1"/>
    <col min="5" max="5" width="36.5546875" customWidth="1"/>
    <col min="6" max="7" width="18.7109375" customWidth="1"/>
    <col min="8" max="8" width="22.859375" customWidth="1"/>
    <col min="9" max="9" width="15.4296875" customWidth="1"/>
  </cols>
  <sheetData>
    <row r="1" ht="16" customHeight="1" spans="1:9">
      <c r="A1" s="76" t="s">
        <v>0</v>
      </c>
      <c r="B1" s="77" t="s">
        <v>10</v>
      </c>
      <c r="C1" s="78" t="s">
        <v>11</v>
      </c>
      <c r="D1" s="78" t="s">
        <v>12</v>
      </c>
      <c r="E1" s="78" t="s">
        <v>7</v>
      </c>
      <c r="F1" s="78" t="s">
        <v>3</v>
      </c>
      <c r="G1" s="78" t="s">
        <v>4</v>
      </c>
      <c r="H1" s="78" t="s">
        <v>5</v>
      </c>
      <c r="I1" s="78" t="s">
        <v>16</v>
      </c>
    </row>
    <row r="2" customFormat="1" spans="1:9">
      <c r="A2" s="61"/>
      <c r="B2" s="61"/>
      <c r="C2" s="61"/>
      <c r="D2" s="61"/>
      <c r="E2" s="61"/>
      <c r="F2" s="61"/>
      <c r="G2" s="61"/>
      <c r="H2" s="61"/>
      <c r="I2" s="61"/>
    </row>
    <row r="3" ht="60" customHeight="1" spans="1:9">
      <c r="A3" s="79"/>
      <c r="B3" s="80"/>
      <c r="C3" s="81"/>
      <c r="D3" s="82"/>
      <c r="E3" s="87"/>
      <c r="F3" s="88"/>
      <c r="G3" s="88"/>
      <c r="H3" s="88"/>
      <c r="I3" s="92"/>
    </row>
    <row r="4" ht="80" customHeight="1" spans="1:9">
      <c r="A4" s="79"/>
      <c r="B4" s="80"/>
      <c r="C4" s="81"/>
      <c r="D4" s="82"/>
      <c r="E4" s="80"/>
      <c r="F4" s="88"/>
      <c r="G4" s="88"/>
      <c r="H4" s="88">
        <f>SUM(G4:G5)</f>
        <v>0</v>
      </c>
      <c r="I4" s="92"/>
    </row>
    <row r="5" ht="80" customHeight="1" spans="1:9">
      <c r="A5" s="79"/>
      <c r="B5" s="80"/>
      <c r="C5" s="81"/>
      <c r="D5" s="82"/>
      <c r="E5" s="80"/>
      <c r="F5" s="88"/>
      <c r="G5" s="88"/>
      <c r="H5" s="88"/>
      <c r="I5" s="92"/>
    </row>
    <row r="6" ht="70" customHeight="1" spans="1:9">
      <c r="A6" s="83"/>
      <c r="B6" s="84"/>
      <c r="C6" s="84"/>
      <c r="D6" s="84"/>
      <c r="E6" s="84"/>
      <c r="F6" s="89"/>
      <c r="G6" s="88"/>
      <c r="H6" s="89">
        <f>SUM(G6:G7)</f>
        <v>0</v>
      </c>
      <c r="I6" s="92"/>
    </row>
    <row r="7" ht="70" customHeight="1" spans="1:9">
      <c r="A7" s="83"/>
      <c r="B7" s="84"/>
      <c r="C7" s="84"/>
      <c r="D7" s="84"/>
      <c r="E7" s="84"/>
      <c r="F7" s="89"/>
      <c r="G7" s="88"/>
      <c r="H7" s="89"/>
      <c r="I7" s="92"/>
    </row>
    <row r="8" spans="1:9">
      <c r="A8" s="83"/>
      <c r="B8" s="84"/>
      <c r="C8" s="84"/>
      <c r="D8" s="84"/>
      <c r="E8" s="89"/>
      <c r="F8" s="89"/>
      <c r="G8" s="88"/>
      <c r="H8" s="89"/>
      <c r="I8" s="92"/>
    </row>
    <row r="9" spans="1:9">
      <c r="A9" s="83"/>
      <c r="B9" s="84"/>
      <c r="C9" s="84"/>
      <c r="D9" s="84"/>
      <c r="E9" s="89"/>
      <c r="F9" s="89"/>
      <c r="G9" s="88">
        <f>D9*F9</f>
        <v>0</v>
      </c>
      <c r="H9" s="89">
        <f>SUM(D9*F9)</f>
        <v>0</v>
      </c>
      <c r="I9" s="92"/>
    </row>
    <row r="10" ht="26" spans="1:9">
      <c r="A10" s="85" t="s">
        <v>5</v>
      </c>
      <c r="B10" s="86"/>
      <c r="C10" s="86"/>
      <c r="D10" s="86"/>
      <c r="E10" s="86"/>
      <c r="F10" s="86"/>
      <c r="G10" s="90">
        <f>SUM(H3:H9)</f>
        <v>0</v>
      </c>
      <c r="H10" s="91"/>
      <c r="I10" s="93"/>
    </row>
  </sheetData>
  <mergeCells count="2">
    <mergeCell ref="A10:F10"/>
    <mergeCell ref="G10:I10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zoomScale="82" zoomScaleNormal="82" workbookViewId="0">
      <selection activeCell="E4" sqref="E4:G4"/>
    </sheetView>
  </sheetViews>
  <sheetFormatPr defaultColWidth="9.140625" defaultRowHeight="16.8" outlineLevelRow="3" outlineLevelCol="6"/>
  <cols>
    <col min="1" max="1" width="10.859375"/>
    <col min="2" max="2" width="17.140625" customWidth="1"/>
    <col min="3" max="3" width="25.859375" customWidth="1"/>
    <col min="4" max="4" width="19.6953125" customWidth="1"/>
    <col min="5" max="5" width="34.7265625" customWidth="1"/>
    <col min="6" max="6" width="20.9296875" customWidth="1"/>
    <col min="7" max="7" width="24.875" customWidth="1"/>
  </cols>
  <sheetData>
    <row r="1" s="66" customFormat="1" ht="22" customHeight="1" spans="1:7">
      <c r="A1" s="67" t="s">
        <v>0</v>
      </c>
      <c r="B1" s="67" t="s">
        <v>10</v>
      </c>
      <c r="C1" s="67" t="s">
        <v>11</v>
      </c>
      <c r="D1" s="67" t="s">
        <v>12</v>
      </c>
      <c r="E1" s="67" t="s">
        <v>7</v>
      </c>
      <c r="F1" s="67" t="s">
        <v>3</v>
      </c>
      <c r="G1" s="67" t="s">
        <v>5</v>
      </c>
    </row>
    <row r="2" ht="242.85" customHeight="1" spans="1:7">
      <c r="A2" s="68"/>
      <c r="B2" s="35"/>
      <c r="C2" s="69"/>
      <c r="D2" s="70"/>
      <c r="E2" s="69"/>
      <c r="F2" s="72"/>
      <c r="G2" s="72">
        <f>SUM(D2*F2)</f>
        <v>0</v>
      </c>
    </row>
    <row r="3" ht="250" customHeight="1" spans="1:7">
      <c r="A3" s="68"/>
      <c r="B3" s="55"/>
      <c r="C3" s="69"/>
      <c r="D3" s="70"/>
      <c r="E3" s="73"/>
      <c r="F3" s="72"/>
      <c r="G3" s="72">
        <f>D3*F3</f>
        <v>0</v>
      </c>
    </row>
    <row r="4" ht="26" spans="1:7">
      <c r="A4" s="71" t="s">
        <v>5</v>
      </c>
      <c r="B4" s="71"/>
      <c r="C4" s="71"/>
      <c r="D4" s="71"/>
      <c r="E4" s="74">
        <f>SUM(G2:G3)</f>
        <v>0</v>
      </c>
      <c r="F4" s="74"/>
      <c r="G4" s="74"/>
    </row>
  </sheetData>
  <mergeCells count="2">
    <mergeCell ref="A4:C4"/>
    <mergeCell ref="E4:G4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D3" sqref="D3:E3"/>
    </sheetView>
  </sheetViews>
  <sheetFormatPr defaultColWidth="9.140625" defaultRowHeight="16.8" outlineLevelRow="2" outlineLevelCol="4"/>
  <cols>
    <col min="1" max="1" width="6.7109375" customWidth="1"/>
    <col min="3" max="3" width="12.7109375" customWidth="1"/>
    <col min="4" max="4" width="34.140625" customWidth="1"/>
    <col min="5" max="5" width="10.859375" customWidth="1"/>
  </cols>
  <sheetData>
    <row r="1" s="27" customFormat="1" ht="44" customHeight="1" spans="1:5">
      <c r="A1" s="57" t="s">
        <v>17</v>
      </c>
      <c r="B1" s="58" t="s">
        <v>0</v>
      </c>
      <c r="C1" s="58" t="s">
        <v>5</v>
      </c>
      <c r="D1" s="58" t="s">
        <v>18</v>
      </c>
      <c r="E1" s="58" t="s">
        <v>16</v>
      </c>
    </row>
    <row r="2" ht="246" customHeight="1" spans="1:5">
      <c r="A2" s="59"/>
      <c r="B2" s="60"/>
      <c r="C2" s="4"/>
      <c r="D2" s="61"/>
      <c r="E2" s="61"/>
    </row>
    <row r="3" spans="1:5">
      <c r="A3" s="62" t="s">
        <v>19</v>
      </c>
      <c r="B3" s="63"/>
      <c r="C3" s="64"/>
      <c r="D3" s="65">
        <f>SUM(C2:C2)</f>
        <v>0</v>
      </c>
      <c r="E3" s="64"/>
    </row>
  </sheetData>
  <mergeCells count="2">
    <mergeCell ref="A3:C3"/>
    <mergeCell ref="D3:E3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zoomScale="84" zoomScaleNormal="84" topLeftCell="C1" workbookViewId="0">
      <selection activeCell="E5" sqref="E5:H5"/>
    </sheetView>
  </sheetViews>
  <sheetFormatPr defaultColWidth="9.140625" defaultRowHeight="16.8" outlineLevelRow="4" outlineLevelCol="7"/>
  <cols>
    <col min="1" max="1" width="11.0078125" customWidth="1"/>
    <col min="2" max="2" width="21.625" customWidth="1"/>
    <col min="3" max="4" width="30.75" customWidth="1"/>
    <col min="5" max="5" width="67.4453125" customWidth="1"/>
    <col min="6" max="8" width="32.3359375" customWidth="1"/>
  </cols>
  <sheetData>
    <row r="1" s="10" customFormat="1" ht="35" customHeight="1" spans="1:8">
      <c r="A1" s="15" t="s">
        <v>0</v>
      </c>
      <c r="B1" s="15" t="s">
        <v>20</v>
      </c>
      <c r="C1" s="15" t="s">
        <v>8</v>
      </c>
      <c r="D1" s="15" t="s">
        <v>12</v>
      </c>
      <c r="E1" s="15" t="s">
        <v>7</v>
      </c>
      <c r="F1" s="15" t="s">
        <v>3</v>
      </c>
      <c r="G1" s="15" t="s">
        <v>4</v>
      </c>
      <c r="H1" s="15" t="s">
        <v>5</v>
      </c>
    </row>
    <row r="2" customFormat="1" ht="140" customHeight="1" spans="1:8">
      <c r="A2" s="28"/>
      <c r="B2" s="28"/>
      <c r="C2" s="17"/>
      <c r="D2" s="18"/>
      <c r="E2" s="19"/>
      <c r="F2" s="24"/>
      <c r="G2" s="24">
        <f>F2*D2</f>
        <v>0</v>
      </c>
      <c r="H2" s="24">
        <f>SUM(G2:G3)</f>
        <v>0</v>
      </c>
    </row>
    <row r="3" customFormat="1" ht="140" customHeight="1" spans="1:8">
      <c r="A3" s="28"/>
      <c r="B3" s="28"/>
      <c r="C3" s="17"/>
      <c r="D3" s="18"/>
      <c r="E3" s="19"/>
      <c r="F3" s="24"/>
      <c r="G3" s="24">
        <f>F3*D3</f>
        <v>0</v>
      </c>
      <c r="H3" s="24"/>
    </row>
    <row r="4" customFormat="1" ht="94" customHeight="1" spans="1:8">
      <c r="A4" s="28"/>
      <c r="B4" s="28"/>
      <c r="C4" s="17"/>
      <c r="D4" s="18"/>
      <c r="E4" s="19"/>
      <c r="F4" s="24"/>
      <c r="G4" s="24"/>
      <c r="H4" s="24"/>
    </row>
    <row r="5" customFormat="1" ht="39" customHeight="1" spans="1:8">
      <c r="A5" s="39" t="s">
        <v>5</v>
      </c>
      <c r="B5" s="40"/>
      <c r="C5" s="41"/>
      <c r="D5" s="40"/>
      <c r="E5" s="44">
        <f>SUM(H2:H4)</f>
        <v>0</v>
      </c>
      <c r="F5" s="45"/>
      <c r="G5" s="45"/>
      <c r="H5" s="46"/>
    </row>
  </sheetData>
  <mergeCells count="2">
    <mergeCell ref="A5:C5"/>
    <mergeCell ref="E5:H5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zoomScale="55" zoomScaleNormal="55" workbookViewId="0">
      <pane ySplit="1" topLeftCell="A2" activePane="bottomLeft" state="frozen"/>
      <selection/>
      <selection pane="bottomLeft" activeCell="H10" sqref="H10"/>
    </sheetView>
  </sheetViews>
  <sheetFormatPr defaultColWidth="9.140625" defaultRowHeight="16.8" outlineLevelCol="7"/>
  <cols>
    <col min="1" max="1" width="19.578125" style="11" customWidth="1"/>
    <col min="2" max="2" width="19.0390625" customWidth="1"/>
    <col min="3" max="3" width="34.7109375" customWidth="1"/>
    <col min="4" max="4" width="30.75" customWidth="1"/>
    <col min="5" max="5" width="48.0546875" customWidth="1"/>
    <col min="6" max="8" width="32.3359375" style="48" customWidth="1"/>
    <col min="10" max="10" width="12.859375"/>
  </cols>
  <sheetData>
    <row r="1" s="47" customFormat="1" ht="35" customHeight="1" spans="1:8">
      <c r="A1" s="49" t="s">
        <v>0</v>
      </c>
      <c r="B1" s="50" t="s">
        <v>20</v>
      </c>
      <c r="C1" s="50" t="s">
        <v>8</v>
      </c>
      <c r="D1" s="50" t="s">
        <v>12</v>
      </c>
      <c r="E1" s="50" t="s">
        <v>7</v>
      </c>
      <c r="F1" s="50" t="s">
        <v>3</v>
      </c>
      <c r="G1" s="50" t="s">
        <v>4</v>
      </c>
      <c r="H1" s="50" t="s">
        <v>5</v>
      </c>
    </row>
    <row r="2" customFormat="1" ht="80" customHeight="1" spans="1:8">
      <c r="A2" s="16"/>
      <c r="B2" s="19"/>
      <c r="C2" s="17"/>
      <c r="D2" s="18"/>
      <c r="E2" s="19"/>
      <c r="F2" s="24"/>
      <c r="G2" s="24">
        <f t="shared" ref="G2:G9" si="0">D2*F2</f>
        <v>0</v>
      </c>
      <c r="H2" s="24">
        <f>SUM(G2:G5)</f>
        <v>0</v>
      </c>
    </row>
    <row r="3" customFormat="1" ht="80" customHeight="1" spans="1:8">
      <c r="A3" s="16"/>
      <c r="B3" s="19"/>
      <c r="C3" s="21"/>
      <c r="D3" s="21"/>
      <c r="E3" s="19"/>
      <c r="F3" s="25"/>
      <c r="G3" s="24">
        <f t="shared" si="0"/>
        <v>0</v>
      </c>
      <c r="H3" s="24"/>
    </row>
    <row r="4" customFormat="1" ht="80" customHeight="1" spans="1:8">
      <c r="A4" s="16"/>
      <c r="B4" s="19"/>
      <c r="C4" s="21"/>
      <c r="D4" s="21"/>
      <c r="E4" s="19"/>
      <c r="F4" s="25"/>
      <c r="G4" s="24">
        <f t="shared" si="0"/>
        <v>0</v>
      </c>
      <c r="H4" s="24"/>
    </row>
    <row r="5" customFormat="1" ht="80" customHeight="1" spans="1:8">
      <c r="A5" s="16"/>
      <c r="B5" s="19"/>
      <c r="C5" s="21"/>
      <c r="D5" s="21"/>
      <c r="E5" s="19"/>
      <c r="F5" s="25"/>
      <c r="G5" s="24">
        <f t="shared" si="0"/>
        <v>0</v>
      </c>
      <c r="H5" s="24"/>
    </row>
    <row r="6" customFormat="1" ht="110" customHeight="1" spans="1:8">
      <c r="A6" s="20"/>
      <c r="B6" s="21"/>
      <c r="C6" s="21"/>
      <c r="D6" s="21"/>
      <c r="E6" s="53"/>
      <c r="F6" s="25"/>
      <c r="G6" s="24">
        <f t="shared" si="0"/>
        <v>0</v>
      </c>
      <c r="H6" s="25">
        <f>SUM(G6:G9)</f>
        <v>0</v>
      </c>
    </row>
    <row r="7" customFormat="1" ht="110" customHeight="1" spans="1:8">
      <c r="A7" s="20"/>
      <c r="B7" s="21"/>
      <c r="C7" s="21"/>
      <c r="D7" s="21"/>
      <c r="E7" s="53"/>
      <c r="F7" s="25"/>
      <c r="G7" s="24">
        <f t="shared" si="0"/>
        <v>0</v>
      </c>
      <c r="H7" s="25"/>
    </row>
    <row r="8" customFormat="1" ht="110" customHeight="1" spans="1:8">
      <c r="A8" s="20"/>
      <c r="B8" s="21"/>
      <c r="C8" s="21"/>
      <c r="D8" s="21"/>
      <c r="E8" s="53"/>
      <c r="F8" s="25"/>
      <c r="G8" s="24">
        <f t="shared" si="0"/>
        <v>0</v>
      </c>
      <c r="H8" s="25"/>
    </row>
    <row r="9" customFormat="1" ht="110" customHeight="1" spans="1:8">
      <c r="A9" s="20"/>
      <c r="B9" s="21"/>
      <c r="C9" s="21"/>
      <c r="D9" s="21"/>
      <c r="E9" s="53"/>
      <c r="F9" s="25"/>
      <c r="G9" s="24">
        <f t="shared" si="0"/>
        <v>0</v>
      </c>
      <c r="H9" s="25"/>
    </row>
    <row r="10" customFormat="1" ht="39" customHeight="1" spans="1:8">
      <c r="A10" s="51" t="s">
        <v>5</v>
      </c>
      <c r="B10" s="52"/>
      <c r="C10" s="52"/>
      <c r="D10" s="23"/>
      <c r="E10" s="3"/>
      <c r="F10" s="54"/>
      <c r="G10" s="55"/>
      <c r="H10" s="56">
        <f>SUM(H2:H9)</f>
        <v>0</v>
      </c>
    </row>
  </sheetData>
  <mergeCells count="1">
    <mergeCell ref="A10:C10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opLeftCell="D1" workbookViewId="0">
      <selection activeCell="E6" sqref="E6"/>
    </sheetView>
  </sheetViews>
  <sheetFormatPr defaultColWidth="9.140625" defaultRowHeight="16.8" outlineLevelRow="6"/>
  <cols>
    <col min="1" max="1" width="10.5703125" customWidth="1"/>
    <col min="2" max="2" width="19.0390625" style="27" customWidth="1"/>
    <col min="3" max="4" width="30.75" customWidth="1"/>
    <col min="5" max="5" width="37.1328125" customWidth="1"/>
    <col min="6" max="9" width="32.3359375" customWidth="1"/>
  </cols>
  <sheetData>
    <row r="1" s="10" customFormat="1" ht="35" customHeight="1" spans="1:9">
      <c r="A1" s="15" t="s">
        <v>0</v>
      </c>
      <c r="B1" s="15" t="s">
        <v>20</v>
      </c>
      <c r="C1" s="15" t="s">
        <v>8</v>
      </c>
      <c r="D1" s="15" t="s">
        <v>12</v>
      </c>
      <c r="E1" s="15" t="s">
        <v>7</v>
      </c>
      <c r="F1" s="15" t="s">
        <v>3</v>
      </c>
      <c r="G1" s="15" t="s">
        <v>4</v>
      </c>
      <c r="H1" s="15" t="s">
        <v>5</v>
      </c>
      <c r="I1" s="15" t="s">
        <v>21</v>
      </c>
    </row>
    <row r="2" customFormat="1" ht="23.2" spans="1:9">
      <c r="A2" s="28"/>
      <c r="B2" s="35"/>
      <c r="C2" s="36"/>
      <c r="D2" s="37"/>
      <c r="E2" s="19"/>
      <c r="F2" s="42"/>
      <c r="G2" s="43">
        <f>D2*F2</f>
        <v>0</v>
      </c>
      <c r="H2" s="24">
        <f>SUM(G2:G4)</f>
        <v>0</v>
      </c>
      <c r="I2" s="24">
        <f>(H2*10%)+H2</f>
        <v>0</v>
      </c>
    </row>
    <row r="3" customFormat="1" ht="23.2" spans="1:9">
      <c r="A3" s="28"/>
      <c r="B3" s="35"/>
      <c r="C3" s="36"/>
      <c r="D3" s="38"/>
      <c r="E3" s="19"/>
      <c r="F3" s="42"/>
      <c r="G3" s="43">
        <f>D3*F3</f>
        <v>0</v>
      </c>
      <c r="H3" s="24"/>
      <c r="I3" s="24"/>
    </row>
    <row r="4" customFormat="1" ht="23.2" spans="1:9">
      <c r="A4" s="28"/>
      <c r="B4" s="35"/>
      <c r="C4" s="36"/>
      <c r="D4" s="38"/>
      <c r="E4" s="19"/>
      <c r="F4" s="42"/>
      <c r="G4" s="43">
        <f>D4*F4</f>
        <v>0</v>
      </c>
      <c r="H4" s="24"/>
      <c r="I4" s="24"/>
    </row>
    <row r="5" customFormat="1" ht="26" spans="1:9">
      <c r="A5" s="39" t="s">
        <v>5</v>
      </c>
      <c r="B5" s="40"/>
      <c r="C5" s="41"/>
      <c r="D5" s="40"/>
      <c r="E5" s="44">
        <f>SUM(I2:I4)</f>
        <v>0</v>
      </c>
      <c r="F5" s="45"/>
      <c r="G5" s="45"/>
      <c r="H5" s="45"/>
      <c r="I5" s="46"/>
    </row>
    <row r="6" customFormat="1" spans="2:2">
      <c r="B6" s="27"/>
    </row>
    <row r="7" customFormat="1" spans="2:2">
      <c r="B7" s="27"/>
    </row>
  </sheetData>
  <mergeCells count="2">
    <mergeCell ref="A5:C5"/>
    <mergeCell ref="E5:I5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zoomScale="68" zoomScaleNormal="68" workbookViewId="0">
      <pane ySplit="1" topLeftCell="A2" activePane="bottomLeft" state="frozen"/>
      <selection/>
      <selection pane="bottomLeft" activeCell="F21" sqref="F21:H21"/>
    </sheetView>
  </sheetViews>
  <sheetFormatPr defaultColWidth="9.140625" defaultRowHeight="16.8"/>
  <cols>
    <col min="1" max="1" width="10.5703125" customWidth="1"/>
    <col min="2" max="2" width="19.0390625" style="27" customWidth="1"/>
    <col min="3" max="3" width="34.4375" customWidth="1"/>
    <col min="4" max="4" width="30.75" customWidth="1"/>
    <col min="5" max="5" width="53.140625" customWidth="1"/>
    <col min="6" max="8" width="32.3359375" customWidth="1"/>
    <col min="11" max="11" width="14.1875"/>
  </cols>
  <sheetData>
    <row r="1" s="10" customFormat="1" ht="35" customHeight="1" spans="1:8">
      <c r="A1" s="15" t="s">
        <v>0</v>
      </c>
      <c r="B1" s="15" t="s">
        <v>20</v>
      </c>
      <c r="C1" s="15" t="s">
        <v>8</v>
      </c>
      <c r="D1" s="15" t="s">
        <v>12</v>
      </c>
      <c r="E1" s="15" t="s">
        <v>7</v>
      </c>
      <c r="F1" s="15" t="s">
        <v>3</v>
      </c>
      <c r="G1" s="15" t="s">
        <v>4</v>
      </c>
      <c r="H1" s="15" t="s">
        <v>5</v>
      </c>
    </row>
    <row r="2" customFormat="1" ht="23.2" spans="1:8">
      <c r="A2" s="28"/>
      <c r="B2" s="19"/>
      <c r="C2" s="17"/>
      <c r="D2" s="18"/>
      <c r="E2" s="19"/>
      <c r="F2" s="24"/>
      <c r="G2" s="24">
        <f t="shared" ref="G2:G7" si="0">D2*F2</f>
        <v>0</v>
      </c>
      <c r="H2" s="31">
        <f>SUM(G2:G4)</f>
        <v>0</v>
      </c>
    </row>
    <row r="3" customFormat="1" ht="23.2" spans="1:8">
      <c r="A3" s="28"/>
      <c r="B3" s="19"/>
      <c r="C3" s="17"/>
      <c r="D3" s="18"/>
      <c r="E3" s="19"/>
      <c r="F3" s="24"/>
      <c r="G3" s="24">
        <f t="shared" si="0"/>
        <v>0</v>
      </c>
      <c r="H3" s="31"/>
    </row>
    <row r="4" customFormat="1" ht="23.2" spans="1:8">
      <c r="A4" s="28"/>
      <c r="B4" s="19"/>
      <c r="C4" s="17"/>
      <c r="D4" s="18"/>
      <c r="E4" s="19"/>
      <c r="F4" s="24"/>
      <c r="G4" s="24">
        <f t="shared" si="0"/>
        <v>0</v>
      </c>
      <c r="H4" s="31"/>
    </row>
    <row r="5" customFormat="1" ht="23.2" spans="1:8">
      <c r="A5" s="28"/>
      <c r="B5" s="19"/>
      <c r="C5" s="17"/>
      <c r="D5" s="18"/>
      <c r="E5" s="19"/>
      <c r="F5" s="24"/>
      <c r="G5" s="24">
        <f t="shared" si="0"/>
        <v>0</v>
      </c>
      <c r="H5" s="31">
        <f>SUM(G5:G14)</f>
        <v>0</v>
      </c>
    </row>
    <row r="6" customFormat="1" ht="23.2" spans="1:8">
      <c r="A6" s="28"/>
      <c r="B6" s="19"/>
      <c r="C6" s="17"/>
      <c r="D6" s="18"/>
      <c r="E6" s="19"/>
      <c r="F6" s="24"/>
      <c r="G6" s="24">
        <f t="shared" si="0"/>
        <v>0</v>
      </c>
      <c r="H6" s="31"/>
    </row>
    <row r="7" customFormat="1" ht="23.2" spans="1:8">
      <c r="A7" s="28"/>
      <c r="B7" s="19"/>
      <c r="C7" s="17"/>
      <c r="D7" s="18"/>
      <c r="E7" s="19"/>
      <c r="F7" s="24"/>
      <c r="G7" s="24">
        <f t="shared" si="0"/>
        <v>0</v>
      </c>
      <c r="H7" s="31"/>
    </row>
    <row r="8" customFormat="1" ht="23.2" spans="1:8">
      <c r="A8" s="28"/>
      <c r="B8" s="19"/>
      <c r="C8" s="19"/>
      <c r="D8" s="18"/>
      <c r="E8" s="19"/>
      <c r="F8" s="24"/>
      <c r="G8" s="24">
        <f t="shared" ref="G8:G20" si="1">D8*F8</f>
        <v>0</v>
      </c>
      <c r="H8" s="31"/>
    </row>
    <row r="9" customFormat="1" ht="23.2" spans="1:8">
      <c r="A9" s="28"/>
      <c r="B9" s="19"/>
      <c r="C9" s="19"/>
      <c r="D9" s="18"/>
      <c r="E9" s="19"/>
      <c r="F9" s="24"/>
      <c r="G9" s="24">
        <f t="shared" si="1"/>
        <v>0</v>
      </c>
      <c r="H9" s="31"/>
    </row>
    <row r="10" customFormat="1" ht="23.2" spans="1:8">
      <c r="A10" s="28"/>
      <c r="B10" s="19"/>
      <c r="C10" s="19"/>
      <c r="D10" s="18"/>
      <c r="E10" s="19"/>
      <c r="F10" s="24"/>
      <c r="G10" s="24">
        <f t="shared" si="1"/>
        <v>0</v>
      </c>
      <c r="H10" s="31"/>
    </row>
    <row r="11" customFormat="1" ht="23.2" spans="1:8">
      <c r="A11" s="28"/>
      <c r="B11" s="19"/>
      <c r="C11" s="19"/>
      <c r="D11" s="18"/>
      <c r="E11" s="19"/>
      <c r="F11" s="24"/>
      <c r="G11" s="24">
        <f t="shared" si="1"/>
        <v>0</v>
      </c>
      <c r="H11" s="31"/>
    </row>
    <row r="12" customFormat="1" ht="23.2" spans="1:8">
      <c r="A12" s="28"/>
      <c r="B12" s="19"/>
      <c r="C12" s="19"/>
      <c r="D12" s="18"/>
      <c r="E12" s="19"/>
      <c r="F12" s="24"/>
      <c r="G12" s="24">
        <f t="shared" si="1"/>
        <v>0</v>
      </c>
      <c r="H12" s="31"/>
    </row>
    <row r="13" customFormat="1" ht="23.2" spans="1:8">
      <c r="A13" s="28"/>
      <c r="B13" s="19"/>
      <c r="C13" s="19"/>
      <c r="D13" s="18"/>
      <c r="E13" s="19"/>
      <c r="F13" s="24"/>
      <c r="G13" s="24">
        <f t="shared" si="1"/>
        <v>0</v>
      </c>
      <c r="H13" s="31"/>
    </row>
    <row r="14" customFormat="1" ht="23.2" spans="1:8">
      <c r="A14" s="28"/>
      <c r="B14" s="19"/>
      <c r="C14" s="19"/>
      <c r="D14" s="18"/>
      <c r="E14" s="19"/>
      <c r="F14" s="24"/>
      <c r="G14" s="24">
        <f t="shared" si="1"/>
        <v>0</v>
      </c>
      <c r="H14" s="31"/>
    </row>
    <row r="15" customFormat="1" ht="23.2" spans="1:8">
      <c r="A15" s="28"/>
      <c r="B15" s="19"/>
      <c r="C15" s="19"/>
      <c r="D15" s="18"/>
      <c r="E15" s="19"/>
      <c r="F15" s="24"/>
      <c r="G15" s="24">
        <f t="shared" si="1"/>
        <v>0</v>
      </c>
      <c r="H15" s="31">
        <f>SUM(G15:G17)</f>
        <v>0</v>
      </c>
    </row>
    <row r="16" customFormat="1" ht="23.2" spans="1:8">
      <c r="A16" s="28"/>
      <c r="B16" s="19"/>
      <c r="C16" s="19"/>
      <c r="D16" s="18"/>
      <c r="E16" s="19"/>
      <c r="F16" s="24"/>
      <c r="G16" s="24">
        <f t="shared" si="1"/>
        <v>0</v>
      </c>
      <c r="H16" s="31"/>
    </row>
    <row r="17" customFormat="1" ht="23.2" spans="1:8">
      <c r="A17" s="28"/>
      <c r="B17" s="19"/>
      <c r="C17" s="19"/>
      <c r="D17" s="18"/>
      <c r="E17" s="19"/>
      <c r="F17" s="24"/>
      <c r="G17" s="24">
        <f t="shared" si="1"/>
        <v>0</v>
      </c>
      <c r="H17" s="31"/>
    </row>
    <row r="18" customFormat="1" ht="23.2" spans="1:8">
      <c r="A18" s="28"/>
      <c r="B18" s="19"/>
      <c r="C18" s="19"/>
      <c r="D18" s="18"/>
      <c r="E18" s="19"/>
      <c r="F18" s="24"/>
      <c r="G18" s="24">
        <f t="shared" si="1"/>
        <v>0</v>
      </c>
      <c r="H18" s="31">
        <f>SUM(G18:G20)</f>
        <v>0</v>
      </c>
    </row>
    <row r="19" customFormat="1" ht="23.2" spans="1:8">
      <c r="A19" s="28"/>
      <c r="B19" s="19"/>
      <c r="C19" s="19"/>
      <c r="D19" s="18"/>
      <c r="E19" s="19"/>
      <c r="F19" s="24"/>
      <c r="G19" s="24">
        <f t="shared" si="1"/>
        <v>0</v>
      </c>
      <c r="H19" s="31"/>
    </row>
    <row r="20" customFormat="1" ht="23.2" spans="1:8">
      <c r="A20" s="28"/>
      <c r="B20" s="19"/>
      <c r="C20" s="19"/>
      <c r="D20" s="18"/>
      <c r="E20" s="19"/>
      <c r="F20" s="24"/>
      <c r="G20" s="24">
        <f t="shared" si="1"/>
        <v>0</v>
      </c>
      <c r="H20" s="31"/>
    </row>
    <row r="21" customFormat="1" ht="39" customHeight="1" spans="1:11">
      <c r="A21" s="29" t="s">
        <v>22</v>
      </c>
      <c r="B21" s="30"/>
      <c r="C21" s="30"/>
      <c r="D21" s="30"/>
      <c r="E21" s="30"/>
      <c r="F21" s="32">
        <f>SUM(H2:H20)</f>
        <v>0</v>
      </c>
      <c r="G21" s="33"/>
      <c r="H21" s="34"/>
      <c r="K21" s="7"/>
    </row>
  </sheetData>
  <mergeCells count="2">
    <mergeCell ref="A21:E21"/>
    <mergeCell ref="F21:H2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zoomScale="55" zoomScaleNormal="55" workbookViewId="0">
      <pane ySplit="1" topLeftCell="A2" activePane="bottomLeft" state="frozen"/>
      <selection/>
      <selection pane="bottomLeft" activeCell="G21" sqref="G21"/>
    </sheetView>
  </sheetViews>
  <sheetFormatPr defaultColWidth="9.140625" defaultRowHeight="16.8" outlineLevelCol="6"/>
  <cols>
    <col min="1" max="1" width="23.7109375" style="11" customWidth="1"/>
    <col min="2" max="2" width="42.2890625" style="12" customWidth="1"/>
    <col min="3" max="3" width="15.8359375" customWidth="1"/>
    <col min="4" max="4" width="65.703125" customWidth="1"/>
    <col min="5" max="7" width="32.3359375" customWidth="1"/>
    <col min="10" max="10" width="12.859375"/>
  </cols>
  <sheetData>
    <row r="1" s="10" customFormat="1" ht="35" customHeight="1" spans="1:7">
      <c r="A1" s="13" t="s">
        <v>0</v>
      </c>
      <c r="B1" s="14" t="s">
        <v>8</v>
      </c>
      <c r="C1" s="15" t="s">
        <v>12</v>
      </c>
      <c r="D1" s="15" t="s">
        <v>7</v>
      </c>
      <c r="E1" s="15" t="s">
        <v>3</v>
      </c>
      <c r="F1" s="15" t="s">
        <v>4</v>
      </c>
      <c r="G1" s="15" t="s">
        <v>5</v>
      </c>
    </row>
    <row r="2" customFormat="1" ht="23.2" spans="1:7">
      <c r="A2" s="16"/>
      <c r="B2" s="17"/>
      <c r="C2" s="18"/>
      <c r="D2" s="19"/>
      <c r="E2" s="24"/>
      <c r="F2" s="24">
        <f t="shared" ref="F2:F10" si="0">C2*E2</f>
        <v>0</v>
      </c>
      <c r="G2" s="24">
        <f>SUM(F2:F2)</f>
        <v>0</v>
      </c>
    </row>
    <row r="3" customFormat="1" ht="26" spans="1:7">
      <c r="A3" s="20"/>
      <c r="B3" s="21"/>
      <c r="C3" s="21"/>
      <c r="D3" s="21"/>
      <c r="E3" s="21"/>
      <c r="F3" s="24">
        <f t="shared" si="0"/>
        <v>0</v>
      </c>
      <c r="G3" s="25">
        <f>SUM(F3:F8)</f>
        <v>0</v>
      </c>
    </row>
    <row r="4" customFormat="1" ht="26" spans="1:7">
      <c r="A4" s="20"/>
      <c r="B4" s="21"/>
      <c r="C4" s="21"/>
      <c r="D4" s="21"/>
      <c r="E4" s="21"/>
      <c r="F4" s="24">
        <f t="shared" si="0"/>
        <v>0</v>
      </c>
      <c r="G4" s="25"/>
    </row>
    <row r="5" customFormat="1" ht="26" spans="1:7">
      <c r="A5" s="20"/>
      <c r="B5" s="21"/>
      <c r="C5" s="21"/>
      <c r="D5" s="21"/>
      <c r="E5" s="21"/>
      <c r="F5" s="24">
        <f t="shared" si="0"/>
        <v>0</v>
      </c>
      <c r="G5" s="25"/>
    </row>
    <row r="6" customFormat="1" ht="26" spans="1:7">
      <c r="A6" s="20"/>
      <c r="B6" s="21"/>
      <c r="C6" s="21"/>
      <c r="D6" s="21"/>
      <c r="E6" s="21"/>
      <c r="F6" s="24">
        <f t="shared" si="0"/>
        <v>0</v>
      </c>
      <c r="G6" s="25"/>
    </row>
    <row r="7" customFormat="1" ht="26" spans="1:7">
      <c r="A7" s="20"/>
      <c r="B7" s="21"/>
      <c r="C7" s="21"/>
      <c r="D7" s="21"/>
      <c r="E7" s="21"/>
      <c r="F7" s="24">
        <f t="shared" si="0"/>
        <v>0</v>
      </c>
      <c r="G7" s="25"/>
    </row>
    <row r="8" customFormat="1" ht="26" spans="1:7">
      <c r="A8" s="20"/>
      <c r="B8" s="21"/>
      <c r="C8" s="21"/>
      <c r="D8" s="21"/>
      <c r="E8" s="21"/>
      <c r="F8" s="24">
        <f t="shared" si="0"/>
        <v>0</v>
      </c>
      <c r="G8" s="25"/>
    </row>
    <row r="9" customFormat="1" ht="26" spans="1:7">
      <c r="A9" s="20"/>
      <c r="B9" s="21"/>
      <c r="C9" s="21"/>
      <c r="D9" s="21"/>
      <c r="E9" s="21"/>
      <c r="F9" s="24">
        <f t="shared" si="0"/>
        <v>0</v>
      </c>
      <c r="G9" s="25">
        <f>SUM(F9:F10)</f>
        <v>0</v>
      </c>
    </row>
    <row r="10" customFormat="1" ht="26" spans="1:7">
      <c r="A10" s="20"/>
      <c r="B10" s="21"/>
      <c r="C10" s="21"/>
      <c r="D10" s="21"/>
      <c r="E10" s="21"/>
      <c r="F10" s="24">
        <f t="shared" si="0"/>
        <v>0</v>
      </c>
      <c r="G10" s="25"/>
    </row>
    <row r="11" customFormat="1" ht="39" customHeight="1" spans="1:7">
      <c r="A11" s="22" t="s">
        <v>22</v>
      </c>
      <c r="B11" s="21"/>
      <c r="C11" s="23"/>
      <c r="D11" s="23"/>
      <c r="E11" s="23"/>
      <c r="F11" s="26"/>
      <c r="G11" s="25">
        <f>SUM(G2:G10)</f>
        <v>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B19" sqref="B19"/>
    </sheetView>
  </sheetViews>
  <sheetFormatPr defaultColWidth="9.140625" defaultRowHeight="16.8" outlineLevelCol="2"/>
  <cols>
    <col min="1" max="1" width="28.5703125" customWidth="1"/>
    <col min="2" max="2" width="16" customWidth="1"/>
    <col min="3" max="3" width="15.4296875"/>
  </cols>
  <sheetData>
    <row r="1" ht="33" customHeight="1" spans="1:2">
      <c r="A1" s="1" t="s">
        <v>23</v>
      </c>
      <c r="B1" s="2" t="s">
        <v>24</v>
      </c>
    </row>
    <row r="2" spans="1:2">
      <c r="A2" s="3" t="s">
        <v>25</v>
      </c>
      <c r="B2" s="4">
        <f>'BUK BUNGA (Groceries)'!F541</f>
        <v>0</v>
      </c>
    </row>
    <row r="3" spans="1:2">
      <c r="A3" s="3" t="s">
        <v>26</v>
      </c>
      <c r="B3" s="4">
        <f>'SEDANA JAYA (Groceries)'!F667</f>
        <v>0</v>
      </c>
    </row>
    <row r="4" spans="1:2">
      <c r="A4" s="3" t="s">
        <v>27</v>
      </c>
      <c r="B4" s="4">
        <f>'RAFI SEAFOOD (Seafood)'!D61</f>
        <v>0</v>
      </c>
    </row>
    <row r="5" spans="1:2">
      <c r="A5" s="3" t="s">
        <v>28</v>
      </c>
      <c r="B5" s="4">
        <f>'MAMA RADA PRODUCTION (Dumpling)'!H12</f>
        <v>0</v>
      </c>
    </row>
    <row r="6" spans="1:2">
      <c r="A6" s="3" t="s">
        <v>29</v>
      </c>
      <c r="B6" s="5">
        <f>'KSP (Chicken)'!H13</f>
        <v>0</v>
      </c>
    </row>
    <row r="7" spans="1:2">
      <c r="A7" s="3" t="s">
        <v>30</v>
      </c>
      <c r="B7" s="4">
        <f>'SURYA CIPTA NIAGA BALI (Beef)'!G10</f>
        <v>0</v>
      </c>
    </row>
    <row r="8" spans="1:2">
      <c r="A8" s="3" t="s">
        <v>31</v>
      </c>
      <c r="B8" s="4">
        <f>'BAYU AGNI MERTA (Gas)'!E4</f>
        <v>0</v>
      </c>
    </row>
    <row r="9" spans="1:2">
      <c r="A9" s="6" t="s">
        <v>32</v>
      </c>
      <c r="B9" s="5">
        <f>'Joy Green (Mix Berry)'!D3</f>
        <v>0</v>
      </c>
    </row>
    <row r="10" spans="1:3">
      <c r="A10" s="6" t="s">
        <v>33</v>
      </c>
      <c r="B10" s="5">
        <f>'CELEBRITY BAKERY (Bakery)'!E5</f>
        <v>0</v>
      </c>
      <c r="C10" s="7"/>
    </row>
    <row r="11" spans="1:2">
      <c r="A11" s="6" t="s">
        <v>34</v>
      </c>
      <c r="B11" s="5">
        <f>'Krop (Edible flower)'!H10</f>
        <v>0</v>
      </c>
    </row>
    <row r="12" spans="1:3">
      <c r="A12" s="6" t="s">
        <v>35</v>
      </c>
      <c r="B12" s="5">
        <f>'Boiler (Dumplings&amp;Syrniki)'!E5</f>
        <v>0</v>
      </c>
      <c r="C12" s="7"/>
    </row>
    <row r="13" spans="1:2">
      <c r="A13" s="6" t="s">
        <v>36</v>
      </c>
      <c r="B13" s="5">
        <f>'Abdi Jaya (TKW, Vacuum Bag)'!D21</f>
        <v>0</v>
      </c>
    </row>
    <row r="14" spans="1:2">
      <c r="A14" s="6" t="s">
        <v>37</v>
      </c>
      <c r="B14" s="5">
        <f>'Dishy Soap (Chemicals)'!G11</f>
        <v>0</v>
      </c>
    </row>
    <row r="15" spans="1:2">
      <c r="A15" s="8" t="s">
        <v>5</v>
      </c>
      <c r="B15" s="9">
        <f>SUM(B2:B12)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BUK BUNGA (Groceries)</vt:lpstr>
      <vt:lpstr>SEDANA JAYA (Groceries)</vt:lpstr>
      <vt:lpstr>AD supplier (Groceries)</vt:lpstr>
      <vt:lpstr>RAFI SEAFOOD (Seafood)</vt:lpstr>
      <vt:lpstr>MAMA RADA PRODUCTION (Dumpling)</vt:lpstr>
      <vt:lpstr>KSP (Chicken)</vt:lpstr>
      <vt:lpstr>SURYA CIPTA NIAGA BALI (Beef)</vt:lpstr>
      <vt:lpstr>BAYU AGNI MERTA (Gas)</vt:lpstr>
      <vt:lpstr>Joy Green (Mix Berry)</vt:lpstr>
      <vt:lpstr>CELEBRITY BAKERY (Bakery)</vt:lpstr>
      <vt:lpstr>Krop (Edible flower)</vt:lpstr>
      <vt:lpstr>Boiler (Dumplings&amp;Syrniki)</vt:lpstr>
      <vt:lpstr>Abdi Jaya (TKW, Vacuum Bag)</vt:lpstr>
      <vt:lpstr>Dishy Soap (Chemicals)</vt:lpstr>
      <vt:lpstr>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andika putra</cp:lastModifiedBy>
  <dcterms:created xsi:type="dcterms:W3CDTF">2025-01-24T00:20:00Z</dcterms:created>
  <dcterms:modified xsi:type="dcterms:W3CDTF">2026-02-04T00:46:47Z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681904DB34F748D6A06A134C0A5051D5_13</vt:lpwstr>
  </property>
  <property fmtid="{D5CDD505-2E9C-101B-9397-08002B2CF9AE}" pid="3" name="KSOProductBuildVer">
    <vt:lpwstr>1033-12.1.23155.23155</vt:lpwstr>
  </property>
</Properties>
</file>