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PT. SUPARMA JAYA TBK (Tissu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<sst xmlns="http://schemas.openxmlformats.org/spreadsheetml/2006/main" count="20" uniqueCount="14">
  <si>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DATE</t>
  </si>
  <si>
    <t>INV NO.</t>
  </si>
  <si>
    <t>DESCRIPTIONS</t>
  </si>
  <si>
    <t>AMOUNT</t>
  </si>
  <si>
    <t>BILLS</t>
  </si>
  <si>
    <t>PRICE</t>
  </si>
  <si>
    <t>TOTAL</t>
  </si>
  <si>
    <t>SO05LC2601000210/00</t>
  </si>
  <si>
    <t>SEE-U HTM DE/ ECONO RED / 20 PK FSC MIX 85% / SUHT-046NN</t>
  </si>
  <si>
    <t>SALES PRICE</t>
  </si>
  <si>
    <t>PPN</t>
  </si>
  <si>
    <t>PPh 22</t>
  </si>
  <si>
    <t>SO05LC2601001612/00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</si>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</sst>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[$-409]d\-mmm\-yyyy;@"/>
    <numFmt numFmtId="178" formatCode="dd\-mmm"/>
    <numFmt numFmtId="179" formatCode="_-&quot;Rp&quot;* #,##0_-;\-&quot;Rp&quot;* #,##0_-;_-&quot;Rp&quot;* &quot;-&quot;??_-;_-@_-"/>
    <numFmt numFmtId="180" formatCode="_ [$IDR]\ * #,##0_ ;_ [$IDR]\ * \-#,##0_ ;_ [$IDR]\ * &quot;-&quot;_ ;_ @_ "/>
    <numFmt numFmtId="181" formatCode="_ * #,##0_ ;_ * \-#,##0_ ;_ * &quot;-&quot;??_ ;_ @_ "/>
    <numFmt numFmtId="182" formatCode="_-&quot;Rp&quot;* #,##0.00_-;\-&quot;Rp&quot;* #,##0.00_-;_-&quot;Rp&quot;* &quot;-&quot;??.00_-;_-@_-"/>
  </numFmts>
  <fonts count="23">
    <font>
      <sz val="11"/>
      <color theme="1"/>
      <name val="Calibri"/>
      <charset val="134"/>
      <scheme val="minor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79" fontId="0" fillId="0" borderId="1" xfId="0" applyNumberFormat="1" applyBorder="1" applyAlignment="1">
      <alignment horizontal="center"/>
    </xf>
    <xf numFmtId="178" fontId="0" fillId="3" borderId="2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0" xfId="0" applyFill="1" applyBorder="1" applyAlignment="1"/>
    <xf numFmtId="0" fontId="0" fillId="3" borderId="4" xfId="0" applyFill="1" applyBorder="1" applyAlignment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1" fontId="0" fillId="0" borderId="1" xfId="1" applyNumberFormat="1" applyFill="1" applyBorder="1" applyAlignment="1">
      <alignment horizontal="center" vertical="center"/>
    </xf>
    <xf numFmtId="180" fontId="0" fillId="0" borderId="3" xfId="0" applyNumberFormat="1" applyFill="1" applyBorder="1" applyAlignment="1">
      <alignment horizontal="center" vertical="center"/>
    </xf>
    <xf numFmtId="182" fontId="0" fillId="0" borderId="1" xfId="0" applyNumberFormat="1" applyBorder="1" applyAlignment="1">
      <alignment horizontal="center"/>
    </xf>
    <xf numFmtId="179" fontId="0" fillId="0" borderId="1" xfId="0" applyNumberFormat="1" applyBorder="1" applyAlignment="1"/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0" fillId="0" borderId="3" xfId="0" applyNumberFormat="1" applyBorder="1" applyAlignment="1">
      <alignment horizontal="center"/>
    </xf>
    <xf numFmtId="179" fontId="0" fillId="0" borderId="5" xfId="0" applyNumberFormat="1" applyBorder="1" applyAlignment="1"/>
    <xf numFmtId="179" fontId="3" fillId="4" borderId="5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323215</xdr:colOff>
      <xdr:row>1</xdr:row>
      <xdr:rowOff>22860</xdr:rowOff>
    </xdr:from>
    <xdr:to>
      <xdr:col>4</xdr:col>
      <xdr:colOff>2505710</xdr:colOff>
      <xdr:row>2</xdr:row>
      <xdr:rowOff>1557655</xdr:rowOff>
    </xdr:to>
    <xdr:pic>
      <xdr:nvPicPr>
        <xdr:cNvPr id="2" name="ID_4148B145FB8D4C0AA5B41BE69295E076" descr="PHOTO-2026-01-06-18-10-09"/>
        <xdr:cNvPicPr>
          <a:picLocks noChangeAspect="1"/>
        </xdr:cNvPicPr>
      </xdr:nvPicPr>
      <xdr:blipFill>
        <a:blip r:embed="rId1"/>
        <a:srcRect l="2053" t="8978" r="4285" b="18807"/>
        <a:stretch>
          <a:fillRect/>
        </a:stretch>
      </xdr:blipFill>
      <xdr:spPr>
        <a:xfrm>
          <a:off x="6337300" y="226060"/>
          <a:ext cx="2182495" cy="3103245"/>
        </a:xfrm>
        <a:prstGeom prst="rect">
          <a:avLst/>
        </a:prstGeom>
      </xdr:spPr>
    </xdr:pic>
    <xdr:clientData/>
  </xdr:twoCellAnchor>
  <xdr:twoCellAnchor editAs="oneCell">
    <xdr:from>
      <xdr:col>4</xdr:col>
      <xdr:colOff>405765</xdr:colOff>
      <xdr:row>7</xdr:row>
      <xdr:rowOff>22860</xdr:rowOff>
    </xdr:from>
    <xdr:to>
      <xdr:col>4</xdr:col>
      <xdr:colOff>2423160</xdr:colOff>
      <xdr:row>8</xdr:row>
      <xdr:rowOff>1557655</xdr:rowOff>
    </xdr:to>
    <xdr:pic>
      <xdr:nvPicPr>
        <xdr:cNvPr id="3" name="ID_F56F647980514D549FEA21F86BDFDD2C" descr="PHOTO-2026-01-15-16-18-58"/>
        <xdr:cNvPicPr>
          <a:picLocks noChangeAspect="1"/>
        </xdr:cNvPicPr>
      </xdr:nvPicPr>
      <xdr:blipFill>
        <a:blip r:embed="rId2"/>
        <a:srcRect t="11786" r="1201" b="7827"/>
        <a:stretch>
          <a:fillRect/>
        </a:stretch>
      </xdr:blipFill>
      <xdr:spPr>
        <a:xfrm>
          <a:off x="6419850" y="4216400"/>
          <a:ext cx="2017395" cy="310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69" zoomScaleNormal="69" workbookViewId="0">
      <selection activeCell="E14" sqref="E14:G14"/>
    </sheetView>
  </sheetViews>
  <sheetFormatPr defaultColWidth="9.140625" defaultRowHeight="16.8" outlineLevelCol="6"/>
  <cols>
    <col min="1" max="1" width="11.7109375" customWidth="1"/>
    <col min="2" max="2" width="22.140625" customWidth="1"/>
    <col min="3" max="3" width="22.5703125" customWidth="1"/>
    <col min="4" max="4" width="17.5703125" customWidth="1"/>
    <col min="5" max="5" width="34.5703125" customWidth="1"/>
    <col min="6" max="6" width="19.4296875" customWidth="1"/>
    <col min="7" max="7" width="17.2890625" customWidth="1"/>
  </cols>
  <sheetData>
    <row r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23.5" customHeight="1" spans="1:7">
      <c r="A2" s="3">
        <v>46027</v>
      </c>
      <c r="B2" s="4" t="s">
        <v>7</v>
      </c>
      <c r="C2" s="5" t="s">
        <v>8</v>
      </c>
      <c r="D2" s="6">
        <v>80</v>
      </c>
      <c r="E2" s="23"/>
      <c r="F2" s="24">
        <v>6063.9632</v>
      </c>
      <c r="G2" s="25">
        <f>SUM(D2*F2)</f>
        <v>485117.056</v>
      </c>
    </row>
    <row r="3" ht="123.5" customHeight="1" spans="1:7">
      <c r="A3" s="3"/>
      <c r="B3" s="4"/>
      <c r="C3" s="7"/>
      <c r="D3" s="8"/>
      <c r="E3" s="23"/>
      <c r="F3" s="26"/>
      <c r="G3" s="25"/>
    </row>
    <row r="4" spans="1:7">
      <c r="A4" s="3"/>
      <c r="B4" s="9" t="s">
        <v>9</v>
      </c>
      <c r="C4" s="9"/>
      <c r="D4" s="10"/>
      <c r="E4" s="10"/>
      <c r="F4" s="10"/>
      <c r="G4" s="10">
        <f>SUM(G2:G3)</f>
        <v>485117.056</v>
      </c>
    </row>
    <row r="5" spans="1:7">
      <c r="A5" s="3"/>
      <c r="B5" s="9" t="s">
        <v>10</v>
      </c>
      <c r="C5" s="9"/>
      <c r="D5" s="10"/>
      <c r="E5" s="10"/>
      <c r="F5" s="10"/>
      <c r="G5" s="10">
        <f>G4*11%</f>
        <v>53362.87616</v>
      </c>
    </row>
    <row r="6" spans="1:7">
      <c r="A6" s="3"/>
      <c r="B6" s="9" t="s">
        <v>11</v>
      </c>
      <c r="C6" s="9"/>
      <c r="D6" s="10"/>
      <c r="E6" s="10"/>
      <c r="F6" s="10"/>
      <c r="G6" s="27">
        <v>485.12</v>
      </c>
    </row>
    <row r="7" spans="1:7">
      <c r="A7" s="3"/>
      <c r="B7" s="9" t="s">
        <v>6</v>
      </c>
      <c r="C7" s="9"/>
      <c r="D7" s="10"/>
      <c r="E7" s="28"/>
      <c r="F7" s="28"/>
      <c r="G7" s="28">
        <f>SUM(G4:G6)</f>
        <v>538965.05216</v>
      </c>
    </row>
    <row r="8" ht="123.5" customHeight="1" spans="1:7">
      <c r="A8" s="3">
        <v>46036</v>
      </c>
      <c r="B8" s="11" t="s">
        <v>12</v>
      </c>
      <c r="C8" s="5" t="s">
        <v>8</v>
      </c>
      <c r="D8" s="6">
        <v>100</v>
      </c>
      <c r="E8" s="29"/>
      <c r="F8" s="24">
        <v>6063963.9632</v>
      </c>
      <c r="G8" s="25">
        <f>F8*D8</f>
        <v>606396396.32</v>
      </c>
    </row>
    <row r="9" ht="123.5" customHeight="1" spans="1:7">
      <c r="A9" s="3"/>
      <c r="B9" s="12"/>
      <c r="C9" s="7"/>
      <c r="D9" s="8"/>
      <c r="E9" s="30"/>
      <c r="F9" s="26"/>
      <c r="G9" s="25"/>
    </row>
    <row r="10" spans="1:7">
      <c r="A10" s="13"/>
      <c r="B10" s="9" t="s">
        <v>9</v>
      </c>
      <c r="C10" s="9"/>
      <c r="D10" s="10"/>
      <c r="E10" s="31"/>
      <c r="F10" s="10"/>
      <c r="G10" s="10">
        <f>SUM(G8:G9)</f>
        <v>606396396.32</v>
      </c>
    </row>
    <row r="11" spans="1:7">
      <c r="A11" s="14"/>
      <c r="B11" s="15" t="s">
        <v>10</v>
      </c>
      <c r="C11" s="16"/>
      <c r="D11" s="10"/>
      <c r="E11" s="31"/>
      <c r="F11" s="10"/>
      <c r="G11" s="10">
        <f>G10*11%</f>
        <v>66703603.5952</v>
      </c>
    </row>
    <row r="12" spans="1:7">
      <c r="A12" s="13"/>
      <c r="B12" s="9" t="s">
        <v>11</v>
      </c>
      <c r="C12" s="9"/>
      <c r="D12" s="10"/>
      <c r="E12" s="31"/>
      <c r="F12" s="10"/>
      <c r="G12" s="27">
        <v>606.4</v>
      </c>
    </row>
    <row r="13" spans="1:7">
      <c r="A13" s="17"/>
      <c r="B13" s="18" t="s">
        <v>6</v>
      </c>
      <c r="C13" s="19"/>
      <c r="D13" s="10"/>
      <c r="E13" s="28"/>
      <c r="F13" s="32"/>
      <c r="G13" s="28">
        <v>673706.31</v>
      </c>
    </row>
    <row r="14" spans="1:7">
      <c r="A14" s="20" t="s">
        <v>13</v>
      </c>
      <c r="B14" s="21"/>
      <c r="C14" s="21"/>
      <c r="D14" s="22"/>
      <c r="E14" s="33">
        <f>G7+G13</f>
        <v>1212671.36216</v>
      </c>
      <c r="F14" s="34"/>
      <c r="G14" s="35"/>
    </row>
  </sheetData>
  <mergeCells count="24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C8:C9"/>
    <mergeCell ref="D2:D3"/>
    <mergeCell ref="D8:D9"/>
    <mergeCell ref="E2:E3"/>
    <mergeCell ref="E8:E9"/>
    <mergeCell ref="F2:F3"/>
    <mergeCell ref="F8:F9"/>
    <mergeCell ref="G2:G3"/>
    <mergeCell ref="G8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PT. SUPARMA JAYA TBK (Tissue)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2026-01-31T19:42:54Z</dcterms:created>
  <dcterms:modified xsi:type="dcterms:W3CDTF">2026-01-31T19:43:16Z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187ABD64B913166BBEEA7D69D3771520_41</vt:lpwstr>
  </property>
  <property fmtid="{D5CDD505-2E9C-101B-9397-08002B2CF9AE}" pid="3" name="KSOProductBuildVer">
    <vt:lpwstr>1033-12.1.23155.23155</vt:lpwstr>
  </property>
</Properties>
</file>