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<sst xmlns="http://schemas.openxmlformats.org/spreadsheetml/2006/main" count="26" uniqueCount="15">
  <si>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DATE</t>
  </si>
  <si>
    <t>INV NO.</t>
  </si>
  <si>
    <t>DESCRIPTIONS</t>
  </si>
  <si>
    <t>QTY</t>
  </si>
  <si>
    <t>BILLS</t>
  </si>
  <si>
    <t>PRICE</t>
  </si>
  <si>
    <t>SUB TOTAL</t>
  </si>
  <si>
    <t>TOTAL</t>
  </si>
  <si>
    <t>B00518/PRN-R/2025</t>
  </si>
  <si>
    <t>BONELESS BREAST TK SP</t>
  </si>
  <si>
    <t>BONELESS LEG TK SP</t>
  </si>
  <si>
    <t>WING TD</t>
  </si>
  <si>
    <t>B00557/PRN-R/2025</t>
  </si>
  <si>
    <t>B00640/PRN-R/2025</t>
  </si>
  <si>
    <t>B00778/PRN-R/2025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</si>
</sst>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&quot;Rp&quot;* #,##0_-;\-&quot;Rp&quot;* #,##0_-;_-&quot;Rp&quot;* &quot;-&quot;??_-;_-@_-"/>
    <numFmt numFmtId="177" formatCode="dd\-mmm"/>
    <numFmt numFmtId="178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76" fontId="0" fillId="3" borderId="2" xfId="0" applyNumberFormat="1" applyFill="1" applyBorder="1" applyAlignment="1">
      <alignment horizontal="center" vertical="center" wrapText="1"/>
    </xf>
    <xf numFmtId="0" fontId="0" fillId="3" borderId="2" xfId="0" applyNumberFormat="1" applyFill="1" applyBorder="1" applyAlignment="1">
      <alignment horizontal="center" vertical="center" wrapText="1"/>
    </xf>
    <xf numFmtId="177" fontId="0" fillId="3" borderId="2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77" fontId="0" fillId="3" borderId="3" xfId="0" applyNumberFormat="1" applyFill="1" applyBorder="1" applyAlignment="1">
      <alignment vertical="center"/>
    </xf>
    <xf numFmtId="176" fontId="0" fillId="3" borderId="3" xfId="0" applyNumberFormat="1" applyFill="1" applyBorder="1" applyAlignment="1">
      <alignment horizontal="center" vertical="center" wrapText="1"/>
    </xf>
    <xf numFmtId="0" fontId="0" fillId="3" borderId="3" xfId="0" applyNumberForma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2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78" fontId="0" fillId="0" borderId="2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78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1" xfId="0" applyNumberFormat="1" applyBorder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21272</xdr:colOff>
      <xdr:row>1</xdr:row>
      <xdr:rowOff>32702</xdr:rowOff>
    </xdr:from>
    <xdr:to>
      <xdr:col>4</xdr:col>
      <xdr:colOff>2327592</xdr:colOff>
      <xdr:row>3</xdr:row>
      <xdr:rowOff>445452</xdr:rowOff>
    </xdr:to>
    <xdr:pic>
      <xdr:nvPicPr>
        <xdr:cNvPr id="3" name="ID_FE097DB255EF40EF9CE91FA90ACB7BCF" descr="WhatsApp Image 2025-12-02 at 18.45.02_28484c33"/>
        <xdr:cNvPicPr>
          <a:picLocks noChangeAspect="1"/>
        </xdr:cNvPicPr>
      </xdr:nvPicPr>
      <xdr:blipFill>
        <a:blip r:embed="rId1"/>
        <a:srcRect l="3762" t="1900" b="4185"/>
        <a:stretch>
          <a:fillRect/>
        </a:stretch>
      </xdr:blipFill>
      <xdr:spPr>
        <a:xfrm rot="16200000">
          <a:off x="6097270" y="-240665"/>
          <a:ext cx="1352550" cy="2305685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</xdr:colOff>
      <xdr:row>4</xdr:row>
      <xdr:rowOff>20320</xdr:rowOff>
    </xdr:from>
    <xdr:to>
      <xdr:col>4</xdr:col>
      <xdr:colOff>2308225</xdr:colOff>
      <xdr:row>5</xdr:row>
      <xdr:rowOff>680720</xdr:rowOff>
    </xdr:to>
    <xdr:pic>
      <xdr:nvPicPr>
        <xdr:cNvPr id="5" name="ID_25734AC6F27445F5BB9BACB0EC758B79" descr="WhatsApp Image 2025-12-05 at 22.09.01_57b43b80"/>
        <xdr:cNvPicPr>
          <a:picLocks noChangeAspect="1"/>
        </xdr:cNvPicPr>
      </xdr:nvPicPr>
      <xdr:blipFill>
        <a:blip r:embed="rId2"/>
        <a:srcRect l="6532" t="6578" b="4287"/>
        <a:stretch>
          <a:fillRect/>
        </a:stretch>
      </xdr:blipFill>
      <xdr:spPr>
        <a:xfrm rot="16200000">
          <a:off x="6094730" y="1179195"/>
          <a:ext cx="1358900" cy="2266950"/>
        </a:xfrm>
        <a:prstGeom prst="rect">
          <a:avLst/>
        </a:prstGeom>
      </xdr:spPr>
    </xdr:pic>
    <xdr:clientData/>
  </xdr:twoCellAnchor>
  <xdr:twoCellAnchor editAs="oneCell">
    <xdr:from>
      <xdr:col>4</xdr:col>
      <xdr:colOff>20637</xdr:colOff>
      <xdr:row>6</xdr:row>
      <xdr:rowOff>30797</xdr:rowOff>
    </xdr:from>
    <xdr:to>
      <xdr:col>4</xdr:col>
      <xdr:colOff>2328227</xdr:colOff>
      <xdr:row>7</xdr:row>
      <xdr:rowOff>670242</xdr:rowOff>
    </xdr:to>
    <xdr:pic>
      <xdr:nvPicPr>
        <xdr:cNvPr id="6" name="ID_32BE369FEC544941B3617496A8904646" descr="WhatsApp Image 2025-12-12 at 11.14.03_e23b919d"/>
        <xdr:cNvPicPr>
          <a:picLocks noChangeAspect="1"/>
        </xdr:cNvPicPr>
      </xdr:nvPicPr>
      <xdr:blipFill>
        <a:blip r:embed="rId3"/>
        <a:srcRect l="4956" t="7935" r="2428" b="1334"/>
        <a:stretch>
          <a:fillRect/>
        </a:stretch>
      </xdr:blipFill>
      <xdr:spPr>
        <a:xfrm rot="16200000">
          <a:off x="6104255" y="2555240"/>
          <a:ext cx="1337945" cy="2307590"/>
        </a:xfrm>
        <a:prstGeom prst="rect">
          <a:avLst/>
        </a:prstGeom>
      </xdr:spPr>
    </xdr:pic>
    <xdr:clientData/>
  </xdr:twoCellAnchor>
  <xdr:twoCellAnchor editAs="oneCell">
    <xdr:from>
      <xdr:col>4</xdr:col>
      <xdr:colOff>25082</xdr:colOff>
      <xdr:row>11</xdr:row>
      <xdr:rowOff>177482</xdr:rowOff>
    </xdr:from>
    <xdr:to>
      <xdr:col>4</xdr:col>
      <xdr:colOff>2838132</xdr:colOff>
      <xdr:row>13</xdr:row>
      <xdr:rowOff>531177</xdr:rowOff>
    </xdr:to>
    <xdr:pic>
      <xdr:nvPicPr>
        <xdr:cNvPr id="7" name="ID_51411CE1BAEB49E4BA22968CB130A5AB" descr="PHOTO-2025-12-31-12-46-12"/>
        <xdr:cNvPicPr>
          <a:picLocks noChangeAspect="1"/>
        </xdr:cNvPicPr>
      </xdr:nvPicPr>
      <xdr:blipFill>
        <a:blip r:embed="rId4"/>
        <a:srcRect l="6161" t="7576" b="4970"/>
        <a:stretch>
          <a:fillRect/>
        </a:stretch>
      </xdr:blipFill>
      <xdr:spPr>
        <a:xfrm rot="16200000">
          <a:off x="6155055" y="6148070"/>
          <a:ext cx="1750695" cy="2813050"/>
        </a:xfrm>
        <a:prstGeom prst="rect">
          <a:avLst/>
        </a:prstGeom>
      </xdr:spPr>
    </xdr:pic>
    <xdr:clientData/>
  </xdr:twoCellAnchor>
  <xdr:twoCellAnchor editAs="oneCell">
    <xdr:from>
      <xdr:col>4</xdr:col>
      <xdr:colOff>25082</xdr:colOff>
      <xdr:row>8</xdr:row>
      <xdr:rowOff>88582</xdr:rowOff>
    </xdr:from>
    <xdr:to>
      <xdr:col>4</xdr:col>
      <xdr:colOff>2838132</xdr:colOff>
      <xdr:row>10</xdr:row>
      <xdr:rowOff>620077</xdr:rowOff>
    </xdr:to>
    <xdr:pic>
      <xdr:nvPicPr>
        <xdr:cNvPr id="8" name="ID_3F4594EC0EA24D45B8EDB2FD3EB9A6B1" descr="PHOTO-2026-01-03-19-59-29"/>
        <xdr:cNvPicPr>
          <a:picLocks noChangeAspect="1"/>
        </xdr:cNvPicPr>
      </xdr:nvPicPr>
      <xdr:blipFill>
        <a:blip r:embed="rId5"/>
        <a:srcRect t="10403" r="11100" b="12731"/>
        <a:stretch>
          <a:fillRect/>
        </a:stretch>
      </xdr:blipFill>
      <xdr:spPr>
        <a:xfrm rot="16200000">
          <a:off x="6066155" y="4052570"/>
          <a:ext cx="1928495" cy="281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76" zoomScaleNormal="76" workbookViewId="0">
      <selection activeCell="J9" sqref="J9"/>
    </sheetView>
  </sheetViews>
  <sheetFormatPr defaultColWidth="9.140625" defaultRowHeight="16.8"/>
  <cols>
    <col min="1" max="1" width="8.8828125" customWidth="1"/>
    <col min="2" max="2" width="20.140625" customWidth="1"/>
    <col min="3" max="3" width="25.140625" style="1" customWidth="1"/>
    <col min="4" max="4" width="14.7265625" style="1" customWidth="1"/>
    <col min="5" max="5" width="35.125" customWidth="1"/>
    <col min="6" max="8" width="20.9921875" customWidth="1"/>
    <col min="9" max="9" width="12.859375"/>
  </cols>
  <sheetData>
    <row r="1" customFormat="1" ht="16" customHeight="1" spans="1:8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1" ht="37" customHeight="1" spans="1:12">
      <c r="A2" s="4">
        <v>45993</v>
      </c>
      <c r="B2" s="4" t="s">
        <v>8</v>
      </c>
      <c r="C2" s="5" t="s">
        <v>9</v>
      </c>
      <c r="D2" s="6">
        <v>5.4</v>
      </c>
      <c r="E2" s="19"/>
      <c r="F2" s="20">
        <v>52500</v>
      </c>
      <c r="G2" s="20">
        <f t="shared" ref="G2:G11" si="0">SUM(D2*F2)</f>
        <v>283500</v>
      </c>
      <c r="H2" s="20">
        <f>SUM(G2:G4)</f>
        <v>1018650</v>
      </c>
      <c r="L2" s="35"/>
    </row>
    <row r="3" customFormat="1" ht="37" customHeight="1" spans="1:11">
      <c r="A3" s="4"/>
      <c r="B3" s="4"/>
      <c r="C3" s="7" t="s">
        <v>10</v>
      </c>
      <c r="D3" s="8">
        <v>10.8</v>
      </c>
      <c r="E3" s="21"/>
      <c r="F3" s="20">
        <v>50500</v>
      </c>
      <c r="G3" s="20">
        <f t="shared" si="0"/>
        <v>545400</v>
      </c>
      <c r="H3" s="20"/>
      <c r="K3" s="35"/>
    </row>
    <row r="4" customFormat="1" ht="37" customHeight="1" spans="1:11">
      <c r="A4" s="4"/>
      <c r="B4" s="4"/>
      <c r="C4" s="9" t="s">
        <v>11</v>
      </c>
      <c r="D4" s="10">
        <v>5.5</v>
      </c>
      <c r="E4" s="21"/>
      <c r="F4" s="22">
        <v>34500</v>
      </c>
      <c r="G4" s="20">
        <f t="shared" si="0"/>
        <v>189750</v>
      </c>
      <c r="H4" s="20"/>
      <c r="K4" s="35"/>
    </row>
    <row r="5" customFormat="1" ht="55" customHeight="1" spans="1:11">
      <c r="A5" s="11">
        <v>45996</v>
      </c>
      <c r="B5" s="11" t="s">
        <v>12</v>
      </c>
      <c r="C5" s="7" t="s">
        <v>9</v>
      </c>
      <c r="D5" s="8">
        <v>5.6</v>
      </c>
      <c r="E5" s="19"/>
      <c r="F5" s="23">
        <v>52500</v>
      </c>
      <c r="G5" s="20">
        <f t="shared" si="0"/>
        <v>294000</v>
      </c>
      <c r="H5" s="24">
        <f>SUM(G5:G6)</f>
        <v>1066650</v>
      </c>
      <c r="K5" s="35"/>
    </row>
    <row r="6" customFormat="1" ht="55" customHeight="1" spans="1:8">
      <c r="A6" s="12"/>
      <c r="B6" s="12"/>
      <c r="C6" s="7" t="s">
        <v>10</v>
      </c>
      <c r="D6" s="8">
        <v>15.3</v>
      </c>
      <c r="E6" s="25"/>
      <c r="F6" s="26">
        <v>50500</v>
      </c>
      <c r="G6" s="20">
        <f t="shared" si="0"/>
        <v>772650</v>
      </c>
      <c r="H6" s="27"/>
    </row>
    <row r="7" customFormat="1" ht="55" customHeight="1" spans="1:8">
      <c r="A7" s="11">
        <v>46003</v>
      </c>
      <c r="B7" s="11" t="s">
        <v>13</v>
      </c>
      <c r="C7" s="13" t="s">
        <v>9</v>
      </c>
      <c r="D7" s="8">
        <v>5.1</v>
      </c>
      <c r="E7" s="28"/>
      <c r="F7" s="29">
        <v>54000</v>
      </c>
      <c r="G7" s="20">
        <f t="shared" si="0"/>
        <v>275400</v>
      </c>
      <c r="H7" s="30">
        <f>SUM(G7:G8)</f>
        <v>1112600</v>
      </c>
    </row>
    <row r="8" customFormat="1" ht="55" customHeight="1" spans="1:8">
      <c r="A8" s="14"/>
      <c r="B8" s="14"/>
      <c r="C8" s="13" t="s">
        <v>10</v>
      </c>
      <c r="D8" s="8">
        <v>16.1</v>
      </c>
      <c r="E8" s="29"/>
      <c r="F8" s="29">
        <v>52000</v>
      </c>
      <c r="G8" s="20">
        <f t="shared" si="0"/>
        <v>837200</v>
      </c>
      <c r="H8" s="31"/>
    </row>
    <row r="9" customFormat="1" ht="55" customHeight="1" spans="1:8">
      <c r="A9" s="11">
        <v>46372</v>
      </c>
      <c r="B9" s="11" t="s">
        <v>13</v>
      </c>
      <c r="C9" s="13" t="s">
        <v>9</v>
      </c>
      <c r="D9" s="8">
        <v>5.2</v>
      </c>
      <c r="E9" s="28"/>
      <c r="F9" s="29">
        <v>54500</v>
      </c>
      <c r="G9" s="20">
        <f t="shared" si="0"/>
        <v>283400</v>
      </c>
      <c r="H9" s="30">
        <f>SUM(G9:G11)</f>
        <v>873950</v>
      </c>
    </row>
    <row r="10" customFormat="1" ht="55" customHeight="1" spans="1:8">
      <c r="A10" s="14"/>
      <c r="B10" s="14"/>
      <c r="C10" s="13" t="s">
        <v>10</v>
      </c>
      <c r="D10" s="8">
        <v>7.7</v>
      </c>
      <c r="E10" s="29"/>
      <c r="F10" s="29">
        <v>52500</v>
      </c>
      <c r="G10" s="20">
        <f t="shared" si="0"/>
        <v>404250</v>
      </c>
      <c r="H10" s="31"/>
    </row>
    <row r="11" ht="55" customHeight="1" spans="1:8">
      <c r="A11" s="14"/>
      <c r="B11" s="14"/>
      <c r="C11" s="13" t="s">
        <v>11</v>
      </c>
      <c r="D11" s="8">
        <v>5.4</v>
      </c>
      <c r="E11" s="29"/>
      <c r="F11" s="29">
        <v>34500</v>
      </c>
      <c r="G11" s="20">
        <f t="shared" si="0"/>
        <v>186300</v>
      </c>
      <c r="H11" s="31"/>
    </row>
    <row r="12" ht="55" customHeight="1" spans="1:11">
      <c r="A12" s="4">
        <v>46021</v>
      </c>
      <c r="B12" s="4" t="s">
        <v>14</v>
      </c>
      <c r="C12" s="7" t="s">
        <v>9</v>
      </c>
      <c r="D12" s="8">
        <v>10.2</v>
      </c>
      <c r="E12" s="28"/>
      <c r="F12" s="26">
        <v>51000</v>
      </c>
      <c r="G12" s="26">
        <f t="shared" ref="G12:G15" si="1">D12*F12</f>
        <v>520200</v>
      </c>
      <c r="H12" s="29">
        <f>SUM(G12:G14)</f>
        <v>1954200</v>
      </c>
      <c r="K12" s="35"/>
    </row>
    <row r="13" ht="55" customHeight="1" spans="1:11">
      <c r="A13" s="4"/>
      <c r="B13" s="4"/>
      <c r="C13" s="7" t="s">
        <v>10</v>
      </c>
      <c r="D13" s="8">
        <v>24.2</v>
      </c>
      <c r="E13" s="28"/>
      <c r="F13" s="26">
        <v>51000</v>
      </c>
      <c r="G13" s="26">
        <f t="shared" si="1"/>
        <v>1234200</v>
      </c>
      <c r="H13" s="29"/>
      <c r="K13" s="35"/>
    </row>
    <row r="14" ht="55" customHeight="1" spans="1:11">
      <c r="A14" s="4"/>
      <c r="B14" s="4"/>
      <c r="C14" s="7" t="s">
        <v>11</v>
      </c>
      <c r="D14" s="8">
        <v>5.4</v>
      </c>
      <c r="E14" s="28"/>
      <c r="F14" s="26">
        <v>37000</v>
      </c>
      <c r="G14" s="26">
        <f t="shared" si="1"/>
        <v>199800</v>
      </c>
      <c r="H14" s="29"/>
      <c r="K14" s="35"/>
    </row>
    <row r="15" ht="55" customHeight="1" spans="1:11">
      <c r="A15" s="15"/>
      <c r="B15" s="15"/>
      <c r="C15" s="16"/>
      <c r="D15" s="17"/>
      <c r="E15" s="32"/>
      <c r="F15" s="33"/>
      <c r="G15" s="33">
        <f t="shared" si="1"/>
        <v>0</v>
      </c>
      <c r="H15" s="33"/>
      <c r="K15" s="35"/>
    </row>
    <row r="16" ht="15" customHeight="1" spans="1:8">
      <c r="A16" s="18"/>
      <c r="B16" s="18"/>
      <c r="C16" s="18"/>
      <c r="D16" s="18"/>
      <c r="E16" s="34"/>
      <c r="F16" s="34"/>
      <c r="G16" s="26"/>
      <c r="H16" s="34">
        <f>SUM(H2:H15)</f>
        <v>6026050</v>
      </c>
    </row>
  </sheetData>
  <mergeCells count="21">
    <mergeCell ref="A16:C16"/>
    <mergeCell ref="A2:A4"/>
    <mergeCell ref="A5:A6"/>
    <mergeCell ref="A7:A8"/>
    <mergeCell ref="A9:A11"/>
    <mergeCell ref="A12:A14"/>
    <mergeCell ref="B2:B4"/>
    <mergeCell ref="B5:B6"/>
    <mergeCell ref="B7:B8"/>
    <mergeCell ref="B9:B11"/>
    <mergeCell ref="B12:B14"/>
    <mergeCell ref="E2:E4"/>
    <mergeCell ref="E5:E6"/>
    <mergeCell ref="E7:E8"/>
    <mergeCell ref="E9:E11"/>
    <mergeCell ref="E12:E14"/>
    <mergeCell ref="H2:H4"/>
    <mergeCell ref="H5:H6"/>
    <mergeCell ref="H7:H8"/>
    <mergeCell ref="H9:H11"/>
    <mergeCell ref="H12:H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2025-12-17T16:10:00Z</dcterms:created>
  <dcterms:modified xsi:type="dcterms:W3CDTF">2026-01-03T20:05:05Z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