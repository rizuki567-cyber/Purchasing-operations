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SELERA OR STIR UP (Syrup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<sst xmlns="http://schemas.openxmlformats.org/spreadsheetml/2006/main" count="33" uniqueCount="25">
  <si>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</si>
  <si>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</si>
  <si>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</si>
  <si>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</si>
  <si>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</si>
  <si>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</si>
  <si>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</si>
  <si>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</si>
  <si>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SO.03-260055</t>
  </si>
  <si>
    <t>CRIMINAL CARAMEL PET</t>
  </si>
  <si>
    <t>HANDSOME HAZELNUT PET</t>
  </si>
  <si>
    <t>BESPOKE BUTTERSCOTCH</t>
  </si>
  <si>
    <t>ELEGANT ELDERFLOWER PET</t>
  </si>
  <si>
    <t>BLISFUL BLUEBERRY PET</t>
  </si>
  <si>
    <t>GROOVY GRAPE</t>
  </si>
  <si>
    <t>MARVELOUS MANGO PET</t>
  </si>
  <si>
    <t>SUB TOTAL</t>
  </si>
  <si>
    <t>PPN (11%)</t>
  </si>
  <si>
    <t>SO.03-260075</t>
  </si>
  <si>
    <t>LOYAL LYCHEE PET</t>
  </si>
  <si>
    <t>CHEERFUL AMARENA CHERRY</t>
  </si>
  <si>
    <t>BLISSFUL BLUEBERRY PET</t>
  </si>
  <si>
    <t>CRIMINIAL CARAMEL PET</t>
  </si>
  <si>
    <t>VOILA VANILLA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</si>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</sst>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  <numFmt numFmtId="180" formatCode="[$Rp-421]#,##0.00;[Red][$Rp-421]#,##0.00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178" fontId="1" fillId="4" borderId="5" xfId="0" applyNumberFormat="1" applyFont="1" applyFill="1" applyBorder="1" applyAlignment="1">
      <alignment horizontal="center" vertical="center"/>
    </xf>
    <xf numFmtId="178" fontId="1" fillId="4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17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80" fontId="3" fillId="3" borderId="8" xfId="0" applyNumberFormat="1" applyFont="1" applyFill="1" applyBorder="1" applyAlignment="1">
      <alignment horizontal="center" vertical="center"/>
    </xf>
    <xf numFmtId="180" fontId="3" fillId="3" borderId="6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4" borderId="6" xfId="0" applyNumberFormat="1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38735</xdr:colOff>
      <xdr:row>1</xdr:row>
      <xdr:rowOff>31750</xdr:rowOff>
    </xdr:from>
    <xdr:to>
      <xdr:col>4</xdr:col>
      <xdr:colOff>3642360</xdr:colOff>
      <xdr:row>7</xdr:row>
      <xdr:rowOff>705485</xdr:rowOff>
    </xdr:to>
    <xdr:pic>
      <xdr:nvPicPr>
        <xdr:cNvPr id="2" name="ID_F74A17FFD92347DBBA4785707FAC6771" descr="PHOTO-2026-02-04-00-00-07"/>
        <xdr:cNvPicPr>
          <a:picLocks noChangeAspect="1"/>
        </xdr:cNvPicPr>
      </xdr:nvPicPr>
      <xdr:blipFill>
        <a:blip r:embed="rId1"/>
        <a:srcRect b="21181"/>
        <a:stretch>
          <a:fillRect/>
        </a:stretch>
      </xdr:blipFill>
      <xdr:spPr>
        <a:xfrm>
          <a:off x="7067550" y="463550"/>
          <a:ext cx="3603625" cy="509333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10</xdr:row>
      <xdr:rowOff>67945</xdr:rowOff>
    </xdr:from>
    <xdr:to>
      <xdr:col>4</xdr:col>
      <xdr:colOff>3649345</xdr:colOff>
      <xdr:row>18</xdr:row>
      <xdr:rowOff>514350</xdr:rowOff>
    </xdr:to>
    <xdr:pic>
      <xdr:nvPicPr>
        <xdr:cNvPr id="3" name="ID_B339A833EDE849EAA6410274ECE198BF" descr="PHOTO-2026-02-25-21-19-01"/>
        <xdr:cNvPicPr>
          <a:picLocks noChangeAspect="1"/>
        </xdr:cNvPicPr>
      </xdr:nvPicPr>
      <xdr:blipFill>
        <a:blip r:embed="rId2"/>
        <a:srcRect b="22567"/>
        <a:stretch>
          <a:fillRect/>
        </a:stretch>
      </xdr:blipFill>
      <xdr:spPr>
        <a:xfrm>
          <a:off x="7060565" y="6544945"/>
          <a:ext cx="3617595" cy="5018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zoomScale="55" zoomScaleNormal="55" topLeftCell="C1" workbookViewId="0">
      <selection activeCell="F20" sqref="F20:G20"/>
    </sheetView>
  </sheetViews>
  <sheetFormatPr defaultColWidth="9.140625" defaultRowHeight="23.2" outlineLevelCol="7"/>
  <cols>
    <col min="1" max="1" width="17" style="1" customWidth="1"/>
    <col min="2" max="2" width="18" style="2" customWidth="1"/>
    <col min="3" max="3" width="38.75" style="2" customWidth="1"/>
    <col min="4" max="4" width="12.7265625" style="2" customWidth="1"/>
    <col min="5" max="5" width="45.203125" style="2" customWidth="1"/>
    <col min="6" max="7" width="29.0703125" style="2" customWidth="1"/>
    <col min="8" max="8" width="23.1171875" style="2" customWidth="1"/>
    <col min="9" max="12" width="9.140625" style="2"/>
    <col min="13" max="13" width="13.140625" style="2" customWidth="1"/>
    <col min="14" max="16384" width="9.140625" style="2"/>
  </cols>
  <sheetData>
    <row r="1" ht="34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4" t="s">
        <v>7</v>
      </c>
    </row>
    <row r="2" ht="58" customHeight="1" spans="1:8">
      <c r="A2" s="5">
        <v>46055</v>
      </c>
      <c r="B2" s="5" t="s">
        <v>8</v>
      </c>
      <c r="C2" s="6" t="s">
        <v>9</v>
      </c>
      <c r="D2" s="7">
        <v>2</v>
      </c>
      <c r="E2" s="15"/>
      <c r="F2" s="16">
        <v>100000</v>
      </c>
      <c r="G2" s="17">
        <f t="shared" ref="G2:G8" si="0">D2*F2</f>
        <v>200000</v>
      </c>
      <c r="H2" s="18">
        <f>SUM(G2:G8)</f>
        <v>2200000</v>
      </c>
    </row>
    <row r="3" ht="58" customHeight="1" spans="1:8">
      <c r="A3" s="8"/>
      <c r="B3" s="8"/>
      <c r="C3" s="6" t="s">
        <v>10</v>
      </c>
      <c r="D3" s="7">
        <v>2</v>
      </c>
      <c r="E3" s="15"/>
      <c r="F3" s="16">
        <v>100000</v>
      </c>
      <c r="G3" s="17">
        <f t="shared" si="0"/>
        <v>200000</v>
      </c>
      <c r="H3" s="19"/>
    </row>
    <row r="4" ht="58" customHeight="1" spans="1:8">
      <c r="A4" s="8"/>
      <c r="B4" s="8"/>
      <c r="C4" s="6" t="s">
        <v>11</v>
      </c>
      <c r="D4" s="7">
        <v>2</v>
      </c>
      <c r="E4" s="15"/>
      <c r="F4" s="16">
        <v>100000</v>
      </c>
      <c r="G4" s="17">
        <f t="shared" si="0"/>
        <v>200000</v>
      </c>
      <c r="H4" s="19"/>
    </row>
    <row r="5" ht="58" customHeight="1" spans="1:8">
      <c r="A5" s="8"/>
      <c r="B5" s="8"/>
      <c r="C5" s="6" t="s">
        <v>12</v>
      </c>
      <c r="D5" s="7">
        <v>2</v>
      </c>
      <c r="E5" s="15"/>
      <c r="F5" s="16">
        <v>100000</v>
      </c>
      <c r="G5" s="17">
        <f t="shared" si="0"/>
        <v>200000</v>
      </c>
      <c r="H5" s="19"/>
    </row>
    <row r="6" ht="58" customHeight="1" spans="1:8">
      <c r="A6" s="8"/>
      <c r="B6" s="8"/>
      <c r="C6" s="9" t="s">
        <v>13</v>
      </c>
      <c r="D6" s="7">
        <v>2</v>
      </c>
      <c r="E6" s="15"/>
      <c r="F6" s="16">
        <v>100000</v>
      </c>
      <c r="G6" s="17">
        <f t="shared" si="0"/>
        <v>200000</v>
      </c>
      <c r="H6" s="19"/>
    </row>
    <row r="7" ht="58" customHeight="1" spans="1:8">
      <c r="A7" s="8"/>
      <c r="B7" s="8"/>
      <c r="C7" s="9" t="s">
        <v>14</v>
      </c>
      <c r="D7" s="7">
        <v>2</v>
      </c>
      <c r="E7" s="15"/>
      <c r="F7" s="16">
        <v>100000</v>
      </c>
      <c r="G7" s="17">
        <f t="shared" si="0"/>
        <v>200000</v>
      </c>
      <c r="H7" s="19"/>
    </row>
    <row r="8" ht="58" customHeight="1" spans="1:8">
      <c r="A8" s="8"/>
      <c r="B8" s="8"/>
      <c r="C8" s="9" t="s">
        <v>15</v>
      </c>
      <c r="D8" s="7">
        <v>10</v>
      </c>
      <c r="E8" s="15"/>
      <c r="F8" s="16">
        <v>100000</v>
      </c>
      <c r="G8" s="17">
        <f t="shared" si="0"/>
        <v>1000000</v>
      </c>
      <c r="H8" s="20"/>
    </row>
    <row r="9" ht="35" customHeight="1" spans="1:8">
      <c r="A9" s="10" t="s">
        <v>16</v>
      </c>
      <c r="B9" s="10"/>
      <c r="C9" s="10"/>
      <c r="D9" s="7">
        <f>SUM(D2:D8)</f>
        <v>22</v>
      </c>
      <c r="E9" s="21"/>
      <c r="F9" s="22" t="s">
        <v>17</v>
      </c>
      <c r="G9" s="22"/>
      <c r="H9" s="22">
        <f>H2*11%</f>
        <v>242000</v>
      </c>
    </row>
    <row r="10" ht="35" customHeight="1" spans="1:8">
      <c r="A10" s="10" t="s">
        <v>7</v>
      </c>
      <c r="B10" s="10"/>
      <c r="C10" s="10"/>
      <c r="D10" s="7"/>
      <c r="E10" s="23">
        <f>SUM(H2:H9)</f>
        <v>2442000</v>
      </c>
      <c r="F10" s="24"/>
      <c r="G10" s="24"/>
      <c r="H10" s="25"/>
    </row>
    <row r="11" ht="45" customHeight="1" spans="1:8">
      <c r="A11" s="5">
        <v>46071</v>
      </c>
      <c r="B11" s="5" t="s">
        <v>18</v>
      </c>
      <c r="C11" s="6" t="s">
        <v>19</v>
      </c>
      <c r="D11" s="7">
        <v>2</v>
      </c>
      <c r="E11" s="15"/>
      <c r="F11" s="16">
        <v>100000</v>
      </c>
      <c r="G11" s="17">
        <f t="shared" ref="G11:G19" si="1">D11*F11</f>
        <v>200000</v>
      </c>
      <c r="H11" s="18">
        <f>SUM(G11:G19)</f>
        <v>1700000</v>
      </c>
    </row>
    <row r="12" ht="45" customHeight="1" spans="1:8">
      <c r="A12" s="8"/>
      <c r="B12" s="8"/>
      <c r="C12" s="6" t="s">
        <v>12</v>
      </c>
      <c r="D12" s="7">
        <v>1</v>
      </c>
      <c r="E12" s="15"/>
      <c r="F12" s="16">
        <v>100000</v>
      </c>
      <c r="G12" s="17">
        <f t="shared" si="1"/>
        <v>100000</v>
      </c>
      <c r="H12" s="19"/>
    </row>
    <row r="13" ht="45" customHeight="1" spans="1:8">
      <c r="A13" s="8"/>
      <c r="B13" s="8"/>
      <c r="C13" s="6" t="s">
        <v>20</v>
      </c>
      <c r="D13" s="7">
        <v>2</v>
      </c>
      <c r="E13" s="15"/>
      <c r="F13" s="16">
        <v>100000</v>
      </c>
      <c r="G13" s="17">
        <f t="shared" si="1"/>
        <v>200000</v>
      </c>
      <c r="H13" s="19"/>
    </row>
    <row r="14" ht="45" customHeight="1" spans="1:8">
      <c r="A14" s="8"/>
      <c r="B14" s="8"/>
      <c r="C14" s="6" t="s">
        <v>14</v>
      </c>
      <c r="D14" s="7">
        <v>2</v>
      </c>
      <c r="E14" s="15"/>
      <c r="F14" s="16">
        <v>100000</v>
      </c>
      <c r="G14" s="17">
        <f t="shared" si="1"/>
        <v>200000</v>
      </c>
      <c r="H14" s="19"/>
    </row>
    <row r="15" ht="45" customHeight="1" spans="1:8">
      <c r="A15" s="8"/>
      <c r="B15" s="8"/>
      <c r="C15" s="9" t="s">
        <v>21</v>
      </c>
      <c r="D15" s="7">
        <v>2</v>
      </c>
      <c r="E15" s="15"/>
      <c r="F15" s="16">
        <v>100000</v>
      </c>
      <c r="G15" s="17">
        <f t="shared" si="1"/>
        <v>200000</v>
      </c>
      <c r="H15" s="19"/>
    </row>
    <row r="16" ht="45" customHeight="1" spans="1:8">
      <c r="A16" s="8"/>
      <c r="B16" s="8"/>
      <c r="C16" s="9" t="s">
        <v>22</v>
      </c>
      <c r="D16" s="7">
        <v>3</v>
      </c>
      <c r="E16" s="15"/>
      <c r="F16" s="16">
        <v>100000</v>
      </c>
      <c r="G16" s="17">
        <f t="shared" si="1"/>
        <v>300000</v>
      </c>
      <c r="H16" s="19"/>
    </row>
    <row r="17" ht="45" customHeight="1" spans="1:8">
      <c r="A17" s="8"/>
      <c r="B17" s="8"/>
      <c r="C17" s="9" t="s">
        <v>10</v>
      </c>
      <c r="D17" s="7">
        <v>2</v>
      </c>
      <c r="E17" s="15"/>
      <c r="F17" s="16">
        <v>100000</v>
      </c>
      <c r="G17" s="17">
        <f t="shared" si="1"/>
        <v>200000</v>
      </c>
      <c r="H17" s="19"/>
    </row>
    <row r="18" ht="45" customHeight="1" spans="1:8">
      <c r="A18" s="8"/>
      <c r="B18" s="8"/>
      <c r="C18" s="9" t="s">
        <v>11</v>
      </c>
      <c r="D18" s="7">
        <v>2</v>
      </c>
      <c r="E18" s="15"/>
      <c r="F18" s="16">
        <v>100000</v>
      </c>
      <c r="G18" s="17">
        <f t="shared" si="1"/>
        <v>200000</v>
      </c>
      <c r="H18" s="19"/>
    </row>
    <row r="19" ht="45" customHeight="1" spans="1:8">
      <c r="A19" s="8"/>
      <c r="B19" s="8"/>
      <c r="C19" s="9" t="s">
        <v>23</v>
      </c>
      <c r="D19" s="7">
        <v>1</v>
      </c>
      <c r="E19" s="15"/>
      <c r="F19" s="16">
        <v>100000</v>
      </c>
      <c r="G19" s="17">
        <f t="shared" si="1"/>
        <v>100000</v>
      </c>
      <c r="H19" s="20"/>
    </row>
    <row r="20" ht="35" customHeight="1" spans="1:8">
      <c r="A20" s="10" t="s">
        <v>16</v>
      </c>
      <c r="B20" s="10"/>
      <c r="C20" s="10"/>
      <c r="D20" s="7">
        <f>SUM(D11:D19)</f>
        <v>17</v>
      </c>
      <c r="E20" s="21"/>
      <c r="F20" s="22" t="s">
        <v>17</v>
      </c>
      <c r="G20" s="22"/>
      <c r="H20" s="22">
        <f>H11*11%</f>
        <v>187000</v>
      </c>
    </row>
    <row r="21" ht="35" customHeight="1" spans="1:8">
      <c r="A21" s="10" t="s">
        <v>7</v>
      </c>
      <c r="B21" s="10"/>
      <c r="C21" s="10"/>
      <c r="D21" s="7"/>
      <c r="E21" s="23">
        <f>SUM(H11:H20)</f>
        <v>1887000</v>
      </c>
      <c r="F21" s="24"/>
      <c r="G21" s="24"/>
      <c r="H21" s="25"/>
    </row>
    <row r="22" ht="64" customHeight="1" spans="1:8">
      <c r="A22" s="11"/>
      <c r="B22" s="12"/>
      <c r="C22" s="13"/>
      <c r="D22" s="13"/>
      <c r="E22" s="26" t="s">
        <v>24</v>
      </c>
      <c r="F22" s="27">
        <f>SUM(E10,E21)</f>
        <v>4329000</v>
      </c>
      <c r="G22" s="28"/>
      <c r="H22" s="29"/>
    </row>
    <row r="23" ht="64" customHeight="1" spans="6:6">
      <c r="F23" s="30"/>
    </row>
    <row r="24" ht="64" customHeight="1"/>
    <row r="25" ht="64" customHeight="1"/>
    <row r="26" ht="64" customHeight="1"/>
    <row r="27" ht="35" customHeight="1"/>
    <row r="28" ht="35" customHeight="1"/>
    <row r="29" ht="160" customHeight="1"/>
    <row r="30" ht="160" customHeight="1"/>
    <row r="31" ht="35" customHeight="1"/>
    <row r="32" ht="35" customHeight="1"/>
    <row r="33" ht="321" customHeight="1"/>
    <row r="34" ht="34" customHeight="1"/>
    <row r="35" ht="34" customHeight="1"/>
    <row r="36" ht="34" customHeight="1"/>
    <row r="37" ht="58" customHeight="1"/>
    <row r="38" ht="58" customHeight="1"/>
    <row r="39" ht="58" customHeight="1"/>
    <row r="40" ht="58" customHeight="1"/>
    <row r="41" ht="58" customHeight="1"/>
    <row r="42" ht="58" customHeight="1"/>
    <row r="43" ht="58" customHeight="1"/>
    <row r="44" ht="58" customHeight="1"/>
    <row r="45" ht="58" customHeight="1"/>
    <row r="46" ht="58" customHeight="1"/>
  </sheetData>
  <mergeCells count="18">
    <mergeCell ref="A9:C9"/>
    <mergeCell ref="F9:G9"/>
    <mergeCell ref="A10:C10"/>
    <mergeCell ref="E10:H10"/>
    <mergeCell ref="A20:C20"/>
    <mergeCell ref="F20:G20"/>
    <mergeCell ref="A21:C21"/>
    <mergeCell ref="E21:H21"/>
    <mergeCell ref="A22:C22"/>
    <mergeCell ref="F22:H22"/>
    <mergeCell ref="A2:A8"/>
    <mergeCell ref="A11:A19"/>
    <mergeCell ref="B2:B8"/>
    <mergeCell ref="B11:B19"/>
    <mergeCell ref="E2:E8"/>
    <mergeCell ref="E11:E19"/>
    <mergeCell ref="H2:H8"/>
    <mergeCell ref="H11:H1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SELERA OR STIR UP (Syrup)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2026-03-01T05:33:16Z</dcterms:created>
  <dcterms:modified xsi:type="dcterms:W3CDTF">2026-03-01T05:33:36Z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70C72A71CA3FEA9A1C5FA369D79FFE2B_41</vt:lpwstr>
  </property>
  <property fmtid="{D5CDD505-2E9C-101B-9397-08002B2CF9AE}" pid="3" name="KSOProductBuildVer">
    <vt:lpwstr>1033-12.1.23155.23155</vt:lpwstr>
  </property>
</Properties>
</file>