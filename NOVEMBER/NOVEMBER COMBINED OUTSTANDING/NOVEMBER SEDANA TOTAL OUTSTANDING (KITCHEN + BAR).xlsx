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buyan\Downloads\"/>
    </mc:Choice>
  </mc:AlternateContent>
  <xr:revisionPtr revIDLastSave="0" documentId="8_{46C2282D-5E1B-4966-A5BF-F0169696ADE7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EDANA JAYA (Groceries)" sheetId="17" r:id="rId1"/>
  </sheets>
  <definedNames>
    <definedName name="_xlnm._FilterDatabase" localSheetId="0" hidden="1">'SEDANA JAYA (Groceries)'!$A$1:$F$633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31" i="17" l="1"/>
  <c r="E630" i="17"/>
  <c r="E629" i="17"/>
  <c r="E628" i="17"/>
  <c r="E627" i="17"/>
  <c r="E626" i="17"/>
  <c r="E625" i="17"/>
  <c r="E624" i="17"/>
  <c r="E623" i="17"/>
  <c r="E622" i="17"/>
  <c r="E621" i="17"/>
  <c r="E620" i="17"/>
  <c r="E619" i="17"/>
  <c r="F618" i="17"/>
  <c r="E618" i="17"/>
  <c r="E617" i="17"/>
  <c r="E616" i="17"/>
  <c r="E615" i="17"/>
  <c r="E614" i="17"/>
  <c r="E613" i="17"/>
  <c r="E612" i="17"/>
  <c r="F611" i="17"/>
  <c r="E611" i="17"/>
  <c r="E610" i="17"/>
  <c r="E609" i="17"/>
  <c r="E608" i="17"/>
  <c r="E607" i="17"/>
  <c r="E606" i="17"/>
  <c r="E605" i="17"/>
  <c r="E604" i="17"/>
  <c r="E603" i="17"/>
  <c r="E602" i="17"/>
  <c r="E601" i="17"/>
  <c r="E600" i="17"/>
  <c r="E599" i="17"/>
  <c r="E598" i="17"/>
  <c r="E597" i="17"/>
  <c r="E596" i="17"/>
  <c r="E595" i="17"/>
  <c r="E594" i="17"/>
  <c r="E593" i="17"/>
  <c r="E592" i="17"/>
  <c r="F591" i="17"/>
  <c r="E591" i="17"/>
  <c r="E590" i="17"/>
  <c r="E589" i="17"/>
  <c r="E588" i="17"/>
  <c r="F587" i="17"/>
  <c r="E587" i="17"/>
  <c r="E586" i="17"/>
  <c r="E585" i="17"/>
  <c r="E584" i="17"/>
  <c r="E583" i="17"/>
  <c r="E582" i="17"/>
  <c r="E581" i="17"/>
  <c r="E580" i="17"/>
  <c r="E579" i="17"/>
  <c r="E578" i="17"/>
  <c r="E577" i="17"/>
  <c r="E576" i="17"/>
  <c r="E575" i="17"/>
  <c r="E574" i="17"/>
  <c r="E573" i="17"/>
  <c r="E572" i="17"/>
  <c r="E571" i="17"/>
  <c r="E570" i="17"/>
  <c r="E569" i="17"/>
  <c r="E568" i="17"/>
  <c r="E567" i="17"/>
  <c r="E566" i="17"/>
  <c r="F565" i="17"/>
  <c r="E565" i="17"/>
  <c r="E564" i="17"/>
  <c r="E563" i="17"/>
  <c r="E562" i="17"/>
  <c r="E561" i="17"/>
  <c r="E560" i="17"/>
  <c r="E559" i="17"/>
  <c r="E558" i="17"/>
  <c r="E557" i="17"/>
  <c r="E556" i="17"/>
  <c r="E555" i="17"/>
  <c r="E554" i="17"/>
  <c r="E553" i="17"/>
  <c r="E552" i="17"/>
  <c r="E551" i="17"/>
  <c r="E550" i="17"/>
  <c r="F549" i="17"/>
  <c r="E549" i="17"/>
  <c r="E548" i="17"/>
  <c r="E547" i="17"/>
  <c r="E546" i="17"/>
  <c r="E545" i="17"/>
  <c r="E544" i="17"/>
  <c r="E543" i="17"/>
  <c r="E542" i="17"/>
  <c r="F541" i="17"/>
  <c r="E541" i="17"/>
  <c r="E540" i="17"/>
  <c r="E539" i="17"/>
  <c r="E538" i="17"/>
  <c r="E537" i="17"/>
  <c r="E536" i="17"/>
  <c r="E535" i="17"/>
  <c r="E534" i="17"/>
  <c r="E533" i="17"/>
  <c r="E532" i="17"/>
  <c r="E531" i="17"/>
  <c r="E530" i="17"/>
  <c r="E529" i="17"/>
  <c r="E528" i="17"/>
  <c r="E527" i="17"/>
  <c r="E526" i="17"/>
  <c r="E525" i="17"/>
  <c r="E524" i="17"/>
  <c r="E523" i="17"/>
  <c r="E522" i="17"/>
  <c r="E521" i="17"/>
  <c r="F520" i="17"/>
  <c r="E520" i="17"/>
  <c r="E519" i="17"/>
  <c r="E518" i="17"/>
  <c r="F517" i="17"/>
  <c r="E517" i="17"/>
  <c r="E516" i="17"/>
  <c r="E515" i="17"/>
  <c r="E514" i="17"/>
  <c r="E513" i="17"/>
  <c r="E512" i="17"/>
  <c r="E511" i="17"/>
  <c r="E510" i="17"/>
  <c r="E509" i="17"/>
  <c r="E508" i="17"/>
  <c r="E507" i="17"/>
  <c r="E506" i="17"/>
  <c r="E505" i="17"/>
  <c r="E504" i="17"/>
  <c r="E503" i="17"/>
  <c r="E502" i="17"/>
  <c r="E501" i="17"/>
  <c r="E500" i="17"/>
  <c r="E499" i="17"/>
  <c r="E498" i="17"/>
  <c r="E497" i="17"/>
  <c r="E496" i="17"/>
  <c r="F495" i="17"/>
  <c r="E495" i="17"/>
  <c r="E494" i="17"/>
  <c r="E493" i="17"/>
  <c r="E492" i="17"/>
  <c r="E491" i="17"/>
  <c r="E490" i="17"/>
  <c r="E489" i="17"/>
  <c r="E488" i="17"/>
  <c r="E487" i="17"/>
  <c r="E486" i="17"/>
  <c r="E485" i="17"/>
  <c r="E484" i="17"/>
  <c r="E483" i="17"/>
  <c r="E482" i="17"/>
  <c r="E481" i="17"/>
  <c r="E480" i="17"/>
  <c r="E479" i="17"/>
  <c r="E478" i="17"/>
  <c r="E477" i="17"/>
  <c r="E476" i="17"/>
  <c r="E475" i="17"/>
  <c r="F474" i="17"/>
  <c r="E474" i="17"/>
  <c r="E473" i="17"/>
  <c r="E472" i="17"/>
  <c r="F471" i="17"/>
  <c r="E471" i="17"/>
  <c r="E470" i="17"/>
  <c r="E469" i="17"/>
  <c r="E468" i="17"/>
  <c r="E467" i="17"/>
  <c r="E466" i="17"/>
  <c r="E465" i="17"/>
  <c r="E464" i="17"/>
  <c r="E463" i="17"/>
  <c r="E462" i="17"/>
  <c r="E461" i="17"/>
  <c r="E460" i="17"/>
  <c r="E459" i="17"/>
  <c r="E458" i="17"/>
  <c r="E457" i="17"/>
  <c r="E456" i="17"/>
  <c r="E455" i="17"/>
  <c r="E454" i="17"/>
  <c r="E453" i="17"/>
  <c r="E452" i="17"/>
  <c r="E451" i="17"/>
  <c r="F450" i="17"/>
  <c r="E450" i="17"/>
  <c r="E449" i="17"/>
  <c r="E448" i="17"/>
  <c r="E447" i="17"/>
  <c r="E446" i="17"/>
  <c r="E445" i="17"/>
  <c r="E444" i="17"/>
  <c r="E443" i="17"/>
  <c r="E442" i="17"/>
  <c r="E441" i="17"/>
  <c r="E440" i="17"/>
  <c r="E439" i="17"/>
  <c r="E438" i="17"/>
  <c r="E437" i="17"/>
  <c r="E436" i="17"/>
  <c r="E435" i="17"/>
  <c r="E434" i="17"/>
  <c r="E433" i="17"/>
  <c r="E432" i="17"/>
  <c r="E431" i="17"/>
  <c r="E430" i="17"/>
  <c r="F429" i="17"/>
  <c r="E429" i="17"/>
  <c r="E428" i="17"/>
  <c r="E427" i="17"/>
  <c r="E426" i="17"/>
  <c r="E425" i="17"/>
  <c r="E424" i="17"/>
  <c r="E423" i="17"/>
  <c r="E422" i="17"/>
  <c r="E421" i="17"/>
  <c r="E420" i="17"/>
  <c r="E419" i="17"/>
  <c r="E418" i="17"/>
  <c r="E417" i="17"/>
  <c r="E416" i="17"/>
  <c r="F415" i="17"/>
  <c r="E415" i="17"/>
  <c r="E414" i="17"/>
  <c r="E413" i="17"/>
  <c r="E412" i="17"/>
  <c r="E411" i="17"/>
  <c r="E410" i="17"/>
  <c r="E409" i="17"/>
  <c r="E408" i="17"/>
  <c r="E407" i="17"/>
  <c r="E406" i="17"/>
  <c r="E405" i="17"/>
  <c r="E404" i="17"/>
  <c r="E403" i="17"/>
  <c r="E402" i="17"/>
  <c r="E401" i="17"/>
  <c r="E400" i="17"/>
  <c r="E399" i="17"/>
  <c r="E398" i="17"/>
  <c r="E397" i="17"/>
  <c r="E396" i="17"/>
  <c r="E395" i="17"/>
  <c r="F394" i="17"/>
  <c r="E394" i="17"/>
  <c r="E393" i="17"/>
  <c r="E392" i="17"/>
  <c r="E391" i="17"/>
  <c r="E390" i="17"/>
  <c r="E389" i="17"/>
  <c r="E388" i="17"/>
  <c r="E387" i="17"/>
  <c r="E386" i="17"/>
  <c r="E385" i="17"/>
  <c r="E384" i="17"/>
  <c r="E383" i="17"/>
  <c r="E382" i="17"/>
  <c r="E381" i="17"/>
  <c r="E380" i="17"/>
  <c r="E379" i="17"/>
  <c r="E378" i="17"/>
  <c r="E377" i="17"/>
  <c r="F376" i="17"/>
  <c r="E376" i="17"/>
  <c r="E375" i="17"/>
  <c r="E374" i="17"/>
  <c r="E373" i="17"/>
  <c r="E372" i="17"/>
  <c r="E371" i="17"/>
  <c r="E370" i="17"/>
  <c r="E369" i="17"/>
  <c r="E368" i="17"/>
  <c r="E367" i="17"/>
  <c r="E366" i="17"/>
  <c r="E365" i="17"/>
  <c r="E364" i="17"/>
  <c r="E363" i="17"/>
  <c r="E362" i="17"/>
  <c r="E361" i="17"/>
  <c r="E360" i="17"/>
  <c r="E359" i="17"/>
  <c r="E358" i="17"/>
  <c r="F357" i="17"/>
  <c r="E357" i="17"/>
  <c r="E356" i="17"/>
  <c r="E355" i="17"/>
  <c r="E354" i="17"/>
  <c r="E353" i="17"/>
  <c r="E352" i="17"/>
  <c r="E351" i="17"/>
  <c r="E350" i="17"/>
  <c r="E349" i="17"/>
  <c r="E348" i="17"/>
  <c r="E347" i="17"/>
  <c r="E346" i="17"/>
  <c r="E345" i="17"/>
  <c r="E344" i="17"/>
  <c r="E343" i="17"/>
  <c r="E342" i="17"/>
  <c r="E341" i="17"/>
  <c r="E340" i="17"/>
  <c r="E339" i="17"/>
  <c r="E338" i="17"/>
  <c r="F337" i="17"/>
  <c r="E337" i="17"/>
  <c r="E336" i="17"/>
  <c r="E335" i="17"/>
  <c r="E334" i="17"/>
  <c r="E333" i="17"/>
  <c r="E332" i="17"/>
  <c r="E331" i="17"/>
  <c r="E330" i="17"/>
  <c r="E329" i="17"/>
  <c r="E328" i="17"/>
  <c r="E327" i="17"/>
  <c r="E326" i="17"/>
  <c r="E325" i="17"/>
  <c r="E324" i="17"/>
  <c r="E323" i="17"/>
  <c r="E322" i="17"/>
  <c r="E321" i="17"/>
  <c r="E320" i="17"/>
  <c r="E319" i="17"/>
  <c r="E318" i="17"/>
  <c r="E317" i="17"/>
  <c r="E316" i="17"/>
  <c r="F315" i="17"/>
  <c r="E315" i="17"/>
  <c r="E314" i="17"/>
  <c r="E313" i="17"/>
  <c r="E312" i="17"/>
  <c r="E311" i="17"/>
  <c r="E310" i="17"/>
  <c r="E309" i="17"/>
  <c r="E308" i="17"/>
  <c r="E307" i="17"/>
  <c r="E306" i="17"/>
  <c r="E305" i="17"/>
  <c r="E304" i="17"/>
  <c r="E303" i="17"/>
  <c r="F302" i="17"/>
  <c r="E302" i="17"/>
  <c r="F301" i="17"/>
  <c r="E301" i="17"/>
  <c r="E300" i="17"/>
  <c r="E299" i="17"/>
  <c r="E298" i="17"/>
  <c r="E297" i="17"/>
  <c r="F296" i="17"/>
  <c r="E296" i="17"/>
  <c r="E295" i="17"/>
  <c r="E294" i="17"/>
  <c r="E293" i="17"/>
  <c r="E292" i="17"/>
  <c r="E291" i="17"/>
  <c r="E290" i="17"/>
  <c r="E289" i="17"/>
  <c r="E288" i="17"/>
  <c r="E287" i="17"/>
  <c r="E286" i="17"/>
  <c r="E285" i="17"/>
  <c r="E284" i="17"/>
  <c r="E283" i="17"/>
  <c r="F282" i="17"/>
  <c r="E282" i="17"/>
  <c r="F281" i="17"/>
  <c r="E281" i="17"/>
  <c r="E280" i="17"/>
  <c r="E279" i="17"/>
  <c r="E278" i="17"/>
  <c r="E277" i="17"/>
  <c r="E276" i="17"/>
  <c r="E275" i="17"/>
  <c r="E274" i="17"/>
  <c r="E273" i="17"/>
  <c r="E272" i="17"/>
  <c r="E271" i="17"/>
  <c r="F270" i="17"/>
  <c r="E270" i="17"/>
  <c r="E269" i="17"/>
  <c r="E268" i="17"/>
  <c r="E267" i="17"/>
  <c r="E266" i="17"/>
  <c r="E265" i="17"/>
  <c r="E264" i="17"/>
  <c r="E263" i="17"/>
  <c r="E262" i="17"/>
  <c r="E261" i="17"/>
  <c r="E260" i="17"/>
  <c r="E259" i="17"/>
  <c r="E258" i="17"/>
  <c r="E257" i="17"/>
  <c r="E256" i="17"/>
  <c r="E255" i="17"/>
  <c r="E254" i="17"/>
  <c r="E253" i="17"/>
  <c r="E252" i="17"/>
  <c r="E251" i="17"/>
  <c r="F250" i="17"/>
  <c r="E250" i="17"/>
  <c r="F249" i="17"/>
  <c r="E249" i="17"/>
  <c r="E248" i="17"/>
  <c r="E247" i="17"/>
  <c r="E246" i="17"/>
  <c r="E245" i="17"/>
  <c r="E244" i="17"/>
  <c r="E243" i="17"/>
  <c r="E242" i="17"/>
  <c r="E241" i="17"/>
  <c r="E240" i="17"/>
  <c r="E239" i="17"/>
  <c r="E238" i="17"/>
  <c r="E237" i="17"/>
  <c r="E236" i="17"/>
  <c r="E235" i="17"/>
  <c r="E234" i="17"/>
  <c r="E233" i="17"/>
  <c r="E232" i="17"/>
  <c r="E231" i="17"/>
  <c r="E230" i="17"/>
  <c r="E229" i="17"/>
  <c r="F228" i="17"/>
  <c r="E228" i="17"/>
  <c r="E227" i="17"/>
  <c r="E226" i="17"/>
  <c r="E225" i="17"/>
  <c r="E224" i="17"/>
  <c r="E223" i="17"/>
  <c r="F222" i="17"/>
  <c r="E222" i="17"/>
  <c r="E221" i="17"/>
  <c r="E220" i="17"/>
  <c r="E219" i="17"/>
  <c r="E218" i="17"/>
  <c r="E217" i="17"/>
  <c r="E216" i="17"/>
  <c r="E215" i="17"/>
  <c r="E214" i="17"/>
  <c r="E213" i="17"/>
  <c r="E212" i="17"/>
  <c r="E211" i="17"/>
  <c r="E210" i="17"/>
  <c r="E209" i="17"/>
  <c r="E208" i="17"/>
  <c r="E207" i="17"/>
  <c r="E206" i="17"/>
  <c r="E205" i="17"/>
  <c r="E204" i="17"/>
  <c r="E203" i="17"/>
  <c r="E202" i="17"/>
  <c r="E201" i="17"/>
  <c r="F200" i="17"/>
  <c r="E200" i="17"/>
  <c r="E199" i="17"/>
  <c r="F198" i="17"/>
  <c r="E198" i="17"/>
  <c r="E197" i="17"/>
  <c r="E196" i="17"/>
  <c r="E195" i="17"/>
  <c r="E194" i="17"/>
  <c r="E193" i="17"/>
  <c r="E192" i="17"/>
  <c r="E191" i="17"/>
  <c r="E190" i="17"/>
  <c r="E189" i="17"/>
  <c r="E188" i="17"/>
  <c r="E187" i="17"/>
  <c r="E186" i="17"/>
  <c r="E185" i="17"/>
  <c r="E184" i="17"/>
  <c r="E183" i="17"/>
  <c r="E182" i="17"/>
  <c r="E181" i="17"/>
  <c r="E180" i="17"/>
  <c r="E179" i="17"/>
  <c r="E178" i="17"/>
  <c r="E177" i="17"/>
  <c r="F176" i="17"/>
  <c r="E176" i="17"/>
  <c r="E175" i="17"/>
  <c r="E174" i="17"/>
  <c r="E173" i="17"/>
  <c r="E172" i="17"/>
  <c r="E171" i="17"/>
  <c r="E170" i="17"/>
  <c r="E169" i="17"/>
  <c r="E168" i="17"/>
  <c r="E167" i="17"/>
  <c r="E166" i="17"/>
  <c r="E165" i="17"/>
  <c r="E164" i="17"/>
  <c r="E163" i="17"/>
  <c r="E162" i="17"/>
  <c r="E161" i="17"/>
  <c r="E160" i="17"/>
  <c r="E159" i="17"/>
  <c r="F158" i="17"/>
  <c r="E158" i="17"/>
  <c r="E157" i="17"/>
  <c r="E156" i="17"/>
  <c r="E155" i="17"/>
  <c r="E154" i="17"/>
  <c r="E153" i="17"/>
  <c r="E152" i="17"/>
  <c r="E151" i="17"/>
  <c r="E150" i="17"/>
  <c r="E149" i="17"/>
  <c r="E148" i="17"/>
  <c r="E147" i="17"/>
  <c r="E146" i="17"/>
  <c r="E145" i="17"/>
  <c r="E144" i="17"/>
  <c r="E143" i="17"/>
  <c r="E142" i="17"/>
  <c r="E141" i="17"/>
  <c r="E140" i="17"/>
  <c r="F139" i="17"/>
  <c r="E139" i="17"/>
  <c r="E138" i="17"/>
  <c r="E137" i="17"/>
  <c r="E136" i="17"/>
  <c r="E135" i="17"/>
  <c r="E134" i="17"/>
  <c r="E133" i="17"/>
  <c r="E132" i="17"/>
  <c r="F131" i="17"/>
  <c r="E131" i="17"/>
  <c r="E130" i="17"/>
  <c r="E129" i="17"/>
  <c r="E128" i="17"/>
  <c r="E127" i="17"/>
  <c r="E126" i="17"/>
  <c r="E125" i="17"/>
  <c r="E124" i="17"/>
  <c r="E123" i="17"/>
  <c r="E122" i="17"/>
  <c r="E121" i="17"/>
  <c r="E120" i="17"/>
  <c r="E119" i="17"/>
  <c r="E118" i="17"/>
  <c r="E117" i="17"/>
  <c r="E116" i="17"/>
  <c r="E115" i="17"/>
  <c r="E114" i="17"/>
  <c r="E113" i="17"/>
  <c r="E112" i="17"/>
  <c r="E111" i="17"/>
  <c r="F110" i="17"/>
  <c r="E110" i="17"/>
  <c r="E109" i="17"/>
  <c r="E108" i="17"/>
  <c r="F107" i="17"/>
  <c r="E107" i="17"/>
  <c r="E106" i="17"/>
  <c r="E105" i="17"/>
  <c r="E104" i="17"/>
  <c r="E103" i="17"/>
  <c r="E102" i="17"/>
  <c r="E101" i="17"/>
  <c r="E100" i="17"/>
  <c r="E99" i="17"/>
  <c r="E98" i="17"/>
  <c r="E97" i="17"/>
  <c r="E96" i="17"/>
  <c r="E95" i="17"/>
  <c r="E94" i="17"/>
  <c r="E93" i="17"/>
  <c r="E92" i="17"/>
  <c r="E91" i="17"/>
  <c r="E90" i="17"/>
  <c r="E89" i="17"/>
  <c r="E88" i="17"/>
  <c r="E87" i="17"/>
  <c r="F86" i="17"/>
  <c r="E86" i="17"/>
  <c r="F85" i="17"/>
  <c r="E85" i="17"/>
  <c r="E84" i="17"/>
  <c r="E83" i="17"/>
  <c r="E82" i="17"/>
  <c r="E81" i="17"/>
  <c r="E80" i="17"/>
  <c r="E79" i="17"/>
  <c r="E78" i="17"/>
  <c r="E77" i="17"/>
  <c r="E76" i="17"/>
  <c r="E75" i="17"/>
  <c r="E74" i="17"/>
  <c r="E73" i="17"/>
  <c r="E72" i="17"/>
  <c r="E71" i="17"/>
  <c r="E70" i="17"/>
  <c r="E69" i="17"/>
  <c r="E68" i="17"/>
  <c r="E67" i="17"/>
  <c r="E66" i="17"/>
  <c r="E65" i="17"/>
  <c r="E64" i="17"/>
  <c r="F63" i="17"/>
  <c r="E63" i="17"/>
  <c r="E62" i="17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48" i="17"/>
  <c r="E47" i="17"/>
  <c r="E46" i="17"/>
  <c r="E45" i="17"/>
  <c r="E44" i="17"/>
  <c r="E43" i="17"/>
  <c r="E42" i="17"/>
  <c r="F41" i="17"/>
  <c r="F632" i="17" s="1"/>
  <c r="I2" i="17" s="1"/>
  <c r="I4" i="17" s="1"/>
  <c r="E41" i="17"/>
  <c r="E40" i="17"/>
  <c r="F39" i="17"/>
  <c r="E39" i="17"/>
  <c r="E38" i="17"/>
  <c r="P37" i="17"/>
  <c r="E37" i="17"/>
  <c r="O36" i="17"/>
  <c r="E36" i="17"/>
  <c r="O35" i="17"/>
  <c r="E35" i="17"/>
  <c r="O34" i="17"/>
  <c r="E34" i="17"/>
  <c r="O33" i="17"/>
  <c r="E33" i="17"/>
  <c r="O32" i="17"/>
  <c r="E32" i="17"/>
  <c r="O31" i="17"/>
  <c r="E31" i="17"/>
  <c r="O30" i="17"/>
  <c r="E30" i="17"/>
  <c r="O29" i="17"/>
  <c r="E29" i="17"/>
  <c r="O28" i="17"/>
  <c r="E28" i="17"/>
  <c r="O27" i="17"/>
  <c r="E27" i="17"/>
  <c r="O26" i="17"/>
  <c r="E26" i="17"/>
  <c r="O25" i="17"/>
  <c r="E25" i="17"/>
  <c r="O24" i="17"/>
  <c r="E24" i="17"/>
  <c r="P23" i="17"/>
  <c r="O23" i="17"/>
  <c r="E23" i="17"/>
  <c r="O22" i="17"/>
  <c r="E22" i="17"/>
  <c r="O21" i="17"/>
  <c r="E21" i="17"/>
  <c r="O20" i="17"/>
  <c r="E20" i="17"/>
  <c r="O19" i="17"/>
  <c r="E19" i="17"/>
  <c r="O18" i="17"/>
  <c r="F18" i="17"/>
  <c r="E18" i="17"/>
  <c r="O17" i="17"/>
  <c r="E17" i="17"/>
  <c r="O16" i="17"/>
  <c r="E16" i="17"/>
  <c r="O15" i="17"/>
  <c r="E15" i="17"/>
  <c r="O14" i="17"/>
  <c r="E14" i="17"/>
  <c r="O13" i="17"/>
  <c r="E13" i="17"/>
  <c r="P12" i="17"/>
  <c r="O12" i="17"/>
  <c r="E12" i="17"/>
  <c r="O11" i="17"/>
  <c r="E11" i="17"/>
  <c r="O10" i="17"/>
  <c r="E10" i="17"/>
  <c r="O9" i="17"/>
  <c r="E9" i="17"/>
  <c r="O8" i="17"/>
  <c r="E8" i="17"/>
  <c r="O7" i="17"/>
  <c r="E7" i="17"/>
  <c r="O6" i="17"/>
  <c r="E6" i="17"/>
  <c r="O5" i="17"/>
  <c r="E5" i="17"/>
  <c r="O4" i="17"/>
  <c r="E4" i="17"/>
  <c r="O3" i="17"/>
  <c r="I3" i="17"/>
  <c r="E3" i="17"/>
  <c r="P2" i="17"/>
  <c r="O2" i="17"/>
  <c r="F2" i="17"/>
  <c r="E2" i="17"/>
</calcChain>
</file>

<file path=xl/sharedStrings.xml><?xml version="1.0" encoding="utf-8"?>
<sst xmlns="http://schemas.openxmlformats.org/spreadsheetml/2006/main" count="681" uniqueCount="159">
  <si>
    <t>DATE</t>
  </si>
  <si>
    <t>ITEM</t>
  </si>
  <si>
    <t>QYT</t>
  </si>
  <si>
    <t>PRICE</t>
  </si>
  <si>
    <t>TOTAL PRICE</t>
  </si>
  <si>
    <t>TOTAL</t>
  </si>
  <si>
    <t>SEDANA TOTAL OUTSTANDING</t>
  </si>
  <si>
    <t>CORIANDER</t>
  </si>
  <si>
    <t>KITCHEN</t>
  </si>
  <si>
    <t>WATERMELON</t>
  </si>
  <si>
    <t>SHALLOT</t>
  </si>
  <si>
    <t>BAR</t>
  </si>
  <si>
    <t>KINTAMANI ORANGE</t>
  </si>
  <si>
    <t>GARLIC</t>
  </si>
  <si>
    <t>MALANG APPLE</t>
  </si>
  <si>
    <t>DRAGON FRUIT</t>
  </si>
  <si>
    <t>CHINESE CABBAGE</t>
  </si>
  <si>
    <t>ZUCCHINI</t>
  </si>
  <si>
    <t>LIME</t>
  </si>
  <si>
    <t>POTATO</t>
  </si>
  <si>
    <t>SMALL CHILIES</t>
  </si>
  <si>
    <t>BAKING PAPER</t>
  </si>
  <si>
    <t>OAT MEAL</t>
  </si>
  <si>
    <t>SEMOLINA</t>
  </si>
  <si>
    <t>SUGAR</t>
  </si>
  <si>
    <t>MANGO</t>
  </si>
  <si>
    <t>CUCUMBER</t>
  </si>
  <si>
    <t>AVOCADO</t>
  </si>
  <si>
    <t>STRAWBERRY</t>
  </si>
  <si>
    <t>LOCAL LEMON</t>
  </si>
  <si>
    <t>PINEAPPLE</t>
  </si>
  <si>
    <t>IMPORTED LEMON</t>
  </si>
  <si>
    <t>ICEBERG LETTUCE</t>
  </si>
  <si>
    <t>CHERRY RED TOMATO</t>
  </si>
  <si>
    <t>GREEN APPLE</t>
  </si>
  <si>
    <t>CHERRY YELLOW TOMATO</t>
  </si>
  <si>
    <t>GREEN LIIME</t>
  </si>
  <si>
    <t>BASMATI RICE</t>
  </si>
  <si>
    <t>GREEN MUSTARD</t>
  </si>
  <si>
    <t>FRESH MILK</t>
  </si>
  <si>
    <t>SWEET POTATO</t>
  </si>
  <si>
    <t>OAT MILK</t>
  </si>
  <si>
    <t>ONION</t>
  </si>
  <si>
    <t>TRASH BAG</t>
  </si>
  <si>
    <t>BANANA</t>
  </si>
  <si>
    <t>GINGER</t>
  </si>
  <si>
    <t>EGGS</t>
  </si>
  <si>
    <t>OREGANO</t>
  </si>
  <si>
    <t>LUMAJANG ORANGE</t>
  </si>
  <si>
    <t>HONEY BLOSSOM</t>
  </si>
  <si>
    <t>LEEK</t>
  </si>
  <si>
    <t>PARSLEY</t>
  </si>
  <si>
    <t>CARROT</t>
  </si>
  <si>
    <t>EGGPLANT</t>
  </si>
  <si>
    <t>MINT</t>
  </si>
  <si>
    <t>TOMATO</t>
  </si>
  <si>
    <t>BASIL</t>
  </si>
  <si>
    <t>GREEN FIELD FRESH MIILK</t>
  </si>
  <si>
    <t>ALMOND MIILK</t>
  </si>
  <si>
    <t>EDAMAME</t>
  </si>
  <si>
    <t>KEWPIE MAYONNAISE</t>
  </si>
  <si>
    <t>BIG RED CHILI</t>
  </si>
  <si>
    <t>SHIMEJI</t>
  </si>
  <si>
    <t>GREEN BANANA</t>
  </si>
  <si>
    <t>SUNKIST</t>
  </si>
  <si>
    <t>MUSHROOM BUTTON</t>
  </si>
  <si>
    <t>BABY ROMAINE</t>
  </si>
  <si>
    <t>GREEN CURLY LETTUCE</t>
  </si>
  <si>
    <t>QUAIL EGGS</t>
  </si>
  <si>
    <t>GREEN LETTUCE</t>
  </si>
  <si>
    <t>SNAPS</t>
  </si>
  <si>
    <t>CELERY</t>
  </si>
  <si>
    <t>CAKRA FLOUR</t>
  </si>
  <si>
    <t>MAIZENA</t>
  </si>
  <si>
    <t>TOTOLE</t>
  </si>
  <si>
    <t>SPAGHETTI LAFONTE</t>
  </si>
  <si>
    <t>BBQ SAUCE DELMONTE</t>
  </si>
  <si>
    <t>GREEN PEPPER</t>
  </si>
  <si>
    <t>CASHEW NUTS</t>
  </si>
  <si>
    <t>COCOA POWDER</t>
  </si>
  <si>
    <t>ROMAINE</t>
  </si>
  <si>
    <t>ICE BERG</t>
  </si>
  <si>
    <t>BEAN</t>
  </si>
  <si>
    <t>ENGLISH SPINACH</t>
  </si>
  <si>
    <t>RED CHILI PEPPERS</t>
  </si>
  <si>
    <t>ASPARAGUS</t>
  </si>
  <si>
    <t>BUTTER</t>
  </si>
  <si>
    <t>ROMA KELAPA BISCUIT</t>
  </si>
  <si>
    <t>NUTELLA</t>
  </si>
  <si>
    <t>RED PEPPER</t>
  </si>
  <si>
    <t>YELLOW PEPPER</t>
  </si>
  <si>
    <t>WHITE PEAR</t>
  </si>
  <si>
    <t>OIL 5 LITER</t>
  </si>
  <si>
    <t>DOLPHIN SALT</t>
  </si>
  <si>
    <t>BLACK SESAME</t>
  </si>
  <si>
    <t>WHITE SESAME</t>
  </si>
  <si>
    <t>CHICK PEAS</t>
  </si>
  <si>
    <t>MADU BLOSSOM</t>
  </si>
  <si>
    <t>FETTUCCINE LA FONTE</t>
  </si>
  <si>
    <t>OLIVE OIL</t>
  </si>
  <si>
    <t>JALAPENO</t>
  </si>
  <si>
    <t>DILL</t>
  </si>
  <si>
    <t>PENNE LA FONTE</t>
  </si>
  <si>
    <t>PUMPKIN SEEDS</t>
  </si>
  <si>
    <t>GREEN LOLOROSO</t>
  </si>
  <si>
    <t>CASSAVA</t>
  </si>
  <si>
    <t>SESAME SAUCE</t>
  </si>
  <si>
    <t>ROUND LETTUCE</t>
  </si>
  <si>
    <t>OIL</t>
  </si>
  <si>
    <t>MILAC WHIPPING CREAM</t>
  </si>
  <si>
    <t>SPRNG ONION</t>
  </si>
  <si>
    <t>ROCKET</t>
  </si>
  <si>
    <t>DISHWASHING WIRE</t>
  </si>
  <si>
    <t>SMALL CHILI</t>
  </si>
  <si>
    <t>EGG</t>
  </si>
  <si>
    <t>ABC CHILI SAUCE</t>
  </si>
  <si>
    <t>BROWN SUGAR</t>
  </si>
  <si>
    <t>BLACK PEPPER WHOLE</t>
  </si>
  <si>
    <t>SALAD OIL</t>
  </si>
  <si>
    <t>MAESTRO MAYONNAISE</t>
  </si>
  <si>
    <t>THYME</t>
  </si>
  <si>
    <t>ROSEMARY</t>
  </si>
  <si>
    <t>BACON</t>
  </si>
  <si>
    <t>DOUBLE ZERO</t>
  </si>
  <si>
    <t>GREEN PEAS</t>
  </si>
  <si>
    <t>CREAM CHEESE</t>
  </si>
  <si>
    <t>GREENFIELD FRESH MILK</t>
  </si>
  <si>
    <t>FETA CHEESE</t>
  </si>
  <si>
    <t>TOMATO CAN</t>
  </si>
  <si>
    <t>PORTABLE GAS</t>
  </si>
  <si>
    <t>PARMESAN GRATED</t>
  </si>
  <si>
    <t>ULTRA MILK FULL CREAM</t>
  </si>
  <si>
    <t>DIILL</t>
  </si>
  <si>
    <t>AMANDA BUTTER</t>
  </si>
  <si>
    <t>PIINEAPPLE</t>
  </si>
  <si>
    <t>EMAMAME</t>
  </si>
  <si>
    <t>TOMATO KETCHUP</t>
  </si>
  <si>
    <t>OLIVE OIIL</t>
  </si>
  <si>
    <t>L&amp;P SAUCE</t>
  </si>
  <si>
    <t>MOZARELLA CHEESE</t>
  </si>
  <si>
    <t>MIX BERRY FROZEN</t>
  </si>
  <si>
    <t>RED LOLOROSSO</t>
  </si>
  <si>
    <t>RED CHILII PEPPERS</t>
  </si>
  <si>
    <t>FISH OIIL</t>
  </si>
  <si>
    <t>PEELED TOMATO CAN</t>
  </si>
  <si>
    <t>KARA SMALL</t>
  </si>
  <si>
    <t>PUMPKIN</t>
  </si>
  <si>
    <t>ARAGULA (WILD ROCKET)</t>
  </si>
  <si>
    <t>DIXI VINEGAR</t>
  </si>
  <si>
    <t>SPRING ONION</t>
  </si>
  <si>
    <t>RED RICE</t>
  </si>
  <si>
    <t>KEPOK BANANA</t>
  </si>
  <si>
    <t>SEGITIGA FLOUR</t>
  </si>
  <si>
    <t>CAYENNE PEPPER</t>
  </si>
  <si>
    <t>MINT LEAF</t>
  </si>
  <si>
    <t>BLOSSOM HONEY</t>
  </si>
  <si>
    <t>MAIZENA FLOUR</t>
  </si>
  <si>
    <t>MIX BERRY</t>
  </si>
  <si>
    <t>LOCAL PUMPKIN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</si>
</sst>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8" formatCode="[$-409]d\-mmm\-yyyy;@"/>
    <numFmt numFmtId="169" formatCode="_-&quot;Rp&quot;* #,##0_-;\-&quot;Rp&quot;* #,##0_-;_-&quot;Rp&quot;* &quot;-&quot;??_-;_-@_-"/>
  </numFmts>
  <fonts count="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color theme="1"/>
      <name val="Times New Roman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168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68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169" fontId="1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>
      <alignment vertical="center"/>
    </xf>
    <xf numFmtId="0" fontId="1" fillId="2" borderId="1" xfId="0" applyFont="1" applyFill="1" applyBorder="1">
      <alignment vertical="center"/>
    </xf>
    <xf numFmtId="169" fontId="1" fillId="0" borderId="0" xfId="0" applyNumberFormat="1" applyFo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69" fontId="1" fillId="3" borderId="4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169" fontId="1" fillId="3" borderId="1" xfId="0" applyNumberFormat="1" applyFont="1" applyFill="1" applyBorder="1">
      <alignment vertical="center"/>
    </xf>
    <xf numFmtId="168" fontId="1" fillId="0" borderId="1" xfId="0" applyNumberFormat="1" applyFont="1" applyBorder="1" applyAlignment="1">
      <alignment horizontal="center" vertical="center"/>
    </xf>
    <xf numFmtId="169" fontId="1" fillId="0" borderId="1" xfId="0" applyNumberFormat="1" applyFont="1" applyBorder="1">
      <alignment vertical="center"/>
    </xf>
    <xf numFmtId="0" fontId="1" fillId="3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8" fontId="1" fillId="0" borderId="2" xfId="0" applyNumberFormat="1" applyFont="1" applyBorder="1" applyAlignment="1">
      <alignment horizontal="center" vertical="center"/>
    </xf>
    <xf numFmtId="168" fontId="1" fillId="0" borderId="3" xfId="0" applyNumberFormat="1" applyFont="1" applyBorder="1" applyAlignment="1">
      <alignment horizontal="center" vertical="center"/>
    </xf>
    <xf numFmtId="168" fontId="1" fillId="0" borderId="4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center" vertical="center"/>
    </xf>
    <xf numFmtId="169" fontId="1" fillId="0" borderId="3" xfId="0" applyNumberFormat="1" applyFont="1" applyBorder="1" applyAlignment="1">
      <alignment horizontal="center" vertical="center"/>
    </xf>
    <xf numFmtId="169" fontId="1" fillId="0" borderId="4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center" vertical="center" wrapText="1"/>
    </xf>
    <xf numFmtId="169" fontId="1" fillId="0" borderId="3" xfId="0" applyNumberFormat="1" applyFont="1" applyBorder="1" applyAlignment="1">
      <alignment horizontal="center" vertical="center" wrapText="1"/>
    </xf>
    <xf numFmtId="169" fontId="1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8E5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32"/>
  <sheetViews>
    <sheetView tabSelected="1" zoomScale="85" zoomScaleNormal="85" workbookViewId="0">
      <pane ySplit="1" topLeftCell="A2" activePane="bottomLeft" state="frozen"/>
      <selection pane="bottomLeft" activeCell="I4" sqref="I4"/>
    </sheetView>
  </sheetViews>
  <sheetFormatPr defaultColWidth="9.1796875" defaultRowHeight="15.5"/>
  <cols>
    <col min="1" max="1" width="28.36328125" style="3" customWidth="1"/>
    <col min="2" max="2" width="32.1796875" style="4" customWidth="1"/>
    <col min="3" max="3" width="9.1796875" style="2"/>
    <col min="4" max="4" width="13.36328125" style="2" customWidth="1"/>
    <col min="5" max="5" width="28" style="2" customWidth="1"/>
    <col min="6" max="6" width="28.1796875" style="2" customWidth="1"/>
    <col min="7" max="7" width="14.26953125" style="2"/>
    <col min="8" max="8" width="14.81640625" style="2"/>
    <col min="9" max="9" width="16.1796875" style="2"/>
    <col min="10" max="11" width="13.81640625" style="2" customWidth="1"/>
    <col min="12" max="12" width="27.81640625" style="2" customWidth="1"/>
    <col min="13" max="13" width="6.453125" style="2" customWidth="1"/>
    <col min="14" max="14" width="12.81640625" style="2" customWidth="1"/>
    <col min="15" max="15" width="16.81640625" style="2" customWidth="1"/>
    <col min="16" max="16" width="14.81640625" style="2" customWidth="1"/>
    <col min="17" max="16384" width="9.1796875" style="2"/>
  </cols>
  <sheetData>
    <row r="1" spans="1:16" s="1" customFormat="1" ht="18.5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H1" s="23" t="s">
        <v>6</v>
      </c>
      <c r="I1" s="23"/>
      <c r="J1" s="18"/>
      <c r="K1" s="5" t="s">
        <v>0</v>
      </c>
      <c r="L1" s="6" t="s">
        <v>1</v>
      </c>
      <c r="M1" s="7" t="s">
        <v>2</v>
      </c>
      <c r="N1" s="7" t="s">
        <v>3</v>
      </c>
      <c r="O1" s="7" t="s">
        <v>4</v>
      </c>
      <c r="P1" s="7" t="s">
        <v>5</v>
      </c>
    </row>
    <row r="2" spans="1:16">
      <c r="A2" s="24">
        <v>45962</v>
      </c>
      <c r="B2" s="8" t="s">
        <v>7</v>
      </c>
      <c r="C2" s="9">
        <v>0.05</v>
      </c>
      <c r="D2" s="10">
        <v>110000</v>
      </c>
      <c r="E2" s="10">
        <f t="shared" ref="E2:E8" si="0">SUM(C2*D2)</f>
        <v>5500</v>
      </c>
      <c r="F2" s="27">
        <f>SUM(E2:E17)</f>
        <v>1341300</v>
      </c>
      <c r="H2" s="11" t="s">
        <v>8</v>
      </c>
      <c r="I2" s="19">
        <f>F632</f>
        <v>42754490</v>
      </c>
      <c r="J2" s="3"/>
      <c r="K2" s="24">
        <v>45974</v>
      </c>
      <c r="L2" s="14" t="s">
        <v>9</v>
      </c>
      <c r="M2" s="9">
        <v>7.5</v>
      </c>
      <c r="N2" s="10">
        <v>15000</v>
      </c>
      <c r="O2" s="10">
        <f t="shared" ref="O2:O36" si="1">SUM(M2*N2)</f>
        <v>112500</v>
      </c>
      <c r="P2" s="27">
        <f>SUM(O2:O11)</f>
        <v>644800</v>
      </c>
    </row>
    <row r="3" spans="1:16">
      <c r="A3" s="25"/>
      <c r="B3" s="8" t="s">
        <v>10</v>
      </c>
      <c r="C3" s="9">
        <v>0.3</v>
      </c>
      <c r="D3" s="10">
        <v>61000</v>
      </c>
      <c r="E3" s="10">
        <f t="shared" si="0"/>
        <v>18300</v>
      </c>
      <c r="F3" s="28"/>
      <c r="H3" s="11" t="s">
        <v>11</v>
      </c>
      <c r="I3" s="19">
        <f>P37</f>
        <v>2549400</v>
      </c>
      <c r="J3" s="3"/>
      <c r="K3" s="25"/>
      <c r="L3" s="14" t="s">
        <v>12</v>
      </c>
      <c r="M3" s="9">
        <v>3</v>
      </c>
      <c r="N3" s="10">
        <v>25000</v>
      </c>
      <c r="O3" s="10">
        <f t="shared" si="1"/>
        <v>75000</v>
      </c>
      <c r="P3" s="28"/>
    </row>
    <row r="4" spans="1:16">
      <c r="A4" s="25"/>
      <c r="B4" s="8" t="s">
        <v>13</v>
      </c>
      <c r="C4" s="9">
        <v>0.3</v>
      </c>
      <c r="D4" s="10">
        <v>55000</v>
      </c>
      <c r="E4" s="10">
        <f t="shared" si="0"/>
        <v>16500</v>
      </c>
      <c r="F4" s="28"/>
      <c r="H4" s="12" t="s">
        <v>5</v>
      </c>
      <c r="I4" s="19">
        <f>SUM(I2:I3)</f>
        <v>45303890</v>
      </c>
      <c r="J4" s="3"/>
      <c r="K4" s="25"/>
      <c r="L4" s="14" t="s">
        <v>14</v>
      </c>
      <c r="M4" s="9">
        <v>1</v>
      </c>
      <c r="N4" s="10">
        <v>61000</v>
      </c>
      <c r="O4" s="10">
        <f t="shared" si="1"/>
        <v>61000</v>
      </c>
      <c r="P4" s="28"/>
    </row>
    <row r="5" spans="1:16">
      <c r="A5" s="25"/>
      <c r="B5" s="8" t="s">
        <v>15</v>
      </c>
      <c r="C5" s="9">
        <v>1</v>
      </c>
      <c r="D5" s="10">
        <v>28000</v>
      </c>
      <c r="E5" s="10">
        <f t="shared" si="0"/>
        <v>28000</v>
      </c>
      <c r="F5" s="28"/>
      <c r="H5" s="13"/>
      <c r="J5" s="3"/>
      <c r="K5" s="25"/>
      <c r="L5" s="14" t="s">
        <v>16</v>
      </c>
      <c r="M5" s="9">
        <v>0.5</v>
      </c>
      <c r="N5" s="10">
        <v>17000</v>
      </c>
      <c r="O5" s="10">
        <f t="shared" si="1"/>
        <v>8500</v>
      </c>
      <c r="P5" s="28"/>
    </row>
    <row r="6" spans="1:16">
      <c r="A6" s="25"/>
      <c r="B6" s="8" t="s">
        <v>17</v>
      </c>
      <c r="C6" s="9">
        <v>1</v>
      </c>
      <c r="D6" s="10">
        <v>50000</v>
      </c>
      <c r="E6" s="10">
        <f t="shared" si="0"/>
        <v>50000</v>
      </c>
      <c r="F6" s="28"/>
      <c r="J6" s="3"/>
      <c r="K6" s="25"/>
      <c r="L6" s="14" t="s">
        <v>18</v>
      </c>
      <c r="M6" s="9">
        <v>0.3</v>
      </c>
      <c r="N6" s="10">
        <v>28000</v>
      </c>
      <c r="O6" s="10">
        <f t="shared" si="1"/>
        <v>8400</v>
      </c>
      <c r="P6" s="28"/>
    </row>
    <row r="7" spans="1:16">
      <c r="A7" s="25"/>
      <c r="B7" s="8" t="s">
        <v>19</v>
      </c>
      <c r="C7" s="9">
        <v>5</v>
      </c>
      <c r="D7" s="10">
        <v>24000</v>
      </c>
      <c r="E7" s="10">
        <f t="shared" si="0"/>
        <v>120000</v>
      </c>
      <c r="F7" s="28"/>
      <c r="J7" s="3"/>
      <c r="K7" s="25"/>
      <c r="L7" s="14" t="s">
        <v>20</v>
      </c>
      <c r="M7" s="9">
        <v>0.1</v>
      </c>
      <c r="N7" s="10">
        <v>44000</v>
      </c>
      <c r="O7" s="10">
        <f t="shared" si="1"/>
        <v>4400</v>
      </c>
      <c r="P7" s="28"/>
    </row>
    <row r="8" spans="1:16">
      <c r="A8" s="25"/>
      <c r="B8" s="8" t="s">
        <v>21</v>
      </c>
      <c r="C8" s="9">
        <v>2</v>
      </c>
      <c r="D8" s="10">
        <v>350000</v>
      </c>
      <c r="E8" s="10">
        <f t="shared" si="0"/>
        <v>700000</v>
      </c>
      <c r="F8" s="28"/>
      <c r="J8" s="3"/>
      <c r="K8" s="25"/>
      <c r="L8" s="14" t="s">
        <v>22</v>
      </c>
      <c r="M8" s="9">
        <v>3</v>
      </c>
      <c r="N8" s="10">
        <v>55000</v>
      </c>
      <c r="O8" s="10">
        <f t="shared" si="1"/>
        <v>165000</v>
      </c>
      <c r="P8" s="28"/>
    </row>
    <row r="9" spans="1:16">
      <c r="A9" s="25"/>
      <c r="B9" s="8" t="s">
        <v>23</v>
      </c>
      <c r="C9" s="9">
        <v>2</v>
      </c>
      <c r="D9" s="10">
        <v>75000</v>
      </c>
      <c r="E9" s="10">
        <f>SUM(C9*D9)</f>
        <v>150000</v>
      </c>
      <c r="F9" s="28"/>
      <c r="J9" s="3"/>
      <c r="K9" s="25"/>
      <c r="L9" s="14" t="s">
        <v>24</v>
      </c>
      <c r="M9" s="9">
        <v>3</v>
      </c>
      <c r="N9" s="10">
        <v>25000</v>
      </c>
      <c r="O9" s="10">
        <f t="shared" si="1"/>
        <v>75000</v>
      </c>
      <c r="P9" s="28"/>
    </row>
    <row r="10" spans="1:16">
      <c r="A10" s="25"/>
      <c r="B10" s="8" t="s">
        <v>25</v>
      </c>
      <c r="C10" s="9">
        <v>1</v>
      </c>
      <c r="D10" s="10">
        <v>39000</v>
      </c>
      <c r="E10" s="10">
        <f t="shared" ref="E10:E17" si="2">SUM(C10*D10)</f>
        <v>39000</v>
      </c>
      <c r="F10" s="28"/>
      <c r="J10" s="3"/>
      <c r="K10" s="25"/>
      <c r="L10" s="14" t="s">
        <v>26</v>
      </c>
      <c r="M10" s="9">
        <v>1</v>
      </c>
      <c r="N10" s="10">
        <v>15000</v>
      </c>
      <c r="O10" s="10">
        <f t="shared" si="1"/>
        <v>15000</v>
      </c>
      <c r="P10" s="28"/>
    </row>
    <row r="11" spans="1:16">
      <c r="A11" s="25"/>
      <c r="B11" s="8" t="s">
        <v>27</v>
      </c>
      <c r="C11" s="9">
        <v>1</v>
      </c>
      <c r="D11" s="10">
        <v>39000</v>
      </c>
      <c r="E11" s="10">
        <f t="shared" si="2"/>
        <v>39000</v>
      </c>
      <c r="F11" s="28"/>
      <c r="J11" s="3"/>
      <c r="K11" s="26"/>
      <c r="L11" s="14" t="s">
        <v>28</v>
      </c>
      <c r="M11" s="9">
        <v>1</v>
      </c>
      <c r="N11" s="10">
        <v>120000</v>
      </c>
      <c r="O11" s="10">
        <f t="shared" si="1"/>
        <v>120000</v>
      </c>
      <c r="P11" s="29"/>
    </row>
    <row r="12" spans="1:16">
      <c r="A12" s="25"/>
      <c r="B12" s="8" t="s">
        <v>29</v>
      </c>
      <c r="C12" s="9">
        <v>1</v>
      </c>
      <c r="D12" s="10">
        <v>50000</v>
      </c>
      <c r="E12" s="10">
        <f t="shared" si="2"/>
        <v>50000</v>
      </c>
      <c r="F12" s="28"/>
      <c r="J12" s="3"/>
      <c r="K12" s="24">
        <v>45975</v>
      </c>
      <c r="L12" s="14" t="s">
        <v>9</v>
      </c>
      <c r="M12" s="9">
        <v>11</v>
      </c>
      <c r="N12" s="10">
        <v>15000</v>
      </c>
      <c r="O12" s="10">
        <f t="shared" si="1"/>
        <v>165000</v>
      </c>
      <c r="P12" s="27">
        <f>SUM(O12:O22)</f>
        <v>845800</v>
      </c>
    </row>
    <row r="13" spans="1:16">
      <c r="A13" s="25"/>
      <c r="B13" s="8" t="s">
        <v>30</v>
      </c>
      <c r="C13" s="9">
        <v>2</v>
      </c>
      <c r="D13" s="10">
        <v>10000</v>
      </c>
      <c r="E13" s="10">
        <f t="shared" si="2"/>
        <v>20000</v>
      </c>
      <c r="F13" s="28"/>
      <c r="J13" s="3"/>
      <c r="K13" s="25"/>
      <c r="L13" s="14" t="s">
        <v>30</v>
      </c>
      <c r="M13" s="9">
        <v>6</v>
      </c>
      <c r="N13" s="10">
        <v>10000</v>
      </c>
      <c r="O13" s="10">
        <f t="shared" si="1"/>
        <v>60000</v>
      </c>
      <c r="P13" s="28"/>
    </row>
    <row r="14" spans="1:16">
      <c r="A14" s="25"/>
      <c r="B14" s="14" t="s">
        <v>28</v>
      </c>
      <c r="C14" s="9">
        <v>0.2</v>
      </c>
      <c r="D14" s="10">
        <v>83000</v>
      </c>
      <c r="E14" s="10">
        <f t="shared" si="2"/>
        <v>16600</v>
      </c>
      <c r="F14" s="28"/>
      <c r="J14" s="3"/>
      <c r="K14" s="25"/>
      <c r="L14" s="14" t="s">
        <v>31</v>
      </c>
      <c r="M14" s="9">
        <v>2</v>
      </c>
      <c r="N14" s="10">
        <v>83000</v>
      </c>
      <c r="O14" s="10">
        <f t="shared" si="1"/>
        <v>166000</v>
      </c>
      <c r="P14" s="28"/>
    </row>
    <row r="15" spans="1:16">
      <c r="A15" s="25"/>
      <c r="B15" s="14" t="s">
        <v>32</v>
      </c>
      <c r="C15" s="9">
        <v>1</v>
      </c>
      <c r="D15" s="10">
        <v>44000</v>
      </c>
      <c r="E15" s="10">
        <f t="shared" si="2"/>
        <v>44000</v>
      </c>
      <c r="F15" s="28"/>
      <c r="J15" s="3"/>
      <c r="K15" s="25"/>
      <c r="L15" s="14" t="s">
        <v>25</v>
      </c>
      <c r="M15" s="9">
        <v>1</v>
      </c>
      <c r="N15" s="10">
        <v>39000</v>
      </c>
      <c r="O15" s="10">
        <f t="shared" si="1"/>
        <v>39000</v>
      </c>
      <c r="P15" s="28"/>
    </row>
    <row r="16" spans="1:16">
      <c r="A16" s="25"/>
      <c r="B16" s="14" t="s">
        <v>33</v>
      </c>
      <c r="C16" s="9">
        <v>0.4</v>
      </c>
      <c r="D16" s="10">
        <v>50000</v>
      </c>
      <c r="E16" s="10">
        <f t="shared" si="2"/>
        <v>20000</v>
      </c>
      <c r="F16" s="28"/>
      <c r="J16" s="3"/>
      <c r="K16" s="25"/>
      <c r="L16" s="14" t="s">
        <v>34</v>
      </c>
      <c r="M16" s="9">
        <v>1</v>
      </c>
      <c r="N16" s="10">
        <v>61000</v>
      </c>
      <c r="O16" s="10">
        <f t="shared" si="1"/>
        <v>61000</v>
      </c>
      <c r="P16" s="28"/>
    </row>
    <row r="17" spans="1:16">
      <c r="A17" s="26"/>
      <c r="B17" s="14" t="s">
        <v>35</v>
      </c>
      <c r="C17" s="9">
        <v>0.4</v>
      </c>
      <c r="D17" s="10">
        <v>61000</v>
      </c>
      <c r="E17" s="10">
        <f t="shared" si="2"/>
        <v>24400</v>
      </c>
      <c r="F17" s="29"/>
      <c r="J17" s="3"/>
      <c r="K17" s="25"/>
      <c r="L17" s="14" t="s">
        <v>36</v>
      </c>
      <c r="M17" s="9">
        <v>2</v>
      </c>
      <c r="N17" s="10">
        <v>28000</v>
      </c>
      <c r="O17" s="10">
        <f t="shared" si="1"/>
        <v>56000</v>
      </c>
      <c r="P17" s="28"/>
    </row>
    <row r="18" spans="1:16">
      <c r="A18" s="24">
        <v>45963</v>
      </c>
      <c r="B18" s="14" t="s">
        <v>37</v>
      </c>
      <c r="C18" s="9">
        <v>2</v>
      </c>
      <c r="D18" s="10">
        <v>80000</v>
      </c>
      <c r="E18" s="10">
        <f t="shared" ref="E18:E31" si="3">SUM(C18*D18)</f>
        <v>160000</v>
      </c>
      <c r="F18" s="27">
        <f>SUM(E18:E38)</f>
        <v>1433800</v>
      </c>
      <c r="J18" s="3"/>
      <c r="K18" s="25"/>
      <c r="L18" s="14" t="s">
        <v>38</v>
      </c>
      <c r="M18" s="9">
        <v>1</v>
      </c>
      <c r="N18" s="10">
        <v>11000</v>
      </c>
      <c r="O18" s="10">
        <f t="shared" si="1"/>
        <v>11000</v>
      </c>
      <c r="P18" s="28"/>
    </row>
    <row r="19" spans="1:16">
      <c r="A19" s="25"/>
      <c r="B19" s="14" t="s">
        <v>24</v>
      </c>
      <c r="C19" s="9">
        <v>2</v>
      </c>
      <c r="D19" s="10">
        <v>25000</v>
      </c>
      <c r="E19" s="10">
        <f t="shared" si="3"/>
        <v>50000</v>
      </c>
      <c r="F19" s="28"/>
      <c r="J19" s="3"/>
      <c r="K19" s="25"/>
      <c r="L19" s="14" t="s">
        <v>39</v>
      </c>
      <c r="M19" s="9">
        <v>4</v>
      </c>
      <c r="N19" s="10">
        <v>35000</v>
      </c>
      <c r="O19" s="10">
        <f t="shared" si="1"/>
        <v>140000</v>
      </c>
      <c r="P19" s="28"/>
    </row>
    <row r="20" spans="1:16">
      <c r="A20" s="25"/>
      <c r="B20" s="14" t="s">
        <v>40</v>
      </c>
      <c r="C20" s="9">
        <v>5</v>
      </c>
      <c r="D20" s="10">
        <v>25000</v>
      </c>
      <c r="E20" s="10">
        <f t="shared" si="3"/>
        <v>125000</v>
      </c>
      <c r="F20" s="28"/>
      <c r="J20" s="3"/>
      <c r="K20" s="25"/>
      <c r="L20" s="14" t="s">
        <v>41</v>
      </c>
      <c r="M20" s="9">
        <v>2</v>
      </c>
      <c r="N20" s="10">
        <v>60000</v>
      </c>
      <c r="O20" s="10">
        <f t="shared" si="1"/>
        <v>120000</v>
      </c>
      <c r="P20" s="28"/>
    </row>
    <row r="21" spans="1:16">
      <c r="A21" s="25"/>
      <c r="B21" s="15" t="s">
        <v>42</v>
      </c>
      <c r="C21" s="9">
        <v>4</v>
      </c>
      <c r="D21" s="16">
        <v>39000</v>
      </c>
      <c r="E21" s="10">
        <f t="shared" si="3"/>
        <v>156000</v>
      </c>
      <c r="F21" s="28"/>
      <c r="J21" s="3"/>
      <c r="K21" s="25"/>
      <c r="L21" s="14" t="s">
        <v>43</v>
      </c>
      <c r="M21" s="9">
        <v>1</v>
      </c>
      <c r="N21" s="10">
        <v>20000</v>
      </c>
      <c r="O21" s="10">
        <f t="shared" si="1"/>
        <v>20000</v>
      </c>
      <c r="P21" s="28"/>
    </row>
    <row r="22" spans="1:16">
      <c r="A22" s="25"/>
      <c r="B22" s="14" t="s">
        <v>44</v>
      </c>
      <c r="C22" s="17">
        <v>5</v>
      </c>
      <c r="D22" s="10">
        <v>22000</v>
      </c>
      <c r="E22" s="10">
        <f t="shared" si="3"/>
        <v>110000</v>
      </c>
      <c r="F22" s="28"/>
      <c r="J22" s="3"/>
      <c r="K22" s="26"/>
      <c r="L22" s="14" t="s">
        <v>45</v>
      </c>
      <c r="M22" s="9">
        <v>0.2</v>
      </c>
      <c r="N22" s="10">
        <v>39000</v>
      </c>
      <c r="O22" s="10">
        <f t="shared" si="1"/>
        <v>7800</v>
      </c>
      <c r="P22" s="29"/>
    </row>
    <row r="23" spans="1:16">
      <c r="A23" s="25"/>
      <c r="B23" s="14" t="s">
        <v>46</v>
      </c>
      <c r="C23" s="9">
        <v>5</v>
      </c>
      <c r="D23" s="10">
        <v>66000</v>
      </c>
      <c r="E23" s="10">
        <f t="shared" si="3"/>
        <v>330000</v>
      </c>
      <c r="F23" s="28"/>
      <c r="J23" s="3"/>
      <c r="K23" s="24">
        <v>45976</v>
      </c>
      <c r="L23" s="14" t="s">
        <v>30</v>
      </c>
      <c r="M23" s="9">
        <v>10</v>
      </c>
      <c r="N23" s="10">
        <v>10000</v>
      </c>
      <c r="O23" s="10">
        <f t="shared" si="1"/>
        <v>100000</v>
      </c>
      <c r="P23" s="27">
        <f>SUM(O23:O36)</f>
        <v>1058800</v>
      </c>
    </row>
    <row r="24" spans="1:16">
      <c r="A24" s="25"/>
      <c r="B24" s="14" t="s">
        <v>47</v>
      </c>
      <c r="C24" s="9">
        <v>2</v>
      </c>
      <c r="D24" s="10">
        <v>45000</v>
      </c>
      <c r="E24" s="10">
        <f t="shared" si="3"/>
        <v>90000</v>
      </c>
      <c r="F24" s="28"/>
      <c r="J24" s="3"/>
      <c r="K24" s="25"/>
      <c r="L24" s="14" t="s">
        <v>48</v>
      </c>
      <c r="M24" s="9">
        <v>4.4000000000000004</v>
      </c>
      <c r="N24" s="10">
        <v>28000</v>
      </c>
      <c r="O24" s="10">
        <f t="shared" si="1"/>
        <v>123200</v>
      </c>
      <c r="P24" s="28"/>
    </row>
    <row r="25" spans="1:16">
      <c r="A25" s="25"/>
      <c r="B25" s="14" t="s">
        <v>49</v>
      </c>
      <c r="C25" s="9">
        <v>2</v>
      </c>
      <c r="D25" s="10">
        <v>50000</v>
      </c>
      <c r="E25" s="10">
        <f t="shared" si="3"/>
        <v>100000</v>
      </c>
      <c r="F25" s="28"/>
      <c r="J25" s="3"/>
      <c r="K25" s="25"/>
      <c r="L25" s="14" t="s">
        <v>29</v>
      </c>
      <c r="M25" s="9">
        <v>2</v>
      </c>
      <c r="N25" s="10">
        <v>60000</v>
      </c>
      <c r="O25" s="10">
        <f t="shared" si="1"/>
        <v>120000</v>
      </c>
      <c r="P25" s="28"/>
    </row>
    <row r="26" spans="1:16">
      <c r="A26" s="25"/>
      <c r="B26" s="14" t="s">
        <v>50</v>
      </c>
      <c r="C26" s="9">
        <v>0.1</v>
      </c>
      <c r="D26" s="10">
        <v>33000</v>
      </c>
      <c r="E26" s="10">
        <f t="shared" si="3"/>
        <v>3300</v>
      </c>
      <c r="F26" s="28"/>
      <c r="J26" s="3"/>
      <c r="K26" s="25"/>
      <c r="L26" s="14" t="s">
        <v>38</v>
      </c>
      <c r="M26" s="9">
        <v>0.3</v>
      </c>
      <c r="N26" s="10">
        <v>12000</v>
      </c>
      <c r="O26" s="10">
        <f t="shared" si="1"/>
        <v>3600</v>
      </c>
      <c r="P26" s="28"/>
    </row>
    <row r="27" spans="1:16">
      <c r="A27" s="25"/>
      <c r="B27" s="14" t="s">
        <v>51</v>
      </c>
      <c r="C27" s="9">
        <v>0.1</v>
      </c>
      <c r="D27" s="10">
        <v>83000</v>
      </c>
      <c r="E27" s="10">
        <f t="shared" si="3"/>
        <v>8300</v>
      </c>
      <c r="F27" s="28"/>
      <c r="J27" s="3"/>
      <c r="K27" s="25"/>
      <c r="L27" s="14" t="s">
        <v>26</v>
      </c>
      <c r="M27" s="9">
        <v>1</v>
      </c>
      <c r="N27" s="10">
        <v>17000</v>
      </c>
      <c r="O27" s="10">
        <f t="shared" si="1"/>
        <v>17000</v>
      </c>
      <c r="P27" s="28"/>
    </row>
    <row r="28" spans="1:16">
      <c r="A28" s="25"/>
      <c r="B28" s="14" t="s">
        <v>13</v>
      </c>
      <c r="C28" s="9">
        <v>0.2</v>
      </c>
      <c r="D28" s="10">
        <v>55000</v>
      </c>
      <c r="E28" s="10">
        <f t="shared" si="3"/>
        <v>11000</v>
      </c>
      <c r="F28" s="28"/>
      <c r="J28" s="3"/>
      <c r="K28" s="25"/>
      <c r="L28" s="14" t="s">
        <v>52</v>
      </c>
      <c r="M28" s="9">
        <v>2</v>
      </c>
      <c r="N28" s="10">
        <v>31000</v>
      </c>
      <c r="O28" s="10">
        <f t="shared" si="1"/>
        <v>62000</v>
      </c>
      <c r="P28" s="28"/>
    </row>
    <row r="29" spans="1:16">
      <c r="A29" s="25"/>
      <c r="B29" s="14" t="s">
        <v>53</v>
      </c>
      <c r="C29" s="9">
        <v>1</v>
      </c>
      <c r="D29" s="10">
        <v>9000</v>
      </c>
      <c r="E29" s="10">
        <f t="shared" si="3"/>
        <v>9000</v>
      </c>
      <c r="F29" s="28"/>
      <c r="J29" s="3"/>
      <c r="K29" s="25"/>
      <c r="L29" s="14" t="s">
        <v>54</v>
      </c>
      <c r="M29" s="9">
        <v>0.2</v>
      </c>
      <c r="N29" s="10">
        <v>72000</v>
      </c>
      <c r="O29" s="10">
        <f t="shared" si="1"/>
        <v>14400</v>
      </c>
      <c r="P29" s="28"/>
    </row>
    <row r="30" spans="1:16">
      <c r="A30" s="25"/>
      <c r="B30" s="14" t="s">
        <v>55</v>
      </c>
      <c r="C30" s="9">
        <v>1.5</v>
      </c>
      <c r="D30" s="10">
        <v>17000</v>
      </c>
      <c r="E30" s="10">
        <f t="shared" si="3"/>
        <v>25500</v>
      </c>
      <c r="F30" s="28"/>
      <c r="J30" s="3"/>
      <c r="K30" s="25"/>
      <c r="L30" s="14" t="s">
        <v>34</v>
      </c>
      <c r="M30" s="9">
        <v>2</v>
      </c>
      <c r="N30" s="10">
        <v>61000</v>
      </c>
      <c r="O30" s="10">
        <f t="shared" si="1"/>
        <v>122000</v>
      </c>
      <c r="P30" s="28"/>
    </row>
    <row r="31" spans="1:16">
      <c r="A31" s="25"/>
      <c r="B31" s="14" t="s">
        <v>15</v>
      </c>
      <c r="C31" s="9">
        <v>2</v>
      </c>
      <c r="D31" s="10">
        <v>28000</v>
      </c>
      <c r="E31" s="10">
        <f t="shared" si="3"/>
        <v>56000</v>
      </c>
      <c r="F31" s="28"/>
      <c r="J31" s="3"/>
      <c r="K31" s="25"/>
      <c r="L31" s="14" t="s">
        <v>25</v>
      </c>
      <c r="M31" s="9">
        <v>1</v>
      </c>
      <c r="N31" s="10">
        <v>39000</v>
      </c>
      <c r="O31" s="10">
        <f t="shared" si="1"/>
        <v>39000</v>
      </c>
      <c r="P31" s="28"/>
    </row>
    <row r="32" spans="1:16">
      <c r="A32" s="25"/>
      <c r="B32" s="14" t="s">
        <v>32</v>
      </c>
      <c r="C32" s="9">
        <v>1</v>
      </c>
      <c r="D32" s="10">
        <v>44000</v>
      </c>
      <c r="E32" s="10">
        <f t="shared" ref="E32:E38" si="4">SUM(C32*D32)</f>
        <v>44000</v>
      </c>
      <c r="F32" s="28"/>
      <c r="J32" s="3"/>
      <c r="K32" s="25"/>
      <c r="L32" s="14" t="s">
        <v>56</v>
      </c>
      <c r="M32" s="9">
        <v>0.2</v>
      </c>
      <c r="N32" s="10">
        <v>88000</v>
      </c>
      <c r="O32" s="10">
        <f t="shared" si="1"/>
        <v>17600</v>
      </c>
      <c r="P32" s="28"/>
    </row>
    <row r="33" spans="1:16">
      <c r="A33" s="25"/>
      <c r="B33" s="14" t="s">
        <v>28</v>
      </c>
      <c r="C33" s="9">
        <v>0.2</v>
      </c>
      <c r="D33" s="10">
        <v>83000</v>
      </c>
      <c r="E33" s="10">
        <f t="shared" si="4"/>
        <v>16600</v>
      </c>
      <c r="F33" s="28"/>
      <c r="J33" s="3"/>
      <c r="K33" s="25"/>
      <c r="L33" s="14" t="s">
        <v>28</v>
      </c>
      <c r="M33" s="9">
        <v>0.5</v>
      </c>
      <c r="N33" s="10">
        <v>120000</v>
      </c>
      <c r="O33" s="10">
        <f t="shared" si="1"/>
        <v>60000</v>
      </c>
      <c r="P33" s="28"/>
    </row>
    <row r="34" spans="1:16">
      <c r="A34" s="25"/>
      <c r="B34" s="14" t="s">
        <v>18</v>
      </c>
      <c r="C34" s="9">
        <v>0.2</v>
      </c>
      <c r="D34" s="10">
        <v>28000</v>
      </c>
      <c r="E34" s="10">
        <f t="shared" si="4"/>
        <v>5600</v>
      </c>
      <c r="F34" s="28"/>
      <c r="J34" s="3"/>
      <c r="K34" s="25"/>
      <c r="L34" s="14" t="s">
        <v>57</v>
      </c>
      <c r="M34" s="9">
        <v>6</v>
      </c>
      <c r="N34" s="10">
        <v>30000</v>
      </c>
      <c r="O34" s="10">
        <f t="shared" si="1"/>
        <v>180000</v>
      </c>
      <c r="P34" s="28"/>
    </row>
    <row r="35" spans="1:16" ht="13" customHeight="1">
      <c r="A35" s="25"/>
      <c r="B35" s="14" t="s">
        <v>33</v>
      </c>
      <c r="C35" s="9">
        <v>0.5</v>
      </c>
      <c r="D35" s="10">
        <v>50000</v>
      </c>
      <c r="E35" s="10">
        <f t="shared" si="4"/>
        <v>25000</v>
      </c>
      <c r="F35" s="28"/>
      <c r="J35" s="3"/>
      <c r="K35" s="25"/>
      <c r="L35" s="14" t="s">
        <v>41</v>
      </c>
      <c r="M35" s="9">
        <v>1</v>
      </c>
      <c r="N35" s="10">
        <v>60000</v>
      </c>
      <c r="O35" s="10">
        <f t="shared" si="1"/>
        <v>60000</v>
      </c>
      <c r="P35" s="28"/>
    </row>
    <row r="36" spans="1:16">
      <c r="A36" s="25"/>
      <c r="B36" s="14" t="s">
        <v>35</v>
      </c>
      <c r="C36" s="9">
        <v>0.5</v>
      </c>
      <c r="D36" s="10">
        <v>61000</v>
      </c>
      <c r="E36" s="10">
        <f t="shared" si="4"/>
        <v>30500</v>
      </c>
      <c r="F36" s="28"/>
      <c r="J36" s="3"/>
      <c r="K36" s="26"/>
      <c r="L36" s="14" t="s">
        <v>58</v>
      </c>
      <c r="M36" s="9">
        <v>2</v>
      </c>
      <c r="N36" s="10">
        <v>70000</v>
      </c>
      <c r="O36" s="10">
        <f t="shared" si="1"/>
        <v>140000</v>
      </c>
      <c r="P36" s="29"/>
    </row>
    <row r="37" spans="1:16">
      <c r="A37" s="25"/>
      <c r="B37" s="14" t="s">
        <v>27</v>
      </c>
      <c r="C37" s="9">
        <v>1</v>
      </c>
      <c r="D37" s="10">
        <v>39000</v>
      </c>
      <c r="E37" s="10">
        <f t="shared" si="4"/>
        <v>39000</v>
      </c>
      <c r="F37" s="28"/>
      <c r="J37" s="3"/>
      <c r="K37" s="20"/>
      <c r="L37" s="14"/>
      <c r="M37" s="9"/>
      <c r="N37" s="8"/>
      <c r="O37" s="8"/>
      <c r="P37" s="21">
        <f>SUM(P2:P36)</f>
        <v>2549400</v>
      </c>
    </row>
    <row r="38" spans="1:16">
      <c r="A38" s="26"/>
      <c r="B38" s="14" t="s">
        <v>25</v>
      </c>
      <c r="C38" s="9">
        <v>1</v>
      </c>
      <c r="D38" s="10">
        <v>39000</v>
      </c>
      <c r="E38" s="10">
        <f t="shared" si="4"/>
        <v>39000</v>
      </c>
      <c r="F38" s="29"/>
    </row>
    <row r="39" spans="1:16">
      <c r="A39" s="24">
        <v>45963</v>
      </c>
      <c r="B39" s="14" t="s">
        <v>59</v>
      </c>
      <c r="C39" s="9">
        <v>1</v>
      </c>
      <c r="D39" s="10">
        <v>30000</v>
      </c>
      <c r="E39" s="10">
        <f t="shared" ref="E39:E85" si="5">SUM(C39*D39)</f>
        <v>30000</v>
      </c>
      <c r="F39" s="27">
        <f>SUM(E39:E40)</f>
        <v>38800</v>
      </c>
    </row>
    <row r="40" spans="1:16">
      <c r="A40" s="26"/>
      <c r="B40" s="14" t="s">
        <v>56</v>
      </c>
      <c r="C40" s="9">
        <v>0.1</v>
      </c>
      <c r="D40" s="10">
        <v>88000</v>
      </c>
      <c r="E40" s="10">
        <f t="shared" si="5"/>
        <v>8800</v>
      </c>
      <c r="F40" s="29"/>
    </row>
    <row r="41" spans="1:16">
      <c r="A41" s="24">
        <v>45964</v>
      </c>
      <c r="B41" s="14" t="s">
        <v>60</v>
      </c>
      <c r="C41" s="9">
        <v>1</v>
      </c>
      <c r="D41" s="10">
        <v>130000</v>
      </c>
      <c r="E41" s="10">
        <f t="shared" si="5"/>
        <v>130000</v>
      </c>
      <c r="F41" s="27">
        <f>SUM(E41:E62)</f>
        <v>1875700</v>
      </c>
    </row>
    <row r="42" spans="1:16">
      <c r="A42" s="25"/>
      <c r="B42" s="14" t="s">
        <v>61</v>
      </c>
      <c r="C42" s="9">
        <v>0.3</v>
      </c>
      <c r="D42" s="10">
        <v>72000</v>
      </c>
      <c r="E42" s="10">
        <f t="shared" si="5"/>
        <v>21600</v>
      </c>
      <c r="F42" s="28"/>
    </row>
    <row r="43" spans="1:16">
      <c r="A43" s="25"/>
      <c r="B43" s="14" t="s">
        <v>10</v>
      </c>
      <c r="C43" s="9">
        <v>0.3</v>
      </c>
      <c r="D43" s="10">
        <v>61000</v>
      </c>
      <c r="E43" s="10">
        <f t="shared" si="5"/>
        <v>18300</v>
      </c>
      <c r="F43" s="28"/>
    </row>
    <row r="44" spans="1:16">
      <c r="A44" s="25"/>
      <c r="B44" s="14" t="s">
        <v>50</v>
      </c>
      <c r="C44" s="9">
        <v>0.1</v>
      </c>
      <c r="D44" s="10">
        <v>132000</v>
      </c>
      <c r="E44" s="10">
        <f t="shared" si="5"/>
        <v>13200</v>
      </c>
      <c r="F44" s="28"/>
    </row>
    <row r="45" spans="1:16">
      <c r="A45" s="25"/>
      <c r="B45" s="15" t="s">
        <v>55</v>
      </c>
      <c r="C45" s="9">
        <v>1</v>
      </c>
      <c r="D45" s="16">
        <v>23000</v>
      </c>
      <c r="E45" s="10">
        <f t="shared" si="5"/>
        <v>23000</v>
      </c>
      <c r="F45" s="28"/>
    </row>
    <row r="46" spans="1:16">
      <c r="A46" s="25"/>
      <c r="B46" s="14" t="s">
        <v>15</v>
      </c>
      <c r="C46" s="17">
        <v>2</v>
      </c>
      <c r="D46" s="10">
        <v>28000</v>
      </c>
      <c r="E46" s="10">
        <f t="shared" si="5"/>
        <v>56000</v>
      </c>
      <c r="F46" s="28"/>
    </row>
    <row r="47" spans="1:16">
      <c r="A47" s="25"/>
      <c r="B47" s="14" t="s">
        <v>62</v>
      </c>
      <c r="C47" s="9">
        <v>2</v>
      </c>
      <c r="D47" s="10">
        <v>25000</v>
      </c>
      <c r="E47" s="10">
        <f t="shared" si="5"/>
        <v>50000</v>
      </c>
      <c r="F47" s="28"/>
    </row>
    <row r="48" spans="1:16">
      <c r="A48" s="25"/>
      <c r="B48" s="14" t="s">
        <v>19</v>
      </c>
      <c r="C48" s="9">
        <v>10</v>
      </c>
      <c r="D48" s="10">
        <v>24000</v>
      </c>
      <c r="E48" s="10">
        <f t="shared" si="5"/>
        <v>240000</v>
      </c>
      <c r="F48" s="28"/>
    </row>
    <row r="49" spans="1:6">
      <c r="A49" s="25"/>
      <c r="B49" s="14" t="s">
        <v>46</v>
      </c>
      <c r="C49" s="9">
        <v>5</v>
      </c>
      <c r="D49" s="10">
        <v>66000</v>
      </c>
      <c r="E49" s="10">
        <f t="shared" si="5"/>
        <v>330000</v>
      </c>
      <c r="F49" s="28"/>
    </row>
    <row r="50" spans="1:6">
      <c r="A50" s="25"/>
      <c r="B50" s="14" t="s">
        <v>63</v>
      </c>
      <c r="C50" s="9">
        <v>2.5</v>
      </c>
      <c r="D50" s="10">
        <v>22000</v>
      </c>
      <c r="E50" s="10">
        <f t="shared" si="5"/>
        <v>55000</v>
      </c>
      <c r="F50" s="28"/>
    </row>
    <row r="51" spans="1:6">
      <c r="A51" s="25"/>
      <c r="B51" s="14" t="s">
        <v>64</v>
      </c>
      <c r="C51" s="9">
        <v>8.6</v>
      </c>
      <c r="D51" s="10">
        <v>50000</v>
      </c>
      <c r="E51" s="10">
        <f t="shared" si="5"/>
        <v>430000</v>
      </c>
      <c r="F51" s="28"/>
    </row>
    <row r="52" spans="1:6">
      <c r="A52" s="25"/>
      <c r="B52" s="14" t="s">
        <v>27</v>
      </c>
      <c r="C52" s="9">
        <v>1</v>
      </c>
      <c r="D52" s="10">
        <v>39000</v>
      </c>
      <c r="E52" s="10">
        <f t="shared" si="5"/>
        <v>39000</v>
      </c>
      <c r="F52" s="28"/>
    </row>
    <row r="53" spans="1:6">
      <c r="A53" s="25"/>
      <c r="B53" s="14" t="s">
        <v>25</v>
      </c>
      <c r="C53" s="9">
        <v>2</v>
      </c>
      <c r="D53" s="10">
        <v>39000</v>
      </c>
      <c r="E53" s="10">
        <f t="shared" si="5"/>
        <v>78000</v>
      </c>
      <c r="F53" s="28"/>
    </row>
    <row r="54" spans="1:6">
      <c r="A54" s="25"/>
      <c r="B54" s="14" t="s">
        <v>65</v>
      </c>
      <c r="C54" s="9">
        <v>1</v>
      </c>
      <c r="D54" s="10">
        <v>55000</v>
      </c>
      <c r="E54" s="10">
        <f t="shared" si="5"/>
        <v>55000</v>
      </c>
      <c r="F54" s="28"/>
    </row>
    <row r="55" spans="1:6">
      <c r="A55" s="25"/>
      <c r="B55" s="14" t="s">
        <v>30</v>
      </c>
      <c r="C55" s="9">
        <v>2</v>
      </c>
      <c r="D55" s="10">
        <v>10000</v>
      </c>
      <c r="E55" s="10">
        <f t="shared" si="5"/>
        <v>20000</v>
      </c>
      <c r="F55" s="28"/>
    </row>
    <row r="56" spans="1:6">
      <c r="A56" s="25"/>
      <c r="B56" s="14" t="s">
        <v>9</v>
      </c>
      <c r="C56" s="9">
        <v>7.5</v>
      </c>
      <c r="D56" s="10">
        <v>15000</v>
      </c>
      <c r="E56" s="10">
        <f t="shared" si="5"/>
        <v>112500</v>
      </c>
      <c r="F56" s="28"/>
    </row>
    <row r="57" spans="1:6">
      <c r="A57" s="25"/>
      <c r="B57" s="14" t="s">
        <v>28</v>
      </c>
      <c r="C57" s="9">
        <v>0.2</v>
      </c>
      <c r="D57" s="10">
        <v>83000</v>
      </c>
      <c r="E57" s="10">
        <f t="shared" si="5"/>
        <v>16600</v>
      </c>
      <c r="F57" s="28"/>
    </row>
    <row r="58" spans="1:6">
      <c r="A58" s="25"/>
      <c r="B58" s="14" t="s">
        <v>66</v>
      </c>
      <c r="C58" s="9">
        <v>1</v>
      </c>
      <c r="D58" s="10">
        <v>72000</v>
      </c>
      <c r="E58" s="10">
        <f t="shared" si="5"/>
        <v>72000</v>
      </c>
      <c r="F58" s="28"/>
    </row>
    <row r="59" spans="1:6">
      <c r="A59" s="25"/>
      <c r="B59" s="14" t="s">
        <v>67</v>
      </c>
      <c r="C59" s="9">
        <v>0.6</v>
      </c>
      <c r="D59" s="10">
        <v>50000</v>
      </c>
      <c r="E59" s="10">
        <f t="shared" si="5"/>
        <v>30000</v>
      </c>
      <c r="F59" s="28"/>
    </row>
    <row r="60" spans="1:6">
      <c r="A60" s="25"/>
      <c r="B60" s="14" t="s">
        <v>33</v>
      </c>
      <c r="C60" s="9">
        <v>0.5</v>
      </c>
      <c r="D60" s="10">
        <v>50000</v>
      </c>
      <c r="E60" s="10">
        <f t="shared" si="5"/>
        <v>25000</v>
      </c>
      <c r="F60" s="28"/>
    </row>
    <row r="61" spans="1:6">
      <c r="A61" s="25"/>
      <c r="B61" s="14" t="s">
        <v>35</v>
      </c>
      <c r="C61" s="9">
        <v>0.5</v>
      </c>
      <c r="D61" s="10">
        <v>61000</v>
      </c>
      <c r="E61" s="10">
        <f t="shared" si="5"/>
        <v>30500</v>
      </c>
      <c r="F61" s="28"/>
    </row>
    <row r="62" spans="1:6">
      <c r="A62" s="26"/>
      <c r="B62" s="14" t="s">
        <v>68</v>
      </c>
      <c r="C62" s="9">
        <v>30</v>
      </c>
      <c r="D62" s="10">
        <v>1000</v>
      </c>
      <c r="E62" s="10">
        <f t="shared" si="5"/>
        <v>30000</v>
      </c>
      <c r="F62" s="29"/>
    </row>
    <row r="63" spans="1:6">
      <c r="A63" s="24">
        <v>45965</v>
      </c>
      <c r="B63" s="14" t="s">
        <v>69</v>
      </c>
      <c r="C63" s="9">
        <v>0.3</v>
      </c>
      <c r="D63" s="10">
        <v>50000</v>
      </c>
      <c r="E63" s="10">
        <f t="shared" si="5"/>
        <v>15000</v>
      </c>
      <c r="F63" s="27">
        <f>SUM(E63:E84)</f>
        <v>1050200</v>
      </c>
    </row>
    <row r="64" spans="1:6">
      <c r="A64" s="25"/>
      <c r="B64" s="14" t="s">
        <v>33</v>
      </c>
      <c r="C64" s="9">
        <v>0.4</v>
      </c>
      <c r="D64" s="10">
        <v>50000</v>
      </c>
      <c r="E64" s="10">
        <f t="shared" si="5"/>
        <v>20000</v>
      </c>
      <c r="F64" s="28"/>
    </row>
    <row r="65" spans="1:6">
      <c r="A65" s="25"/>
      <c r="B65" s="14" t="s">
        <v>35</v>
      </c>
      <c r="C65" s="9">
        <v>0.4</v>
      </c>
      <c r="D65" s="10">
        <v>61000</v>
      </c>
      <c r="E65" s="10">
        <f t="shared" si="5"/>
        <v>24400</v>
      </c>
      <c r="F65" s="28"/>
    </row>
    <row r="66" spans="1:6">
      <c r="A66" s="25"/>
      <c r="B66" s="14" t="s">
        <v>32</v>
      </c>
      <c r="C66" s="9">
        <v>0.5</v>
      </c>
      <c r="D66" s="10">
        <v>44000</v>
      </c>
      <c r="E66" s="10">
        <f t="shared" si="5"/>
        <v>22000</v>
      </c>
      <c r="F66" s="28"/>
    </row>
    <row r="67" spans="1:6">
      <c r="A67" s="25"/>
      <c r="B67" s="14" t="s">
        <v>70</v>
      </c>
      <c r="C67" s="9">
        <v>0.1</v>
      </c>
      <c r="D67" s="10">
        <v>22000</v>
      </c>
      <c r="E67" s="10">
        <f t="shared" si="5"/>
        <v>2200</v>
      </c>
      <c r="F67" s="28"/>
    </row>
    <row r="68" spans="1:6">
      <c r="A68" s="25"/>
      <c r="B68" s="14" t="s">
        <v>28</v>
      </c>
      <c r="C68" s="9">
        <v>0.2</v>
      </c>
      <c r="D68" s="10">
        <v>83000</v>
      </c>
      <c r="E68" s="10">
        <f t="shared" si="5"/>
        <v>16600</v>
      </c>
      <c r="F68" s="28"/>
    </row>
    <row r="69" spans="1:6">
      <c r="A69" s="25"/>
      <c r="B69" s="14" t="s">
        <v>25</v>
      </c>
      <c r="C69" s="9">
        <v>1</v>
      </c>
      <c r="D69" s="10">
        <v>39000</v>
      </c>
      <c r="E69" s="10">
        <f t="shared" si="5"/>
        <v>39000</v>
      </c>
      <c r="F69" s="28"/>
    </row>
    <row r="70" spans="1:6">
      <c r="A70" s="25"/>
      <c r="B70" s="14" t="s">
        <v>27</v>
      </c>
      <c r="C70" s="9">
        <v>2</v>
      </c>
      <c r="D70" s="10">
        <v>39000</v>
      </c>
      <c r="E70" s="10">
        <f t="shared" si="5"/>
        <v>78000</v>
      </c>
      <c r="F70" s="28"/>
    </row>
    <row r="71" spans="1:6">
      <c r="A71" s="25"/>
      <c r="B71" s="14" t="s">
        <v>59</v>
      </c>
      <c r="C71" s="9">
        <v>1</v>
      </c>
      <c r="D71" s="10">
        <v>30000</v>
      </c>
      <c r="E71" s="10">
        <f t="shared" si="5"/>
        <v>30000</v>
      </c>
      <c r="F71" s="28"/>
    </row>
    <row r="72" spans="1:6">
      <c r="A72" s="25"/>
      <c r="B72" s="14" t="s">
        <v>51</v>
      </c>
      <c r="C72" s="9">
        <v>0.1</v>
      </c>
      <c r="D72" s="10">
        <v>83000</v>
      </c>
      <c r="E72" s="10">
        <f t="shared" si="5"/>
        <v>8300</v>
      </c>
      <c r="F72" s="28"/>
    </row>
    <row r="73" spans="1:6">
      <c r="A73" s="25"/>
      <c r="B73" s="14" t="s">
        <v>7</v>
      </c>
      <c r="C73" s="9">
        <v>0.05</v>
      </c>
      <c r="D73" s="10">
        <v>110000</v>
      </c>
      <c r="E73" s="10">
        <f t="shared" si="5"/>
        <v>5500</v>
      </c>
      <c r="F73" s="28"/>
    </row>
    <row r="74" spans="1:6">
      <c r="A74" s="25"/>
      <c r="B74" s="14" t="s">
        <v>53</v>
      </c>
      <c r="C74" s="9">
        <v>1</v>
      </c>
      <c r="D74" s="10">
        <v>9000</v>
      </c>
      <c r="E74" s="10">
        <f t="shared" si="5"/>
        <v>9000</v>
      </c>
      <c r="F74" s="28"/>
    </row>
    <row r="75" spans="1:6">
      <c r="A75" s="25"/>
      <c r="B75" s="14" t="s">
        <v>55</v>
      </c>
      <c r="C75" s="9">
        <v>2</v>
      </c>
      <c r="D75" s="10">
        <v>17000</v>
      </c>
      <c r="E75" s="10">
        <f t="shared" si="5"/>
        <v>34000</v>
      </c>
      <c r="F75" s="28"/>
    </row>
    <row r="76" spans="1:6">
      <c r="A76" s="25"/>
      <c r="B76" s="14" t="s">
        <v>52</v>
      </c>
      <c r="C76" s="9">
        <v>1</v>
      </c>
      <c r="D76" s="10">
        <v>31000</v>
      </c>
      <c r="E76" s="10">
        <f t="shared" si="5"/>
        <v>31000</v>
      </c>
      <c r="F76" s="28"/>
    </row>
    <row r="77" spans="1:6">
      <c r="A77" s="25"/>
      <c r="B77" s="14" t="s">
        <v>15</v>
      </c>
      <c r="C77" s="9">
        <v>1</v>
      </c>
      <c r="D77" s="10">
        <v>28000</v>
      </c>
      <c r="E77" s="10">
        <f t="shared" si="5"/>
        <v>28000</v>
      </c>
      <c r="F77" s="28"/>
    </row>
    <row r="78" spans="1:6">
      <c r="A78" s="25"/>
      <c r="B78" s="14" t="s">
        <v>71</v>
      </c>
      <c r="C78" s="9">
        <v>0.1</v>
      </c>
      <c r="D78" s="10">
        <v>72000</v>
      </c>
      <c r="E78" s="10">
        <f t="shared" si="5"/>
        <v>7200</v>
      </c>
      <c r="F78" s="28"/>
    </row>
    <row r="79" spans="1:6">
      <c r="A79" s="25"/>
      <c r="B79" s="14" t="s">
        <v>72</v>
      </c>
      <c r="C79" s="9">
        <v>5</v>
      </c>
      <c r="D79" s="10">
        <v>25000</v>
      </c>
      <c r="E79" s="10">
        <f t="shared" si="5"/>
        <v>125000</v>
      </c>
      <c r="F79" s="28"/>
    </row>
    <row r="80" spans="1:6">
      <c r="A80" s="25"/>
      <c r="B80" s="14" t="s">
        <v>73</v>
      </c>
      <c r="C80" s="9">
        <v>1</v>
      </c>
      <c r="D80" s="10">
        <v>25000</v>
      </c>
      <c r="E80" s="10">
        <f t="shared" si="5"/>
        <v>25000</v>
      </c>
      <c r="F80" s="28"/>
    </row>
    <row r="81" spans="1:8">
      <c r="A81" s="25"/>
      <c r="B81" s="14" t="s">
        <v>42</v>
      </c>
      <c r="C81" s="9">
        <v>5</v>
      </c>
      <c r="D81" s="10">
        <v>39000</v>
      </c>
      <c r="E81" s="10">
        <f t="shared" si="5"/>
        <v>195000</v>
      </c>
      <c r="F81" s="28"/>
    </row>
    <row r="82" spans="1:8">
      <c r="A82" s="25"/>
      <c r="B82" s="14" t="s">
        <v>74</v>
      </c>
      <c r="C82" s="9">
        <v>2</v>
      </c>
      <c r="D82" s="10">
        <v>75000</v>
      </c>
      <c r="E82" s="10">
        <f t="shared" si="5"/>
        <v>150000</v>
      </c>
      <c r="F82" s="28"/>
    </row>
    <row r="83" spans="1:8">
      <c r="A83" s="25"/>
      <c r="B83" s="14" t="s">
        <v>75</v>
      </c>
      <c r="C83" s="9">
        <v>2</v>
      </c>
      <c r="D83" s="10">
        <v>25000</v>
      </c>
      <c r="E83" s="10">
        <f t="shared" si="5"/>
        <v>50000</v>
      </c>
      <c r="F83" s="28"/>
    </row>
    <row r="84" spans="1:8">
      <c r="A84" s="26"/>
      <c r="B84" s="14" t="s">
        <v>76</v>
      </c>
      <c r="C84" s="9">
        <v>3</v>
      </c>
      <c r="D84" s="10">
        <v>45000</v>
      </c>
      <c r="E84" s="10">
        <f t="shared" si="5"/>
        <v>135000</v>
      </c>
      <c r="F84" s="29"/>
    </row>
    <row r="85" spans="1:8">
      <c r="A85" s="20">
        <v>45965</v>
      </c>
      <c r="B85" s="14" t="s">
        <v>43</v>
      </c>
      <c r="C85" s="9">
        <v>3</v>
      </c>
      <c r="D85" s="10">
        <v>20000</v>
      </c>
      <c r="E85" s="10">
        <f t="shared" si="5"/>
        <v>60000</v>
      </c>
      <c r="F85" s="21">
        <f>SUM(E85)</f>
        <v>60000</v>
      </c>
    </row>
    <row r="86" spans="1:8">
      <c r="A86" s="24">
        <v>45967</v>
      </c>
      <c r="B86" s="14" t="s">
        <v>39</v>
      </c>
      <c r="C86" s="9">
        <v>3</v>
      </c>
      <c r="D86" s="10">
        <v>35000</v>
      </c>
      <c r="E86" s="10">
        <f t="shared" ref="E86:E109" si="6">SUM(C86*D86)</f>
        <v>105000</v>
      </c>
      <c r="F86" s="28">
        <f>SUM(E86:E106)</f>
        <v>1252700</v>
      </c>
    </row>
    <row r="87" spans="1:8">
      <c r="A87" s="25"/>
      <c r="B87" s="14" t="s">
        <v>55</v>
      </c>
      <c r="C87" s="9">
        <v>1</v>
      </c>
      <c r="D87" s="10">
        <v>17000</v>
      </c>
      <c r="E87" s="10">
        <f t="shared" si="6"/>
        <v>17000</v>
      </c>
      <c r="F87" s="28"/>
    </row>
    <row r="88" spans="1:8">
      <c r="A88" s="25"/>
      <c r="B88" s="14" t="s">
        <v>77</v>
      </c>
      <c r="C88" s="9">
        <v>0.5</v>
      </c>
      <c r="D88" s="10">
        <v>72000</v>
      </c>
      <c r="E88" s="10">
        <f t="shared" si="6"/>
        <v>36000</v>
      </c>
      <c r="F88" s="28"/>
    </row>
    <row r="89" spans="1:8">
      <c r="A89" s="25"/>
      <c r="B89" s="14" t="s">
        <v>26</v>
      </c>
      <c r="C89" s="9">
        <v>1</v>
      </c>
      <c r="D89" s="10">
        <v>17000</v>
      </c>
      <c r="E89" s="10">
        <f t="shared" si="6"/>
        <v>17000</v>
      </c>
      <c r="F89" s="28"/>
    </row>
    <row r="90" spans="1:8">
      <c r="A90" s="25"/>
      <c r="B90" s="14" t="s">
        <v>78</v>
      </c>
      <c r="C90" s="9">
        <v>1</v>
      </c>
      <c r="D90" s="10">
        <v>160000</v>
      </c>
      <c r="E90" s="10">
        <f t="shared" si="6"/>
        <v>160000</v>
      </c>
      <c r="F90" s="28"/>
    </row>
    <row r="91" spans="1:8">
      <c r="A91" s="25"/>
      <c r="B91" s="14" t="s">
        <v>79</v>
      </c>
      <c r="C91" s="9">
        <v>2</v>
      </c>
      <c r="D91" s="10">
        <v>35000</v>
      </c>
      <c r="E91" s="10">
        <f t="shared" si="6"/>
        <v>70000</v>
      </c>
      <c r="F91" s="28"/>
    </row>
    <row r="92" spans="1:8">
      <c r="A92" s="25"/>
      <c r="B92" s="14" t="s">
        <v>19</v>
      </c>
      <c r="C92" s="9">
        <v>10</v>
      </c>
      <c r="D92" s="10">
        <v>24000</v>
      </c>
      <c r="E92" s="10">
        <f t="shared" si="6"/>
        <v>240000</v>
      </c>
      <c r="F92" s="28"/>
    </row>
    <row r="93" spans="1:8">
      <c r="A93" s="25"/>
      <c r="B93" s="14" t="s">
        <v>40</v>
      </c>
      <c r="C93" s="9">
        <v>5</v>
      </c>
      <c r="D93" s="10">
        <v>25000</v>
      </c>
      <c r="E93" s="10">
        <f t="shared" si="6"/>
        <v>125000</v>
      </c>
      <c r="F93" s="28"/>
    </row>
    <row r="94" spans="1:8">
      <c r="A94" s="25"/>
      <c r="B94" s="14" t="s">
        <v>46</v>
      </c>
      <c r="C94" s="9">
        <v>3</v>
      </c>
      <c r="D94" s="10">
        <v>66000</v>
      </c>
      <c r="E94" s="10">
        <f t="shared" si="6"/>
        <v>198000</v>
      </c>
      <c r="F94" s="28"/>
    </row>
    <row r="95" spans="1:8">
      <c r="A95" s="25"/>
      <c r="B95" s="14" t="s">
        <v>27</v>
      </c>
      <c r="C95" s="9">
        <v>1</v>
      </c>
      <c r="D95" s="10">
        <v>39000</v>
      </c>
      <c r="E95" s="10">
        <f t="shared" si="6"/>
        <v>39000</v>
      </c>
      <c r="F95" s="28"/>
    </row>
    <row r="96" spans="1:8">
      <c r="A96" s="25"/>
      <c r="B96" s="14" t="s">
        <v>25</v>
      </c>
      <c r="C96" s="9">
        <v>1</v>
      </c>
      <c r="D96" s="10">
        <v>39000</v>
      </c>
      <c r="E96" s="10">
        <f t="shared" si="6"/>
        <v>39000</v>
      </c>
      <c r="F96" s="28"/>
      <c r="H96" s="13"/>
    </row>
    <row r="97" spans="1:6">
      <c r="A97" s="25"/>
      <c r="B97" s="14" t="s">
        <v>64</v>
      </c>
      <c r="C97" s="9">
        <v>1</v>
      </c>
      <c r="D97" s="10">
        <v>50000</v>
      </c>
      <c r="E97" s="10">
        <f t="shared" si="6"/>
        <v>50000</v>
      </c>
      <c r="F97" s="28"/>
    </row>
    <row r="98" spans="1:6">
      <c r="A98" s="25"/>
      <c r="B98" s="14" t="s">
        <v>56</v>
      </c>
      <c r="C98" s="9">
        <v>0.1</v>
      </c>
      <c r="D98" s="10">
        <v>88000</v>
      </c>
      <c r="E98" s="10">
        <f t="shared" si="6"/>
        <v>8800</v>
      </c>
      <c r="F98" s="28"/>
    </row>
    <row r="99" spans="1:6">
      <c r="A99" s="25"/>
      <c r="B99" s="14" t="s">
        <v>80</v>
      </c>
      <c r="C99" s="9">
        <v>0.5</v>
      </c>
      <c r="D99" s="10">
        <v>50000</v>
      </c>
      <c r="E99" s="10">
        <f t="shared" si="6"/>
        <v>25000</v>
      </c>
      <c r="F99" s="28"/>
    </row>
    <row r="100" spans="1:6">
      <c r="A100" s="25"/>
      <c r="B100" s="14" t="s">
        <v>81</v>
      </c>
      <c r="C100" s="9">
        <v>0.3</v>
      </c>
      <c r="D100" s="10">
        <v>44000</v>
      </c>
      <c r="E100" s="10">
        <f t="shared" si="6"/>
        <v>13200</v>
      </c>
      <c r="F100" s="28"/>
    </row>
    <row r="101" spans="1:6">
      <c r="A101" s="25"/>
      <c r="B101" s="14" t="s">
        <v>28</v>
      </c>
      <c r="C101" s="9">
        <v>0.3</v>
      </c>
      <c r="D101" s="10">
        <v>83000</v>
      </c>
      <c r="E101" s="10">
        <f t="shared" si="6"/>
        <v>24900</v>
      </c>
      <c r="F101" s="28"/>
    </row>
    <row r="102" spans="1:6">
      <c r="A102" s="25"/>
      <c r="B102" s="14" t="s">
        <v>33</v>
      </c>
      <c r="C102" s="9">
        <v>0.4</v>
      </c>
      <c r="D102" s="10">
        <v>50000</v>
      </c>
      <c r="E102" s="10">
        <f t="shared" si="6"/>
        <v>20000</v>
      </c>
      <c r="F102" s="28"/>
    </row>
    <row r="103" spans="1:6">
      <c r="A103" s="25"/>
      <c r="B103" s="14" t="s">
        <v>35</v>
      </c>
      <c r="C103" s="9">
        <v>0.4</v>
      </c>
      <c r="D103" s="10">
        <v>61000</v>
      </c>
      <c r="E103" s="10">
        <f t="shared" si="6"/>
        <v>24400</v>
      </c>
      <c r="F103" s="28"/>
    </row>
    <row r="104" spans="1:6">
      <c r="A104" s="25"/>
      <c r="B104" s="14" t="s">
        <v>82</v>
      </c>
      <c r="C104" s="9">
        <v>0.25</v>
      </c>
      <c r="D104" s="10">
        <v>22000</v>
      </c>
      <c r="E104" s="10">
        <f t="shared" si="6"/>
        <v>5500</v>
      </c>
      <c r="F104" s="28"/>
    </row>
    <row r="105" spans="1:6">
      <c r="A105" s="25"/>
      <c r="B105" s="14" t="s">
        <v>83</v>
      </c>
      <c r="C105" s="9">
        <v>0.2</v>
      </c>
      <c r="D105" s="10">
        <v>50000</v>
      </c>
      <c r="E105" s="10">
        <f t="shared" si="6"/>
        <v>10000</v>
      </c>
      <c r="F105" s="28"/>
    </row>
    <row r="106" spans="1:6">
      <c r="A106" s="26"/>
      <c r="B106" s="14" t="s">
        <v>51</v>
      </c>
      <c r="C106" s="9">
        <v>0.3</v>
      </c>
      <c r="D106" s="10">
        <v>83000</v>
      </c>
      <c r="E106" s="10">
        <f t="shared" si="6"/>
        <v>24900</v>
      </c>
      <c r="F106" s="29"/>
    </row>
    <row r="107" spans="1:6">
      <c r="A107" s="24">
        <v>45967</v>
      </c>
      <c r="B107" s="14" t="s">
        <v>84</v>
      </c>
      <c r="C107" s="9">
        <v>0.3</v>
      </c>
      <c r="D107" s="10">
        <v>50000</v>
      </c>
      <c r="E107" s="10">
        <f t="shared" si="6"/>
        <v>15000</v>
      </c>
      <c r="F107" s="27">
        <f>SUM(E107:E109)</f>
        <v>400000</v>
      </c>
    </row>
    <row r="108" spans="1:6">
      <c r="A108" s="25"/>
      <c r="B108" s="14" t="s">
        <v>85</v>
      </c>
      <c r="C108" s="9">
        <v>1</v>
      </c>
      <c r="D108" s="10">
        <v>200000</v>
      </c>
      <c r="E108" s="10">
        <f t="shared" si="6"/>
        <v>200000</v>
      </c>
      <c r="F108" s="28"/>
    </row>
    <row r="109" spans="1:6">
      <c r="A109" s="26"/>
      <c r="B109" s="14" t="s">
        <v>86</v>
      </c>
      <c r="C109" s="9">
        <v>1</v>
      </c>
      <c r="D109" s="10">
        <v>185000</v>
      </c>
      <c r="E109" s="10">
        <f t="shared" si="6"/>
        <v>185000</v>
      </c>
      <c r="F109" s="29"/>
    </row>
    <row r="110" spans="1:6">
      <c r="A110" s="24">
        <v>45968</v>
      </c>
      <c r="B110" s="14" t="s">
        <v>87</v>
      </c>
      <c r="C110" s="9">
        <v>2</v>
      </c>
      <c r="D110" s="10">
        <v>35000</v>
      </c>
      <c r="E110" s="10">
        <f t="shared" ref="E110:E131" si="7">SUM(C110*D110)</f>
        <v>70000</v>
      </c>
      <c r="F110" s="27">
        <f>SUM(E110:E130)</f>
        <v>871300</v>
      </c>
    </row>
    <row r="111" spans="1:6">
      <c r="A111" s="25"/>
      <c r="B111" s="14" t="s">
        <v>33</v>
      </c>
      <c r="C111" s="9">
        <v>0.4</v>
      </c>
      <c r="D111" s="10">
        <v>50000</v>
      </c>
      <c r="E111" s="10">
        <f t="shared" si="7"/>
        <v>20000</v>
      </c>
      <c r="F111" s="28"/>
    </row>
    <row r="112" spans="1:6">
      <c r="A112" s="25"/>
      <c r="B112" s="14" t="s">
        <v>35</v>
      </c>
      <c r="C112" s="9">
        <v>0.4</v>
      </c>
      <c r="D112" s="10">
        <v>61000</v>
      </c>
      <c r="E112" s="10">
        <f t="shared" si="7"/>
        <v>24400</v>
      </c>
      <c r="F112" s="28"/>
    </row>
    <row r="113" spans="1:6">
      <c r="A113" s="25"/>
      <c r="B113" s="14" t="s">
        <v>88</v>
      </c>
      <c r="C113" s="9">
        <v>1</v>
      </c>
      <c r="D113" s="10">
        <v>165000</v>
      </c>
      <c r="E113" s="10">
        <f t="shared" si="7"/>
        <v>165000</v>
      </c>
      <c r="F113" s="28"/>
    </row>
    <row r="114" spans="1:6">
      <c r="A114" s="25"/>
      <c r="B114" s="14" t="s">
        <v>66</v>
      </c>
      <c r="C114" s="9">
        <v>0.5</v>
      </c>
      <c r="D114" s="10">
        <v>72000</v>
      </c>
      <c r="E114" s="10">
        <f t="shared" si="7"/>
        <v>36000</v>
      </c>
      <c r="F114" s="28"/>
    </row>
    <row r="115" spans="1:6">
      <c r="A115" s="25"/>
      <c r="B115" s="14" t="s">
        <v>69</v>
      </c>
      <c r="C115" s="9">
        <v>0.3</v>
      </c>
      <c r="D115" s="10">
        <v>50000</v>
      </c>
      <c r="E115" s="10">
        <f t="shared" si="7"/>
        <v>15000</v>
      </c>
      <c r="F115" s="28"/>
    </row>
    <row r="116" spans="1:6">
      <c r="A116" s="25"/>
      <c r="B116" s="14" t="s">
        <v>83</v>
      </c>
      <c r="C116" s="9">
        <v>0.5</v>
      </c>
      <c r="D116" s="10">
        <v>50000</v>
      </c>
      <c r="E116" s="10">
        <f t="shared" si="7"/>
        <v>25000</v>
      </c>
      <c r="F116" s="28"/>
    </row>
    <row r="117" spans="1:6">
      <c r="A117" s="25"/>
      <c r="B117" s="14" t="s">
        <v>50</v>
      </c>
      <c r="C117" s="9">
        <v>0.1</v>
      </c>
      <c r="D117" s="10">
        <v>33000</v>
      </c>
      <c r="E117" s="10">
        <f t="shared" si="7"/>
        <v>3300</v>
      </c>
      <c r="F117" s="28"/>
    </row>
    <row r="118" spans="1:6">
      <c r="A118" s="25"/>
      <c r="B118" s="14" t="s">
        <v>52</v>
      </c>
      <c r="C118" s="9">
        <v>1</v>
      </c>
      <c r="D118" s="10">
        <v>31000</v>
      </c>
      <c r="E118" s="10">
        <f t="shared" si="7"/>
        <v>31000</v>
      </c>
      <c r="F118" s="28"/>
    </row>
    <row r="119" spans="1:6">
      <c r="A119" s="25"/>
      <c r="B119" s="14" t="s">
        <v>55</v>
      </c>
      <c r="C119" s="9">
        <v>1.5</v>
      </c>
      <c r="D119" s="10">
        <v>17000</v>
      </c>
      <c r="E119" s="10">
        <f t="shared" si="7"/>
        <v>25500</v>
      </c>
      <c r="F119" s="28"/>
    </row>
    <row r="120" spans="1:6">
      <c r="A120" s="25"/>
      <c r="B120" s="14" t="s">
        <v>15</v>
      </c>
      <c r="C120" s="9">
        <v>1</v>
      </c>
      <c r="D120" s="10">
        <v>28000</v>
      </c>
      <c r="E120" s="10">
        <f t="shared" si="7"/>
        <v>28000</v>
      </c>
      <c r="F120" s="28"/>
    </row>
    <row r="121" spans="1:6">
      <c r="A121" s="25"/>
      <c r="B121" s="14" t="s">
        <v>89</v>
      </c>
      <c r="C121" s="9">
        <v>0.5</v>
      </c>
      <c r="D121" s="10">
        <v>83000</v>
      </c>
      <c r="E121" s="10">
        <f t="shared" si="7"/>
        <v>41500</v>
      </c>
      <c r="F121" s="28"/>
    </row>
    <row r="122" spans="1:6">
      <c r="A122" s="25"/>
      <c r="B122" s="14" t="s">
        <v>90</v>
      </c>
      <c r="C122" s="9">
        <v>0.5</v>
      </c>
      <c r="D122" s="10">
        <v>94000</v>
      </c>
      <c r="E122" s="10">
        <f t="shared" si="7"/>
        <v>47000</v>
      </c>
      <c r="F122" s="28"/>
    </row>
    <row r="123" spans="1:6">
      <c r="A123" s="25"/>
      <c r="B123" s="14" t="s">
        <v>77</v>
      </c>
      <c r="C123" s="9">
        <v>0.5</v>
      </c>
      <c r="D123" s="10">
        <v>72000</v>
      </c>
      <c r="E123" s="10">
        <f t="shared" si="7"/>
        <v>36000</v>
      </c>
      <c r="F123" s="28"/>
    </row>
    <row r="124" spans="1:6">
      <c r="A124" s="25"/>
      <c r="B124" s="14" t="s">
        <v>30</v>
      </c>
      <c r="C124" s="9">
        <v>2</v>
      </c>
      <c r="D124" s="10">
        <v>10000</v>
      </c>
      <c r="E124" s="10">
        <f t="shared" si="7"/>
        <v>20000</v>
      </c>
      <c r="F124" s="28"/>
    </row>
    <row r="125" spans="1:6">
      <c r="A125" s="25"/>
      <c r="B125" s="14" t="s">
        <v>56</v>
      </c>
      <c r="C125" s="9">
        <v>0.1</v>
      </c>
      <c r="D125" s="10">
        <v>88000</v>
      </c>
      <c r="E125" s="10">
        <f t="shared" si="7"/>
        <v>8800</v>
      </c>
      <c r="F125" s="28"/>
    </row>
    <row r="126" spans="1:6">
      <c r="A126" s="25"/>
      <c r="B126" s="14" t="s">
        <v>54</v>
      </c>
      <c r="C126" s="9">
        <v>0.1</v>
      </c>
      <c r="D126" s="10">
        <v>72000</v>
      </c>
      <c r="E126" s="10">
        <f t="shared" si="7"/>
        <v>7200</v>
      </c>
      <c r="F126" s="28"/>
    </row>
    <row r="127" spans="1:6">
      <c r="A127" s="25"/>
      <c r="B127" s="14" t="s">
        <v>25</v>
      </c>
      <c r="C127" s="9">
        <v>2</v>
      </c>
      <c r="D127" s="10">
        <v>39000</v>
      </c>
      <c r="E127" s="10">
        <f t="shared" si="7"/>
        <v>78000</v>
      </c>
      <c r="F127" s="28"/>
    </row>
    <row r="128" spans="1:6">
      <c r="A128" s="25"/>
      <c r="B128" s="14" t="s">
        <v>27</v>
      </c>
      <c r="C128" s="9">
        <v>1</v>
      </c>
      <c r="D128" s="10">
        <v>39000</v>
      </c>
      <c r="E128" s="10">
        <f t="shared" si="7"/>
        <v>39000</v>
      </c>
      <c r="F128" s="28"/>
    </row>
    <row r="129" spans="1:6">
      <c r="A129" s="25"/>
      <c r="B129" s="14" t="s">
        <v>91</v>
      </c>
      <c r="C129" s="9">
        <v>2</v>
      </c>
      <c r="D129" s="10">
        <v>39000</v>
      </c>
      <c r="E129" s="10">
        <f t="shared" si="7"/>
        <v>78000</v>
      </c>
      <c r="F129" s="28"/>
    </row>
    <row r="130" spans="1:6">
      <c r="A130" s="26"/>
      <c r="B130" s="14" t="s">
        <v>63</v>
      </c>
      <c r="C130" s="9">
        <v>3.3</v>
      </c>
      <c r="D130" s="10">
        <v>22000</v>
      </c>
      <c r="E130" s="10">
        <f t="shared" si="7"/>
        <v>72600</v>
      </c>
      <c r="F130" s="29"/>
    </row>
    <row r="131" spans="1:6">
      <c r="A131" s="24">
        <v>45968</v>
      </c>
      <c r="B131" s="14" t="s">
        <v>40</v>
      </c>
      <c r="C131" s="9">
        <v>5</v>
      </c>
      <c r="D131" s="10">
        <v>25000</v>
      </c>
      <c r="E131" s="10">
        <f t="shared" si="7"/>
        <v>125000</v>
      </c>
      <c r="F131" s="27">
        <f>SUM(E131:E138)</f>
        <v>830720</v>
      </c>
    </row>
    <row r="132" spans="1:6">
      <c r="A132" s="25"/>
      <c r="B132" s="14" t="s">
        <v>92</v>
      </c>
      <c r="C132" s="9">
        <v>1</v>
      </c>
      <c r="D132" s="10">
        <v>145720</v>
      </c>
      <c r="E132" s="10">
        <f t="shared" ref="E132:E138" si="8">SUM(C132*D132)</f>
        <v>145720</v>
      </c>
      <c r="F132" s="28"/>
    </row>
    <row r="133" spans="1:6">
      <c r="A133" s="25"/>
      <c r="B133" s="14" t="s">
        <v>93</v>
      </c>
      <c r="C133" s="9">
        <v>3</v>
      </c>
      <c r="D133" s="10">
        <v>20000</v>
      </c>
      <c r="E133" s="10">
        <f t="shared" si="8"/>
        <v>60000</v>
      </c>
      <c r="F133" s="28"/>
    </row>
    <row r="134" spans="1:6">
      <c r="A134" s="25"/>
      <c r="B134" s="14" t="s">
        <v>24</v>
      </c>
      <c r="C134" s="9">
        <v>2</v>
      </c>
      <c r="D134" s="10">
        <v>25000</v>
      </c>
      <c r="E134" s="10">
        <f t="shared" si="8"/>
        <v>50000</v>
      </c>
      <c r="F134" s="28"/>
    </row>
    <row r="135" spans="1:6">
      <c r="A135" s="25"/>
      <c r="B135" s="14" t="s">
        <v>94</v>
      </c>
      <c r="C135" s="9">
        <v>0.5</v>
      </c>
      <c r="D135" s="10">
        <v>200000</v>
      </c>
      <c r="E135" s="10">
        <f t="shared" si="8"/>
        <v>100000</v>
      </c>
      <c r="F135" s="28"/>
    </row>
    <row r="136" spans="1:6">
      <c r="A136" s="25"/>
      <c r="B136" s="14" t="s">
        <v>95</v>
      </c>
      <c r="C136" s="9">
        <v>0.5</v>
      </c>
      <c r="D136" s="10">
        <v>100000</v>
      </c>
      <c r="E136" s="10">
        <f t="shared" si="8"/>
        <v>50000</v>
      </c>
      <c r="F136" s="28"/>
    </row>
    <row r="137" spans="1:6">
      <c r="A137" s="25"/>
      <c r="B137" s="14" t="s">
        <v>96</v>
      </c>
      <c r="C137" s="9">
        <v>3</v>
      </c>
      <c r="D137" s="10">
        <v>50000</v>
      </c>
      <c r="E137" s="10">
        <f t="shared" si="8"/>
        <v>150000</v>
      </c>
      <c r="F137" s="28"/>
    </row>
    <row r="138" spans="1:6">
      <c r="A138" s="26"/>
      <c r="B138" s="14" t="s">
        <v>97</v>
      </c>
      <c r="C138" s="9">
        <v>3</v>
      </c>
      <c r="D138" s="10">
        <v>50000</v>
      </c>
      <c r="E138" s="10">
        <f t="shared" si="8"/>
        <v>150000</v>
      </c>
      <c r="F138" s="29"/>
    </row>
    <row r="139" spans="1:6">
      <c r="A139" s="24">
        <v>45969</v>
      </c>
      <c r="B139" s="14" t="s">
        <v>66</v>
      </c>
      <c r="C139" s="9">
        <v>0.5</v>
      </c>
      <c r="D139" s="10">
        <v>72000</v>
      </c>
      <c r="E139" s="10">
        <f t="shared" ref="E139:E157" si="9">SUM(C139*D139)</f>
        <v>36000</v>
      </c>
      <c r="F139" s="27">
        <f>SUM(E139:E157)</f>
        <v>1653700</v>
      </c>
    </row>
    <row r="140" spans="1:6">
      <c r="A140" s="25"/>
      <c r="B140" s="14" t="s">
        <v>81</v>
      </c>
      <c r="C140" s="9">
        <v>1</v>
      </c>
      <c r="D140" s="10">
        <v>50000</v>
      </c>
      <c r="E140" s="10">
        <f t="shared" si="9"/>
        <v>50000</v>
      </c>
      <c r="F140" s="28"/>
    </row>
    <row r="141" spans="1:6">
      <c r="A141" s="25"/>
      <c r="B141" s="14" t="s">
        <v>33</v>
      </c>
      <c r="C141" s="9">
        <v>0.4</v>
      </c>
      <c r="D141" s="10">
        <v>50000</v>
      </c>
      <c r="E141" s="10">
        <f t="shared" si="9"/>
        <v>20000</v>
      </c>
      <c r="F141" s="28"/>
    </row>
    <row r="142" spans="1:6">
      <c r="A142" s="25"/>
      <c r="B142" s="14" t="s">
        <v>35</v>
      </c>
      <c r="C142" s="9">
        <v>0.4</v>
      </c>
      <c r="D142" s="10">
        <v>61000</v>
      </c>
      <c r="E142" s="10">
        <f t="shared" si="9"/>
        <v>24400</v>
      </c>
      <c r="F142" s="28"/>
    </row>
    <row r="143" spans="1:6">
      <c r="A143" s="25"/>
      <c r="B143" s="14" t="s">
        <v>68</v>
      </c>
      <c r="C143" s="9">
        <v>25</v>
      </c>
      <c r="D143" s="10">
        <v>1000</v>
      </c>
      <c r="E143" s="10">
        <f t="shared" si="9"/>
        <v>25000</v>
      </c>
      <c r="F143" s="28"/>
    </row>
    <row r="144" spans="1:6">
      <c r="A144" s="25"/>
      <c r="B144" s="14" t="s">
        <v>59</v>
      </c>
      <c r="C144" s="9">
        <v>1</v>
      </c>
      <c r="D144" s="10">
        <v>30000</v>
      </c>
      <c r="E144" s="10">
        <f t="shared" si="9"/>
        <v>30000</v>
      </c>
      <c r="F144" s="28"/>
    </row>
    <row r="145" spans="1:6">
      <c r="A145" s="25"/>
      <c r="B145" s="14" t="s">
        <v>25</v>
      </c>
      <c r="C145" s="9">
        <v>1</v>
      </c>
      <c r="D145" s="10">
        <v>39000</v>
      </c>
      <c r="E145" s="10">
        <f t="shared" si="9"/>
        <v>39000</v>
      </c>
      <c r="F145" s="28"/>
    </row>
    <row r="146" spans="1:6">
      <c r="A146" s="25"/>
      <c r="B146" s="14" t="s">
        <v>27</v>
      </c>
      <c r="C146" s="9">
        <v>1</v>
      </c>
      <c r="D146" s="10">
        <v>39000</v>
      </c>
      <c r="E146" s="10">
        <f t="shared" si="9"/>
        <v>39000</v>
      </c>
      <c r="F146" s="28"/>
    </row>
    <row r="147" spans="1:6">
      <c r="A147" s="25"/>
      <c r="B147" s="14" t="s">
        <v>44</v>
      </c>
      <c r="C147" s="9">
        <v>2.6</v>
      </c>
      <c r="D147" s="10">
        <v>22000</v>
      </c>
      <c r="E147" s="10">
        <f t="shared" si="9"/>
        <v>57200</v>
      </c>
      <c r="F147" s="28"/>
    </row>
    <row r="148" spans="1:6">
      <c r="A148" s="25"/>
      <c r="B148" s="14" t="s">
        <v>37</v>
      </c>
      <c r="C148" s="9">
        <v>2</v>
      </c>
      <c r="D148" s="10">
        <v>80000</v>
      </c>
      <c r="E148" s="10">
        <f t="shared" si="9"/>
        <v>160000</v>
      </c>
      <c r="F148" s="28"/>
    </row>
    <row r="149" spans="1:6">
      <c r="A149" s="25"/>
      <c r="B149" s="14" t="s">
        <v>74</v>
      </c>
      <c r="C149" s="9">
        <v>2</v>
      </c>
      <c r="D149" s="10">
        <v>75000</v>
      </c>
      <c r="E149" s="10">
        <f t="shared" si="9"/>
        <v>150000</v>
      </c>
      <c r="F149" s="28"/>
    </row>
    <row r="150" spans="1:6">
      <c r="A150" s="25"/>
      <c r="B150" s="14" t="s">
        <v>98</v>
      </c>
      <c r="C150" s="9">
        <v>2</v>
      </c>
      <c r="D150" s="10">
        <v>30000</v>
      </c>
      <c r="E150" s="10">
        <f t="shared" si="9"/>
        <v>60000</v>
      </c>
      <c r="F150" s="28"/>
    </row>
    <row r="151" spans="1:6">
      <c r="A151" s="25"/>
      <c r="B151" s="14" t="s">
        <v>19</v>
      </c>
      <c r="C151" s="9">
        <v>5</v>
      </c>
      <c r="D151" s="10">
        <v>24000</v>
      </c>
      <c r="E151" s="10">
        <f t="shared" si="9"/>
        <v>120000</v>
      </c>
      <c r="F151" s="28"/>
    </row>
    <row r="152" spans="1:6">
      <c r="A152" s="25"/>
      <c r="B152" s="14" t="s">
        <v>46</v>
      </c>
      <c r="C152" s="9">
        <v>5</v>
      </c>
      <c r="D152" s="10">
        <v>66000</v>
      </c>
      <c r="E152" s="10">
        <f t="shared" si="9"/>
        <v>330000</v>
      </c>
      <c r="F152" s="28"/>
    </row>
    <row r="153" spans="1:6">
      <c r="A153" s="25"/>
      <c r="B153" s="14" t="s">
        <v>99</v>
      </c>
      <c r="C153" s="9">
        <v>1</v>
      </c>
      <c r="D153" s="10">
        <v>450000</v>
      </c>
      <c r="E153" s="10">
        <f t="shared" si="9"/>
        <v>450000</v>
      </c>
      <c r="F153" s="28"/>
    </row>
    <row r="154" spans="1:6">
      <c r="A154" s="25"/>
      <c r="B154" s="14" t="s">
        <v>83</v>
      </c>
      <c r="C154" s="9">
        <v>0.5</v>
      </c>
      <c r="D154" s="10">
        <v>50000</v>
      </c>
      <c r="E154" s="10">
        <f t="shared" si="9"/>
        <v>25000</v>
      </c>
      <c r="F154" s="28"/>
    </row>
    <row r="155" spans="1:6">
      <c r="A155" s="25"/>
      <c r="B155" s="14" t="s">
        <v>50</v>
      </c>
      <c r="C155" s="9">
        <v>0.1</v>
      </c>
      <c r="D155" s="10">
        <v>33000</v>
      </c>
      <c r="E155" s="10">
        <f t="shared" si="9"/>
        <v>3300</v>
      </c>
      <c r="F155" s="28"/>
    </row>
    <row r="156" spans="1:6">
      <c r="A156" s="25"/>
      <c r="B156" s="14" t="s">
        <v>13</v>
      </c>
      <c r="C156" s="9">
        <v>0.3</v>
      </c>
      <c r="D156" s="10">
        <v>55000</v>
      </c>
      <c r="E156" s="10">
        <f t="shared" si="9"/>
        <v>16500</v>
      </c>
      <c r="F156" s="28"/>
    </row>
    <row r="157" spans="1:6">
      <c r="A157" s="26"/>
      <c r="B157" s="14" t="s">
        <v>10</v>
      </c>
      <c r="C157" s="9">
        <v>0.3</v>
      </c>
      <c r="D157" s="10">
        <v>61000</v>
      </c>
      <c r="E157" s="10">
        <f t="shared" si="9"/>
        <v>18300</v>
      </c>
      <c r="F157" s="29"/>
    </row>
    <row r="158" spans="1:6">
      <c r="A158" s="24">
        <v>45970</v>
      </c>
      <c r="B158" s="14" t="s">
        <v>100</v>
      </c>
      <c r="C158" s="9">
        <v>1</v>
      </c>
      <c r="D158" s="10">
        <v>80000</v>
      </c>
      <c r="E158" s="10">
        <f t="shared" ref="E158:E175" si="10">SUM(C158*D158)</f>
        <v>80000</v>
      </c>
      <c r="F158" s="27">
        <f>SUM(E158:E175)</f>
        <v>968650</v>
      </c>
    </row>
    <row r="159" spans="1:6">
      <c r="A159" s="25"/>
      <c r="B159" s="14" t="s">
        <v>61</v>
      </c>
      <c r="C159" s="9">
        <v>0.3</v>
      </c>
      <c r="D159" s="10">
        <v>72000</v>
      </c>
      <c r="E159" s="10">
        <f t="shared" si="10"/>
        <v>21600</v>
      </c>
      <c r="F159" s="28"/>
    </row>
    <row r="160" spans="1:6">
      <c r="A160" s="25"/>
      <c r="B160" s="14" t="s">
        <v>51</v>
      </c>
      <c r="C160" s="9">
        <v>0.1</v>
      </c>
      <c r="D160" s="10">
        <v>83000</v>
      </c>
      <c r="E160" s="10">
        <f t="shared" si="10"/>
        <v>8300</v>
      </c>
      <c r="F160" s="28"/>
    </row>
    <row r="161" spans="1:8">
      <c r="A161" s="25"/>
      <c r="B161" s="14" t="s">
        <v>7</v>
      </c>
      <c r="C161" s="9">
        <v>7.0000000000000007E-2</v>
      </c>
      <c r="D161" s="10">
        <v>110000</v>
      </c>
      <c r="E161" s="10">
        <f t="shared" si="10"/>
        <v>7700</v>
      </c>
      <c r="F161" s="28"/>
    </row>
    <row r="162" spans="1:8">
      <c r="A162" s="25"/>
      <c r="B162" s="14" t="s">
        <v>101</v>
      </c>
      <c r="C162" s="9">
        <v>0.05</v>
      </c>
      <c r="D162" s="10">
        <v>198000</v>
      </c>
      <c r="E162" s="10">
        <f t="shared" si="10"/>
        <v>9900</v>
      </c>
      <c r="F162" s="28"/>
    </row>
    <row r="163" spans="1:8">
      <c r="A163" s="25"/>
      <c r="B163" s="14" t="s">
        <v>50</v>
      </c>
      <c r="C163" s="9">
        <v>0.15</v>
      </c>
      <c r="D163" s="10">
        <v>33000</v>
      </c>
      <c r="E163" s="10">
        <f t="shared" si="10"/>
        <v>4950</v>
      </c>
      <c r="F163" s="28"/>
    </row>
    <row r="164" spans="1:8">
      <c r="A164" s="25"/>
      <c r="B164" s="14" t="s">
        <v>85</v>
      </c>
      <c r="C164" s="9">
        <v>1</v>
      </c>
      <c r="D164" s="10">
        <v>200000</v>
      </c>
      <c r="E164" s="10">
        <f t="shared" si="10"/>
        <v>200000</v>
      </c>
      <c r="F164" s="28"/>
    </row>
    <row r="165" spans="1:8">
      <c r="A165" s="25"/>
      <c r="B165" s="14" t="s">
        <v>55</v>
      </c>
      <c r="C165" s="9">
        <v>1</v>
      </c>
      <c r="D165" s="10">
        <v>17000</v>
      </c>
      <c r="E165" s="10">
        <f t="shared" si="10"/>
        <v>17000</v>
      </c>
      <c r="F165" s="28"/>
    </row>
    <row r="166" spans="1:8">
      <c r="A166" s="25"/>
      <c r="B166" s="14" t="s">
        <v>72</v>
      </c>
      <c r="C166" s="9">
        <v>5</v>
      </c>
      <c r="D166" s="10">
        <v>25000</v>
      </c>
      <c r="E166" s="10">
        <f t="shared" si="10"/>
        <v>125000</v>
      </c>
      <c r="F166" s="28"/>
      <c r="H166" s="13"/>
    </row>
    <row r="167" spans="1:8">
      <c r="A167" s="25"/>
      <c r="B167" s="14" t="s">
        <v>102</v>
      </c>
      <c r="C167" s="9">
        <v>3</v>
      </c>
      <c r="D167" s="10">
        <v>25000</v>
      </c>
      <c r="E167" s="10">
        <f t="shared" si="10"/>
        <v>75000</v>
      </c>
      <c r="F167" s="28"/>
    </row>
    <row r="168" spans="1:8">
      <c r="A168" s="25"/>
      <c r="B168" s="14" t="s">
        <v>65</v>
      </c>
      <c r="C168" s="9">
        <v>3</v>
      </c>
      <c r="D168" s="10">
        <v>55000</v>
      </c>
      <c r="E168" s="10">
        <f t="shared" si="10"/>
        <v>165000</v>
      </c>
      <c r="F168" s="28"/>
    </row>
    <row r="169" spans="1:8">
      <c r="A169" s="25"/>
      <c r="B169" s="14" t="s">
        <v>103</v>
      </c>
      <c r="C169" s="9">
        <v>0.5</v>
      </c>
      <c r="D169" s="10">
        <v>150000</v>
      </c>
      <c r="E169" s="10">
        <f t="shared" si="10"/>
        <v>75000</v>
      </c>
      <c r="F169" s="28"/>
    </row>
    <row r="170" spans="1:8">
      <c r="A170" s="25"/>
      <c r="B170" s="14" t="s">
        <v>40</v>
      </c>
      <c r="C170" s="9">
        <v>3</v>
      </c>
      <c r="D170" s="10">
        <v>25000</v>
      </c>
      <c r="E170" s="10">
        <f t="shared" si="10"/>
        <v>75000</v>
      </c>
      <c r="F170" s="28"/>
    </row>
    <row r="171" spans="1:8">
      <c r="A171" s="25"/>
      <c r="B171" s="14" t="s">
        <v>28</v>
      </c>
      <c r="C171" s="9">
        <v>0.3</v>
      </c>
      <c r="D171" s="10">
        <v>83000</v>
      </c>
      <c r="E171" s="10">
        <f t="shared" si="10"/>
        <v>24900</v>
      </c>
      <c r="F171" s="28"/>
    </row>
    <row r="172" spans="1:8">
      <c r="A172" s="25"/>
      <c r="B172" s="14" t="s">
        <v>81</v>
      </c>
      <c r="C172" s="9">
        <v>0.5</v>
      </c>
      <c r="D172" s="10">
        <v>44000</v>
      </c>
      <c r="E172" s="10">
        <f t="shared" si="10"/>
        <v>22000</v>
      </c>
      <c r="F172" s="28"/>
    </row>
    <row r="173" spans="1:8">
      <c r="A173" s="25"/>
      <c r="B173" s="14" t="s">
        <v>104</v>
      </c>
      <c r="C173" s="9">
        <v>0.3</v>
      </c>
      <c r="D173" s="10">
        <v>61000</v>
      </c>
      <c r="E173" s="10">
        <f t="shared" si="10"/>
        <v>18300</v>
      </c>
      <c r="F173" s="28"/>
    </row>
    <row r="174" spans="1:8">
      <c r="A174" s="25"/>
      <c r="B174" s="14" t="s">
        <v>68</v>
      </c>
      <c r="C174" s="9">
        <v>30</v>
      </c>
      <c r="D174" s="10">
        <v>1000</v>
      </c>
      <c r="E174" s="10">
        <f t="shared" si="10"/>
        <v>30000</v>
      </c>
      <c r="F174" s="28"/>
    </row>
    <row r="175" spans="1:8">
      <c r="A175" s="26"/>
      <c r="B175" s="14" t="s">
        <v>53</v>
      </c>
      <c r="C175" s="9">
        <v>1</v>
      </c>
      <c r="D175" s="10">
        <v>9000</v>
      </c>
      <c r="E175" s="10">
        <f t="shared" si="10"/>
        <v>9000</v>
      </c>
      <c r="F175" s="29"/>
    </row>
    <row r="176" spans="1:8">
      <c r="A176" s="24">
        <v>45971</v>
      </c>
      <c r="B176" s="14" t="s">
        <v>7</v>
      </c>
      <c r="C176" s="9">
        <v>0.1</v>
      </c>
      <c r="D176" s="10">
        <v>110000</v>
      </c>
      <c r="E176" s="10">
        <f t="shared" ref="E176:E199" si="11">SUM(C176*D176)</f>
        <v>11000</v>
      </c>
      <c r="F176" s="27">
        <f>SUM(E176:E197)</f>
        <v>1491500</v>
      </c>
    </row>
    <row r="177" spans="1:6">
      <c r="A177" s="25"/>
      <c r="B177" s="14" t="s">
        <v>51</v>
      </c>
      <c r="C177" s="9">
        <v>0.1</v>
      </c>
      <c r="D177" s="10">
        <v>83000</v>
      </c>
      <c r="E177" s="10">
        <f t="shared" si="11"/>
        <v>8300</v>
      </c>
      <c r="F177" s="28"/>
    </row>
    <row r="178" spans="1:6">
      <c r="A178" s="25"/>
      <c r="B178" s="14" t="s">
        <v>71</v>
      </c>
      <c r="C178" s="9">
        <v>0.1</v>
      </c>
      <c r="D178" s="10">
        <v>72000</v>
      </c>
      <c r="E178" s="10">
        <f t="shared" si="11"/>
        <v>7200</v>
      </c>
      <c r="F178" s="28"/>
    </row>
    <row r="179" spans="1:6">
      <c r="A179" s="25"/>
      <c r="B179" s="14" t="s">
        <v>55</v>
      </c>
      <c r="C179" s="9">
        <v>1.5</v>
      </c>
      <c r="D179" s="10">
        <v>15000</v>
      </c>
      <c r="E179" s="10">
        <f t="shared" si="11"/>
        <v>22500</v>
      </c>
      <c r="F179" s="28"/>
    </row>
    <row r="180" spans="1:6">
      <c r="A180" s="25"/>
      <c r="B180" s="14" t="s">
        <v>77</v>
      </c>
      <c r="C180" s="9">
        <v>0.5</v>
      </c>
      <c r="D180" s="10">
        <v>72000</v>
      </c>
      <c r="E180" s="10">
        <f t="shared" si="11"/>
        <v>36000</v>
      </c>
      <c r="F180" s="28"/>
    </row>
    <row r="181" spans="1:6">
      <c r="A181" s="25"/>
      <c r="B181" s="14" t="s">
        <v>89</v>
      </c>
      <c r="C181" s="9">
        <v>0.5</v>
      </c>
      <c r="D181" s="10">
        <v>83000</v>
      </c>
      <c r="E181" s="10">
        <f t="shared" si="11"/>
        <v>41500</v>
      </c>
      <c r="F181" s="28"/>
    </row>
    <row r="182" spans="1:6">
      <c r="A182" s="25"/>
      <c r="B182" s="14" t="s">
        <v>15</v>
      </c>
      <c r="C182" s="9">
        <v>2</v>
      </c>
      <c r="D182" s="10">
        <v>28000</v>
      </c>
      <c r="E182" s="10">
        <f t="shared" si="11"/>
        <v>56000</v>
      </c>
      <c r="F182" s="28"/>
    </row>
    <row r="183" spans="1:6">
      <c r="A183" s="25"/>
      <c r="B183" s="14" t="s">
        <v>76</v>
      </c>
      <c r="C183" s="9">
        <v>4</v>
      </c>
      <c r="D183" s="10">
        <v>50000</v>
      </c>
      <c r="E183" s="10">
        <f t="shared" si="11"/>
        <v>200000</v>
      </c>
      <c r="F183" s="28"/>
    </row>
    <row r="184" spans="1:6">
      <c r="A184" s="25"/>
      <c r="B184" s="14" t="s">
        <v>75</v>
      </c>
      <c r="C184" s="9">
        <v>3</v>
      </c>
      <c r="D184" s="10">
        <v>25000</v>
      </c>
      <c r="E184" s="10">
        <f t="shared" si="11"/>
        <v>75000</v>
      </c>
      <c r="F184" s="28"/>
    </row>
    <row r="185" spans="1:6">
      <c r="A185" s="25"/>
      <c r="B185" s="14" t="s">
        <v>46</v>
      </c>
      <c r="C185" s="9">
        <v>5</v>
      </c>
      <c r="D185" s="10">
        <v>66000</v>
      </c>
      <c r="E185" s="10">
        <f t="shared" si="11"/>
        <v>330000</v>
      </c>
      <c r="F185" s="28"/>
    </row>
    <row r="186" spans="1:6">
      <c r="A186" s="25"/>
      <c r="B186" s="14" t="s">
        <v>19</v>
      </c>
      <c r="C186" s="9">
        <v>5</v>
      </c>
      <c r="D186" s="10">
        <v>24000</v>
      </c>
      <c r="E186" s="10">
        <f t="shared" si="11"/>
        <v>120000</v>
      </c>
      <c r="F186" s="28"/>
    </row>
    <row r="187" spans="1:6">
      <c r="A187" s="25"/>
      <c r="B187" s="8" t="s">
        <v>105</v>
      </c>
      <c r="C187" s="9">
        <v>5</v>
      </c>
      <c r="D187" s="10">
        <v>20000</v>
      </c>
      <c r="E187" s="10">
        <f t="shared" si="11"/>
        <v>100000</v>
      </c>
      <c r="F187" s="28"/>
    </row>
    <row r="188" spans="1:6">
      <c r="A188" s="25"/>
      <c r="B188" s="8" t="s">
        <v>63</v>
      </c>
      <c r="C188" s="9">
        <v>2</v>
      </c>
      <c r="D188" s="10">
        <v>22000</v>
      </c>
      <c r="E188" s="10">
        <f t="shared" si="11"/>
        <v>44000</v>
      </c>
      <c r="F188" s="28"/>
    </row>
    <row r="189" spans="1:6">
      <c r="A189" s="25"/>
      <c r="B189" s="8" t="s">
        <v>65</v>
      </c>
      <c r="C189" s="9">
        <v>1</v>
      </c>
      <c r="D189" s="10">
        <v>55000</v>
      </c>
      <c r="E189" s="10">
        <f t="shared" si="11"/>
        <v>55000</v>
      </c>
      <c r="F189" s="28"/>
    </row>
    <row r="190" spans="1:6">
      <c r="A190" s="25"/>
      <c r="B190" s="14" t="s">
        <v>25</v>
      </c>
      <c r="C190" s="9">
        <v>2</v>
      </c>
      <c r="D190" s="10">
        <v>39000</v>
      </c>
      <c r="E190" s="10">
        <f t="shared" si="11"/>
        <v>78000</v>
      </c>
      <c r="F190" s="28"/>
    </row>
    <row r="191" spans="1:6">
      <c r="A191" s="25"/>
      <c r="B191" s="14" t="s">
        <v>30</v>
      </c>
      <c r="C191" s="9">
        <v>4</v>
      </c>
      <c r="D191" s="10">
        <v>10000</v>
      </c>
      <c r="E191" s="10">
        <f t="shared" si="11"/>
        <v>40000</v>
      </c>
      <c r="F191" s="28"/>
    </row>
    <row r="192" spans="1:6">
      <c r="A192" s="25"/>
      <c r="B192" s="14" t="s">
        <v>9</v>
      </c>
      <c r="C192" s="9">
        <v>5</v>
      </c>
      <c r="D192" s="10">
        <v>15000</v>
      </c>
      <c r="E192" s="10">
        <f t="shared" si="11"/>
        <v>75000</v>
      </c>
      <c r="F192" s="28"/>
    </row>
    <row r="193" spans="1:7">
      <c r="A193" s="25"/>
      <c r="B193" s="14" t="s">
        <v>106</v>
      </c>
      <c r="C193" s="9">
        <v>2</v>
      </c>
      <c r="D193" s="10">
        <v>50000</v>
      </c>
      <c r="E193" s="10">
        <f t="shared" si="11"/>
        <v>100000</v>
      </c>
      <c r="F193" s="28"/>
    </row>
    <row r="194" spans="1:7">
      <c r="A194" s="25"/>
      <c r="B194" s="14" t="s">
        <v>18</v>
      </c>
      <c r="C194" s="9">
        <v>0.2</v>
      </c>
      <c r="D194" s="10">
        <v>50000</v>
      </c>
      <c r="E194" s="10">
        <f t="shared" si="11"/>
        <v>10000</v>
      </c>
      <c r="F194" s="28"/>
    </row>
    <row r="195" spans="1:7">
      <c r="A195" s="25"/>
      <c r="B195" s="14" t="s">
        <v>28</v>
      </c>
      <c r="C195" s="9">
        <v>0.2</v>
      </c>
      <c r="D195" s="10">
        <v>120000</v>
      </c>
      <c r="E195" s="10">
        <f t="shared" si="11"/>
        <v>24000</v>
      </c>
      <c r="F195" s="28"/>
    </row>
    <row r="196" spans="1:7">
      <c r="A196" s="25"/>
      <c r="B196" s="14" t="s">
        <v>66</v>
      </c>
      <c r="C196" s="9">
        <v>0.5</v>
      </c>
      <c r="D196" s="10">
        <v>80000</v>
      </c>
      <c r="E196" s="10">
        <f t="shared" si="11"/>
        <v>40000</v>
      </c>
      <c r="F196" s="28"/>
    </row>
    <row r="197" spans="1:7">
      <c r="A197" s="26"/>
      <c r="B197" s="14" t="s">
        <v>69</v>
      </c>
      <c r="C197" s="9">
        <v>0.3</v>
      </c>
      <c r="D197" s="10">
        <v>60000</v>
      </c>
      <c r="E197" s="10">
        <f t="shared" si="11"/>
        <v>18000</v>
      </c>
      <c r="F197" s="29"/>
    </row>
    <row r="198" spans="1:7">
      <c r="A198" s="24">
        <v>45971</v>
      </c>
      <c r="B198" s="14" t="s">
        <v>107</v>
      </c>
      <c r="C198" s="9">
        <v>1</v>
      </c>
      <c r="D198" s="10">
        <v>60000</v>
      </c>
      <c r="E198" s="10">
        <f t="shared" si="11"/>
        <v>60000</v>
      </c>
      <c r="F198" s="27">
        <f>SUM(E198:E199)</f>
        <v>120000</v>
      </c>
    </row>
    <row r="199" spans="1:7">
      <c r="A199" s="26"/>
      <c r="B199" s="14" t="s">
        <v>62</v>
      </c>
      <c r="C199" s="9">
        <v>2</v>
      </c>
      <c r="D199" s="10">
        <v>30000</v>
      </c>
      <c r="E199" s="10">
        <f t="shared" si="11"/>
        <v>60000</v>
      </c>
      <c r="F199" s="29"/>
    </row>
    <row r="200" spans="1:7">
      <c r="A200" s="24">
        <v>45972</v>
      </c>
      <c r="B200" s="14" t="s">
        <v>63</v>
      </c>
      <c r="C200" s="9">
        <v>4.5</v>
      </c>
      <c r="D200" s="10">
        <v>22000</v>
      </c>
      <c r="E200" s="10">
        <f t="shared" ref="E200:E221" si="12">SUM(C200*D200)</f>
        <v>99000</v>
      </c>
      <c r="F200" s="27">
        <f>SUM(E200:E221)</f>
        <v>2101900</v>
      </c>
    </row>
    <row r="201" spans="1:7">
      <c r="A201" s="25"/>
      <c r="B201" s="14" t="s">
        <v>24</v>
      </c>
      <c r="C201" s="9">
        <v>2</v>
      </c>
      <c r="D201" s="10">
        <v>25000</v>
      </c>
      <c r="E201" s="10">
        <f t="shared" si="12"/>
        <v>50000</v>
      </c>
      <c r="F201" s="28"/>
    </row>
    <row r="202" spans="1:7">
      <c r="A202" s="25"/>
      <c r="B202" s="14" t="s">
        <v>108</v>
      </c>
      <c r="C202" s="9">
        <v>1</v>
      </c>
      <c r="D202" s="10">
        <v>480000</v>
      </c>
      <c r="E202" s="10">
        <f t="shared" si="12"/>
        <v>480000</v>
      </c>
      <c r="F202" s="28"/>
      <c r="G202" s="13"/>
    </row>
    <row r="203" spans="1:7">
      <c r="A203" s="25"/>
      <c r="B203" s="14" t="s">
        <v>46</v>
      </c>
      <c r="C203" s="9">
        <v>3</v>
      </c>
      <c r="D203" s="10">
        <v>66000</v>
      </c>
      <c r="E203" s="10">
        <f t="shared" si="12"/>
        <v>198000</v>
      </c>
      <c r="F203" s="28"/>
    </row>
    <row r="204" spans="1:7">
      <c r="A204" s="25"/>
      <c r="B204" s="14" t="s">
        <v>19</v>
      </c>
      <c r="C204" s="9">
        <v>10</v>
      </c>
      <c r="D204" s="10">
        <v>24000</v>
      </c>
      <c r="E204" s="10">
        <f t="shared" si="12"/>
        <v>240000</v>
      </c>
      <c r="F204" s="28"/>
    </row>
    <row r="205" spans="1:7">
      <c r="A205" s="25"/>
      <c r="B205" s="14" t="s">
        <v>109</v>
      </c>
      <c r="C205" s="9">
        <v>2</v>
      </c>
      <c r="D205" s="10">
        <v>120000</v>
      </c>
      <c r="E205" s="10">
        <f t="shared" si="12"/>
        <v>240000</v>
      </c>
      <c r="F205" s="28"/>
    </row>
    <row r="206" spans="1:7">
      <c r="A206" s="25"/>
      <c r="B206" s="14" t="s">
        <v>60</v>
      </c>
      <c r="C206" s="9">
        <v>2</v>
      </c>
      <c r="D206" s="10">
        <v>125000</v>
      </c>
      <c r="E206" s="10">
        <f t="shared" si="12"/>
        <v>250000</v>
      </c>
      <c r="F206" s="28"/>
    </row>
    <row r="207" spans="1:7">
      <c r="A207" s="25"/>
      <c r="B207" s="14" t="s">
        <v>10</v>
      </c>
      <c r="C207" s="9">
        <v>0.3</v>
      </c>
      <c r="D207" s="10">
        <v>61000</v>
      </c>
      <c r="E207" s="10">
        <f t="shared" si="12"/>
        <v>18300</v>
      </c>
      <c r="F207" s="28"/>
    </row>
    <row r="208" spans="1:7">
      <c r="A208" s="25"/>
      <c r="B208" s="14" t="s">
        <v>83</v>
      </c>
      <c r="C208" s="9">
        <v>0.5</v>
      </c>
      <c r="D208" s="10">
        <v>50000</v>
      </c>
      <c r="E208" s="10">
        <f t="shared" si="12"/>
        <v>25000</v>
      </c>
      <c r="F208" s="28"/>
    </row>
    <row r="209" spans="1:6">
      <c r="A209" s="25"/>
      <c r="B209" s="14" t="s">
        <v>110</v>
      </c>
      <c r="C209" s="9">
        <v>0.05</v>
      </c>
      <c r="D209" s="10">
        <v>132000</v>
      </c>
      <c r="E209" s="10">
        <f t="shared" si="12"/>
        <v>6600</v>
      </c>
      <c r="F209" s="28"/>
    </row>
    <row r="210" spans="1:6">
      <c r="A210" s="25"/>
      <c r="B210" s="14" t="s">
        <v>50</v>
      </c>
      <c r="C210" s="9">
        <v>0.1</v>
      </c>
      <c r="D210" s="10">
        <v>33000</v>
      </c>
      <c r="E210" s="10">
        <f t="shared" si="12"/>
        <v>3300</v>
      </c>
      <c r="F210" s="28"/>
    </row>
    <row r="211" spans="1:6">
      <c r="A211" s="25"/>
      <c r="B211" s="14" t="s">
        <v>51</v>
      </c>
      <c r="C211" s="9">
        <v>0.1</v>
      </c>
      <c r="D211" s="10">
        <v>83000</v>
      </c>
      <c r="E211" s="10">
        <f t="shared" si="12"/>
        <v>8300</v>
      </c>
      <c r="F211" s="28"/>
    </row>
    <row r="212" spans="1:6">
      <c r="A212" s="25"/>
      <c r="B212" s="14" t="s">
        <v>17</v>
      </c>
      <c r="C212" s="9">
        <v>1</v>
      </c>
      <c r="D212" s="10">
        <v>50000</v>
      </c>
      <c r="E212" s="10">
        <f t="shared" si="12"/>
        <v>50000</v>
      </c>
      <c r="F212" s="28"/>
    </row>
    <row r="213" spans="1:6">
      <c r="A213" s="25"/>
      <c r="B213" s="14" t="s">
        <v>55</v>
      </c>
      <c r="C213" s="9">
        <v>1</v>
      </c>
      <c r="D213" s="10">
        <v>17000</v>
      </c>
      <c r="E213" s="10">
        <f t="shared" si="12"/>
        <v>17000</v>
      </c>
      <c r="F213" s="28"/>
    </row>
    <row r="214" spans="1:6">
      <c r="A214" s="25"/>
      <c r="B214" s="14" t="s">
        <v>9</v>
      </c>
      <c r="C214" s="9">
        <v>11.8</v>
      </c>
      <c r="D214" s="10">
        <v>15000</v>
      </c>
      <c r="E214" s="10">
        <f t="shared" si="12"/>
        <v>177000</v>
      </c>
      <c r="F214" s="28"/>
    </row>
    <row r="215" spans="1:6">
      <c r="A215" s="25"/>
      <c r="B215" s="14" t="s">
        <v>30</v>
      </c>
      <c r="C215" s="9">
        <v>2</v>
      </c>
      <c r="D215" s="10">
        <v>10000</v>
      </c>
      <c r="E215" s="10">
        <f t="shared" si="12"/>
        <v>20000</v>
      </c>
      <c r="F215" s="28"/>
    </row>
    <row r="216" spans="1:6">
      <c r="A216" s="25"/>
      <c r="B216" s="14" t="s">
        <v>56</v>
      </c>
      <c r="C216" s="9">
        <v>0.1</v>
      </c>
      <c r="D216" s="10">
        <v>88000</v>
      </c>
      <c r="E216" s="10">
        <f t="shared" si="12"/>
        <v>8800</v>
      </c>
      <c r="F216" s="28"/>
    </row>
    <row r="217" spans="1:6">
      <c r="A217" s="25"/>
      <c r="B217" s="14" t="s">
        <v>27</v>
      </c>
      <c r="C217" s="9">
        <v>1</v>
      </c>
      <c r="D217" s="10">
        <v>39000</v>
      </c>
      <c r="E217" s="10">
        <f t="shared" si="12"/>
        <v>39000</v>
      </c>
      <c r="F217" s="28"/>
    </row>
    <row r="218" spans="1:6">
      <c r="A218" s="25"/>
      <c r="B218" s="14" t="s">
        <v>64</v>
      </c>
      <c r="C218" s="9">
        <v>1</v>
      </c>
      <c r="D218" s="10">
        <v>50000</v>
      </c>
      <c r="E218" s="10">
        <f t="shared" si="12"/>
        <v>50000</v>
      </c>
      <c r="F218" s="28"/>
    </row>
    <row r="219" spans="1:6">
      <c r="A219" s="25"/>
      <c r="B219" s="14" t="s">
        <v>66</v>
      </c>
      <c r="C219" s="9">
        <v>0.5</v>
      </c>
      <c r="D219" s="10">
        <v>80000</v>
      </c>
      <c r="E219" s="10">
        <f t="shared" si="12"/>
        <v>40000</v>
      </c>
      <c r="F219" s="28"/>
    </row>
    <row r="220" spans="1:6">
      <c r="A220" s="25"/>
      <c r="B220" s="14" t="s">
        <v>111</v>
      </c>
      <c r="C220" s="9">
        <v>0.3</v>
      </c>
      <c r="D220" s="10">
        <v>72000</v>
      </c>
      <c r="E220" s="10">
        <f t="shared" si="12"/>
        <v>21600</v>
      </c>
      <c r="F220" s="28"/>
    </row>
    <row r="221" spans="1:6">
      <c r="A221" s="26"/>
      <c r="B221" s="14" t="s">
        <v>81</v>
      </c>
      <c r="C221" s="9">
        <v>1</v>
      </c>
      <c r="D221" s="10">
        <v>60000</v>
      </c>
      <c r="E221" s="10">
        <f t="shared" si="12"/>
        <v>60000</v>
      </c>
      <c r="F221" s="29"/>
    </row>
    <row r="222" spans="1:6">
      <c r="A222" s="24">
        <v>45972</v>
      </c>
      <c r="B222" s="14" t="s">
        <v>90</v>
      </c>
      <c r="C222" s="9">
        <v>0.3</v>
      </c>
      <c r="D222" s="10">
        <v>94000</v>
      </c>
      <c r="E222" s="10">
        <f t="shared" ref="E222:E227" si="13">SUM(C222*D222)</f>
        <v>28200</v>
      </c>
      <c r="F222" s="27">
        <f>SUM(E222:E227)</f>
        <v>181600</v>
      </c>
    </row>
    <row r="223" spans="1:6">
      <c r="A223" s="25"/>
      <c r="B223" s="14" t="s">
        <v>15</v>
      </c>
      <c r="C223" s="9">
        <v>1</v>
      </c>
      <c r="D223" s="10">
        <v>28000</v>
      </c>
      <c r="E223" s="10">
        <f t="shared" si="13"/>
        <v>28000</v>
      </c>
      <c r="F223" s="28"/>
    </row>
    <row r="224" spans="1:6">
      <c r="A224" s="25"/>
      <c r="B224" s="14" t="s">
        <v>33</v>
      </c>
      <c r="C224" s="9">
        <v>0.4</v>
      </c>
      <c r="D224" s="10">
        <v>50000</v>
      </c>
      <c r="E224" s="10">
        <f t="shared" si="13"/>
        <v>20000</v>
      </c>
      <c r="F224" s="28"/>
    </row>
    <row r="225" spans="1:6">
      <c r="A225" s="25"/>
      <c r="B225" s="14" t="s">
        <v>35</v>
      </c>
      <c r="C225" s="9">
        <v>0.4</v>
      </c>
      <c r="D225" s="10">
        <v>61000</v>
      </c>
      <c r="E225" s="10">
        <f t="shared" si="13"/>
        <v>24400</v>
      </c>
      <c r="F225" s="28"/>
    </row>
    <row r="226" spans="1:6">
      <c r="A226" s="25"/>
      <c r="B226" s="14" t="s">
        <v>43</v>
      </c>
      <c r="C226" s="9">
        <v>3</v>
      </c>
      <c r="D226" s="10">
        <v>20000</v>
      </c>
      <c r="E226" s="10">
        <f t="shared" si="13"/>
        <v>60000</v>
      </c>
      <c r="F226" s="28"/>
    </row>
    <row r="227" spans="1:6">
      <c r="A227" s="26"/>
      <c r="B227" s="14" t="s">
        <v>112</v>
      </c>
      <c r="C227" s="9">
        <v>3</v>
      </c>
      <c r="D227" s="10">
        <v>7000</v>
      </c>
      <c r="E227" s="10">
        <f t="shared" si="13"/>
        <v>21000</v>
      </c>
      <c r="F227" s="29"/>
    </row>
    <row r="228" spans="1:6">
      <c r="A228" s="24">
        <v>45973</v>
      </c>
      <c r="B228" s="14" t="s">
        <v>53</v>
      </c>
      <c r="C228" s="9">
        <v>1</v>
      </c>
      <c r="D228" s="10">
        <v>9000</v>
      </c>
      <c r="E228" s="10">
        <f t="shared" ref="E228:E249" si="14">SUM(C228*D228)</f>
        <v>9000</v>
      </c>
      <c r="F228" s="27">
        <f>SUM(E228:E248)</f>
        <v>927040</v>
      </c>
    </row>
    <row r="229" spans="1:6">
      <c r="A229" s="25"/>
      <c r="B229" s="14" t="s">
        <v>55</v>
      </c>
      <c r="C229" s="9">
        <v>1</v>
      </c>
      <c r="D229" s="10">
        <v>17000</v>
      </c>
      <c r="E229" s="10">
        <f t="shared" si="14"/>
        <v>17000</v>
      </c>
      <c r="F229" s="28"/>
    </row>
    <row r="230" spans="1:6">
      <c r="A230" s="25"/>
      <c r="B230" s="14" t="s">
        <v>77</v>
      </c>
      <c r="C230" s="9">
        <v>0.5</v>
      </c>
      <c r="D230" s="10">
        <v>72000</v>
      </c>
      <c r="E230" s="10">
        <f t="shared" si="14"/>
        <v>36000</v>
      </c>
      <c r="F230" s="28"/>
    </row>
    <row r="231" spans="1:6">
      <c r="A231" s="25"/>
      <c r="B231" s="14" t="s">
        <v>113</v>
      </c>
      <c r="C231" s="9">
        <v>0.2</v>
      </c>
      <c r="D231" s="10">
        <v>44000</v>
      </c>
      <c r="E231" s="10">
        <f t="shared" si="14"/>
        <v>8800</v>
      </c>
      <c r="F231" s="28"/>
    </row>
    <row r="232" spans="1:6">
      <c r="A232" s="25"/>
      <c r="B232" s="14" t="s">
        <v>61</v>
      </c>
      <c r="C232" s="9">
        <v>0.3</v>
      </c>
      <c r="D232" s="10">
        <v>72000</v>
      </c>
      <c r="E232" s="10">
        <f t="shared" si="14"/>
        <v>21600</v>
      </c>
      <c r="F232" s="28"/>
    </row>
    <row r="233" spans="1:6">
      <c r="A233" s="25"/>
      <c r="B233" s="14" t="s">
        <v>13</v>
      </c>
      <c r="C233" s="9">
        <v>0.2</v>
      </c>
      <c r="D233" s="10">
        <v>55000</v>
      </c>
      <c r="E233" s="10">
        <f t="shared" si="14"/>
        <v>11000</v>
      </c>
      <c r="F233" s="28"/>
    </row>
    <row r="234" spans="1:6">
      <c r="A234" s="25"/>
      <c r="B234" s="14" t="s">
        <v>51</v>
      </c>
      <c r="C234" s="9">
        <v>0.1</v>
      </c>
      <c r="D234" s="10">
        <v>83000</v>
      </c>
      <c r="E234" s="10">
        <f t="shared" si="14"/>
        <v>8300</v>
      </c>
      <c r="F234" s="28"/>
    </row>
    <row r="235" spans="1:6">
      <c r="A235" s="25"/>
      <c r="B235" s="14" t="s">
        <v>114</v>
      </c>
      <c r="C235" s="9">
        <v>5</v>
      </c>
      <c r="D235" s="10">
        <v>66000</v>
      </c>
      <c r="E235" s="10">
        <f t="shared" si="14"/>
        <v>330000</v>
      </c>
      <c r="F235" s="28"/>
    </row>
    <row r="236" spans="1:6">
      <c r="A236" s="25"/>
      <c r="B236" s="14" t="s">
        <v>19</v>
      </c>
      <c r="C236" s="9">
        <v>5</v>
      </c>
      <c r="D236" s="10">
        <v>24000</v>
      </c>
      <c r="E236" s="10">
        <f t="shared" si="14"/>
        <v>120000</v>
      </c>
      <c r="F236" s="28"/>
    </row>
    <row r="237" spans="1:6">
      <c r="A237" s="25"/>
      <c r="B237" s="14" t="s">
        <v>115</v>
      </c>
      <c r="C237" s="9">
        <v>2</v>
      </c>
      <c r="D237" s="10">
        <v>45000</v>
      </c>
      <c r="E237" s="10">
        <f t="shared" si="14"/>
        <v>90000</v>
      </c>
      <c r="F237" s="28"/>
    </row>
    <row r="238" spans="1:6">
      <c r="A238" s="25"/>
      <c r="B238" s="14" t="s">
        <v>25</v>
      </c>
      <c r="C238" s="9">
        <v>1</v>
      </c>
      <c r="D238" s="10">
        <v>39000</v>
      </c>
      <c r="E238" s="10">
        <f t="shared" si="14"/>
        <v>39000</v>
      </c>
      <c r="F238" s="28"/>
    </row>
    <row r="239" spans="1:6">
      <c r="A239" s="25"/>
      <c r="B239" s="14" t="s">
        <v>64</v>
      </c>
      <c r="C239" s="9">
        <v>1</v>
      </c>
      <c r="D239" s="10">
        <v>50000</v>
      </c>
      <c r="E239" s="10">
        <f t="shared" si="14"/>
        <v>50000</v>
      </c>
      <c r="F239" s="28"/>
    </row>
    <row r="240" spans="1:6">
      <c r="A240" s="25"/>
      <c r="B240" s="14" t="s">
        <v>59</v>
      </c>
      <c r="C240" s="9">
        <v>1</v>
      </c>
      <c r="D240" s="10">
        <v>30000</v>
      </c>
      <c r="E240" s="10">
        <f t="shared" si="14"/>
        <v>30000</v>
      </c>
      <c r="F240" s="28"/>
    </row>
    <row r="241" spans="1:6">
      <c r="A241" s="25"/>
      <c r="B241" s="14" t="s">
        <v>27</v>
      </c>
      <c r="C241" s="9">
        <v>1</v>
      </c>
      <c r="D241" s="10">
        <v>39000</v>
      </c>
      <c r="E241" s="10">
        <f t="shared" si="14"/>
        <v>39000</v>
      </c>
      <c r="F241" s="28"/>
    </row>
    <row r="242" spans="1:6">
      <c r="A242" s="25"/>
      <c r="B242" s="14" t="s">
        <v>68</v>
      </c>
      <c r="C242" s="9">
        <v>30</v>
      </c>
      <c r="D242" s="10">
        <v>1000</v>
      </c>
      <c r="E242" s="10">
        <f t="shared" si="14"/>
        <v>30000</v>
      </c>
      <c r="F242" s="28"/>
    </row>
    <row r="243" spans="1:6">
      <c r="A243" s="25"/>
      <c r="B243" s="14" t="s">
        <v>69</v>
      </c>
      <c r="C243" s="9">
        <v>0.4</v>
      </c>
      <c r="D243" s="10">
        <v>70000</v>
      </c>
      <c r="E243" s="10">
        <f t="shared" si="14"/>
        <v>28000</v>
      </c>
      <c r="F243" s="28"/>
    </row>
    <row r="244" spans="1:6">
      <c r="A244" s="25"/>
      <c r="B244" s="14" t="s">
        <v>33</v>
      </c>
      <c r="C244" s="9">
        <v>0.3</v>
      </c>
      <c r="D244" s="10">
        <v>50000</v>
      </c>
      <c r="E244" s="10">
        <f t="shared" si="14"/>
        <v>15000</v>
      </c>
      <c r="F244" s="28"/>
    </row>
    <row r="245" spans="1:6">
      <c r="A245" s="25"/>
      <c r="B245" s="14" t="s">
        <v>35</v>
      </c>
      <c r="C245" s="9">
        <v>0.3</v>
      </c>
      <c r="D245" s="10">
        <v>61000</v>
      </c>
      <c r="E245" s="10">
        <f t="shared" si="14"/>
        <v>18300</v>
      </c>
      <c r="F245" s="28"/>
    </row>
    <row r="246" spans="1:6">
      <c r="A246" s="25"/>
      <c r="B246" s="14" t="s">
        <v>56</v>
      </c>
      <c r="C246" s="9">
        <v>0.1</v>
      </c>
      <c r="D246" s="10">
        <v>88000</v>
      </c>
      <c r="E246" s="10">
        <f t="shared" si="14"/>
        <v>8800</v>
      </c>
      <c r="F246" s="28"/>
    </row>
    <row r="247" spans="1:6">
      <c r="A247" s="25"/>
      <c r="B247" s="14" t="s">
        <v>54</v>
      </c>
      <c r="C247" s="9">
        <v>7.0000000000000007E-2</v>
      </c>
      <c r="D247" s="10">
        <v>72000</v>
      </c>
      <c r="E247" s="10">
        <f t="shared" si="14"/>
        <v>5040</v>
      </c>
      <c r="F247" s="28"/>
    </row>
    <row r="248" spans="1:6">
      <c r="A248" s="26"/>
      <c r="B248" s="14" t="s">
        <v>10</v>
      </c>
      <c r="C248" s="9">
        <v>0.2</v>
      </c>
      <c r="D248" s="10">
        <v>61000</v>
      </c>
      <c r="E248" s="10">
        <f t="shared" si="14"/>
        <v>12200</v>
      </c>
      <c r="F248" s="29"/>
    </row>
    <row r="249" spans="1:6">
      <c r="A249" s="20">
        <v>45973</v>
      </c>
      <c r="B249" s="14" t="s">
        <v>29</v>
      </c>
      <c r="C249" s="9">
        <v>0.6</v>
      </c>
      <c r="D249" s="10">
        <v>60000</v>
      </c>
      <c r="E249" s="10">
        <f t="shared" si="14"/>
        <v>36000</v>
      </c>
      <c r="F249" s="21">
        <f>SUM(E249)</f>
        <v>36000</v>
      </c>
    </row>
    <row r="250" spans="1:6">
      <c r="A250" s="24">
        <v>45974</v>
      </c>
      <c r="B250" s="14" t="s">
        <v>116</v>
      </c>
      <c r="C250" s="9">
        <v>1</v>
      </c>
      <c r="D250" s="10">
        <v>40000</v>
      </c>
      <c r="E250" s="10">
        <f t="shared" ref="E250:E269" si="15">SUM(C250*D250)</f>
        <v>40000</v>
      </c>
      <c r="F250" s="27">
        <f>SUM(E250:E269)</f>
        <v>1521100</v>
      </c>
    </row>
    <row r="251" spans="1:6">
      <c r="A251" s="25"/>
      <c r="B251" s="14" t="s">
        <v>98</v>
      </c>
      <c r="C251" s="9">
        <v>2</v>
      </c>
      <c r="D251" s="10">
        <v>30000</v>
      </c>
      <c r="E251" s="10">
        <f t="shared" si="15"/>
        <v>60000</v>
      </c>
      <c r="F251" s="28"/>
    </row>
    <row r="252" spans="1:6">
      <c r="A252" s="25"/>
      <c r="B252" s="14" t="s">
        <v>94</v>
      </c>
      <c r="C252" s="9">
        <v>0.5</v>
      </c>
      <c r="D252" s="10">
        <v>200000</v>
      </c>
      <c r="E252" s="10">
        <f t="shared" si="15"/>
        <v>100000</v>
      </c>
      <c r="F252" s="28"/>
    </row>
    <row r="253" spans="1:6">
      <c r="A253" s="25"/>
      <c r="B253" s="14" t="s">
        <v>117</v>
      </c>
      <c r="C253" s="9">
        <v>0.3</v>
      </c>
      <c r="D253" s="10">
        <v>200000</v>
      </c>
      <c r="E253" s="10">
        <f t="shared" si="15"/>
        <v>60000</v>
      </c>
      <c r="F253" s="28"/>
    </row>
    <row r="254" spans="1:6">
      <c r="A254" s="25"/>
      <c r="B254" s="14" t="s">
        <v>47</v>
      </c>
      <c r="C254" s="9">
        <v>1</v>
      </c>
      <c r="D254" s="10">
        <v>45000</v>
      </c>
      <c r="E254" s="10">
        <f t="shared" si="15"/>
        <v>45000</v>
      </c>
      <c r="F254" s="28"/>
    </row>
    <row r="255" spans="1:6">
      <c r="A255" s="25"/>
      <c r="B255" s="14" t="s">
        <v>118</v>
      </c>
      <c r="C255" s="9">
        <v>1</v>
      </c>
      <c r="D255" s="10">
        <v>220000</v>
      </c>
      <c r="E255" s="10">
        <f t="shared" si="15"/>
        <v>220000</v>
      </c>
      <c r="F255" s="28"/>
    </row>
    <row r="256" spans="1:6">
      <c r="A256" s="25"/>
      <c r="B256" s="14" t="s">
        <v>109</v>
      </c>
      <c r="C256" s="9">
        <v>3</v>
      </c>
      <c r="D256" s="10">
        <v>110000</v>
      </c>
      <c r="E256" s="10">
        <f t="shared" si="15"/>
        <v>330000</v>
      </c>
      <c r="F256" s="28"/>
    </row>
    <row r="257" spans="1:6">
      <c r="A257" s="25"/>
      <c r="B257" s="14" t="s">
        <v>119</v>
      </c>
      <c r="C257" s="9">
        <v>2</v>
      </c>
      <c r="D257" s="10">
        <v>45000</v>
      </c>
      <c r="E257" s="10">
        <f t="shared" si="15"/>
        <v>90000</v>
      </c>
      <c r="F257" s="28"/>
    </row>
    <row r="258" spans="1:6">
      <c r="A258" s="25"/>
      <c r="B258" s="14" t="s">
        <v>13</v>
      </c>
      <c r="C258" s="9">
        <v>0.2</v>
      </c>
      <c r="D258" s="10">
        <v>55000</v>
      </c>
      <c r="E258" s="10">
        <f t="shared" si="15"/>
        <v>11000</v>
      </c>
      <c r="F258" s="28"/>
    </row>
    <row r="259" spans="1:6">
      <c r="A259" s="25"/>
      <c r="B259" s="14" t="s">
        <v>120</v>
      </c>
      <c r="C259" s="9">
        <v>0.1</v>
      </c>
      <c r="D259" s="10">
        <v>300000</v>
      </c>
      <c r="E259" s="10">
        <f t="shared" si="15"/>
        <v>30000</v>
      </c>
      <c r="F259" s="28"/>
    </row>
    <row r="260" spans="1:6">
      <c r="A260" s="25"/>
      <c r="B260" s="14" t="s">
        <v>121</v>
      </c>
      <c r="C260" s="9">
        <v>0.1</v>
      </c>
      <c r="D260" s="10">
        <v>165000</v>
      </c>
      <c r="E260" s="10">
        <f t="shared" si="15"/>
        <v>16500</v>
      </c>
      <c r="F260" s="28"/>
    </row>
    <row r="261" spans="1:6">
      <c r="A261" s="25"/>
      <c r="B261" s="14" t="s">
        <v>50</v>
      </c>
      <c r="C261" s="9">
        <v>0.2</v>
      </c>
      <c r="D261" s="10">
        <v>33000</v>
      </c>
      <c r="E261" s="10">
        <f t="shared" si="15"/>
        <v>6600</v>
      </c>
      <c r="F261" s="28"/>
    </row>
    <row r="262" spans="1:6">
      <c r="A262" s="25"/>
      <c r="B262" s="14" t="s">
        <v>51</v>
      </c>
      <c r="C262" s="9">
        <v>0.1</v>
      </c>
      <c r="D262" s="10">
        <v>83000</v>
      </c>
      <c r="E262" s="10">
        <f t="shared" si="15"/>
        <v>8300</v>
      </c>
      <c r="F262" s="28"/>
    </row>
    <row r="263" spans="1:6">
      <c r="A263" s="25"/>
      <c r="B263" s="14" t="s">
        <v>7</v>
      </c>
      <c r="C263" s="9">
        <v>7.0000000000000007E-2</v>
      </c>
      <c r="D263" s="10">
        <v>110000</v>
      </c>
      <c r="E263" s="10">
        <f t="shared" si="15"/>
        <v>7700</v>
      </c>
      <c r="F263" s="28"/>
    </row>
    <row r="264" spans="1:6">
      <c r="A264" s="25"/>
      <c r="B264" s="14" t="s">
        <v>52</v>
      </c>
      <c r="C264" s="9">
        <v>1</v>
      </c>
      <c r="D264" s="10">
        <v>31000</v>
      </c>
      <c r="E264" s="10">
        <f t="shared" si="15"/>
        <v>31000</v>
      </c>
      <c r="F264" s="28"/>
    </row>
    <row r="265" spans="1:6">
      <c r="A265" s="25"/>
      <c r="B265" s="14" t="s">
        <v>55</v>
      </c>
      <c r="C265" s="9">
        <v>1</v>
      </c>
      <c r="D265" s="10">
        <v>17000</v>
      </c>
      <c r="E265" s="10">
        <f t="shared" si="15"/>
        <v>17000</v>
      </c>
      <c r="F265" s="28"/>
    </row>
    <row r="266" spans="1:6">
      <c r="A266" s="25"/>
      <c r="B266" s="14" t="s">
        <v>15</v>
      </c>
      <c r="C266" s="9">
        <v>1</v>
      </c>
      <c r="D266" s="10">
        <v>28000</v>
      </c>
      <c r="E266" s="10">
        <f t="shared" si="15"/>
        <v>28000</v>
      </c>
      <c r="F266" s="28"/>
    </row>
    <row r="267" spans="1:6">
      <c r="A267" s="25"/>
      <c r="B267" s="14" t="s">
        <v>122</v>
      </c>
      <c r="C267" s="9">
        <v>2</v>
      </c>
      <c r="D267" s="10">
        <v>65000</v>
      </c>
      <c r="E267" s="10">
        <f t="shared" si="15"/>
        <v>130000</v>
      </c>
      <c r="F267" s="28"/>
    </row>
    <row r="268" spans="1:6">
      <c r="A268" s="25"/>
      <c r="B268" s="14" t="s">
        <v>123</v>
      </c>
      <c r="C268" s="9">
        <v>1</v>
      </c>
      <c r="D268" s="10">
        <v>240000</v>
      </c>
      <c r="E268" s="10">
        <f t="shared" si="15"/>
        <v>240000</v>
      </c>
      <c r="F268" s="28"/>
    </row>
    <row r="269" spans="1:6">
      <c r="A269" s="26"/>
      <c r="B269" s="14" t="s">
        <v>73</v>
      </c>
      <c r="C269" s="9">
        <v>2</v>
      </c>
      <c r="D269" s="10">
        <v>25000</v>
      </c>
      <c r="E269" s="10">
        <f t="shared" si="15"/>
        <v>50000</v>
      </c>
      <c r="F269" s="29"/>
    </row>
    <row r="270" spans="1:6">
      <c r="A270" s="24">
        <v>45974</v>
      </c>
      <c r="B270" s="14" t="s">
        <v>44</v>
      </c>
      <c r="C270" s="9">
        <v>2.6</v>
      </c>
      <c r="D270" s="10">
        <v>22000</v>
      </c>
      <c r="E270" s="10">
        <f t="shared" ref="E270:E281" si="16">SUM(C270*D270)</f>
        <v>57200</v>
      </c>
      <c r="F270" s="27">
        <f>SUM(E270:E280)</f>
        <v>579600</v>
      </c>
    </row>
    <row r="271" spans="1:6">
      <c r="A271" s="25"/>
      <c r="B271" s="14" t="s">
        <v>25</v>
      </c>
      <c r="C271" s="9">
        <v>2</v>
      </c>
      <c r="D271" s="10">
        <v>39000</v>
      </c>
      <c r="E271" s="10">
        <f t="shared" si="16"/>
        <v>78000</v>
      </c>
      <c r="F271" s="28"/>
    </row>
    <row r="272" spans="1:6">
      <c r="A272" s="25"/>
      <c r="B272" s="14" t="s">
        <v>29</v>
      </c>
      <c r="C272" s="9">
        <v>1</v>
      </c>
      <c r="D272" s="10">
        <v>60000</v>
      </c>
      <c r="E272" s="10">
        <f t="shared" si="16"/>
        <v>60000</v>
      </c>
      <c r="F272" s="28"/>
    </row>
    <row r="273" spans="1:7">
      <c r="A273" s="25"/>
      <c r="B273" s="14" t="s">
        <v>65</v>
      </c>
      <c r="C273" s="9">
        <v>1</v>
      </c>
      <c r="D273" s="10">
        <v>55000</v>
      </c>
      <c r="E273" s="10">
        <f t="shared" si="16"/>
        <v>55000</v>
      </c>
      <c r="F273" s="28"/>
    </row>
    <row r="274" spans="1:7">
      <c r="A274" s="25"/>
      <c r="B274" s="14" t="s">
        <v>27</v>
      </c>
      <c r="C274" s="9">
        <v>1</v>
      </c>
      <c r="D274" s="10">
        <v>39000</v>
      </c>
      <c r="E274" s="10">
        <f t="shared" si="16"/>
        <v>39000</v>
      </c>
      <c r="F274" s="28"/>
    </row>
    <row r="275" spans="1:7">
      <c r="A275" s="25"/>
      <c r="B275" s="14" t="s">
        <v>124</v>
      </c>
      <c r="C275" s="9">
        <v>1</v>
      </c>
      <c r="D275" s="10">
        <v>80000</v>
      </c>
      <c r="E275" s="10">
        <f t="shared" si="16"/>
        <v>80000</v>
      </c>
      <c r="F275" s="28"/>
    </row>
    <row r="276" spans="1:7">
      <c r="A276" s="25"/>
      <c r="B276" s="14" t="s">
        <v>33</v>
      </c>
      <c r="C276" s="9">
        <v>0.4</v>
      </c>
      <c r="D276" s="10">
        <v>50000</v>
      </c>
      <c r="E276" s="10">
        <f t="shared" si="16"/>
        <v>20000</v>
      </c>
      <c r="F276" s="28"/>
    </row>
    <row r="277" spans="1:7">
      <c r="A277" s="25"/>
      <c r="B277" s="14" t="s">
        <v>35</v>
      </c>
      <c r="C277" s="9">
        <v>0.4</v>
      </c>
      <c r="D277" s="10">
        <v>61000</v>
      </c>
      <c r="E277" s="10">
        <f t="shared" si="16"/>
        <v>24400</v>
      </c>
      <c r="F277" s="28"/>
    </row>
    <row r="278" spans="1:7">
      <c r="A278" s="25"/>
      <c r="B278" s="14" t="s">
        <v>28</v>
      </c>
      <c r="C278" s="9">
        <v>0.3</v>
      </c>
      <c r="D278" s="10">
        <v>120000</v>
      </c>
      <c r="E278" s="10">
        <f t="shared" si="16"/>
        <v>36000</v>
      </c>
      <c r="F278" s="28"/>
    </row>
    <row r="279" spans="1:7">
      <c r="A279" s="25"/>
      <c r="B279" s="14" t="s">
        <v>66</v>
      </c>
      <c r="C279" s="9">
        <v>1</v>
      </c>
      <c r="D279" s="10">
        <v>70000</v>
      </c>
      <c r="E279" s="10">
        <f t="shared" si="16"/>
        <v>70000</v>
      </c>
      <c r="F279" s="28"/>
    </row>
    <row r="280" spans="1:7">
      <c r="A280" s="26"/>
      <c r="B280" s="14" t="s">
        <v>43</v>
      </c>
      <c r="C280" s="9">
        <v>3</v>
      </c>
      <c r="D280" s="10">
        <v>20000</v>
      </c>
      <c r="E280" s="10">
        <f t="shared" si="16"/>
        <v>60000</v>
      </c>
      <c r="F280" s="29"/>
    </row>
    <row r="281" spans="1:7">
      <c r="A281" s="20">
        <v>45974</v>
      </c>
      <c r="B281" s="14" t="s">
        <v>125</v>
      </c>
      <c r="C281" s="9">
        <v>2</v>
      </c>
      <c r="D281" s="10">
        <v>220000</v>
      </c>
      <c r="E281" s="10">
        <f t="shared" si="16"/>
        <v>440000</v>
      </c>
      <c r="F281" s="21">
        <f>SUM(E281)</f>
        <v>440000</v>
      </c>
    </row>
    <row r="282" spans="1:7">
      <c r="A282" s="24">
        <v>45975</v>
      </c>
      <c r="B282" s="14" t="s">
        <v>74</v>
      </c>
      <c r="C282" s="9">
        <v>2</v>
      </c>
      <c r="D282" s="10">
        <v>75000</v>
      </c>
      <c r="E282" s="10">
        <f t="shared" ref="E282:E301" si="17">SUM(C282*D282)</f>
        <v>150000</v>
      </c>
      <c r="F282" s="27">
        <f>SUM(E282:E295)</f>
        <v>1627800</v>
      </c>
      <c r="G282" s="13"/>
    </row>
    <row r="283" spans="1:7">
      <c r="A283" s="25"/>
      <c r="B283" s="14" t="s">
        <v>19</v>
      </c>
      <c r="C283" s="9">
        <v>5</v>
      </c>
      <c r="D283" s="10">
        <v>24000</v>
      </c>
      <c r="E283" s="10">
        <f t="shared" si="17"/>
        <v>120000</v>
      </c>
      <c r="F283" s="28"/>
    </row>
    <row r="284" spans="1:7">
      <c r="A284" s="25"/>
      <c r="B284" s="14" t="s">
        <v>40</v>
      </c>
      <c r="C284" s="9">
        <v>5</v>
      </c>
      <c r="D284" s="10">
        <v>25000</v>
      </c>
      <c r="E284" s="10">
        <f t="shared" si="17"/>
        <v>125000</v>
      </c>
      <c r="F284" s="28"/>
    </row>
    <row r="285" spans="1:7">
      <c r="A285" s="25"/>
      <c r="B285" s="14" t="s">
        <v>123</v>
      </c>
      <c r="C285" s="9">
        <v>2</v>
      </c>
      <c r="D285" s="10">
        <v>240000</v>
      </c>
      <c r="E285" s="10">
        <f t="shared" si="17"/>
        <v>480000</v>
      </c>
      <c r="F285" s="28"/>
    </row>
    <row r="286" spans="1:7">
      <c r="A286" s="25"/>
      <c r="B286" s="14" t="s">
        <v>25</v>
      </c>
      <c r="C286" s="9">
        <v>1</v>
      </c>
      <c r="D286" s="10">
        <v>39000</v>
      </c>
      <c r="E286" s="10">
        <f t="shared" si="17"/>
        <v>39000</v>
      </c>
      <c r="F286" s="28"/>
    </row>
    <row r="287" spans="1:7">
      <c r="A287" s="25"/>
      <c r="B287" s="14" t="s">
        <v>27</v>
      </c>
      <c r="C287" s="9">
        <v>1</v>
      </c>
      <c r="D287" s="10">
        <v>39000</v>
      </c>
      <c r="E287" s="10">
        <f t="shared" si="17"/>
        <v>39000</v>
      </c>
      <c r="F287" s="28"/>
    </row>
    <row r="288" spans="1:7">
      <c r="A288" s="25"/>
      <c r="B288" s="14" t="s">
        <v>109</v>
      </c>
      <c r="C288" s="9">
        <v>2</v>
      </c>
      <c r="D288" s="10">
        <v>120000</v>
      </c>
      <c r="E288" s="10">
        <f t="shared" si="17"/>
        <v>240000</v>
      </c>
      <c r="F288" s="28"/>
    </row>
    <row r="289" spans="1:6">
      <c r="A289" s="25"/>
      <c r="B289" s="14" t="s">
        <v>126</v>
      </c>
      <c r="C289" s="9">
        <v>1</v>
      </c>
      <c r="D289" s="10">
        <v>30000</v>
      </c>
      <c r="E289" s="10">
        <f t="shared" si="17"/>
        <v>30000</v>
      </c>
      <c r="F289" s="28"/>
    </row>
    <row r="290" spans="1:6">
      <c r="A290" s="25"/>
      <c r="B290" s="14" t="s">
        <v>127</v>
      </c>
      <c r="C290" s="9">
        <v>2</v>
      </c>
      <c r="D290" s="10">
        <v>95000</v>
      </c>
      <c r="E290" s="10">
        <f t="shared" si="17"/>
        <v>190000</v>
      </c>
      <c r="F290" s="28"/>
    </row>
    <row r="291" spans="1:6">
      <c r="A291" s="25"/>
      <c r="B291" s="14" t="s">
        <v>51</v>
      </c>
      <c r="C291" s="9">
        <v>0.2</v>
      </c>
      <c r="D291" s="10">
        <v>83000</v>
      </c>
      <c r="E291" s="10">
        <f t="shared" si="17"/>
        <v>16600</v>
      </c>
      <c r="F291" s="28"/>
    </row>
    <row r="292" spans="1:6">
      <c r="A292" s="25"/>
      <c r="B292" s="14" t="s">
        <v>50</v>
      </c>
      <c r="C292" s="9">
        <v>0.1</v>
      </c>
      <c r="D292" s="10">
        <v>132000</v>
      </c>
      <c r="E292" s="10">
        <f t="shared" si="17"/>
        <v>13200</v>
      </c>
      <c r="F292" s="28"/>
    </row>
    <row r="293" spans="1:6">
      <c r="A293" s="25"/>
      <c r="B293" s="14" t="s">
        <v>68</v>
      </c>
      <c r="C293" s="9">
        <v>20</v>
      </c>
      <c r="D293" s="10">
        <v>1000</v>
      </c>
      <c r="E293" s="10">
        <f t="shared" si="17"/>
        <v>20000</v>
      </c>
      <c r="F293" s="28"/>
    </row>
    <row r="294" spans="1:6">
      <c r="A294" s="25"/>
      <c r="B294" s="14" t="s">
        <v>43</v>
      </c>
      <c r="C294" s="9">
        <v>5</v>
      </c>
      <c r="D294" s="10">
        <v>20000</v>
      </c>
      <c r="E294" s="10">
        <f t="shared" si="17"/>
        <v>100000</v>
      </c>
      <c r="F294" s="28"/>
    </row>
    <row r="295" spans="1:6">
      <c r="A295" s="26"/>
      <c r="B295" s="14" t="s">
        <v>122</v>
      </c>
      <c r="C295" s="9">
        <v>1</v>
      </c>
      <c r="D295" s="10">
        <v>65000</v>
      </c>
      <c r="E295" s="10">
        <f t="shared" si="17"/>
        <v>65000</v>
      </c>
      <c r="F295" s="29"/>
    </row>
    <row r="296" spans="1:6">
      <c r="A296" s="24">
        <v>45975</v>
      </c>
      <c r="B296" s="14" t="s">
        <v>128</v>
      </c>
      <c r="C296" s="9">
        <v>1</v>
      </c>
      <c r="D296" s="22">
        <v>180000</v>
      </c>
      <c r="E296" s="10">
        <f t="shared" si="17"/>
        <v>180000</v>
      </c>
      <c r="F296" s="27">
        <f>SUM(E296:E300)</f>
        <v>389000</v>
      </c>
    </row>
    <row r="297" spans="1:6">
      <c r="A297" s="25"/>
      <c r="B297" s="14" t="s">
        <v>42</v>
      </c>
      <c r="C297" s="9">
        <v>1</v>
      </c>
      <c r="D297" s="22">
        <v>39000</v>
      </c>
      <c r="E297" s="10">
        <f t="shared" si="17"/>
        <v>39000</v>
      </c>
      <c r="F297" s="28"/>
    </row>
    <row r="298" spans="1:6">
      <c r="A298" s="25"/>
      <c r="B298" s="14" t="s">
        <v>55</v>
      </c>
      <c r="C298" s="9">
        <v>1</v>
      </c>
      <c r="D298" s="22">
        <v>17000</v>
      </c>
      <c r="E298" s="10">
        <f t="shared" si="17"/>
        <v>17000</v>
      </c>
      <c r="F298" s="28"/>
    </row>
    <row r="299" spans="1:6">
      <c r="A299" s="25"/>
      <c r="B299" s="14" t="s">
        <v>31</v>
      </c>
      <c r="C299" s="9">
        <v>1</v>
      </c>
      <c r="D299" s="22">
        <v>83000</v>
      </c>
      <c r="E299" s="10">
        <f t="shared" si="17"/>
        <v>83000</v>
      </c>
      <c r="F299" s="28"/>
    </row>
    <row r="300" spans="1:6">
      <c r="A300" s="26"/>
      <c r="B300" s="14" t="s">
        <v>129</v>
      </c>
      <c r="C300" s="9">
        <v>2</v>
      </c>
      <c r="D300" s="22">
        <v>35000</v>
      </c>
      <c r="E300" s="10">
        <f t="shared" si="17"/>
        <v>70000</v>
      </c>
      <c r="F300" s="29"/>
    </row>
    <row r="301" spans="1:6">
      <c r="A301" s="20">
        <v>45975</v>
      </c>
      <c r="B301" s="14" t="s">
        <v>130</v>
      </c>
      <c r="C301" s="9">
        <v>1</v>
      </c>
      <c r="D301" s="10">
        <v>85000</v>
      </c>
      <c r="E301" s="10">
        <f t="shared" si="17"/>
        <v>85000</v>
      </c>
      <c r="F301" s="21">
        <f>SUM(E301)</f>
        <v>85000</v>
      </c>
    </row>
    <row r="302" spans="1:6">
      <c r="A302" s="24">
        <v>45976</v>
      </c>
      <c r="B302" s="14" t="s">
        <v>109</v>
      </c>
      <c r="C302" s="9">
        <v>4</v>
      </c>
      <c r="D302" s="10">
        <v>110000</v>
      </c>
      <c r="E302" s="10">
        <f t="shared" ref="E302:E314" si="18">SUM(C302*D302)</f>
        <v>440000</v>
      </c>
      <c r="F302" s="27">
        <f>SUM(E302:E314)</f>
        <v>993600</v>
      </c>
    </row>
    <row r="303" spans="1:6">
      <c r="A303" s="25"/>
      <c r="B303" s="14" t="s">
        <v>131</v>
      </c>
      <c r="C303" s="9">
        <v>3</v>
      </c>
      <c r="D303" s="10">
        <v>35000</v>
      </c>
      <c r="E303" s="10">
        <f t="shared" si="18"/>
        <v>105000</v>
      </c>
      <c r="F303" s="28"/>
    </row>
    <row r="304" spans="1:6">
      <c r="A304" s="25"/>
      <c r="B304" s="14" t="s">
        <v>7</v>
      </c>
      <c r="C304" s="9">
        <v>0.1</v>
      </c>
      <c r="D304" s="10">
        <v>110000</v>
      </c>
      <c r="E304" s="10">
        <f t="shared" si="18"/>
        <v>11000</v>
      </c>
      <c r="F304" s="28"/>
    </row>
    <row r="305" spans="1:8">
      <c r="A305" s="25"/>
      <c r="B305" s="14" t="s">
        <v>132</v>
      </c>
      <c r="C305" s="9">
        <v>0.05</v>
      </c>
      <c r="D305" s="10">
        <v>198000</v>
      </c>
      <c r="E305" s="10">
        <f t="shared" si="18"/>
        <v>9900</v>
      </c>
      <c r="F305" s="28"/>
    </row>
    <row r="306" spans="1:8">
      <c r="A306" s="25"/>
      <c r="B306" s="14" t="s">
        <v>71</v>
      </c>
      <c r="C306" s="9">
        <v>0.1</v>
      </c>
      <c r="D306" s="10">
        <v>72000</v>
      </c>
      <c r="E306" s="10">
        <f t="shared" si="18"/>
        <v>7200</v>
      </c>
      <c r="F306" s="28"/>
    </row>
    <row r="307" spans="1:8">
      <c r="A307" s="25"/>
      <c r="B307" s="14" t="s">
        <v>17</v>
      </c>
      <c r="C307" s="9">
        <v>1</v>
      </c>
      <c r="D307" s="10">
        <v>50000</v>
      </c>
      <c r="E307" s="10">
        <f t="shared" si="18"/>
        <v>50000</v>
      </c>
      <c r="F307" s="28"/>
    </row>
    <row r="308" spans="1:8">
      <c r="A308" s="25"/>
      <c r="B308" s="14" t="s">
        <v>53</v>
      </c>
      <c r="C308" s="9">
        <v>1</v>
      </c>
      <c r="D308" s="10">
        <v>9000</v>
      </c>
      <c r="E308" s="10">
        <f t="shared" si="18"/>
        <v>9000</v>
      </c>
      <c r="F308" s="28"/>
      <c r="H308" s="13"/>
    </row>
    <row r="309" spans="1:8">
      <c r="A309" s="25"/>
      <c r="B309" s="14" t="s">
        <v>26</v>
      </c>
      <c r="C309" s="9">
        <v>1</v>
      </c>
      <c r="D309" s="10">
        <v>17000</v>
      </c>
      <c r="E309" s="10">
        <f t="shared" si="18"/>
        <v>17000</v>
      </c>
      <c r="F309" s="28"/>
    </row>
    <row r="310" spans="1:8">
      <c r="A310" s="25"/>
      <c r="B310" s="14" t="s">
        <v>89</v>
      </c>
      <c r="C310" s="9">
        <v>0.5</v>
      </c>
      <c r="D310" s="10">
        <v>83000</v>
      </c>
      <c r="E310" s="10">
        <f t="shared" si="18"/>
        <v>41500</v>
      </c>
      <c r="F310" s="28"/>
    </row>
    <row r="311" spans="1:8">
      <c r="A311" s="25"/>
      <c r="B311" s="14" t="s">
        <v>77</v>
      </c>
      <c r="C311" s="9">
        <v>0.5</v>
      </c>
      <c r="D311" s="10">
        <v>72000</v>
      </c>
      <c r="E311" s="10">
        <f t="shared" si="18"/>
        <v>36000</v>
      </c>
      <c r="F311" s="28"/>
    </row>
    <row r="312" spans="1:8">
      <c r="A312" s="25"/>
      <c r="B312" s="14" t="s">
        <v>90</v>
      </c>
      <c r="C312" s="9">
        <v>0.5</v>
      </c>
      <c r="D312" s="10">
        <v>94000</v>
      </c>
      <c r="E312" s="10">
        <f t="shared" si="18"/>
        <v>47000</v>
      </c>
      <c r="F312" s="28"/>
    </row>
    <row r="313" spans="1:8">
      <c r="A313" s="25"/>
      <c r="B313" s="14" t="s">
        <v>122</v>
      </c>
      <c r="C313" s="9">
        <v>2</v>
      </c>
      <c r="D313" s="10">
        <v>65000</v>
      </c>
      <c r="E313" s="10">
        <f t="shared" si="18"/>
        <v>130000</v>
      </c>
      <c r="F313" s="28"/>
    </row>
    <row r="314" spans="1:8">
      <c r="A314" s="26"/>
      <c r="B314" s="14" t="s">
        <v>133</v>
      </c>
      <c r="C314" s="9">
        <v>2</v>
      </c>
      <c r="D314" s="10">
        <v>45000</v>
      </c>
      <c r="E314" s="10">
        <f t="shared" si="18"/>
        <v>90000</v>
      </c>
      <c r="F314" s="29"/>
    </row>
    <row r="315" spans="1:8">
      <c r="A315" s="24">
        <v>45976</v>
      </c>
      <c r="B315" s="14" t="s">
        <v>28</v>
      </c>
      <c r="C315" s="9">
        <v>0.2</v>
      </c>
      <c r="D315" s="10">
        <v>120000</v>
      </c>
      <c r="E315" s="10">
        <f t="shared" ref="E315:E336" si="19">SUM(C315*D315)</f>
        <v>24000</v>
      </c>
      <c r="F315" s="27">
        <f>SUM(E315:E336)</f>
        <v>1687900</v>
      </c>
    </row>
    <row r="316" spans="1:8">
      <c r="A316" s="25"/>
      <c r="B316" s="14" t="s">
        <v>81</v>
      </c>
      <c r="C316" s="9">
        <v>1</v>
      </c>
      <c r="D316" s="10">
        <v>70000</v>
      </c>
      <c r="E316" s="10">
        <f t="shared" si="19"/>
        <v>70000</v>
      </c>
      <c r="F316" s="28"/>
    </row>
    <row r="317" spans="1:8">
      <c r="A317" s="25"/>
      <c r="B317" s="14" t="s">
        <v>66</v>
      </c>
      <c r="C317" s="9">
        <v>0.5</v>
      </c>
      <c r="D317" s="10">
        <v>70000</v>
      </c>
      <c r="E317" s="10">
        <f t="shared" si="19"/>
        <v>35000</v>
      </c>
      <c r="F317" s="28"/>
    </row>
    <row r="318" spans="1:8">
      <c r="A318" s="25"/>
      <c r="B318" s="14" t="s">
        <v>69</v>
      </c>
      <c r="C318" s="9">
        <v>0.5</v>
      </c>
      <c r="D318" s="10">
        <v>70000</v>
      </c>
      <c r="E318" s="10">
        <f t="shared" si="19"/>
        <v>35000</v>
      </c>
      <c r="F318" s="28"/>
    </row>
    <row r="319" spans="1:8">
      <c r="A319" s="25"/>
      <c r="B319" s="14" t="s">
        <v>33</v>
      </c>
      <c r="C319" s="9">
        <v>0.4</v>
      </c>
      <c r="D319" s="10">
        <v>50000</v>
      </c>
      <c r="E319" s="10">
        <f t="shared" si="19"/>
        <v>20000</v>
      </c>
      <c r="F319" s="28"/>
    </row>
    <row r="320" spans="1:8">
      <c r="A320" s="25"/>
      <c r="B320" s="14" t="s">
        <v>35</v>
      </c>
      <c r="C320" s="9">
        <v>0.4</v>
      </c>
      <c r="D320" s="10">
        <v>61000</v>
      </c>
      <c r="E320" s="10">
        <f t="shared" si="19"/>
        <v>24400</v>
      </c>
      <c r="F320" s="28"/>
    </row>
    <row r="321" spans="1:6">
      <c r="A321" s="25"/>
      <c r="B321" s="14" t="s">
        <v>18</v>
      </c>
      <c r="C321" s="9">
        <v>0.2</v>
      </c>
      <c r="D321" s="10">
        <v>28000</v>
      </c>
      <c r="E321" s="10">
        <f t="shared" si="19"/>
        <v>5600</v>
      </c>
      <c r="F321" s="28"/>
    </row>
    <row r="322" spans="1:6">
      <c r="A322" s="25"/>
      <c r="B322" s="14" t="s">
        <v>91</v>
      </c>
      <c r="C322" s="9">
        <v>2</v>
      </c>
      <c r="D322" s="10">
        <v>39000</v>
      </c>
      <c r="E322" s="10">
        <f t="shared" si="19"/>
        <v>78000</v>
      </c>
      <c r="F322" s="28"/>
    </row>
    <row r="323" spans="1:6">
      <c r="A323" s="25"/>
      <c r="B323" s="14" t="s">
        <v>27</v>
      </c>
      <c r="C323" s="9">
        <v>1.2</v>
      </c>
      <c r="D323" s="10">
        <v>39000</v>
      </c>
      <c r="E323" s="10">
        <f t="shared" si="19"/>
        <v>46800</v>
      </c>
      <c r="F323" s="28"/>
    </row>
    <row r="324" spans="1:6">
      <c r="A324" s="25"/>
      <c r="B324" s="14" t="s">
        <v>25</v>
      </c>
      <c r="C324" s="9">
        <v>1.5</v>
      </c>
      <c r="D324" s="10">
        <v>39000</v>
      </c>
      <c r="E324" s="10">
        <f t="shared" si="19"/>
        <v>58500</v>
      </c>
      <c r="F324" s="28"/>
    </row>
    <row r="325" spans="1:6">
      <c r="A325" s="25"/>
      <c r="B325" s="14" t="s">
        <v>65</v>
      </c>
      <c r="C325" s="9">
        <v>1</v>
      </c>
      <c r="D325" s="10">
        <v>55000</v>
      </c>
      <c r="E325" s="10">
        <f t="shared" si="19"/>
        <v>55000</v>
      </c>
      <c r="F325" s="28"/>
    </row>
    <row r="326" spans="1:6">
      <c r="A326" s="25"/>
      <c r="B326" s="14" t="s">
        <v>134</v>
      </c>
      <c r="C326" s="9">
        <v>4</v>
      </c>
      <c r="D326" s="10">
        <v>10000</v>
      </c>
      <c r="E326" s="10">
        <f t="shared" si="19"/>
        <v>40000</v>
      </c>
      <c r="F326" s="28"/>
    </row>
    <row r="327" spans="1:6">
      <c r="A327" s="25"/>
      <c r="B327" s="14" t="s">
        <v>135</v>
      </c>
      <c r="C327" s="9">
        <v>1</v>
      </c>
      <c r="D327" s="10">
        <v>30000</v>
      </c>
      <c r="E327" s="10">
        <f t="shared" si="19"/>
        <v>30000</v>
      </c>
      <c r="F327" s="28"/>
    </row>
    <row r="328" spans="1:6">
      <c r="A328" s="25"/>
      <c r="B328" s="14" t="s">
        <v>72</v>
      </c>
      <c r="C328" s="9">
        <v>2</v>
      </c>
      <c r="D328" s="10">
        <v>25000</v>
      </c>
      <c r="E328" s="10">
        <f t="shared" si="19"/>
        <v>50000</v>
      </c>
      <c r="F328" s="28"/>
    </row>
    <row r="329" spans="1:6">
      <c r="A329" s="25"/>
      <c r="B329" s="14" t="s">
        <v>42</v>
      </c>
      <c r="C329" s="9">
        <v>1</v>
      </c>
      <c r="D329" s="10">
        <v>39000</v>
      </c>
      <c r="E329" s="10">
        <f t="shared" si="19"/>
        <v>39000</v>
      </c>
      <c r="F329" s="28"/>
    </row>
    <row r="330" spans="1:6">
      <c r="A330" s="25"/>
      <c r="B330" s="14" t="s">
        <v>114</v>
      </c>
      <c r="C330" s="9">
        <v>4</v>
      </c>
      <c r="D330" s="10">
        <v>66000</v>
      </c>
      <c r="E330" s="10">
        <f t="shared" si="19"/>
        <v>264000</v>
      </c>
      <c r="F330" s="28"/>
    </row>
    <row r="331" spans="1:6">
      <c r="A331" s="25"/>
      <c r="B331" s="14" t="s">
        <v>136</v>
      </c>
      <c r="C331" s="9">
        <v>2</v>
      </c>
      <c r="D331" s="10">
        <v>35000</v>
      </c>
      <c r="E331" s="10">
        <f t="shared" si="19"/>
        <v>70000</v>
      </c>
      <c r="F331" s="28"/>
    </row>
    <row r="332" spans="1:6">
      <c r="A332" s="25"/>
      <c r="B332" s="14" t="s">
        <v>137</v>
      </c>
      <c r="C332" s="9">
        <v>1</v>
      </c>
      <c r="D332" s="10">
        <v>450000</v>
      </c>
      <c r="E332" s="10">
        <f t="shared" si="19"/>
        <v>450000</v>
      </c>
      <c r="F332" s="28"/>
    </row>
    <row r="333" spans="1:6">
      <c r="A333" s="25"/>
      <c r="B333" s="14" t="s">
        <v>138</v>
      </c>
      <c r="C333" s="9">
        <v>1</v>
      </c>
      <c r="D333" s="10">
        <v>90000</v>
      </c>
      <c r="E333" s="10">
        <f t="shared" si="19"/>
        <v>90000</v>
      </c>
      <c r="F333" s="28"/>
    </row>
    <row r="334" spans="1:6">
      <c r="A334" s="25"/>
      <c r="B334" s="14" t="s">
        <v>44</v>
      </c>
      <c r="C334" s="9">
        <v>5.3</v>
      </c>
      <c r="D334" s="10">
        <v>22000</v>
      </c>
      <c r="E334" s="10">
        <f t="shared" si="19"/>
        <v>116600</v>
      </c>
      <c r="F334" s="28"/>
    </row>
    <row r="335" spans="1:6">
      <c r="A335" s="25"/>
      <c r="B335" s="14" t="s">
        <v>15</v>
      </c>
      <c r="C335" s="9">
        <v>2</v>
      </c>
      <c r="D335" s="10">
        <v>28000</v>
      </c>
      <c r="E335" s="10">
        <f t="shared" si="19"/>
        <v>56000</v>
      </c>
      <c r="F335" s="28"/>
    </row>
    <row r="336" spans="1:6">
      <c r="A336" s="26"/>
      <c r="B336" s="14" t="s">
        <v>83</v>
      </c>
      <c r="C336" s="9">
        <v>0.5</v>
      </c>
      <c r="D336" s="10">
        <v>60000</v>
      </c>
      <c r="E336" s="10">
        <f t="shared" si="19"/>
        <v>30000</v>
      </c>
      <c r="F336" s="29"/>
    </row>
    <row r="337" spans="1:6">
      <c r="A337" s="24">
        <v>45977</v>
      </c>
      <c r="B337" s="14" t="s">
        <v>139</v>
      </c>
      <c r="C337" s="9">
        <v>1</v>
      </c>
      <c r="D337" s="10">
        <v>350000</v>
      </c>
      <c r="E337" s="10">
        <f t="shared" ref="E337:E356" si="20">SUM(C337*D337)</f>
        <v>350000</v>
      </c>
      <c r="F337" s="27">
        <f>SUM(E337:E356)</f>
        <v>1339100</v>
      </c>
    </row>
    <row r="338" spans="1:6">
      <c r="A338" s="25"/>
      <c r="B338" s="14" t="s">
        <v>140</v>
      </c>
      <c r="C338" s="9">
        <v>1</v>
      </c>
      <c r="D338" s="10">
        <v>145000</v>
      </c>
      <c r="E338" s="10">
        <f t="shared" si="20"/>
        <v>145000</v>
      </c>
      <c r="F338" s="28"/>
    </row>
    <row r="339" spans="1:6">
      <c r="A339" s="25"/>
      <c r="B339" s="14" t="s">
        <v>25</v>
      </c>
      <c r="C339" s="9">
        <v>1.5</v>
      </c>
      <c r="D339" s="10">
        <v>39000</v>
      </c>
      <c r="E339" s="10">
        <f t="shared" si="20"/>
        <v>58500</v>
      </c>
      <c r="F339" s="28"/>
    </row>
    <row r="340" spans="1:6">
      <c r="A340" s="25"/>
      <c r="B340" s="14" t="s">
        <v>27</v>
      </c>
      <c r="C340" s="9">
        <v>1.5</v>
      </c>
      <c r="D340" s="10">
        <v>39000</v>
      </c>
      <c r="E340" s="10">
        <f t="shared" si="20"/>
        <v>58500</v>
      </c>
      <c r="F340" s="28"/>
    </row>
    <row r="341" spans="1:6">
      <c r="A341" s="25"/>
      <c r="B341" s="14" t="s">
        <v>29</v>
      </c>
      <c r="C341" s="9">
        <v>1</v>
      </c>
      <c r="D341" s="10">
        <v>60000</v>
      </c>
      <c r="E341" s="10">
        <f t="shared" si="20"/>
        <v>60000</v>
      </c>
      <c r="F341" s="28"/>
    </row>
    <row r="342" spans="1:6">
      <c r="A342" s="25"/>
      <c r="B342" s="14" t="s">
        <v>34</v>
      </c>
      <c r="C342" s="9">
        <v>1</v>
      </c>
      <c r="D342" s="10">
        <v>61000</v>
      </c>
      <c r="E342" s="10">
        <f t="shared" si="20"/>
        <v>61000</v>
      </c>
      <c r="F342" s="28"/>
    </row>
    <row r="343" spans="1:6">
      <c r="A343" s="25"/>
      <c r="B343" s="14" t="s">
        <v>28</v>
      </c>
      <c r="C343" s="9">
        <v>0.2</v>
      </c>
      <c r="D343" s="10">
        <v>120000</v>
      </c>
      <c r="E343" s="10">
        <f t="shared" si="20"/>
        <v>24000</v>
      </c>
      <c r="F343" s="28"/>
    </row>
    <row r="344" spans="1:6">
      <c r="A344" s="25"/>
      <c r="B344" s="14" t="s">
        <v>33</v>
      </c>
      <c r="C344" s="9">
        <v>0.5</v>
      </c>
      <c r="D344" s="10">
        <v>50000</v>
      </c>
      <c r="E344" s="10">
        <f t="shared" si="20"/>
        <v>25000</v>
      </c>
      <c r="F344" s="28"/>
    </row>
    <row r="345" spans="1:6">
      <c r="A345" s="25"/>
      <c r="B345" s="14" t="s">
        <v>35</v>
      </c>
      <c r="C345" s="9">
        <v>0.5</v>
      </c>
      <c r="D345" s="10">
        <v>61000</v>
      </c>
      <c r="E345" s="10">
        <f t="shared" si="20"/>
        <v>30500</v>
      </c>
      <c r="F345" s="28"/>
    </row>
    <row r="346" spans="1:6">
      <c r="A346" s="25"/>
      <c r="B346" s="14" t="s">
        <v>81</v>
      </c>
      <c r="C346" s="9">
        <v>1</v>
      </c>
      <c r="D346" s="10">
        <v>70000</v>
      </c>
      <c r="E346" s="10">
        <f t="shared" si="20"/>
        <v>70000</v>
      </c>
      <c r="F346" s="28"/>
    </row>
    <row r="347" spans="1:6">
      <c r="A347" s="25"/>
      <c r="B347" s="14" t="s">
        <v>66</v>
      </c>
      <c r="C347" s="9">
        <v>0.5</v>
      </c>
      <c r="D347" s="10">
        <v>70000</v>
      </c>
      <c r="E347" s="10">
        <f t="shared" si="20"/>
        <v>35000</v>
      </c>
      <c r="F347" s="28"/>
    </row>
    <row r="348" spans="1:6">
      <c r="A348" s="25"/>
      <c r="B348" s="14" t="s">
        <v>141</v>
      </c>
      <c r="C348" s="9">
        <v>0.5</v>
      </c>
      <c r="D348" s="10">
        <v>75000</v>
      </c>
      <c r="E348" s="10">
        <f t="shared" si="20"/>
        <v>37500</v>
      </c>
      <c r="F348" s="28"/>
    </row>
    <row r="349" spans="1:6">
      <c r="A349" s="25"/>
      <c r="B349" s="14" t="s">
        <v>69</v>
      </c>
      <c r="C349" s="9">
        <v>0.3</v>
      </c>
      <c r="D349" s="10">
        <v>70000</v>
      </c>
      <c r="E349" s="10">
        <f t="shared" si="20"/>
        <v>21000</v>
      </c>
      <c r="F349" s="28"/>
    </row>
    <row r="350" spans="1:6">
      <c r="A350" s="25"/>
      <c r="B350" s="14" t="s">
        <v>56</v>
      </c>
      <c r="C350" s="9">
        <v>0.1</v>
      </c>
      <c r="D350" s="10">
        <v>88000</v>
      </c>
      <c r="E350" s="10">
        <f t="shared" si="20"/>
        <v>8800</v>
      </c>
      <c r="F350" s="28"/>
    </row>
    <row r="351" spans="1:6">
      <c r="A351" s="25"/>
      <c r="B351" s="14" t="s">
        <v>54</v>
      </c>
      <c r="C351" s="9">
        <v>0.1</v>
      </c>
      <c r="D351" s="10">
        <v>72000</v>
      </c>
      <c r="E351" s="10">
        <f t="shared" si="20"/>
        <v>7200</v>
      </c>
      <c r="F351" s="28"/>
    </row>
    <row r="352" spans="1:6">
      <c r="A352" s="25"/>
      <c r="B352" s="14" t="s">
        <v>109</v>
      </c>
      <c r="C352" s="9">
        <v>2</v>
      </c>
      <c r="D352" s="10">
        <v>110000</v>
      </c>
      <c r="E352" s="10">
        <f t="shared" si="20"/>
        <v>220000</v>
      </c>
      <c r="F352" s="28"/>
    </row>
    <row r="353" spans="1:6">
      <c r="A353" s="25"/>
      <c r="B353" s="14" t="s">
        <v>131</v>
      </c>
      <c r="C353" s="9">
        <v>2</v>
      </c>
      <c r="D353" s="10">
        <v>35000</v>
      </c>
      <c r="E353" s="10">
        <f t="shared" si="20"/>
        <v>70000</v>
      </c>
      <c r="F353" s="28"/>
    </row>
    <row r="354" spans="1:6">
      <c r="A354" s="25"/>
      <c r="B354" s="14" t="s">
        <v>142</v>
      </c>
      <c r="C354" s="9">
        <v>0.2</v>
      </c>
      <c r="D354" s="10">
        <v>50000</v>
      </c>
      <c r="E354" s="10">
        <f t="shared" si="20"/>
        <v>10000</v>
      </c>
      <c r="F354" s="28"/>
    </row>
    <row r="355" spans="1:6">
      <c r="A355" s="25"/>
      <c r="B355" s="14" t="s">
        <v>61</v>
      </c>
      <c r="C355" s="9">
        <v>0.3</v>
      </c>
      <c r="D355" s="10">
        <v>72000</v>
      </c>
      <c r="E355" s="10">
        <f t="shared" si="20"/>
        <v>21600</v>
      </c>
      <c r="F355" s="28"/>
    </row>
    <row r="356" spans="1:6">
      <c r="A356" s="26"/>
      <c r="B356" s="14" t="s">
        <v>55</v>
      </c>
      <c r="C356" s="9">
        <v>1.5</v>
      </c>
      <c r="D356" s="10">
        <v>17000</v>
      </c>
      <c r="E356" s="10">
        <f t="shared" si="20"/>
        <v>25500</v>
      </c>
      <c r="F356" s="29"/>
    </row>
    <row r="357" spans="1:6">
      <c r="A357" s="24">
        <v>45977</v>
      </c>
      <c r="B357" s="14" t="s">
        <v>10</v>
      </c>
      <c r="C357" s="9">
        <v>0.2</v>
      </c>
      <c r="D357" s="10">
        <v>61000</v>
      </c>
      <c r="E357" s="10">
        <f t="shared" ref="E357:E377" si="21">SUM(C357*D357)</f>
        <v>12200</v>
      </c>
      <c r="F357" s="27">
        <f>SUM(E357:E375)</f>
        <v>2278000</v>
      </c>
    </row>
    <row r="358" spans="1:6">
      <c r="A358" s="25"/>
      <c r="B358" s="14" t="s">
        <v>62</v>
      </c>
      <c r="C358" s="9">
        <v>2</v>
      </c>
      <c r="D358" s="10">
        <v>30000</v>
      </c>
      <c r="E358" s="10">
        <f t="shared" si="21"/>
        <v>60000</v>
      </c>
      <c r="F358" s="28"/>
    </row>
    <row r="359" spans="1:6">
      <c r="A359" s="25"/>
      <c r="B359" s="14" t="s">
        <v>85</v>
      </c>
      <c r="C359" s="9">
        <v>1</v>
      </c>
      <c r="D359" s="10">
        <v>200000</v>
      </c>
      <c r="E359" s="10">
        <f t="shared" si="21"/>
        <v>200000</v>
      </c>
      <c r="F359" s="28"/>
    </row>
    <row r="360" spans="1:6">
      <c r="A360" s="25"/>
      <c r="B360" s="14" t="s">
        <v>122</v>
      </c>
      <c r="C360" s="9">
        <v>2</v>
      </c>
      <c r="D360" s="10">
        <v>65000</v>
      </c>
      <c r="E360" s="10">
        <f t="shared" si="21"/>
        <v>130000</v>
      </c>
      <c r="F360" s="28"/>
    </row>
    <row r="361" spans="1:6">
      <c r="A361" s="25"/>
      <c r="B361" s="14" t="s">
        <v>24</v>
      </c>
      <c r="C361" s="9">
        <v>2</v>
      </c>
      <c r="D361" s="10">
        <v>25000</v>
      </c>
      <c r="E361" s="10">
        <f t="shared" si="21"/>
        <v>50000</v>
      </c>
      <c r="F361" s="28"/>
    </row>
    <row r="362" spans="1:6">
      <c r="A362" s="25"/>
      <c r="B362" s="14" t="s">
        <v>143</v>
      </c>
      <c r="C362" s="9">
        <v>1</v>
      </c>
      <c r="D362" s="10">
        <v>30000</v>
      </c>
      <c r="E362" s="10">
        <f t="shared" si="21"/>
        <v>30000</v>
      </c>
      <c r="F362" s="28"/>
    </row>
    <row r="363" spans="1:6">
      <c r="A363" s="25"/>
      <c r="B363" s="14" t="s">
        <v>144</v>
      </c>
      <c r="C363" s="9">
        <v>2</v>
      </c>
      <c r="D363" s="10">
        <v>320000</v>
      </c>
      <c r="E363" s="10">
        <f t="shared" si="21"/>
        <v>640000</v>
      </c>
      <c r="F363" s="28"/>
    </row>
    <row r="364" spans="1:6">
      <c r="A364" s="25"/>
      <c r="B364" s="14" t="s">
        <v>145</v>
      </c>
      <c r="C364" s="9">
        <v>1</v>
      </c>
      <c r="D364" s="10">
        <v>280000</v>
      </c>
      <c r="E364" s="10">
        <f t="shared" si="21"/>
        <v>280000</v>
      </c>
      <c r="F364" s="28"/>
    </row>
    <row r="365" spans="1:6">
      <c r="A365" s="25"/>
      <c r="B365" s="14" t="s">
        <v>15</v>
      </c>
      <c r="C365" s="9">
        <v>1</v>
      </c>
      <c r="D365" s="10">
        <v>28000</v>
      </c>
      <c r="E365" s="10">
        <f t="shared" si="21"/>
        <v>28000</v>
      </c>
      <c r="F365" s="28"/>
    </row>
    <row r="366" spans="1:6">
      <c r="A366" s="25"/>
      <c r="B366" s="14" t="s">
        <v>114</v>
      </c>
      <c r="C366" s="9">
        <v>3</v>
      </c>
      <c r="D366" s="10">
        <v>66000</v>
      </c>
      <c r="E366" s="10">
        <f t="shared" si="21"/>
        <v>198000</v>
      </c>
      <c r="F366" s="28"/>
    </row>
    <row r="367" spans="1:6">
      <c r="A367" s="25"/>
      <c r="B367" s="14" t="s">
        <v>19</v>
      </c>
      <c r="C367" s="9">
        <v>5</v>
      </c>
      <c r="D367" s="10">
        <v>24000</v>
      </c>
      <c r="E367" s="10">
        <f t="shared" si="21"/>
        <v>120000</v>
      </c>
      <c r="F367" s="28"/>
    </row>
    <row r="368" spans="1:6">
      <c r="A368" s="25"/>
      <c r="B368" s="14" t="s">
        <v>40</v>
      </c>
      <c r="C368" s="9">
        <v>5</v>
      </c>
      <c r="D368" s="10">
        <v>25000</v>
      </c>
      <c r="E368" s="10">
        <f t="shared" si="21"/>
        <v>125000</v>
      </c>
      <c r="F368" s="28"/>
    </row>
    <row r="369" spans="1:6">
      <c r="A369" s="25"/>
      <c r="B369" s="14" t="s">
        <v>95</v>
      </c>
      <c r="C369" s="9">
        <v>0.5</v>
      </c>
      <c r="D369" s="10">
        <v>100000</v>
      </c>
      <c r="E369" s="10">
        <f t="shared" si="21"/>
        <v>50000</v>
      </c>
      <c r="F369" s="28"/>
    </row>
    <row r="370" spans="1:6">
      <c r="A370" s="25"/>
      <c r="B370" s="14" t="s">
        <v>94</v>
      </c>
      <c r="C370" s="9">
        <v>0.5</v>
      </c>
      <c r="D370" s="10">
        <v>200000</v>
      </c>
      <c r="E370" s="10">
        <f t="shared" si="21"/>
        <v>100000</v>
      </c>
      <c r="F370" s="28"/>
    </row>
    <row r="371" spans="1:6">
      <c r="A371" s="25"/>
      <c r="B371" s="14" t="s">
        <v>65</v>
      </c>
      <c r="C371" s="9">
        <v>2</v>
      </c>
      <c r="D371" s="10">
        <v>55000</v>
      </c>
      <c r="E371" s="10">
        <f t="shared" si="21"/>
        <v>110000</v>
      </c>
      <c r="F371" s="28"/>
    </row>
    <row r="372" spans="1:6">
      <c r="A372" s="25"/>
      <c r="B372" s="14" t="s">
        <v>146</v>
      </c>
      <c r="C372" s="9">
        <v>3.8</v>
      </c>
      <c r="D372" s="10">
        <v>8000</v>
      </c>
      <c r="E372" s="10">
        <f t="shared" si="21"/>
        <v>30400</v>
      </c>
      <c r="F372" s="28"/>
    </row>
    <row r="373" spans="1:6">
      <c r="A373" s="25"/>
      <c r="B373" s="14" t="s">
        <v>83</v>
      </c>
      <c r="C373" s="9">
        <v>0.5</v>
      </c>
      <c r="D373" s="10">
        <v>60000</v>
      </c>
      <c r="E373" s="10">
        <f t="shared" si="21"/>
        <v>30000</v>
      </c>
      <c r="F373" s="28"/>
    </row>
    <row r="374" spans="1:6">
      <c r="A374" s="25"/>
      <c r="B374" s="14" t="s">
        <v>133</v>
      </c>
      <c r="C374" s="9">
        <v>2</v>
      </c>
      <c r="D374" s="10">
        <v>35000</v>
      </c>
      <c r="E374" s="10">
        <f t="shared" si="21"/>
        <v>70000</v>
      </c>
      <c r="F374" s="28"/>
    </row>
    <row r="375" spans="1:6">
      <c r="A375" s="26"/>
      <c r="B375" s="14" t="s">
        <v>147</v>
      </c>
      <c r="C375" s="9">
        <v>0.2</v>
      </c>
      <c r="D375" s="10">
        <v>72000</v>
      </c>
      <c r="E375" s="10">
        <f t="shared" si="21"/>
        <v>14400</v>
      </c>
      <c r="F375" s="29"/>
    </row>
    <row r="376" spans="1:6">
      <c r="A376" s="24">
        <v>45978</v>
      </c>
      <c r="B376" s="14" t="s">
        <v>66</v>
      </c>
      <c r="C376" s="9">
        <v>0.5</v>
      </c>
      <c r="D376" s="10">
        <v>80000</v>
      </c>
      <c r="E376" s="10">
        <f t="shared" si="21"/>
        <v>40000</v>
      </c>
      <c r="F376" s="27">
        <f>SUM(E376:E393)</f>
        <v>1239500</v>
      </c>
    </row>
    <row r="377" spans="1:6">
      <c r="A377" s="25"/>
      <c r="B377" s="14" t="s">
        <v>82</v>
      </c>
      <c r="C377" s="9">
        <v>0.1</v>
      </c>
      <c r="D377" s="10">
        <v>22000</v>
      </c>
      <c r="E377" s="10">
        <f t="shared" si="21"/>
        <v>2200</v>
      </c>
      <c r="F377" s="28"/>
    </row>
    <row r="378" spans="1:6">
      <c r="A378" s="25"/>
      <c r="B378" s="14" t="s">
        <v>35</v>
      </c>
      <c r="C378" s="9">
        <v>0.4</v>
      </c>
      <c r="D378" s="10">
        <v>61000</v>
      </c>
      <c r="E378" s="10">
        <f t="shared" ref="E378:E404" si="22">SUM(C378*D378)</f>
        <v>24400</v>
      </c>
      <c r="F378" s="28"/>
    </row>
    <row r="379" spans="1:6">
      <c r="A379" s="25"/>
      <c r="B379" s="14" t="s">
        <v>25</v>
      </c>
      <c r="C379" s="9">
        <v>2</v>
      </c>
      <c r="D379" s="10">
        <v>39000</v>
      </c>
      <c r="E379" s="10">
        <f t="shared" si="22"/>
        <v>78000</v>
      </c>
      <c r="F379" s="28"/>
    </row>
    <row r="380" spans="1:6">
      <c r="A380" s="25"/>
      <c r="B380" s="14" t="s">
        <v>72</v>
      </c>
      <c r="C380" s="9">
        <v>2</v>
      </c>
      <c r="D380" s="10">
        <v>25000</v>
      </c>
      <c r="E380" s="10">
        <f t="shared" si="22"/>
        <v>50000</v>
      </c>
      <c r="F380" s="28"/>
    </row>
    <row r="381" spans="1:6">
      <c r="A381" s="25"/>
      <c r="B381" s="14" t="s">
        <v>42</v>
      </c>
      <c r="C381" s="9">
        <v>2</v>
      </c>
      <c r="D381" s="10">
        <v>39000</v>
      </c>
      <c r="E381" s="10">
        <f t="shared" si="22"/>
        <v>78000</v>
      </c>
      <c r="F381" s="28"/>
    </row>
    <row r="382" spans="1:6">
      <c r="A382" s="25"/>
      <c r="B382" s="14" t="s">
        <v>19</v>
      </c>
      <c r="C382" s="9">
        <v>5</v>
      </c>
      <c r="D382" s="10">
        <v>24000</v>
      </c>
      <c r="E382" s="10">
        <f t="shared" si="22"/>
        <v>120000</v>
      </c>
      <c r="F382" s="28"/>
    </row>
    <row r="383" spans="1:6">
      <c r="A383" s="25"/>
      <c r="B383" s="14" t="s">
        <v>44</v>
      </c>
      <c r="C383" s="9">
        <v>2.6</v>
      </c>
      <c r="D383" s="10">
        <v>22000</v>
      </c>
      <c r="E383" s="10">
        <f t="shared" si="22"/>
        <v>57200</v>
      </c>
      <c r="F383" s="28"/>
    </row>
    <row r="384" spans="1:6">
      <c r="A384" s="25"/>
      <c r="B384" s="14" t="s">
        <v>114</v>
      </c>
      <c r="C384" s="9">
        <v>5</v>
      </c>
      <c r="D384" s="10">
        <v>66000</v>
      </c>
      <c r="E384" s="10">
        <f t="shared" si="22"/>
        <v>330000</v>
      </c>
      <c r="F384" s="28"/>
    </row>
    <row r="385" spans="1:7">
      <c r="A385" s="25"/>
      <c r="B385" s="14" t="s">
        <v>24</v>
      </c>
      <c r="C385" s="9">
        <v>2</v>
      </c>
      <c r="D385" s="10">
        <v>30000</v>
      </c>
      <c r="E385" s="10">
        <f t="shared" si="22"/>
        <v>60000</v>
      </c>
      <c r="F385" s="28"/>
    </row>
    <row r="386" spans="1:7">
      <c r="A386" s="25"/>
      <c r="B386" s="14" t="s">
        <v>93</v>
      </c>
      <c r="C386" s="9">
        <v>2</v>
      </c>
      <c r="D386" s="10">
        <v>25000</v>
      </c>
      <c r="E386" s="10">
        <f t="shared" si="22"/>
        <v>50000</v>
      </c>
      <c r="F386" s="28"/>
      <c r="G386" s="13"/>
    </row>
    <row r="387" spans="1:7">
      <c r="A387" s="25"/>
      <c r="B387" s="14" t="s">
        <v>74</v>
      </c>
      <c r="C387" s="9">
        <v>2</v>
      </c>
      <c r="D387" s="10">
        <v>75000</v>
      </c>
      <c r="E387" s="10">
        <f t="shared" si="22"/>
        <v>150000</v>
      </c>
      <c r="F387" s="28"/>
    </row>
    <row r="388" spans="1:7">
      <c r="A388" s="25"/>
      <c r="B388" s="14" t="s">
        <v>148</v>
      </c>
      <c r="C388" s="9">
        <v>3</v>
      </c>
      <c r="D388" s="10">
        <v>30000</v>
      </c>
      <c r="E388" s="10">
        <f t="shared" si="22"/>
        <v>90000</v>
      </c>
      <c r="F388" s="28"/>
    </row>
    <row r="389" spans="1:7">
      <c r="A389" s="25"/>
      <c r="B389" s="14" t="s">
        <v>52</v>
      </c>
      <c r="C389" s="9">
        <v>1</v>
      </c>
      <c r="D389" s="10">
        <v>31000</v>
      </c>
      <c r="E389" s="10">
        <f t="shared" si="22"/>
        <v>31000</v>
      </c>
      <c r="F389" s="28"/>
    </row>
    <row r="390" spans="1:7">
      <c r="A390" s="25"/>
      <c r="B390" s="14" t="s">
        <v>17</v>
      </c>
      <c r="C390" s="9">
        <v>1</v>
      </c>
      <c r="D390" s="10">
        <v>50000</v>
      </c>
      <c r="E390" s="10">
        <f t="shared" si="22"/>
        <v>50000</v>
      </c>
      <c r="F390" s="28"/>
    </row>
    <row r="391" spans="1:7">
      <c r="A391" s="25"/>
      <c r="B391" s="14" t="s">
        <v>13</v>
      </c>
      <c r="C391" s="9">
        <v>0.3</v>
      </c>
      <c r="D391" s="10">
        <v>55000</v>
      </c>
      <c r="E391" s="10">
        <f t="shared" si="22"/>
        <v>16500</v>
      </c>
      <c r="F391" s="28"/>
    </row>
    <row r="392" spans="1:7">
      <c r="A392" s="25"/>
      <c r="B392" s="14" t="s">
        <v>50</v>
      </c>
      <c r="C392" s="9">
        <v>0.1</v>
      </c>
      <c r="D392" s="10">
        <v>39000</v>
      </c>
      <c r="E392" s="10">
        <f t="shared" si="22"/>
        <v>3900</v>
      </c>
      <c r="F392" s="28"/>
    </row>
    <row r="393" spans="1:7">
      <c r="A393" s="26"/>
      <c r="B393" s="14" t="s">
        <v>51</v>
      </c>
      <c r="C393" s="9">
        <v>0.1</v>
      </c>
      <c r="D393" s="10">
        <v>83000</v>
      </c>
      <c r="E393" s="10">
        <f t="shared" si="22"/>
        <v>8300</v>
      </c>
      <c r="F393" s="29"/>
    </row>
    <row r="394" spans="1:7">
      <c r="A394" s="24">
        <v>45979</v>
      </c>
      <c r="B394" s="14" t="s">
        <v>27</v>
      </c>
      <c r="C394" s="9">
        <v>2</v>
      </c>
      <c r="D394" s="10">
        <v>39000</v>
      </c>
      <c r="E394" s="10">
        <f t="shared" si="22"/>
        <v>78000</v>
      </c>
      <c r="F394" s="27">
        <f>SUM(E394:E414)</f>
        <v>1425600</v>
      </c>
    </row>
    <row r="395" spans="1:7">
      <c r="A395" s="25"/>
      <c r="B395" s="14" t="s">
        <v>25</v>
      </c>
      <c r="C395" s="9">
        <v>1</v>
      </c>
      <c r="D395" s="10">
        <v>39000</v>
      </c>
      <c r="E395" s="10">
        <f t="shared" si="22"/>
        <v>39000</v>
      </c>
      <c r="F395" s="28"/>
    </row>
    <row r="396" spans="1:7">
      <c r="A396" s="25"/>
      <c r="B396" s="14" t="s">
        <v>56</v>
      </c>
      <c r="C396" s="9">
        <v>0.1</v>
      </c>
      <c r="D396" s="10">
        <v>88000</v>
      </c>
      <c r="E396" s="10">
        <f t="shared" si="22"/>
        <v>8800</v>
      </c>
      <c r="F396" s="28"/>
    </row>
    <row r="397" spans="1:7">
      <c r="A397" s="25"/>
      <c r="B397" s="14" t="s">
        <v>53</v>
      </c>
      <c r="C397" s="9">
        <v>1</v>
      </c>
      <c r="D397" s="10">
        <v>9000</v>
      </c>
      <c r="E397" s="10">
        <f t="shared" si="22"/>
        <v>9000</v>
      </c>
      <c r="F397" s="28"/>
    </row>
    <row r="398" spans="1:7">
      <c r="A398" s="25"/>
      <c r="B398" s="14" t="s">
        <v>55</v>
      </c>
      <c r="C398" s="9">
        <v>2</v>
      </c>
      <c r="D398" s="10">
        <v>17000</v>
      </c>
      <c r="E398" s="10">
        <f t="shared" si="22"/>
        <v>34000</v>
      </c>
      <c r="F398" s="28"/>
    </row>
    <row r="399" spans="1:7">
      <c r="A399" s="25"/>
      <c r="B399" s="14" t="s">
        <v>77</v>
      </c>
      <c r="C399" s="9">
        <v>0.5</v>
      </c>
      <c r="D399" s="10">
        <v>72000</v>
      </c>
      <c r="E399" s="10">
        <f t="shared" si="22"/>
        <v>36000</v>
      </c>
      <c r="F399" s="28"/>
    </row>
    <row r="400" spans="1:7">
      <c r="A400" s="25"/>
      <c r="B400" s="14" t="s">
        <v>15</v>
      </c>
      <c r="C400" s="9">
        <v>2</v>
      </c>
      <c r="D400" s="10">
        <v>28000</v>
      </c>
      <c r="E400" s="10">
        <f t="shared" si="22"/>
        <v>56000</v>
      </c>
      <c r="F400" s="28"/>
    </row>
    <row r="401" spans="1:6">
      <c r="A401" s="25"/>
      <c r="B401" s="14" t="s">
        <v>62</v>
      </c>
      <c r="C401" s="9">
        <v>2</v>
      </c>
      <c r="D401" s="10">
        <v>30000</v>
      </c>
      <c r="E401" s="10">
        <f t="shared" si="22"/>
        <v>60000</v>
      </c>
      <c r="F401" s="28"/>
    </row>
    <row r="402" spans="1:6">
      <c r="A402" s="25"/>
      <c r="B402" s="14" t="s">
        <v>50</v>
      </c>
      <c r="C402" s="9">
        <v>0.1</v>
      </c>
      <c r="D402" s="10">
        <v>33000</v>
      </c>
      <c r="E402" s="10">
        <f t="shared" si="22"/>
        <v>3300</v>
      </c>
      <c r="F402" s="28"/>
    </row>
    <row r="403" spans="1:6">
      <c r="A403" s="25"/>
      <c r="B403" s="14" t="s">
        <v>7</v>
      </c>
      <c r="C403" s="9">
        <v>0.1</v>
      </c>
      <c r="D403" s="10">
        <v>110000</v>
      </c>
      <c r="E403" s="10">
        <f t="shared" si="22"/>
        <v>11000</v>
      </c>
      <c r="F403" s="28"/>
    </row>
    <row r="404" spans="1:6">
      <c r="A404" s="25"/>
      <c r="B404" s="14" t="s">
        <v>51</v>
      </c>
      <c r="C404" s="9">
        <v>0.1</v>
      </c>
      <c r="D404" s="10">
        <v>83000</v>
      </c>
      <c r="E404" s="10">
        <f t="shared" si="22"/>
        <v>8300</v>
      </c>
      <c r="F404" s="28"/>
    </row>
    <row r="405" spans="1:6">
      <c r="A405" s="25"/>
      <c r="B405" s="14" t="s">
        <v>149</v>
      </c>
      <c r="C405" s="9">
        <v>0.05</v>
      </c>
      <c r="D405" s="10">
        <v>132000</v>
      </c>
      <c r="E405" s="10">
        <f t="shared" ref="E405:E428" si="23">SUM(C405*D405)</f>
        <v>6600</v>
      </c>
      <c r="F405" s="28"/>
    </row>
    <row r="406" spans="1:6">
      <c r="A406" s="25"/>
      <c r="B406" s="14" t="s">
        <v>47</v>
      </c>
      <c r="C406" s="9">
        <v>2</v>
      </c>
      <c r="D406" s="10">
        <v>110000</v>
      </c>
      <c r="E406" s="10">
        <f t="shared" si="23"/>
        <v>220000</v>
      </c>
      <c r="F406" s="28"/>
    </row>
    <row r="407" spans="1:6">
      <c r="A407" s="25"/>
      <c r="B407" s="14" t="s">
        <v>37</v>
      </c>
      <c r="C407" s="9">
        <v>2</v>
      </c>
      <c r="D407" s="10">
        <v>80000</v>
      </c>
      <c r="E407" s="10">
        <f t="shared" si="23"/>
        <v>160000</v>
      </c>
      <c r="F407" s="28"/>
    </row>
    <row r="408" spans="1:6">
      <c r="A408" s="25"/>
      <c r="B408" s="14" t="s">
        <v>150</v>
      </c>
      <c r="C408" s="9">
        <v>3</v>
      </c>
      <c r="D408" s="10">
        <v>45000</v>
      </c>
      <c r="E408" s="10">
        <f t="shared" si="23"/>
        <v>135000</v>
      </c>
      <c r="F408" s="28"/>
    </row>
    <row r="409" spans="1:6">
      <c r="A409" s="25"/>
      <c r="B409" s="14" t="s">
        <v>151</v>
      </c>
      <c r="C409" s="9">
        <v>2.2999999999999998</v>
      </c>
      <c r="D409" s="10">
        <v>22000</v>
      </c>
      <c r="E409" s="10">
        <f t="shared" si="23"/>
        <v>50600</v>
      </c>
      <c r="F409" s="28"/>
    </row>
    <row r="410" spans="1:6">
      <c r="A410" s="25"/>
      <c r="B410" s="14" t="s">
        <v>19</v>
      </c>
      <c r="C410" s="9">
        <v>10</v>
      </c>
      <c r="D410" s="10">
        <v>24000</v>
      </c>
      <c r="E410" s="10">
        <f t="shared" si="23"/>
        <v>240000</v>
      </c>
      <c r="F410" s="28"/>
    </row>
    <row r="411" spans="1:6">
      <c r="A411" s="25"/>
      <c r="B411" s="14" t="s">
        <v>23</v>
      </c>
      <c r="C411" s="9">
        <v>1.6</v>
      </c>
      <c r="D411" s="10">
        <v>75000</v>
      </c>
      <c r="E411" s="10">
        <f t="shared" si="23"/>
        <v>120000</v>
      </c>
      <c r="F411" s="28"/>
    </row>
    <row r="412" spans="1:6">
      <c r="A412" s="25"/>
      <c r="B412" s="14" t="s">
        <v>65</v>
      </c>
      <c r="C412" s="9">
        <v>1</v>
      </c>
      <c r="D412" s="10">
        <v>55000</v>
      </c>
      <c r="E412" s="10">
        <f t="shared" si="23"/>
        <v>55000</v>
      </c>
      <c r="F412" s="28"/>
    </row>
    <row r="413" spans="1:6">
      <c r="A413" s="25"/>
      <c r="B413" s="14" t="s">
        <v>81</v>
      </c>
      <c r="C413" s="9">
        <v>1</v>
      </c>
      <c r="D413" s="10">
        <v>70000</v>
      </c>
      <c r="E413" s="10">
        <f t="shared" si="23"/>
        <v>70000</v>
      </c>
      <c r="F413" s="28"/>
    </row>
    <row r="414" spans="1:6">
      <c r="A414" s="26"/>
      <c r="B414" s="14" t="s">
        <v>33</v>
      </c>
      <c r="C414" s="9">
        <v>0.5</v>
      </c>
      <c r="D414" s="10">
        <v>50000</v>
      </c>
      <c r="E414" s="10">
        <f t="shared" si="23"/>
        <v>25000</v>
      </c>
      <c r="F414" s="29"/>
    </row>
    <row r="415" spans="1:6">
      <c r="A415" s="24">
        <v>45979</v>
      </c>
      <c r="B415" s="14" t="s">
        <v>25</v>
      </c>
      <c r="C415" s="9">
        <v>1</v>
      </c>
      <c r="D415" s="10">
        <v>39000</v>
      </c>
      <c r="E415" s="10">
        <f t="shared" si="23"/>
        <v>39000</v>
      </c>
      <c r="F415" s="27">
        <f>SUM(E415:E428)</f>
        <v>633900</v>
      </c>
    </row>
    <row r="416" spans="1:6">
      <c r="A416" s="25"/>
      <c r="B416" s="14" t="s">
        <v>91</v>
      </c>
      <c r="C416" s="9">
        <v>2</v>
      </c>
      <c r="D416" s="10">
        <v>39000</v>
      </c>
      <c r="E416" s="10">
        <f t="shared" si="23"/>
        <v>78000</v>
      </c>
      <c r="F416" s="28"/>
    </row>
    <row r="417" spans="1:6">
      <c r="A417" s="25"/>
      <c r="B417" s="14" t="s">
        <v>17</v>
      </c>
      <c r="C417" s="9">
        <v>1</v>
      </c>
      <c r="D417" s="10">
        <v>50000</v>
      </c>
      <c r="E417" s="10">
        <f t="shared" si="23"/>
        <v>50000</v>
      </c>
      <c r="F417" s="28"/>
    </row>
    <row r="418" spans="1:6">
      <c r="A418" s="25"/>
      <c r="B418" s="14" t="s">
        <v>53</v>
      </c>
      <c r="C418" s="9">
        <v>1</v>
      </c>
      <c r="D418" s="10">
        <v>9000</v>
      </c>
      <c r="E418" s="10">
        <f t="shared" si="23"/>
        <v>9000</v>
      </c>
      <c r="F418" s="28"/>
    </row>
    <row r="419" spans="1:6">
      <c r="A419" s="25"/>
      <c r="B419" s="14" t="s">
        <v>71</v>
      </c>
      <c r="C419" s="9">
        <v>0.1</v>
      </c>
      <c r="D419" s="10">
        <v>72000</v>
      </c>
      <c r="E419" s="10">
        <f t="shared" si="23"/>
        <v>7200</v>
      </c>
      <c r="F419" s="28"/>
    </row>
    <row r="420" spans="1:6">
      <c r="A420" s="25"/>
      <c r="B420" s="14" t="s">
        <v>101</v>
      </c>
      <c r="C420" s="9">
        <v>0.05</v>
      </c>
      <c r="D420" s="10">
        <v>198000</v>
      </c>
      <c r="E420" s="10">
        <f t="shared" si="23"/>
        <v>9900</v>
      </c>
      <c r="F420" s="28"/>
    </row>
    <row r="421" spans="1:6">
      <c r="A421" s="25"/>
      <c r="B421" s="14" t="s">
        <v>85</v>
      </c>
      <c r="C421" s="9">
        <v>1</v>
      </c>
      <c r="D421" s="10">
        <v>200000</v>
      </c>
      <c r="E421" s="10">
        <f t="shared" si="23"/>
        <v>200000</v>
      </c>
      <c r="F421" s="28"/>
    </row>
    <row r="422" spans="1:6">
      <c r="A422" s="25"/>
      <c r="B422" s="14" t="s">
        <v>26</v>
      </c>
      <c r="C422" s="9">
        <v>1</v>
      </c>
      <c r="D422" s="10">
        <v>17000</v>
      </c>
      <c r="E422" s="10">
        <f t="shared" si="23"/>
        <v>17000</v>
      </c>
      <c r="F422" s="28"/>
    </row>
    <row r="423" spans="1:6">
      <c r="A423" s="25"/>
      <c r="B423" s="14" t="s">
        <v>62</v>
      </c>
      <c r="C423" s="9">
        <v>1</v>
      </c>
      <c r="D423" s="10">
        <v>30000</v>
      </c>
      <c r="E423" s="10">
        <f t="shared" si="23"/>
        <v>30000</v>
      </c>
      <c r="F423" s="28"/>
    </row>
    <row r="424" spans="1:6">
      <c r="A424" s="25"/>
      <c r="B424" s="14" t="s">
        <v>100</v>
      </c>
      <c r="C424" s="9">
        <v>0.5</v>
      </c>
      <c r="D424" s="10">
        <v>90000</v>
      </c>
      <c r="E424" s="10">
        <f t="shared" si="23"/>
        <v>45000</v>
      </c>
      <c r="F424" s="28"/>
    </row>
    <row r="425" spans="1:6">
      <c r="A425" s="25"/>
      <c r="B425" s="14" t="s">
        <v>30</v>
      </c>
      <c r="C425" s="9">
        <v>2</v>
      </c>
      <c r="D425" s="10">
        <v>10000</v>
      </c>
      <c r="E425" s="10">
        <f t="shared" si="23"/>
        <v>20000</v>
      </c>
      <c r="F425" s="28"/>
    </row>
    <row r="426" spans="1:6">
      <c r="A426" s="25"/>
      <c r="B426" s="14" t="s">
        <v>9</v>
      </c>
      <c r="C426" s="9">
        <v>6</v>
      </c>
      <c r="D426" s="10">
        <v>15000</v>
      </c>
      <c r="E426" s="10">
        <f t="shared" si="23"/>
        <v>90000</v>
      </c>
      <c r="F426" s="28"/>
    </row>
    <row r="427" spans="1:6">
      <c r="A427" s="25"/>
      <c r="B427" s="14" t="s">
        <v>56</v>
      </c>
      <c r="C427" s="9">
        <v>0.1</v>
      </c>
      <c r="D427" s="10">
        <v>88000</v>
      </c>
      <c r="E427" s="10">
        <f t="shared" si="23"/>
        <v>8800</v>
      </c>
      <c r="F427" s="28"/>
    </row>
    <row r="428" spans="1:6">
      <c r="A428" s="26"/>
      <c r="B428" s="14" t="s">
        <v>59</v>
      </c>
      <c r="C428" s="9">
        <v>1</v>
      </c>
      <c r="D428" s="10">
        <v>30000</v>
      </c>
      <c r="E428" s="10">
        <f t="shared" si="23"/>
        <v>30000</v>
      </c>
      <c r="F428" s="29"/>
    </row>
    <row r="429" spans="1:6">
      <c r="A429" s="24">
        <v>45982</v>
      </c>
      <c r="B429" s="14" t="s">
        <v>42</v>
      </c>
      <c r="C429" s="9">
        <v>1</v>
      </c>
      <c r="D429" s="10">
        <v>39000</v>
      </c>
      <c r="E429" s="10">
        <f t="shared" ref="E429:E449" si="24">SUM(C429*D429)</f>
        <v>39000</v>
      </c>
      <c r="F429" s="27">
        <f>SUM(E429:E449)</f>
        <v>731450</v>
      </c>
    </row>
    <row r="430" spans="1:6">
      <c r="A430" s="25"/>
      <c r="B430" s="14" t="s">
        <v>114</v>
      </c>
      <c r="C430" s="9">
        <v>2</v>
      </c>
      <c r="D430" s="10">
        <v>66000</v>
      </c>
      <c r="E430" s="10">
        <f t="shared" si="24"/>
        <v>132000</v>
      </c>
      <c r="F430" s="28"/>
    </row>
    <row r="431" spans="1:6">
      <c r="A431" s="25"/>
      <c r="B431" s="14" t="s">
        <v>61</v>
      </c>
      <c r="C431" s="9">
        <v>0.2</v>
      </c>
      <c r="D431" s="10">
        <v>72000</v>
      </c>
      <c r="E431" s="10">
        <f t="shared" si="24"/>
        <v>14400</v>
      </c>
      <c r="F431" s="28"/>
    </row>
    <row r="432" spans="1:6">
      <c r="A432" s="25"/>
      <c r="B432" s="14" t="s">
        <v>50</v>
      </c>
      <c r="C432" s="9">
        <v>0.1</v>
      </c>
      <c r="D432" s="10">
        <v>33000</v>
      </c>
      <c r="E432" s="10">
        <f t="shared" si="24"/>
        <v>3300</v>
      </c>
      <c r="F432" s="28"/>
    </row>
    <row r="433" spans="1:6">
      <c r="A433" s="25"/>
      <c r="B433" s="14" t="s">
        <v>51</v>
      </c>
      <c r="C433" s="9">
        <v>0.05</v>
      </c>
      <c r="D433" s="10">
        <v>83000</v>
      </c>
      <c r="E433" s="10">
        <f t="shared" si="24"/>
        <v>4150</v>
      </c>
      <c r="F433" s="28"/>
    </row>
    <row r="434" spans="1:6">
      <c r="A434" s="25"/>
      <c r="B434" s="14" t="s">
        <v>7</v>
      </c>
      <c r="C434" s="9">
        <v>7.0000000000000007E-2</v>
      </c>
      <c r="D434" s="10">
        <v>110000</v>
      </c>
      <c r="E434" s="10">
        <f t="shared" si="24"/>
        <v>7700</v>
      </c>
      <c r="F434" s="28"/>
    </row>
    <row r="435" spans="1:6">
      <c r="A435" s="25"/>
      <c r="B435" s="14" t="s">
        <v>55</v>
      </c>
      <c r="C435" s="9">
        <v>1</v>
      </c>
      <c r="D435" s="10">
        <v>17000</v>
      </c>
      <c r="E435" s="10">
        <f t="shared" si="24"/>
        <v>17000</v>
      </c>
      <c r="F435" s="28"/>
    </row>
    <row r="436" spans="1:6">
      <c r="A436" s="25"/>
      <c r="B436" s="14" t="s">
        <v>89</v>
      </c>
      <c r="C436" s="9">
        <v>0.5</v>
      </c>
      <c r="D436" s="10">
        <v>83000</v>
      </c>
      <c r="E436" s="10">
        <f t="shared" si="24"/>
        <v>41500</v>
      </c>
      <c r="F436" s="28"/>
    </row>
    <row r="437" spans="1:6">
      <c r="A437" s="25"/>
      <c r="B437" s="14" t="s">
        <v>15</v>
      </c>
      <c r="C437" s="9">
        <v>1</v>
      </c>
      <c r="D437" s="10">
        <v>28000</v>
      </c>
      <c r="E437" s="10">
        <f t="shared" si="24"/>
        <v>28000</v>
      </c>
      <c r="F437" s="28"/>
    </row>
    <row r="438" spans="1:6">
      <c r="A438" s="25"/>
      <c r="B438" s="14" t="s">
        <v>72</v>
      </c>
      <c r="C438" s="9">
        <v>2</v>
      </c>
      <c r="D438" s="10">
        <v>25000</v>
      </c>
      <c r="E438" s="10">
        <f t="shared" si="24"/>
        <v>50000</v>
      </c>
      <c r="F438" s="28"/>
    </row>
    <row r="439" spans="1:6">
      <c r="A439" s="25"/>
      <c r="B439" s="14" t="s">
        <v>152</v>
      </c>
      <c r="C439" s="9">
        <v>2</v>
      </c>
      <c r="D439" s="10">
        <v>25000</v>
      </c>
      <c r="E439" s="10">
        <f t="shared" si="24"/>
        <v>50000</v>
      </c>
      <c r="F439" s="28"/>
    </row>
    <row r="440" spans="1:6">
      <c r="A440" s="25"/>
      <c r="B440" s="14" t="s">
        <v>27</v>
      </c>
      <c r="C440" s="9">
        <v>1</v>
      </c>
      <c r="D440" s="10">
        <v>39000</v>
      </c>
      <c r="E440" s="10">
        <f t="shared" si="24"/>
        <v>39000</v>
      </c>
      <c r="F440" s="28"/>
    </row>
    <row r="441" spans="1:6">
      <c r="A441" s="25"/>
      <c r="B441" s="14" t="s">
        <v>25</v>
      </c>
      <c r="C441" s="9">
        <v>1</v>
      </c>
      <c r="D441" s="10">
        <v>39000</v>
      </c>
      <c r="E441" s="10">
        <f t="shared" si="24"/>
        <v>39000</v>
      </c>
      <c r="F441" s="28"/>
    </row>
    <row r="442" spans="1:6">
      <c r="A442" s="25"/>
      <c r="B442" s="14" t="s">
        <v>66</v>
      </c>
      <c r="C442" s="9">
        <v>0.5</v>
      </c>
      <c r="D442" s="10">
        <v>70000</v>
      </c>
      <c r="E442" s="10">
        <f t="shared" si="24"/>
        <v>35000</v>
      </c>
      <c r="F442" s="28"/>
    </row>
    <row r="443" spans="1:6">
      <c r="A443" s="25"/>
      <c r="B443" s="14" t="s">
        <v>81</v>
      </c>
      <c r="C443" s="9">
        <v>1</v>
      </c>
      <c r="D443" s="10">
        <v>70000</v>
      </c>
      <c r="E443" s="10">
        <f t="shared" si="24"/>
        <v>70000</v>
      </c>
      <c r="F443" s="28"/>
    </row>
    <row r="444" spans="1:6">
      <c r="A444" s="25"/>
      <c r="B444" s="14" t="s">
        <v>104</v>
      </c>
      <c r="C444" s="9">
        <v>0.3</v>
      </c>
      <c r="D444" s="10">
        <v>70000</v>
      </c>
      <c r="E444" s="10">
        <f t="shared" si="24"/>
        <v>21000</v>
      </c>
      <c r="F444" s="28"/>
    </row>
    <row r="445" spans="1:6">
      <c r="A445" s="25"/>
      <c r="B445" s="14" t="s">
        <v>33</v>
      </c>
      <c r="C445" s="9">
        <v>0.4</v>
      </c>
      <c r="D445" s="10">
        <v>50000</v>
      </c>
      <c r="E445" s="10">
        <f t="shared" si="24"/>
        <v>20000</v>
      </c>
      <c r="F445" s="28"/>
    </row>
    <row r="446" spans="1:6">
      <c r="A446" s="25"/>
      <c r="B446" s="14" t="s">
        <v>35</v>
      </c>
      <c r="C446" s="9">
        <v>0.4</v>
      </c>
      <c r="D446" s="10">
        <v>61000</v>
      </c>
      <c r="E446" s="10">
        <f t="shared" si="24"/>
        <v>24400</v>
      </c>
      <c r="F446" s="28"/>
    </row>
    <row r="447" spans="1:6">
      <c r="A447" s="25"/>
      <c r="B447" s="14" t="s">
        <v>28</v>
      </c>
      <c r="C447" s="9">
        <v>0.2</v>
      </c>
      <c r="D447" s="10">
        <v>120000</v>
      </c>
      <c r="E447" s="10">
        <f t="shared" si="24"/>
        <v>24000</v>
      </c>
      <c r="F447" s="28"/>
    </row>
    <row r="448" spans="1:6">
      <c r="A448" s="25"/>
      <c r="B448" s="14" t="s">
        <v>68</v>
      </c>
      <c r="C448" s="9">
        <v>17</v>
      </c>
      <c r="D448" s="10">
        <v>1000</v>
      </c>
      <c r="E448" s="10">
        <f t="shared" si="24"/>
        <v>17000</v>
      </c>
      <c r="F448" s="28"/>
    </row>
    <row r="449" spans="1:6">
      <c r="A449" s="26"/>
      <c r="B449" s="14" t="s">
        <v>65</v>
      </c>
      <c r="C449" s="9">
        <v>1</v>
      </c>
      <c r="D449" s="10">
        <v>55000</v>
      </c>
      <c r="E449" s="10">
        <f t="shared" si="24"/>
        <v>55000</v>
      </c>
      <c r="F449" s="29"/>
    </row>
    <row r="450" spans="1:6">
      <c r="A450" s="24">
        <v>45983</v>
      </c>
      <c r="B450" s="14" t="s">
        <v>153</v>
      </c>
      <c r="C450" s="9">
        <v>0.1</v>
      </c>
      <c r="D450" s="10">
        <v>50000</v>
      </c>
      <c r="E450" s="10">
        <f t="shared" ref="E450:E473" si="25">SUM(C450*D450)</f>
        <v>5000</v>
      </c>
      <c r="F450" s="27">
        <f>SUM(E450:E470)</f>
        <v>1459800</v>
      </c>
    </row>
    <row r="451" spans="1:6">
      <c r="A451" s="25"/>
      <c r="B451" s="14" t="s">
        <v>10</v>
      </c>
      <c r="C451" s="9">
        <v>0.1</v>
      </c>
      <c r="D451" s="10">
        <v>61000</v>
      </c>
      <c r="E451" s="10">
        <f t="shared" si="25"/>
        <v>6100</v>
      </c>
      <c r="F451" s="28"/>
    </row>
    <row r="452" spans="1:6">
      <c r="A452" s="25"/>
      <c r="B452" s="14" t="s">
        <v>7</v>
      </c>
      <c r="C452" s="9">
        <v>0.1</v>
      </c>
      <c r="D452" s="10">
        <v>110000</v>
      </c>
      <c r="E452" s="10">
        <f t="shared" si="25"/>
        <v>11000</v>
      </c>
      <c r="F452" s="28"/>
    </row>
    <row r="453" spans="1:6">
      <c r="A453" s="25"/>
      <c r="B453" s="14" t="s">
        <v>51</v>
      </c>
      <c r="C453" s="9">
        <v>0.1</v>
      </c>
      <c r="D453" s="10">
        <v>83000</v>
      </c>
      <c r="E453" s="10">
        <f t="shared" si="25"/>
        <v>8300</v>
      </c>
      <c r="F453" s="28"/>
    </row>
    <row r="454" spans="1:6">
      <c r="A454" s="25"/>
      <c r="B454" s="14" t="s">
        <v>55</v>
      </c>
      <c r="C454" s="9">
        <v>1</v>
      </c>
      <c r="D454" s="10">
        <v>17000</v>
      </c>
      <c r="E454" s="10">
        <f t="shared" si="25"/>
        <v>17000</v>
      </c>
      <c r="F454" s="28"/>
    </row>
    <row r="455" spans="1:6">
      <c r="A455" s="25"/>
      <c r="B455" s="14" t="s">
        <v>77</v>
      </c>
      <c r="C455" s="9">
        <v>0.5</v>
      </c>
      <c r="D455" s="10">
        <v>72000</v>
      </c>
      <c r="E455" s="10">
        <f t="shared" si="25"/>
        <v>36000</v>
      </c>
      <c r="F455" s="28"/>
    </row>
    <row r="456" spans="1:6">
      <c r="A456" s="25"/>
      <c r="B456" s="14" t="s">
        <v>114</v>
      </c>
      <c r="C456" s="9">
        <v>3</v>
      </c>
      <c r="D456" s="10">
        <v>66000</v>
      </c>
      <c r="E456" s="10">
        <f t="shared" si="25"/>
        <v>198000</v>
      </c>
      <c r="F456" s="28"/>
    </row>
    <row r="457" spans="1:6">
      <c r="A457" s="25"/>
      <c r="B457" s="14" t="s">
        <v>108</v>
      </c>
      <c r="C457" s="9">
        <v>1</v>
      </c>
      <c r="D457" s="10">
        <v>480000</v>
      </c>
      <c r="E457" s="10">
        <f t="shared" si="25"/>
        <v>480000</v>
      </c>
      <c r="F457" s="28"/>
    </row>
    <row r="458" spans="1:6">
      <c r="A458" s="25"/>
      <c r="B458" s="14" t="s">
        <v>42</v>
      </c>
      <c r="C458" s="9">
        <v>1</v>
      </c>
      <c r="D458" s="10">
        <v>39000</v>
      </c>
      <c r="E458" s="10">
        <f t="shared" si="25"/>
        <v>39000</v>
      </c>
      <c r="F458" s="28"/>
    </row>
    <row r="459" spans="1:6">
      <c r="A459" s="25"/>
      <c r="B459" s="14" t="s">
        <v>129</v>
      </c>
      <c r="C459" s="9">
        <v>2</v>
      </c>
      <c r="D459" s="10">
        <v>35000</v>
      </c>
      <c r="E459" s="10">
        <f t="shared" si="25"/>
        <v>70000</v>
      </c>
      <c r="F459" s="28"/>
    </row>
    <row r="460" spans="1:6">
      <c r="A460" s="25"/>
      <c r="B460" s="14" t="s">
        <v>19</v>
      </c>
      <c r="C460" s="9">
        <v>5</v>
      </c>
      <c r="D460" s="10">
        <v>24000</v>
      </c>
      <c r="E460" s="10">
        <f t="shared" si="25"/>
        <v>120000</v>
      </c>
      <c r="F460" s="28"/>
    </row>
    <row r="461" spans="1:6">
      <c r="A461" s="25"/>
      <c r="B461" s="14" t="s">
        <v>40</v>
      </c>
      <c r="C461" s="9">
        <v>5</v>
      </c>
      <c r="D461" s="10">
        <v>25000</v>
      </c>
      <c r="E461" s="10">
        <f t="shared" si="25"/>
        <v>125000</v>
      </c>
      <c r="F461" s="28"/>
    </row>
    <row r="462" spans="1:6">
      <c r="A462" s="25"/>
      <c r="B462" s="14" t="s">
        <v>68</v>
      </c>
      <c r="C462" s="9">
        <v>25</v>
      </c>
      <c r="D462" s="10">
        <v>1000</v>
      </c>
      <c r="E462" s="10">
        <f t="shared" si="25"/>
        <v>25000</v>
      </c>
      <c r="F462" s="28"/>
    </row>
    <row r="463" spans="1:6">
      <c r="A463" s="25"/>
      <c r="B463" s="14" t="s">
        <v>80</v>
      </c>
      <c r="C463" s="9">
        <v>0.5</v>
      </c>
      <c r="D463" s="10">
        <v>70000</v>
      </c>
      <c r="E463" s="10">
        <f t="shared" si="25"/>
        <v>35000</v>
      </c>
      <c r="F463" s="28"/>
    </row>
    <row r="464" spans="1:6">
      <c r="A464" s="25"/>
      <c r="B464" s="14" t="s">
        <v>28</v>
      </c>
      <c r="C464" s="9">
        <v>0.3</v>
      </c>
      <c r="D464" s="10">
        <v>120000</v>
      </c>
      <c r="E464" s="10">
        <f t="shared" si="25"/>
        <v>36000</v>
      </c>
      <c r="F464" s="28"/>
    </row>
    <row r="465" spans="1:6">
      <c r="A465" s="25"/>
      <c r="B465" s="14" t="s">
        <v>33</v>
      </c>
      <c r="C465" s="9">
        <v>0.4</v>
      </c>
      <c r="D465" s="10">
        <v>50000</v>
      </c>
      <c r="E465" s="10">
        <f t="shared" si="25"/>
        <v>20000</v>
      </c>
      <c r="F465" s="28"/>
    </row>
    <row r="466" spans="1:6">
      <c r="A466" s="25"/>
      <c r="B466" s="14" t="s">
        <v>35</v>
      </c>
      <c r="C466" s="9">
        <v>0.4</v>
      </c>
      <c r="D466" s="10">
        <v>61000</v>
      </c>
      <c r="E466" s="10">
        <f t="shared" si="25"/>
        <v>24400</v>
      </c>
      <c r="F466" s="28"/>
    </row>
    <row r="467" spans="1:6">
      <c r="A467" s="25"/>
      <c r="B467" s="14" t="s">
        <v>81</v>
      </c>
      <c r="C467" s="9">
        <v>1</v>
      </c>
      <c r="D467" s="10">
        <v>70000</v>
      </c>
      <c r="E467" s="10">
        <f t="shared" si="25"/>
        <v>70000</v>
      </c>
      <c r="F467" s="28"/>
    </row>
    <row r="468" spans="1:6">
      <c r="A468" s="25"/>
      <c r="B468" s="14" t="s">
        <v>133</v>
      </c>
      <c r="C468" s="9">
        <v>1</v>
      </c>
      <c r="D468" s="10">
        <v>45000</v>
      </c>
      <c r="E468" s="10">
        <f t="shared" si="25"/>
        <v>45000</v>
      </c>
      <c r="F468" s="28"/>
    </row>
    <row r="469" spans="1:6">
      <c r="A469" s="25"/>
      <c r="B469" s="14" t="s">
        <v>25</v>
      </c>
      <c r="C469" s="9">
        <v>1</v>
      </c>
      <c r="D469" s="10">
        <v>39000</v>
      </c>
      <c r="E469" s="10">
        <f t="shared" si="25"/>
        <v>39000</v>
      </c>
      <c r="F469" s="28"/>
    </row>
    <row r="470" spans="1:6">
      <c r="A470" s="26"/>
      <c r="B470" s="14" t="s">
        <v>64</v>
      </c>
      <c r="C470" s="9">
        <v>1</v>
      </c>
      <c r="D470" s="10">
        <v>50000</v>
      </c>
      <c r="E470" s="10">
        <f t="shared" si="25"/>
        <v>50000</v>
      </c>
      <c r="F470" s="29"/>
    </row>
    <row r="471" spans="1:6">
      <c r="A471" s="24">
        <v>45983</v>
      </c>
      <c r="B471" s="14" t="s">
        <v>59</v>
      </c>
      <c r="C471" s="9">
        <v>1</v>
      </c>
      <c r="D471" s="10">
        <v>30000</v>
      </c>
      <c r="E471" s="10">
        <f t="shared" si="25"/>
        <v>30000</v>
      </c>
      <c r="F471" s="27">
        <f>SUM(E471:E473)</f>
        <v>42400</v>
      </c>
    </row>
    <row r="472" spans="1:6">
      <c r="A472" s="25"/>
      <c r="B472" s="14" t="s">
        <v>56</v>
      </c>
      <c r="C472" s="9">
        <v>0.1</v>
      </c>
      <c r="D472" s="10">
        <v>88000</v>
      </c>
      <c r="E472" s="10">
        <f t="shared" si="25"/>
        <v>8800</v>
      </c>
      <c r="F472" s="28"/>
    </row>
    <row r="473" spans="1:6">
      <c r="A473" s="26"/>
      <c r="B473" s="14" t="s">
        <v>54</v>
      </c>
      <c r="C473" s="9">
        <v>0.05</v>
      </c>
      <c r="D473" s="10">
        <v>72000</v>
      </c>
      <c r="E473" s="10">
        <f t="shared" si="25"/>
        <v>3600</v>
      </c>
      <c r="F473" s="29"/>
    </row>
    <row r="474" spans="1:6">
      <c r="A474" s="24">
        <v>45984</v>
      </c>
      <c r="B474" s="14" t="s">
        <v>24</v>
      </c>
      <c r="C474" s="9">
        <v>2</v>
      </c>
      <c r="D474" s="10">
        <v>25000</v>
      </c>
      <c r="E474" s="10">
        <f t="shared" ref="E474:E494" si="26">SUM(C474*D474)</f>
        <v>50000</v>
      </c>
      <c r="F474" s="27">
        <f>SUM(E474:E494)</f>
        <v>1086400</v>
      </c>
    </row>
    <row r="475" spans="1:6">
      <c r="A475" s="25"/>
      <c r="B475" s="14" t="s">
        <v>44</v>
      </c>
      <c r="C475" s="9">
        <v>2.5</v>
      </c>
      <c r="D475" s="10">
        <v>22000</v>
      </c>
      <c r="E475" s="10">
        <f t="shared" si="26"/>
        <v>55000</v>
      </c>
      <c r="F475" s="28"/>
    </row>
    <row r="476" spans="1:6">
      <c r="A476" s="25"/>
      <c r="B476" s="14" t="s">
        <v>114</v>
      </c>
      <c r="C476" s="9">
        <v>4</v>
      </c>
      <c r="D476" s="10">
        <v>66000</v>
      </c>
      <c r="E476" s="10">
        <f t="shared" si="26"/>
        <v>264000</v>
      </c>
      <c r="F476" s="28"/>
    </row>
    <row r="477" spans="1:6">
      <c r="A477" s="25"/>
      <c r="B477" s="14" t="s">
        <v>42</v>
      </c>
      <c r="C477" s="9">
        <v>1</v>
      </c>
      <c r="D477" s="10">
        <v>39000</v>
      </c>
      <c r="E477" s="10">
        <f t="shared" si="26"/>
        <v>39000</v>
      </c>
      <c r="F477" s="28"/>
    </row>
    <row r="478" spans="1:6">
      <c r="A478" s="25"/>
      <c r="B478" s="14" t="s">
        <v>19</v>
      </c>
      <c r="C478" s="9">
        <v>5</v>
      </c>
      <c r="D478" s="10">
        <v>24000</v>
      </c>
      <c r="E478" s="10">
        <f t="shared" si="26"/>
        <v>120000</v>
      </c>
      <c r="F478" s="28"/>
    </row>
    <row r="479" spans="1:6">
      <c r="A479" s="25"/>
      <c r="B479" s="14" t="s">
        <v>65</v>
      </c>
      <c r="C479" s="9">
        <v>3</v>
      </c>
      <c r="D479" s="10">
        <v>55000</v>
      </c>
      <c r="E479" s="10">
        <f t="shared" si="26"/>
        <v>165000</v>
      </c>
      <c r="F479" s="28"/>
    </row>
    <row r="480" spans="1:6">
      <c r="A480" s="25"/>
      <c r="B480" s="14" t="s">
        <v>13</v>
      </c>
      <c r="C480" s="9">
        <v>0.2</v>
      </c>
      <c r="D480" s="10">
        <v>55000</v>
      </c>
      <c r="E480" s="10">
        <f t="shared" si="26"/>
        <v>11000</v>
      </c>
      <c r="F480" s="28"/>
    </row>
    <row r="481" spans="1:6">
      <c r="A481" s="25"/>
      <c r="B481" s="14" t="s">
        <v>62</v>
      </c>
      <c r="C481" s="9">
        <v>2</v>
      </c>
      <c r="D481" s="10">
        <v>25000</v>
      </c>
      <c r="E481" s="10">
        <f t="shared" si="26"/>
        <v>50000</v>
      </c>
      <c r="F481" s="28"/>
    </row>
    <row r="482" spans="1:6">
      <c r="A482" s="25"/>
      <c r="B482" s="14" t="s">
        <v>50</v>
      </c>
      <c r="C482" s="9">
        <v>0.1</v>
      </c>
      <c r="D482" s="10">
        <v>33000</v>
      </c>
      <c r="E482" s="10">
        <f t="shared" si="26"/>
        <v>3300</v>
      </c>
      <c r="F482" s="28"/>
    </row>
    <row r="483" spans="1:6">
      <c r="A483" s="25"/>
      <c r="B483" s="14" t="s">
        <v>55</v>
      </c>
      <c r="C483" s="9">
        <v>1</v>
      </c>
      <c r="D483" s="10">
        <v>17000</v>
      </c>
      <c r="E483" s="10">
        <f t="shared" si="26"/>
        <v>17000</v>
      </c>
      <c r="F483" s="28"/>
    </row>
    <row r="484" spans="1:6">
      <c r="A484" s="25"/>
      <c r="B484" s="14" t="s">
        <v>17</v>
      </c>
      <c r="C484" s="9">
        <v>1.1499999999999999</v>
      </c>
      <c r="D484" s="10">
        <v>50000</v>
      </c>
      <c r="E484" s="10">
        <f t="shared" si="26"/>
        <v>57500</v>
      </c>
      <c r="F484" s="28"/>
    </row>
    <row r="485" spans="1:6">
      <c r="A485" s="25"/>
      <c r="B485" s="14" t="s">
        <v>15</v>
      </c>
      <c r="C485" s="9">
        <v>1</v>
      </c>
      <c r="D485" s="10">
        <v>28000</v>
      </c>
      <c r="E485" s="10">
        <f t="shared" si="26"/>
        <v>28000</v>
      </c>
      <c r="F485" s="28"/>
    </row>
    <row r="486" spans="1:6">
      <c r="A486" s="25"/>
      <c r="B486" s="14" t="s">
        <v>77</v>
      </c>
      <c r="C486" s="9">
        <v>0.5</v>
      </c>
      <c r="D486" s="10">
        <v>72000</v>
      </c>
      <c r="E486" s="10">
        <f t="shared" si="26"/>
        <v>36000</v>
      </c>
      <c r="F486" s="28"/>
    </row>
    <row r="487" spans="1:6">
      <c r="A487" s="25"/>
      <c r="B487" s="14" t="s">
        <v>25</v>
      </c>
      <c r="C487" s="9">
        <v>1</v>
      </c>
      <c r="D487" s="10">
        <v>39000</v>
      </c>
      <c r="E487" s="10">
        <f t="shared" si="26"/>
        <v>39000</v>
      </c>
      <c r="F487" s="28"/>
    </row>
    <row r="488" spans="1:6">
      <c r="A488" s="25"/>
      <c r="B488" s="14" t="s">
        <v>27</v>
      </c>
      <c r="C488" s="9">
        <v>1</v>
      </c>
      <c r="D488" s="10">
        <v>39000</v>
      </c>
      <c r="E488" s="10">
        <f t="shared" si="26"/>
        <v>39000</v>
      </c>
      <c r="F488" s="28"/>
    </row>
    <row r="489" spans="1:6">
      <c r="A489" s="25"/>
      <c r="B489" s="14" t="s">
        <v>30</v>
      </c>
      <c r="C489" s="9">
        <v>2</v>
      </c>
      <c r="D489" s="10">
        <v>10000</v>
      </c>
      <c r="E489" s="10">
        <f t="shared" si="26"/>
        <v>20000</v>
      </c>
      <c r="F489" s="28"/>
    </row>
    <row r="490" spans="1:6">
      <c r="A490" s="25"/>
      <c r="B490" s="14" t="s">
        <v>56</v>
      </c>
      <c r="C490" s="9">
        <v>0.1</v>
      </c>
      <c r="D490" s="10">
        <v>88000</v>
      </c>
      <c r="E490" s="10">
        <f t="shared" si="26"/>
        <v>8800</v>
      </c>
      <c r="F490" s="28"/>
    </row>
    <row r="491" spans="1:6">
      <c r="A491" s="25"/>
      <c r="B491" s="14" t="s">
        <v>66</v>
      </c>
      <c r="C491" s="9">
        <v>0.5</v>
      </c>
      <c r="D491" s="10">
        <v>70000</v>
      </c>
      <c r="E491" s="10">
        <f t="shared" si="26"/>
        <v>35000</v>
      </c>
      <c r="F491" s="28"/>
    </row>
    <row r="492" spans="1:6">
      <c r="A492" s="25"/>
      <c r="B492" s="14" t="s">
        <v>111</v>
      </c>
      <c r="C492" s="9">
        <v>0.3</v>
      </c>
      <c r="D492" s="10">
        <v>70000</v>
      </c>
      <c r="E492" s="10">
        <f t="shared" si="26"/>
        <v>21000</v>
      </c>
      <c r="F492" s="28"/>
    </row>
    <row r="493" spans="1:6">
      <c r="A493" s="25"/>
      <c r="B493" s="14" t="s">
        <v>33</v>
      </c>
      <c r="C493" s="9">
        <v>0.5</v>
      </c>
      <c r="D493" s="10">
        <v>50000</v>
      </c>
      <c r="E493" s="10">
        <f t="shared" si="26"/>
        <v>25000</v>
      </c>
      <c r="F493" s="28"/>
    </row>
    <row r="494" spans="1:6">
      <c r="A494" s="26"/>
      <c r="B494" s="14" t="s">
        <v>18</v>
      </c>
      <c r="C494" s="9">
        <v>0.1</v>
      </c>
      <c r="D494" s="10">
        <v>28000</v>
      </c>
      <c r="E494" s="10">
        <f t="shared" si="26"/>
        <v>2800</v>
      </c>
      <c r="F494" s="29"/>
    </row>
    <row r="495" spans="1:6">
      <c r="A495" s="24">
        <v>45985</v>
      </c>
      <c r="B495" s="14" t="s">
        <v>28</v>
      </c>
      <c r="C495" s="9">
        <v>0.2</v>
      </c>
      <c r="D495" s="10">
        <v>120000</v>
      </c>
      <c r="E495" s="10">
        <f t="shared" ref="E495:E519" si="27">SUM(C495*D495)</f>
        <v>24000</v>
      </c>
      <c r="F495" s="27">
        <f>SUM(E495:E516)</f>
        <v>986200</v>
      </c>
    </row>
    <row r="496" spans="1:6">
      <c r="A496" s="25"/>
      <c r="B496" s="14" t="s">
        <v>66</v>
      </c>
      <c r="C496" s="9">
        <v>1</v>
      </c>
      <c r="D496" s="10">
        <v>80000</v>
      </c>
      <c r="E496" s="10">
        <f t="shared" si="27"/>
        <v>80000</v>
      </c>
      <c r="F496" s="28"/>
    </row>
    <row r="497" spans="1:6">
      <c r="A497" s="25"/>
      <c r="B497" s="14" t="s">
        <v>81</v>
      </c>
      <c r="C497" s="9">
        <v>1</v>
      </c>
      <c r="D497" s="10">
        <v>70000</v>
      </c>
      <c r="E497" s="10">
        <f t="shared" si="27"/>
        <v>70000</v>
      </c>
      <c r="F497" s="28"/>
    </row>
    <row r="498" spans="1:6">
      <c r="A498" s="25"/>
      <c r="B498" s="14" t="s">
        <v>68</v>
      </c>
      <c r="C498" s="9">
        <v>25</v>
      </c>
      <c r="D498" s="10">
        <v>1000</v>
      </c>
      <c r="E498" s="10">
        <f t="shared" si="27"/>
        <v>25000</v>
      </c>
      <c r="F498" s="28"/>
    </row>
    <row r="499" spans="1:6">
      <c r="A499" s="25"/>
      <c r="B499" s="14" t="s">
        <v>33</v>
      </c>
      <c r="C499" s="9">
        <v>0.5</v>
      </c>
      <c r="D499" s="10">
        <v>50000</v>
      </c>
      <c r="E499" s="10">
        <f t="shared" si="27"/>
        <v>25000</v>
      </c>
      <c r="F499" s="28"/>
    </row>
    <row r="500" spans="1:6">
      <c r="A500" s="25"/>
      <c r="B500" s="14" t="s">
        <v>35</v>
      </c>
      <c r="C500" s="9">
        <v>0.5</v>
      </c>
      <c r="D500" s="10">
        <v>61000</v>
      </c>
      <c r="E500" s="10">
        <f t="shared" si="27"/>
        <v>30500</v>
      </c>
      <c r="F500" s="28"/>
    </row>
    <row r="501" spans="1:6">
      <c r="A501" s="25"/>
      <c r="B501" s="14" t="s">
        <v>27</v>
      </c>
      <c r="C501" s="9">
        <v>1.5</v>
      </c>
      <c r="D501" s="10">
        <v>39000</v>
      </c>
      <c r="E501" s="10">
        <f t="shared" si="27"/>
        <v>58500</v>
      </c>
      <c r="F501" s="28"/>
    </row>
    <row r="502" spans="1:6">
      <c r="A502" s="25"/>
      <c r="B502" s="14" t="s">
        <v>25</v>
      </c>
      <c r="C502" s="9">
        <v>2</v>
      </c>
      <c r="D502" s="10">
        <v>39000</v>
      </c>
      <c r="E502" s="10">
        <f t="shared" si="27"/>
        <v>78000</v>
      </c>
      <c r="F502" s="28"/>
    </row>
    <row r="503" spans="1:6">
      <c r="A503" s="25"/>
      <c r="B503" s="14" t="s">
        <v>154</v>
      </c>
      <c r="C503" s="9">
        <v>0.1</v>
      </c>
      <c r="D503" s="10">
        <v>72000</v>
      </c>
      <c r="E503" s="10">
        <f t="shared" si="27"/>
        <v>7200</v>
      </c>
      <c r="F503" s="28"/>
    </row>
    <row r="504" spans="1:6">
      <c r="A504" s="25"/>
      <c r="B504" s="14" t="s">
        <v>30</v>
      </c>
      <c r="C504" s="9">
        <v>2</v>
      </c>
      <c r="D504" s="10">
        <v>10000</v>
      </c>
      <c r="E504" s="10">
        <f t="shared" si="27"/>
        <v>20000</v>
      </c>
      <c r="F504" s="28"/>
    </row>
    <row r="505" spans="1:6">
      <c r="A505" s="25"/>
      <c r="B505" s="14" t="s">
        <v>65</v>
      </c>
      <c r="C505" s="9">
        <v>1</v>
      </c>
      <c r="D505" s="10">
        <v>55000</v>
      </c>
      <c r="E505" s="10">
        <f t="shared" si="27"/>
        <v>55000</v>
      </c>
      <c r="F505" s="28"/>
    </row>
    <row r="506" spans="1:6">
      <c r="A506" s="25"/>
      <c r="B506" s="8" t="s">
        <v>72</v>
      </c>
      <c r="C506" s="9">
        <v>2</v>
      </c>
      <c r="D506" s="10">
        <v>25000</v>
      </c>
      <c r="E506" s="10">
        <f t="shared" si="27"/>
        <v>50000</v>
      </c>
      <c r="F506" s="28"/>
    </row>
    <row r="507" spans="1:6">
      <c r="A507" s="25"/>
      <c r="B507" s="8" t="s">
        <v>17</v>
      </c>
      <c r="C507" s="9">
        <v>1</v>
      </c>
      <c r="D507" s="10">
        <v>50000</v>
      </c>
      <c r="E507" s="10">
        <f t="shared" si="27"/>
        <v>50000</v>
      </c>
      <c r="F507" s="28"/>
    </row>
    <row r="508" spans="1:6">
      <c r="A508" s="25"/>
      <c r="B508" s="8" t="s">
        <v>55</v>
      </c>
      <c r="C508" s="9">
        <v>1</v>
      </c>
      <c r="D508" s="10">
        <v>17000</v>
      </c>
      <c r="E508" s="10">
        <f t="shared" si="27"/>
        <v>17000</v>
      </c>
      <c r="F508" s="28"/>
    </row>
    <row r="509" spans="1:6">
      <c r="A509" s="25"/>
      <c r="B509" s="8" t="s">
        <v>15</v>
      </c>
      <c r="C509" s="9">
        <v>2</v>
      </c>
      <c r="D509" s="10">
        <v>28000</v>
      </c>
      <c r="E509" s="10">
        <f t="shared" si="27"/>
        <v>56000</v>
      </c>
      <c r="F509" s="28"/>
    </row>
    <row r="510" spans="1:6">
      <c r="A510" s="25"/>
      <c r="B510" s="8" t="s">
        <v>77</v>
      </c>
      <c r="C510" s="9">
        <v>1</v>
      </c>
      <c r="D510" s="10">
        <v>72000</v>
      </c>
      <c r="E510" s="10">
        <f t="shared" si="27"/>
        <v>72000</v>
      </c>
      <c r="F510" s="28"/>
    </row>
    <row r="511" spans="1:6">
      <c r="A511" s="25"/>
      <c r="B511" s="14" t="s">
        <v>10</v>
      </c>
      <c r="C511" s="9">
        <v>0.2</v>
      </c>
      <c r="D511" s="10">
        <v>61000</v>
      </c>
      <c r="E511" s="10">
        <f t="shared" si="27"/>
        <v>12200</v>
      </c>
      <c r="F511" s="28"/>
    </row>
    <row r="512" spans="1:6">
      <c r="A512" s="25"/>
      <c r="B512" s="14" t="s">
        <v>121</v>
      </c>
      <c r="C512" s="9">
        <v>0.1</v>
      </c>
      <c r="D512" s="10">
        <v>165000</v>
      </c>
      <c r="E512" s="10">
        <f t="shared" si="27"/>
        <v>16500</v>
      </c>
      <c r="F512" s="28"/>
    </row>
    <row r="513" spans="1:6">
      <c r="A513" s="25"/>
      <c r="B513" s="14" t="s">
        <v>51</v>
      </c>
      <c r="C513" s="9">
        <v>0.1</v>
      </c>
      <c r="D513" s="10">
        <v>83000</v>
      </c>
      <c r="E513" s="10">
        <f t="shared" si="27"/>
        <v>8300</v>
      </c>
      <c r="F513" s="28"/>
    </row>
    <row r="514" spans="1:6">
      <c r="A514" s="25"/>
      <c r="B514" s="14" t="s">
        <v>7</v>
      </c>
      <c r="C514" s="9">
        <v>0.1</v>
      </c>
      <c r="D514" s="10">
        <v>110000</v>
      </c>
      <c r="E514" s="10">
        <f t="shared" si="27"/>
        <v>11000</v>
      </c>
      <c r="F514" s="28"/>
    </row>
    <row r="515" spans="1:6">
      <c r="A515" s="25"/>
      <c r="B515" s="14" t="s">
        <v>19</v>
      </c>
      <c r="C515" s="9">
        <v>5</v>
      </c>
      <c r="D515" s="10">
        <v>24000</v>
      </c>
      <c r="E515" s="10">
        <f t="shared" si="27"/>
        <v>120000</v>
      </c>
      <c r="F515" s="28"/>
    </row>
    <row r="516" spans="1:6">
      <c r="A516" s="26"/>
      <c r="B516" s="14" t="s">
        <v>40</v>
      </c>
      <c r="C516" s="9">
        <v>5</v>
      </c>
      <c r="D516" s="10">
        <v>20000</v>
      </c>
      <c r="E516" s="10">
        <f t="shared" si="27"/>
        <v>100000</v>
      </c>
      <c r="F516" s="29"/>
    </row>
    <row r="517" spans="1:6">
      <c r="A517" s="24">
        <v>45985</v>
      </c>
      <c r="B517" s="14" t="s">
        <v>114</v>
      </c>
      <c r="C517" s="9">
        <v>5</v>
      </c>
      <c r="D517" s="10">
        <v>66000</v>
      </c>
      <c r="E517" s="10">
        <f t="shared" si="27"/>
        <v>330000</v>
      </c>
      <c r="F517" s="27">
        <f>SUM(E517:E519)</f>
        <v>575000</v>
      </c>
    </row>
    <row r="518" spans="1:6">
      <c r="A518" s="25"/>
      <c r="B518" s="14" t="s">
        <v>42</v>
      </c>
      <c r="C518" s="9">
        <v>5</v>
      </c>
      <c r="D518" s="10">
        <v>39000</v>
      </c>
      <c r="E518" s="10">
        <f t="shared" si="27"/>
        <v>195000</v>
      </c>
      <c r="F518" s="28"/>
    </row>
    <row r="519" spans="1:6">
      <c r="A519" s="26"/>
      <c r="B519" s="14" t="s">
        <v>24</v>
      </c>
      <c r="C519" s="9">
        <v>2</v>
      </c>
      <c r="D519" s="10">
        <v>25000</v>
      </c>
      <c r="E519" s="10">
        <f t="shared" si="27"/>
        <v>50000</v>
      </c>
      <c r="F519" s="29"/>
    </row>
    <row r="520" spans="1:6">
      <c r="A520" s="24">
        <v>45986</v>
      </c>
      <c r="B520" s="14" t="s">
        <v>24</v>
      </c>
      <c r="C520" s="9">
        <v>2</v>
      </c>
      <c r="D520" s="10">
        <v>25000</v>
      </c>
      <c r="E520" s="10">
        <f t="shared" ref="E520:E540" si="28">SUM(C520*D520)</f>
        <v>50000</v>
      </c>
      <c r="F520" s="27">
        <f>SUM(E520:E540)</f>
        <v>1389230</v>
      </c>
    </row>
    <row r="521" spans="1:6">
      <c r="A521" s="25"/>
      <c r="B521" s="14" t="s">
        <v>114</v>
      </c>
      <c r="C521" s="9">
        <v>5</v>
      </c>
      <c r="D521" s="10">
        <v>66000</v>
      </c>
      <c r="E521" s="10">
        <f t="shared" si="28"/>
        <v>330000</v>
      </c>
      <c r="F521" s="28"/>
    </row>
    <row r="522" spans="1:6">
      <c r="A522" s="25"/>
      <c r="B522" s="14" t="s">
        <v>19</v>
      </c>
      <c r="C522" s="9">
        <v>7</v>
      </c>
      <c r="D522" s="10">
        <v>24000</v>
      </c>
      <c r="E522" s="10">
        <f t="shared" si="28"/>
        <v>168000</v>
      </c>
      <c r="F522" s="28"/>
    </row>
    <row r="523" spans="1:6">
      <c r="A523" s="25"/>
      <c r="B523" s="14" t="s">
        <v>155</v>
      </c>
      <c r="C523" s="9">
        <v>2</v>
      </c>
      <c r="D523" s="10">
        <v>45000</v>
      </c>
      <c r="E523" s="10">
        <f t="shared" si="28"/>
        <v>90000</v>
      </c>
      <c r="F523" s="28"/>
    </row>
    <row r="524" spans="1:6">
      <c r="A524" s="25"/>
      <c r="B524" s="14" t="s">
        <v>13</v>
      </c>
      <c r="C524" s="9">
        <v>0.2</v>
      </c>
      <c r="D524" s="10">
        <v>55000</v>
      </c>
      <c r="E524" s="10">
        <f t="shared" si="28"/>
        <v>11000</v>
      </c>
      <c r="F524" s="28"/>
    </row>
    <row r="525" spans="1:6">
      <c r="A525" s="25"/>
      <c r="B525" s="14" t="s">
        <v>51</v>
      </c>
      <c r="C525" s="9">
        <v>0.06</v>
      </c>
      <c r="D525" s="10">
        <v>83000</v>
      </c>
      <c r="E525" s="10">
        <f t="shared" si="28"/>
        <v>4980</v>
      </c>
      <c r="F525" s="28"/>
    </row>
    <row r="526" spans="1:6">
      <c r="A526" s="25"/>
      <c r="B526" s="14" t="s">
        <v>50</v>
      </c>
      <c r="C526" s="9">
        <v>0.15</v>
      </c>
      <c r="D526" s="10">
        <v>33000</v>
      </c>
      <c r="E526" s="10">
        <f t="shared" si="28"/>
        <v>4950</v>
      </c>
      <c r="F526" s="28"/>
    </row>
    <row r="527" spans="1:6">
      <c r="A527" s="25"/>
      <c r="B527" s="14" t="s">
        <v>149</v>
      </c>
      <c r="C527" s="9">
        <v>0.05</v>
      </c>
      <c r="D527" s="10">
        <v>1322000</v>
      </c>
      <c r="E527" s="10">
        <f t="shared" si="28"/>
        <v>66100</v>
      </c>
      <c r="F527" s="28"/>
    </row>
    <row r="528" spans="1:6">
      <c r="A528" s="25"/>
      <c r="B528" s="14" t="s">
        <v>62</v>
      </c>
      <c r="C528" s="9">
        <v>3</v>
      </c>
      <c r="D528" s="10">
        <v>30000</v>
      </c>
      <c r="E528" s="10">
        <f t="shared" si="28"/>
        <v>90000</v>
      </c>
      <c r="F528" s="28"/>
    </row>
    <row r="529" spans="1:6">
      <c r="A529" s="25"/>
      <c r="B529" s="14" t="s">
        <v>61</v>
      </c>
      <c r="C529" s="9">
        <v>0.3</v>
      </c>
      <c r="D529" s="10">
        <v>72000</v>
      </c>
      <c r="E529" s="10">
        <f t="shared" si="28"/>
        <v>21600</v>
      </c>
      <c r="F529" s="28"/>
    </row>
    <row r="530" spans="1:6">
      <c r="A530" s="25"/>
      <c r="B530" s="14" t="s">
        <v>53</v>
      </c>
      <c r="C530" s="9">
        <v>1</v>
      </c>
      <c r="D530" s="10">
        <v>9000</v>
      </c>
      <c r="E530" s="10">
        <f t="shared" si="28"/>
        <v>9000</v>
      </c>
      <c r="F530" s="28"/>
    </row>
    <row r="531" spans="1:6">
      <c r="A531" s="25"/>
      <c r="B531" s="14" t="s">
        <v>55</v>
      </c>
      <c r="C531" s="9">
        <v>1</v>
      </c>
      <c r="D531" s="10">
        <v>17000</v>
      </c>
      <c r="E531" s="10">
        <f t="shared" si="28"/>
        <v>17000</v>
      </c>
      <c r="F531" s="28"/>
    </row>
    <row r="532" spans="1:6">
      <c r="A532" s="25"/>
      <c r="B532" s="14" t="s">
        <v>15</v>
      </c>
      <c r="C532" s="9">
        <v>1</v>
      </c>
      <c r="D532" s="10">
        <v>28000</v>
      </c>
      <c r="E532" s="10">
        <f t="shared" si="28"/>
        <v>28000</v>
      </c>
      <c r="F532" s="28"/>
    </row>
    <row r="533" spans="1:6">
      <c r="A533" s="25"/>
      <c r="B533" s="14" t="s">
        <v>90</v>
      </c>
      <c r="C533" s="9">
        <v>0.5</v>
      </c>
      <c r="D533" s="10">
        <v>94000</v>
      </c>
      <c r="E533" s="10">
        <f t="shared" si="28"/>
        <v>47000</v>
      </c>
      <c r="F533" s="28"/>
    </row>
    <row r="534" spans="1:6">
      <c r="A534" s="25"/>
      <c r="B534" s="14" t="s">
        <v>27</v>
      </c>
      <c r="C534" s="9">
        <v>1</v>
      </c>
      <c r="D534" s="10">
        <v>39000</v>
      </c>
      <c r="E534" s="10">
        <f t="shared" si="28"/>
        <v>39000</v>
      </c>
      <c r="F534" s="28"/>
    </row>
    <row r="535" spans="1:6">
      <c r="A535" s="25"/>
      <c r="B535" s="14" t="s">
        <v>25</v>
      </c>
      <c r="C535" s="9">
        <v>1</v>
      </c>
      <c r="D535" s="10">
        <v>39000</v>
      </c>
      <c r="E535" s="10">
        <f t="shared" si="28"/>
        <v>39000</v>
      </c>
      <c r="F535" s="28"/>
    </row>
    <row r="536" spans="1:6">
      <c r="A536" s="25"/>
      <c r="B536" s="14" t="s">
        <v>9</v>
      </c>
      <c r="C536" s="9">
        <v>16</v>
      </c>
      <c r="D536" s="10">
        <v>15000</v>
      </c>
      <c r="E536" s="10">
        <f t="shared" si="28"/>
        <v>240000</v>
      </c>
      <c r="F536" s="28"/>
    </row>
    <row r="537" spans="1:6">
      <c r="A537" s="25"/>
      <c r="B537" s="14" t="s">
        <v>65</v>
      </c>
      <c r="C537" s="9">
        <v>1</v>
      </c>
      <c r="D537" s="10">
        <v>55000</v>
      </c>
      <c r="E537" s="10">
        <f t="shared" si="28"/>
        <v>55000</v>
      </c>
      <c r="F537" s="28"/>
    </row>
    <row r="538" spans="1:6">
      <c r="A538" s="25"/>
      <c r="B538" s="14" t="s">
        <v>104</v>
      </c>
      <c r="C538" s="9">
        <v>0.3</v>
      </c>
      <c r="D538" s="10">
        <v>70000</v>
      </c>
      <c r="E538" s="10">
        <f t="shared" si="28"/>
        <v>21000</v>
      </c>
      <c r="F538" s="28"/>
    </row>
    <row r="539" spans="1:6">
      <c r="A539" s="25"/>
      <c r="B539" s="14" t="s">
        <v>111</v>
      </c>
      <c r="C539" s="9">
        <v>0.3</v>
      </c>
      <c r="D539" s="10">
        <v>72000</v>
      </c>
      <c r="E539" s="10">
        <f t="shared" si="28"/>
        <v>21600</v>
      </c>
      <c r="F539" s="28"/>
    </row>
    <row r="540" spans="1:6">
      <c r="A540" s="26"/>
      <c r="B540" s="14" t="s">
        <v>28</v>
      </c>
      <c r="C540" s="9">
        <v>0.3</v>
      </c>
      <c r="D540" s="10">
        <v>120000</v>
      </c>
      <c r="E540" s="10">
        <f t="shared" si="28"/>
        <v>36000</v>
      </c>
      <c r="F540" s="29"/>
    </row>
    <row r="541" spans="1:6">
      <c r="A541" s="24">
        <v>45986</v>
      </c>
      <c r="B541" s="14" t="s">
        <v>18</v>
      </c>
      <c r="C541" s="9">
        <v>0.2</v>
      </c>
      <c r="D541" s="10">
        <v>28000</v>
      </c>
      <c r="E541" s="10">
        <f t="shared" ref="E541:E548" si="29">SUM(C541*D541)</f>
        <v>5600</v>
      </c>
      <c r="F541" s="30">
        <f>SUM(E541:E548)</f>
        <v>472000</v>
      </c>
    </row>
    <row r="542" spans="1:6">
      <c r="A542" s="25"/>
      <c r="B542" s="14" t="s">
        <v>33</v>
      </c>
      <c r="C542" s="9">
        <v>0.4</v>
      </c>
      <c r="D542" s="10">
        <v>50000</v>
      </c>
      <c r="E542" s="10">
        <f t="shared" si="29"/>
        <v>20000</v>
      </c>
      <c r="F542" s="31"/>
    </row>
    <row r="543" spans="1:6">
      <c r="A543" s="25"/>
      <c r="B543" s="14" t="s">
        <v>35</v>
      </c>
      <c r="C543" s="9">
        <v>0.4</v>
      </c>
      <c r="D543" s="10">
        <v>61000</v>
      </c>
      <c r="E543" s="10">
        <f t="shared" si="29"/>
        <v>24400</v>
      </c>
      <c r="F543" s="31"/>
    </row>
    <row r="544" spans="1:6">
      <c r="A544" s="25"/>
      <c r="B544" s="14" t="s">
        <v>44</v>
      </c>
      <c r="C544" s="9">
        <v>1</v>
      </c>
      <c r="D544" s="10">
        <v>22000</v>
      </c>
      <c r="E544" s="10">
        <f t="shared" si="29"/>
        <v>22000</v>
      </c>
      <c r="F544" s="31"/>
    </row>
    <row r="545" spans="1:6">
      <c r="A545" s="25"/>
      <c r="B545" s="14" t="s">
        <v>72</v>
      </c>
      <c r="C545" s="9">
        <v>2</v>
      </c>
      <c r="D545" s="10">
        <v>25000</v>
      </c>
      <c r="E545" s="10">
        <f t="shared" si="29"/>
        <v>50000</v>
      </c>
      <c r="F545" s="31"/>
    </row>
    <row r="546" spans="1:6">
      <c r="A546" s="25"/>
      <c r="B546" s="14" t="s">
        <v>156</v>
      </c>
      <c r="C546" s="9">
        <v>2</v>
      </c>
      <c r="D546" s="10">
        <v>25000</v>
      </c>
      <c r="E546" s="10">
        <f t="shared" si="29"/>
        <v>50000</v>
      </c>
      <c r="F546" s="31"/>
    </row>
    <row r="547" spans="1:6">
      <c r="A547" s="25"/>
      <c r="B547" s="14" t="s">
        <v>123</v>
      </c>
      <c r="C547" s="9">
        <v>1</v>
      </c>
      <c r="D547" s="10">
        <v>240000</v>
      </c>
      <c r="E547" s="10">
        <f t="shared" si="29"/>
        <v>240000</v>
      </c>
      <c r="F547" s="31"/>
    </row>
    <row r="548" spans="1:6">
      <c r="A548" s="26"/>
      <c r="B548" s="14" t="s">
        <v>43</v>
      </c>
      <c r="C548" s="9">
        <v>3</v>
      </c>
      <c r="D548" s="10">
        <v>20000</v>
      </c>
      <c r="E548" s="10">
        <f t="shared" si="29"/>
        <v>60000</v>
      </c>
      <c r="F548" s="32"/>
    </row>
    <row r="549" spans="1:6">
      <c r="A549" s="24">
        <v>45987</v>
      </c>
      <c r="B549" s="14" t="s">
        <v>33</v>
      </c>
      <c r="C549" s="9">
        <v>0.7</v>
      </c>
      <c r="D549" s="10">
        <v>50000</v>
      </c>
      <c r="E549" s="10">
        <f t="shared" ref="E549:E564" si="30">SUM(C549*D549)</f>
        <v>35000</v>
      </c>
      <c r="F549" s="27">
        <f>SUM(E549:E564)</f>
        <v>645200</v>
      </c>
    </row>
    <row r="550" spans="1:6">
      <c r="A550" s="25"/>
      <c r="B550" s="14" t="s">
        <v>35</v>
      </c>
      <c r="C550" s="9">
        <v>0.7</v>
      </c>
      <c r="D550" s="10">
        <v>61000</v>
      </c>
      <c r="E550" s="10">
        <f t="shared" si="30"/>
        <v>42700</v>
      </c>
      <c r="F550" s="28"/>
    </row>
    <row r="551" spans="1:6">
      <c r="A551" s="25"/>
      <c r="B551" s="14" t="s">
        <v>80</v>
      </c>
      <c r="C551" s="9">
        <v>0.5</v>
      </c>
      <c r="D551" s="10">
        <v>70000</v>
      </c>
      <c r="E551" s="10">
        <f t="shared" si="30"/>
        <v>35000</v>
      </c>
      <c r="F551" s="28"/>
    </row>
    <row r="552" spans="1:6">
      <c r="A552" s="25"/>
      <c r="B552" s="14" t="s">
        <v>69</v>
      </c>
      <c r="C552" s="9">
        <v>0.3</v>
      </c>
      <c r="D552" s="10">
        <v>70000</v>
      </c>
      <c r="E552" s="10">
        <f t="shared" si="30"/>
        <v>21000</v>
      </c>
      <c r="F552" s="28"/>
    </row>
    <row r="553" spans="1:6">
      <c r="A553" s="25"/>
      <c r="B553" s="14" t="s">
        <v>28</v>
      </c>
      <c r="C553" s="9">
        <v>0.3</v>
      </c>
      <c r="D553" s="10">
        <v>120000</v>
      </c>
      <c r="E553" s="10">
        <f t="shared" si="30"/>
        <v>36000</v>
      </c>
      <c r="F553" s="28"/>
    </row>
    <row r="554" spans="1:6">
      <c r="A554" s="25"/>
      <c r="B554" s="14" t="s">
        <v>68</v>
      </c>
      <c r="C554" s="9">
        <v>30</v>
      </c>
      <c r="D554" s="10">
        <v>1000</v>
      </c>
      <c r="E554" s="10">
        <f t="shared" si="30"/>
        <v>30000</v>
      </c>
      <c r="F554" s="28"/>
    </row>
    <row r="555" spans="1:6">
      <c r="A555" s="25"/>
      <c r="B555" s="14" t="s">
        <v>27</v>
      </c>
      <c r="C555" s="9">
        <v>1</v>
      </c>
      <c r="D555" s="10">
        <v>39000</v>
      </c>
      <c r="E555" s="10">
        <f t="shared" si="30"/>
        <v>39000</v>
      </c>
      <c r="F555" s="28"/>
    </row>
    <row r="556" spans="1:6">
      <c r="A556" s="25"/>
      <c r="B556" s="14" t="s">
        <v>25</v>
      </c>
      <c r="C556" s="9">
        <v>1</v>
      </c>
      <c r="D556" s="10">
        <v>39000</v>
      </c>
      <c r="E556" s="10">
        <f t="shared" si="30"/>
        <v>39000</v>
      </c>
      <c r="F556" s="28"/>
    </row>
    <row r="557" spans="1:6">
      <c r="A557" s="25"/>
      <c r="B557" s="14" t="s">
        <v>30</v>
      </c>
      <c r="C557" s="9">
        <v>3</v>
      </c>
      <c r="D557" s="10">
        <v>10000</v>
      </c>
      <c r="E557" s="10">
        <f t="shared" si="30"/>
        <v>30000</v>
      </c>
      <c r="F557" s="28"/>
    </row>
    <row r="558" spans="1:6">
      <c r="A558" s="25"/>
      <c r="B558" s="14" t="s">
        <v>59</v>
      </c>
      <c r="C558" s="9">
        <v>0.5</v>
      </c>
      <c r="D558" s="10">
        <v>30000</v>
      </c>
      <c r="E558" s="10">
        <f t="shared" si="30"/>
        <v>15000</v>
      </c>
      <c r="F558" s="28"/>
    </row>
    <row r="559" spans="1:6">
      <c r="A559" s="25"/>
      <c r="B559" s="14" t="s">
        <v>40</v>
      </c>
      <c r="C559" s="9">
        <v>3</v>
      </c>
      <c r="D559" s="10">
        <v>25000</v>
      </c>
      <c r="E559" s="10">
        <f t="shared" si="30"/>
        <v>75000</v>
      </c>
      <c r="F559" s="28"/>
    </row>
    <row r="560" spans="1:6">
      <c r="A560" s="25"/>
      <c r="B560" s="14" t="s">
        <v>144</v>
      </c>
      <c r="C560" s="9">
        <v>1</v>
      </c>
      <c r="D560" s="10">
        <v>165000</v>
      </c>
      <c r="E560" s="10">
        <f t="shared" si="30"/>
        <v>165000</v>
      </c>
      <c r="F560" s="28"/>
    </row>
    <row r="561" spans="1:6">
      <c r="A561" s="25"/>
      <c r="B561" s="14" t="s">
        <v>26</v>
      </c>
      <c r="C561" s="9">
        <v>1</v>
      </c>
      <c r="D561" s="10">
        <v>17000</v>
      </c>
      <c r="E561" s="10">
        <f t="shared" si="30"/>
        <v>17000</v>
      </c>
      <c r="F561" s="28"/>
    </row>
    <row r="562" spans="1:6">
      <c r="A562" s="25"/>
      <c r="B562" s="14" t="s">
        <v>113</v>
      </c>
      <c r="C562" s="9">
        <v>0.3</v>
      </c>
      <c r="D562" s="10">
        <v>44000</v>
      </c>
      <c r="E562" s="10">
        <f t="shared" si="30"/>
        <v>13200</v>
      </c>
      <c r="F562" s="28"/>
    </row>
    <row r="563" spans="1:6">
      <c r="A563" s="25"/>
      <c r="B563" s="14" t="s">
        <v>10</v>
      </c>
      <c r="C563" s="9">
        <v>0.3</v>
      </c>
      <c r="D563" s="10">
        <v>61000</v>
      </c>
      <c r="E563" s="10">
        <f t="shared" si="30"/>
        <v>18300</v>
      </c>
      <c r="F563" s="28"/>
    </row>
    <row r="564" spans="1:6">
      <c r="A564" s="26"/>
      <c r="B564" s="14" t="s">
        <v>55</v>
      </c>
      <c r="C564" s="9">
        <v>2</v>
      </c>
      <c r="D564" s="10">
        <v>17000</v>
      </c>
      <c r="E564" s="10">
        <f t="shared" si="30"/>
        <v>34000</v>
      </c>
      <c r="F564" s="29"/>
    </row>
    <row r="565" spans="1:6">
      <c r="A565" s="24">
        <v>45988</v>
      </c>
      <c r="B565" s="14" t="s">
        <v>74</v>
      </c>
      <c r="C565" s="9">
        <v>3</v>
      </c>
      <c r="D565" s="10">
        <v>75000</v>
      </c>
      <c r="E565" s="10">
        <f t="shared" ref="E565:E580" si="31">SUM(C565*D565)</f>
        <v>225000</v>
      </c>
      <c r="F565" s="27">
        <f>SUM(E565:E586)</f>
        <v>1631750</v>
      </c>
    </row>
    <row r="566" spans="1:6">
      <c r="A566" s="25"/>
      <c r="B566" s="14" t="s">
        <v>19</v>
      </c>
      <c r="C566" s="9">
        <v>5</v>
      </c>
      <c r="D566" s="10">
        <v>24000</v>
      </c>
      <c r="E566" s="10">
        <f t="shared" si="31"/>
        <v>120000</v>
      </c>
      <c r="F566" s="28"/>
    </row>
    <row r="567" spans="1:6">
      <c r="A567" s="25"/>
      <c r="B567" s="14" t="s">
        <v>114</v>
      </c>
      <c r="C567" s="9">
        <v>5</v>
      </c>
      <c r="D567" s="10">
        <v>66000</v>
      </c>
      <c r="E567" s="10">
        <f t="shared" si="31"/>
        <v>330000</v>
      </c>
      <c r="F567" s="28"/>
    </row>
    <row r="568" spans="1:6">
      <c r="A568" s="25"/>
      <c r="B568" s="14" t="s">
        <v>51</v>
      </c>
      <c r="C568" s="9">
        <v>0.15</v>
      </c>
      <c r="D568" s="10">
        <v>83000</v>
      </c>
      <c r="E568" s="10">
        <f t="shared" si="31"/>
        <v>12450</v>
      </c>
      <c r="F568" s="28"/>
    </row>
    <row r="569" spans="1:6">
      <c r="A569" s="25"/>
      <c r="B569" s="14" t="s">
        <v>7</v>
      </c>
      <c r="C569" s="9">
        <v>0.05</v>
      </c>
      <c r="D569" s="10">
        <v>110000</v>
      </c>
      <c r="E569" s="10">
        <f t="shared" si="31"/>
        <v>5500</v>
      </c>
      <c r="F569" s="28"/>
    </row>
    <row r="570" spans="1:6">
      <c r="A570" s="25"/>
      <c r="B570" s="14" t="s">
        <v>71</v>
      </c>
      <c r="C570" s="9">
        <v>0.1</v>
      </c>
      <c r="D570" s="10">
        <v>72000</v>
      </c>
      <c r="E570" s="10">
        <f t="shared" si="31"/>
        <v>7200</v>
      </c>
      <c r="F570" s="28"/>
    </row>
    <row r="571" spans="1:6">
      <c r="A571" s="25"/>
      <c r="B571" s="14" t="s">
        <v>61</v>
      </c>
      <c r="C571" s="9">
        <v>1</v>
      </c>
      <c r="D571" s="10">
        <v>72000</v>
      </c>
      <c r="E571" s="10">
        <f t="shared" si="31"/>
        <v>72000</v>
      </c>
      <c r="F571" s="28"/>
    </row>
    <row r="572" spans="1:6">
      <c r="A572" s="25"/>
      <c r="B572" s="14" t="s">
        <v>55</v>
      </c>
      <c r="C572" s="9">
        <v>1</v>
      </c>
      <c r="D572" s="10">
        <v>17000</v>
      </c>
      <c r="E572" s="10">
        <f t="shared" si="31"/>
        <v>17000</v>
      </c>
      <c r="F572" s="28"/>
    </row>
    <row r="573" spans="1:6">
      <c r="A573" s="25"/>
      <c r="B573" s="14" t="s">
        <v>89</v>
      </c>
      <c r="C573" s="9">
        <v>0.5</v>
      </c>
      <c r="D573" s="10">
        <v>83000</v>
      </c>
      <c r="E573" s="10">
        <f t="shared" si="31"/>
        <v>41500</v>
      </c>
      <c r="F573" s="28"/>
    </row>
    <row r="574" spans="1:6">
      <c r="A574" s="25"/>
      <c r="B574" s="14" t="s">
        <v>15</v>
      </c>
      <c r="C574" s="9">
        <v>3</v>
      </c>
      <c r="D574" s="10">
        <v>28000</v>
      </c>
      <c r="E574" s="10">
        <f t="shared" si="31"/>
        <v>84000</v>
      </c>
      <c r="F574" s="28"/>
    </row>
    <row r="575" spans="1:6">
      <c r="A575" s="25"/>
      <c r="B575" s="14" t="s">
        <v>28</v>
      </c>
      <c r="C575" s="9">
        <v>0.3</v>
      </c>
      <c r="D575" s="10">
        <v>120000</v>
      </c>
      <c r="E575" s="10">
        <f t="shared" si="31"/>
        <v>36000</v>
      </c>
      <c r="F575" s="28"/>
    </row>
    <row r="576" spans="1:6">
      <c r="A576" s="25"/>
      <c r="B576" s="14" t="s">
        <v>18</v>
      </c>
      <c r="C576" s="9">
        <v>0.2</v>
      </c>
      <c r="D576" s="10">
        <v>28000</v>
      </c>
      <c r="E576" s="10">
        <f t="shared" si="31"/>
        <v>5600</v>
      </c>
      <c r="F576" s="28"/>
    </row>
    <row r="577" spans="1:6">
      <c r="A577" s="25"/>
      <c r="B577" s="14" t="s">
        <v>81</v>
      </c>
      <c r="C577" s="9">
        <v>0.5</v>
      </c>
      <c r="D577" s="10">
        <v>70000</v>
      </c>
      <c r="E577" s="10">
        <f t="shared" si="31"/>
        <v>35000</v>
      </c>
      <c r="F577" s="28"/>
    </row>
    <row r="578" spans="1:6">
      <c r="A578" s="25"/>
      <c r="B578" s="14" t="s">
        <v>104</v>
      </c>
      <c r="C578" s="9">
        <v>0.3</v>
      </c>
      <c r="D578" s="10">
        <v>70000</v>
      </c>
      <c r="E578" s="10">
        <f t="shared" si="31"/>
        <v>21000</v>
      </c>
      <c r="F578" s="28"/>
    </row>
    <row r="579" spans="1:6">
      <c r="A579" s="25"/>
      <c r="B579" s="14" t="s">
        <v>66</v>
      </c>
      <c r="C579" s="9">
        <v>0.5</v>
      </c>
      <c r="D579" s="10">
        <v>70000</v>
      </c>
      <c r="E579" s="10">
        <f t="shared" si="31"/>
        <v>35000</v>
      </c>
      <c r="F579" s="28"/>
    </row>
    <row r="580" spans="1:6">
      <c r="A580" s="25"/>
      <c r="B580" s="14" t="s">
        <v>68</v>
      </c>
      <c r="C580" s="9">
        <v>30</v>
      </c>
      <c r="D580" s="10">
        <v>1000</v>
      </c>
      <c r="E580" s="10">
        <f t="shared" si="31"/>
        <v>30000</v>
      </c>
      <c r="F580" s="28"/>
    </row>
    <row r="581" spans="1:6">
      <c r="A581" s="25"/>
      <c r="B581" s="14" t="s">
        <v>157</v>
      </c>
      <c r="C581" s="9">
        <v>2</v>
      </c>
      <c r="D581" s="10">
        <v>145000</v>
      </c>
      <c r="E581" s="10">
        <f t="shared" ref="E581:E590" si="32">SUM(C581*D581)</f>
        <v>290000</v>
      </c>
      <c r="F581" s="28"/>
    </row>
    <row r="582" spans="1:6">
      <c r="A582" s="25"/>
      <c r="B582" s="14" t="s">
        <v>9</v>
      </c>
      <c r="C582" s="9">
        <v>6.7</v>
      </c>
      <c r="D582" s="10">
        <v>15000</v>
      </c>
      <c r="E582" s="10">
        <f t="shared" si="32"/>
        <v>100500</v>
      </c>
      <c r="F582" s="28"/>
    </row>
    <row r="583" spans="1:6">
      <c r="A583" s="25"/>
      <c r="B583" s="14" t="s">
        <v>30</v>
      </c>
      <c r="C583" s="9">
        <v>2</v>
      </c>
      <c r="D583" s="10">
        <v>10000</v>
      </c>
      <c r="E583" s="10">
        <f t="shared" si="32"/>
        <v>20000</v>
      </c>
      <c r="F583" s="28"/>
    </row>
    <row r="584" spans="1:6">
      <c r="A584" s="25"/>
      <c r="B584" s="14" t="s">
        <v>25</v>
      </c>
      <c r="C584" s="9">
        <v>1</v>
      </c>
      <c r="D584" s="10">
        <v>39000</v>
      </c>
      <c r="E584" s="10">
        <f t="shared" si="32"/>
        <v>39000</v>
      </c>
      <c r="F584" s="28"/>
    </row>
    <row r="585" spans="1:6">
      <c r="A585" s="25"/>
      <c r="B585" s="14" t="s">
        <v>64</v>
      </c>
      <c r="C585" s="9">
        <v>1</v>
      </c>
      <c r="D585" s="10">
        <v>50000</v>
      </c>
      <c r="E585" s="10">
        <f t="shared" si="32"/>
        <v>50000</v>
      </c>
      <c r="F585" s="28"/>
    </row>
    <row r="586" spans="1:6">
      <c r="A586" s="26"/>
      <c r="B586" s="14" t="s">
        <v>65</v>
      </c>
      <c r="C586" s="9">
        <v>1</v>
      </c>
      <c r="D586" s="10">
        <v>55000</v>
      </c>
      <c r="E586" s="10">
        <f t="shared" si="32"/>
        <v>55000</v>
      </c>
      <c r="F586" s="29"/>
    </row>
    <row r="587" spans="1:6">
      <c r="A587" s="24">
        <v>45988</v>
      </c>
      <c r="B587" s="14" t="s">
        <v>56</v>
      </c>
      <c r="C587" s="9">
        <v>0.1</v>
      </c>
      <c r="D587" s="10">
        <v>88000</v>
      </c>
      <c r="E587" s="10">
        <f t="shared" si="32"/>
        <v>8800</v>
      </c>
      <c r="F587" s="27">
        <f>SUM(E587:E590)</f>
        <v>251600</v>
      </c>
    </row>
    <row r="588" spans="1:6">
      <c r="A588" s="25"/>
      <c r="B588" s="14" t="s">
        <v>27</v>
      </c>
      <c r="C588" s="9">
        <v>1</v>
      </c>
      <c r="D588" s="10">
        <v>39000</v>
      </c>
      <c r="E588" s="10">
        <f t="shared" si="32"/>
        <v>39000</v>
      </c>
      <c r="F588" s="28"/>
    </row>
    <row r="589" spans="1:6">
      <c r="A589" s="25"/>
      <c r="B589" s="14" t="s">
        <v>59</v>
      </c>
      <c r="C589" s="9">
        <v>1</v>
      </c>
      <c r="D589" s="10">
        <v>30000</v>
      </c>
      <c r="E589" s="10">
        <f t="shared" si="32"/>
        <v>30000</v>
      </c>
      <c r="F589" s="28"/>
    </row>
    <row r="590" spans="1:6">
      <c r="A590" s="26"/>
      <c r="B590" s="14" t="s">
        <v>44</v>
      </c>
      <c r="C590" s="9">
        <v>7.9</v>
      </c>
      <c r="D590" s="10">
        <v>22000</v>
      </c>
      <c r="E590" s="10">
        <f t="shared" si="32"/>
        <v>173800</v>
      </c>
      <c r="F590" s="29"/>
    </row>
    <row r="591" spans="1:6">
      <c r="A591" s="24">
        <v>45989</v>
      </c>
      <c r="B591" s="14" t="s">
        <v>53</v>
      </c>
      <c r="C591" s="9">
        <v>1</v>
      </c>
      <c r="D591" s="10">
        <v>9000</v>
      </c>
      <c r="E591" s="10">
        <f t="shared" ref="E591:E610" si="33">SUM(C591*D591)</f>
        <v>9000</v>
      </c>
      <c r="F591" s="27">
        <f>SUM(E591:E610)</f>
        <v>1753050</v>
      </c>
    </row>
    <row r="592" spans="1:6">
      <c r="A592" s="25"/>
      <c r="B592" s="14" t="s">
        <v>17</v>
      </c>
      <c r="C592" s="9">
        <v>2</v>
      </c>
      <c r="D592" s="10">
        <v>50000</v>
      </c>
      <c r="E592" s="10">
        <f t="shared" si="33"/>
        <v>100000</v>
      </c>
      <c r="F592" s="28"/>
    </row>
    <row r="593" spans="1:6">
      <c r="A593" s="25"/>
      <c r="B593" s="14" t="s">
        <v>15</v>
      </c>
      <c r="C593" s="9">
        <v>3</v>
      </c>
      <c r="D593" s="10">
        <v>28000</v>
      </c>
      <c r="E593" s="10">
        <f t="shared" si="33"/>
        <v>84000</v>
      </c>
      <c r="F593" s="28"/>
    </row>
    <row r="594" spans="1:6">
      <c r="A594" s="25"/>
      <c r="B594" s="14" t="s">
        <v>7</v>
      </c>
      <c r="C594" s="9">
        <v>0.1</v>
      </c>
      <c r="D594" s="10">
        <v>110000</v>
      </c>
      <c r="E594" s="10">
        <f t="shared" si="33"/>
        <v>11000</v>
      </c>
      <c r="F594" s="28"/>
    </row>
    <row r="595" spans="1:6">
      <c r="A595" s="25"/>
      <c r="B595" s="14" t="s">
        <v>51</v>
      </c>
      <c r="C595" s="9">
        <v>0.15</v>
      </c>
      <c r="D595" s="10">
        <v>83000</v>
      </c>
      <c r="E595" s="10">
        <f t="shared" si="33"/>
        <v>12450</v>
      </c>
      <c r="F595" s="28"/>
    </row>
    <row r="596" spans="1:6">
      <c r="A596" s="25"/>
      <c r="B596" s="14" t="s">
        <v>52</v>
      </c>
      <c r="C596" s="9">
        <v>2</v>
      </c>
      <c r="D596" s="10">
        <v>31000</v>
      </c>
      <c r="E596" s="10">
        <f t="shared" si="33"/>
        <v>62000</v>
      </c>
      <c r="F596" s="28"/>
    </row>
    <row r="597" spans="1:6">
      <c r="A597" s="25"/>
      <c r="B597" s="14" t="s">
        <v>55</v>
      </c>
      <c r="C597" s="9">
        <v>2</v>
      </c>
      <c r="D597" s="10">
        <v>17000</v>
      </c>
      <c r="E597" s="10">
        <f t="shared" si="33"/>
        <v>34000</v>
      </c>
      <c r="F597" s="28"/>
    </row>
    <row r="598" spans="1:6">
      <c r="A598" s="25"/>
      <c r="B598" s="14" t="s">
        <v>85</v>
      </c>
      <c r="C598" s="9">
        <v>1</v>
      </c>
      <c r="D598" s="10">
        <v>200000</v>
      </c>
      <c r="E598" s="10">
        <f t="shared" si="33"/>
        <v>200000</v>
      </c>
      <c r="F598" s="28"/>
    </row>
    <row r="599" spans="1:6">
      <c r="A599" s="25"/>
      <c r="B599" s="14" t="s">
        <v>13</v>
      </c>
      <c r="C599" s="9">
        <v>0.3</v>
      </c>
      <c r="D599" s="10">
        <v>55000</v>
      </c>
      <c r="E599" s="10">
        <f t="shared" si="33"/>
        <v>16500</v>
      </c>
      <c r="F599" s="28"/>
    </row>
    <row r="600" spans="1:6">
      <c r="A600" s="25"/>
      <c r="B600" s="14" t="s">
        <v>10</v>
      </c>
      <c r="C600" s="9">
        <v>0.3</v>
      </c>
      <c r="D600" s="10">
        <v>61000</v>
      </c>
      <c r="E600" s="10">
        <f t="shared" si="33"/>
        <v>18300</v>
      </c>
      <c r="F600" s="28"/>
    </row>
    <row r="601" spans="1:6">
      <c r="A601" s="25"/>
      <c r="B601" s="14" t="s">
        <v>44</v>
      </c>
      <c r="C601" s="9">
        <v>4.5999999999999996</v>
      </c>
      <c r="D601" s="10">
        <v>22000</v>
      </c>
      <c r="E601" s="10">
        <f t="shared" si="33"/>
        <v>101200</v>
      </c>
      <c r="F601" s="28"/>
    </row>
    <row r="602" spans="1:6">
      <c r="A602" s="25"/>
      <c r="B602" s="14" t="s">
        <v>19</v>
      </c>
      <c r="C602" s="9">
        <v>10</v>
      </c>
      <c r="D602" s="10">
        <v>24000</v>
      </c>
      <c r="E602" s="10">
        <f t="shared" si="33"/>
        <v>240000</v>
      </c>
      <c r="F602" s="28"/>
    </row>
    <row r="603" spans="1:6">
      <c r="A603" s="25"/>
      <c r="B603" s="14" t="s">
        <v>40</v>
      </c>
      <c r="C603" s="9">
        <v>5</v>
      </c>
      <c r="D603" s="10">
        <v>25000</v>
      </c>
      <c r="E603" s="10">
        <f t="shared" si="33"/>
        <v>125000</v>
      </c>
      <c r="F603" s="28"/>
    </row>
    <row r="604" spans="1:6">
      <c r="A604" s="25"/>
      <c r="B604" s="14" t="s">
        <v>114</v>
      </c>
      <c r="C604" s="9">
        <v>6</v>
      </c>
      <c r="D604" s="10">
        <v>66000</v>
      </c>
      <c r="E604" s="10">
        <f t="shared" si="33"/>
        <v>396000</v>
      </c>
      <c r="F604" s="28"/>
    </row>
    <row r="605" spans="1:6">
      <c r="A605" s="25"/>
      <c r="B605" s="14" t="s">
        <v>95</v>
      </c>
      <c r="C605" s="9">
        <v>0.5</v>
      </c>
      <c r="D605" s="10">
        <v>100000</v>
      </c>
      <c r="E605" s="10">
        <f t="shared" si="33"/>
        <v>50000</v>
      </c>
      <c r="F605" s="28"/>
    </row>
    <row r="606" spans="1:6">
      <c r="A606" s="25"/>
      <c r="B606" s="14" t="s">
        <v>94</v>
      </c>
      <c r="C606" s="9">
        <v>0.5</v>
      </c>
      <c r="D606" s="10">
        <v>200000</v>
      </c>
      <c r="E606" s="10">
        <f t="shared" si="33"/>
        <v>100000</v>
      </c>
      <c r="F606" s="28"/>
    </row>
    <row r="607" spans="1:6">
      <c r="A607" s="25"/>
      <c r="B607" s="14" t="s">
        <v>93</v>
      </c>
      <c r="C607" s="9">
        <v>3</v>
      </c>
      <c r="D607" s="10">
        <v>20000</v>
      </c>
      <c r="E607" s="10">
        <f t="shared" si="33"/>
        <v>60000</v>
      </c>
      <c r="F607" s="28"/>
    </row>
    <row r="608" spans="1:6">
      <c r="A608" s="25"/>
      <c r="B608" s="14" t="s">
        <v>27</v>
      </c>
      <c r="C608" s="9">
        <v>1.7</v>
      </c>
      <c r="D608" s="10">
        <v>39000</v>
      </c>
      <c r="E608" s="10">
        <f t="shared" si="33"/>
        <v>66300</v>
      </c>
      <c r="F608" s="28"/>
    </row>
    <row r="609" spans="1:6">
      <c r="A609" s="25"/>
      <c r="B609" s="14" t="s">
        <v>25</v>
      </c>
      <c r="C609" s="9">
        <v>1.5</v>
      </c>
      <c r="D609" s="10">
        <v>39000</v>
      </c>
      <c r="E609" s="10">
        <f t="shared" si="33"/>
        <v>58500</v>
      </c>
      <c r="F609" s="28"/>
    </row>
    <row r="610" spans="1:6">
      <c r="A610" s="26"/>
      <c r="B610" s="14" t="s">
        <v>56</v>
      </c>
      <c r="C610" s="9">
        <v>0.1</v>
      </c>
      <c r="D610" s="10">
        <v>88000</v>
      </c>
      <c r="E610" s="10">
        <f t="shared" si="33"/>
        <v>8800</v>
      </c>
      <c r="F610" s="29"/>
    </row>
    <row r="611" spans="1:6">
      <c r="A611" s="24">
        <v>45989</v>
      </c>
      <c r="B611" s="14" t="s">
        <v>33</v>
      </c>
      <c r="C611" s="9">
        <v>0.5</v>
      </c>
      <c r="D611" s="10">
        <v>50000</v>
      </c>
      <c r="E611" s="10">
        <f t="shared" ref="E611:E617" si="34">SUM(C611*D611)</f>
        <v>25000</v>
      </c>
      <c r="F611" s="27">
        <f>SUM(E611:E617)</f>
        <v>228100</v>
      </c>
    </row>
    <row r="612" spans="1:6">
      <c r="A612" s="25"/>
      <c r="B612" s="14" t="s">
        <v>35</v>
      </c>
      <c r="C612" s="9">
        <v>0.5</v>
      </c>
      <c r="D612" s="10">
        <v>61000</v>
      </c>
      <c r="E612" s="10">
        <f t="shared" si="34"/>
        <v>30500</v>
      </c>
      <c r="F612" s="28"/>
    </row>
    <row r="613" spans="1:6">
      <c r="A613" s="25"/>
      <c r="B613" s="14" t="s">
        <v>66</v>
      </c>
      <c r="C613" s="9">
        <v>0.5</v>
      </c>
      <c r="D613" s="10">
        <v>70000</v>
      </c>
      <c r="E613" s="10">
        <f t="shared" si="34"/>
        <v>35000</v>
      </c>
      <c r="F613" s="28"/>
    </row>
    <row r="614" spans="1:6">
      <c r="A614" s="25"/>
      <c r="B614" s="14" t="s">
        <v>81</v>
      </c>
      <c r="C614" s="9">
        <v>1</v>
      </c>
      <c r="D614" s="10">
        <v>70000</v>
      </c>
      <c r="E614" s="10">
        <f t="shared" si="34"/>
        <v>70000</v>
      </c>
      <c r="F614" s="28"/>
    </row>
    <row r="615" spans="1:6">
      <c r="A615" s="25"/>
      <c r="B615" s="14" t="s">
        <v>111</v>
      </c>
      <c r="C615" s="9">
        <v>0.3</v>
      </c>
      <c r="D615" s="10">
        <v>72000</v>
      </c>
      <c r="E615" s="10">
        <f t="shared" si="34"/>
        <v>21600</v>
      </c>
      <c r="F615" s="28"/>
    </row>
    <row r="616" spans="1:6">
      <c r="A616" s="25"/>
      <c r="B616" s="14" t="s">
        <v>69</v>
      </c>
      <c r="C616" s="9">
        <v>0.3</v>
      </c>
      <c r="D616" s="10">
        <v>70000</v>
      </c>
      <c r="E616" s="10">
        <f t="shared" si="34"/>
        <v>21000</v>
      </c>
      <c r="F616" s="28"/>
    </row>
    <row r="617" spans="1:6">
      <c r="A617" s="26"/>
      <c r="B617" s="14" t="s">
        <v>68</v>
      </c>
      <c r="C617" s="9">
        <v>25</v>
      </c>
      <c r="D617" s="10">
        <v>1000</v>
      </c>
      <c r="E617" s="10">
        <f t="shared" si="34"/>
        <v>25000</v>
      </c>
      <c r="F617" s="29"/>
    </row>
    <row r="618" spans="1:6">
      <c r="A618" s="24">
        <v>45991</v>
      </c>
      <c r="B618" s="14" t="s">
        <v>19</v>
      </c>
      <c r="C618" s="9">
        <v>10</v>
      </c>
      <c r="D618" s="10">
        <v>24000</v>
      </c>
      <c r="E618" s="10">
        <f t="shared" ref="E618:E631" si="35">SUM(C618*D618)</f>
        <v>240000</v>
      </c>
      <c r="F618" s="27">
        <f>SUM(E618:E631)</f>
        <v>627300</v>
      </c>
    </row>
    <row r="619" spans="1:6">
      <c r="A619" s="25"/>
      <c r="B619" s="14" t="s">
        <v>25</v>
      </c>
      <c r="C619" s="9">
        <v>1</v>
      </c>
      <c r="D619" s="10">
        <v>39000</v>
      </c>
      <c r="E619" s="10">
        <f t="shared" si="35"/>
        <v>39000</v>
      </c>
      <c r="F619" s="28"/>
    </row>
    <row r="620" spans="1:6">
      <c r="A620" s="25"/>
      <c r="B620" s="14" t="s">
        <v>66</v>
      </c>
      <c r="C620" s="9">
        <v>1</v>
      </c>
      <c r="D620" s="10">
        <v>70000</v>
      </c>
      <c r="E620" s="10">
        <f t="shared" si="35"/>
        <v>70000</v>
      </c>
      <c r="F620" s="28"/>
    </row>
    <row r="621" spans="1:6">
      <c r="A621" s="25"/>
      <c r="B621" s="14" t="s">
        <v>27</v>
      </c>
      <c r="C621" s="9">
        <v>1</v>
      </c>
      <c r="D621" s="10">
        <v>39000</v>
      </c>
      <c r="E621" s="10">
        <f t="shared" si="35"/>
        <v>39000</v>
      </c>
      <c r="F621" s="28"/>
    </row>
    <row r="622" spans="1:6">
      <c r="A622" s="25"/>
      <c r="B622" s="14" t="s">
        <v>53</v>
      </c>
      <c r="C622" s="9">
        <v>1</v>
      </c>
      <c r="D622" s="10">
        <v>9000</v>
      </c>
      <c r="E622" s="10">
        <f t="shared" si="35"/>
        <v>9000</v>
      </c>
      <c r="F622" s="28"/>
    </row>
    <row r="623" spans="1:6">
      <c r="A623" s="25"/>
      <c r="B623" s="14" t="s">
        <v>26</v>
      </c>
      <c r="C623" s="9">
        <v>1</v>
      </c>
      <c r="D623" s="10">
        <v>17000</v>
      </c>
      <c r="E623" s="10">
        <f t="shared" si="35"/>
        <v>17000</v>
      </c>
      <c r="F623" s="28"/>
    </row>
    <row r="624" spans="1:6">
      <c r="A624" s="25"/>
      <c r="B624" s="14" t="s">
        <v>77</v>
      </c>
      <c r="C624" s="9">
        <v>0.5</v>
      </c>
      <c r="D624" s="10">
        <v>72000</v>
      </c>
      <c r="E624" s="10">
        <f t="shared" si="35"/>
        <v>36000</v>
      </c>
      <c r="F624" s="28"/>
    </row>
    <row r="625" spans="1:6">
      <c r="A625" s="25"/>
      <c r="B625" s="14" t="s">
        <v>90</v>
      </c>
      <c r="C625" s="9">
        <v>0.5</v>
      </c>
      <c r="D625" s="10">
        <v>94000</v>
      </c>
      <c r="E625" s="10">
        <f t="shared" si="35"/>
        <v>47000</v>
      </c>
      <c r="F625" s="28"/>
    </row>
    <row r="626" spans="1:6">
      <c r="A626" s="25"/>
      <c r="B626" s="14" t="s">
        <v>71</v>
      </c>
      <c r="C626" s="9">
        <v>0.1</v>
      </c>
      <c r="D626" s="10">
        <v>72000</v>
      </c>
      <c r="E626" s="10">
        <f t="shared" si="35"/>
        <v>7200</v>
      </c>
      <c r="F626" s="28"/>
    </row>
    <row r="627" spans="1:6">
      <c r="A627" s="25"/>
      <c r="B627" s="14" t="s">
        <v>149</v>
      </c>
      <c r="C627" s="9">
        <v>0.1</v>
      </c>
      <c r="D627" s="10">
        <v>132000</v>
      </c>
      <c r="E627" s="10">
        <f t="shared" si="35"/>
        <v>13200</v>
      </c>
      <c r="F627" s="28"/>
    </row>
    <row r="628" spans="1:6">
      <c r="A628" s="25"/>
      <c r="B628" s="14" t="s">
        <v>10</v>
      </c>
      <c r="C628" s="9">
        <v>0.3</v>
      </c>
      <c r="D628" s="10">
        <v>61000</v>
      </c>
      <c r="E628" s="10">
        <f t="shared" si="35"/>
        <v>18300</v>
      </c>
      <c r="F628" s="28"/>
    </row>
    <row r="629" spans="1:6">
      <c r="A629" s="25"/>
      <c r="B629" s="14" t="s">
        <v>7</v>
      </c>
      <c r="C629" s="9">
        <v>0.1</v>
      </c>
      <c r="D629" s="10">
        <v>110000</v>
      </c>
      <c r="E629" s="10">
        <f t="shared" si="35"/>
        <v>11000</v>
      </c>
      <c r="F629" s="28"/>
    </row>
    <row r="630" spans="1:6">
      <c r="A630" s="25"/>
      <c r="B630" s="14" t="s">
        <v>51</v>
      </c>
      <c r="C630" s="9">
        <v>0.2</v>
      </c>
      <c r="D630" s="10">
        <v>83000</v>
      </c>
      <c r="E630" s="10">
        <f t="shared" si="35"/>
        <v>16600</v>
      </c>
      <c r="F630" s="28"/>
    </row>
    <row r="631" spans="1:6">
      <c r="A631" s="26"/>
      <c r="B631" s="14" t="s">
        <v>158</v>
      </c>
      <c r="C631" s="9">
        <v>8</v>
      </c>
      <c r="D631" s="10">
        <v>8000</v>
      </c>
      <c r="E631" s="10">
        <f t="shared" si="35"/>
        <v>64000</v>
      </c>
      <c r="F631" s="29"/>
    </row>
    <row r="632" spans="1:6">
      <c r="A632" s="20"/>
      <c r="B632" s="14"/>
      <c r="C632" s="9"/>
      <c r="D632" s="8"/>
      <c r="E632" s="8"/>
      <c r="F632" s="21">
        <f>SUM(F2:F631)</f>
        <v>42754490</v>
      </c>
    </row>
  </sheetData>
  <mergeCells count="89">
    <mergeCell ref="P2:P11"/>
    <mergeCell ref="P12:P22"/>
    <mergeCell ref="P23:P36"/>
    <mergeCell ref="F611:F617"/>
    <mergeCell ref="F618:F631"/>
    <mergeCell ref="K2:K11"/>
    <mergeCell ref="K12:K22"/>
    <mergeCell ref="K23:K36"/>
    <mergeCell ref="F541:F548"/>
    <mergeCell ref="F549:F564"/>
    <mergeCell ref="F565:F586"/>
    <mergeCell ref="F587:F590"/>
    <mergeCell ref="F591:F610"/>
    <mergeCell ref="F471:F473"/>
    <mergeCell ref="F474:F494"/>
    <mergeCell ref="F495:F516"/>
    <mergeCell ref="F517:F519"/>
    <mergeCell ref="F520:F540"/>
    <mergeCell ref="F376:F393"/>
    <mergeCell ref="F394:F414"/>
    <mergeCell ref="F415:F428"/>
    <mergeCell ref="F429:F449"/>
    <mergeCell ref="F450:F470"/>
    <mergeCell ref="F296:F300"/>
    <mergeCell ref="F302:F314"/>
    <mergeCell ref="F315:F336"/>
    <mergeCell ref="F337:F356"/>
    <mergeCell ref="F357:F375"/>
    <mergeCell ref="F222:F227"/>
    <mergeCell ref="F228:F248"/>
    <mergeCell ref="F250:F269"/>
    <mergeCell ref="F270:F280"/>
    <mergeCell ref="F282:F295"/>
    <mergeCell ref="A611:A617"/>
    <mergeCell ref="A618:A631"/>
    <mergeCell ref="F2:F17"/>
    <mergeCell ref="F18:F38"/>
    <mergeCell ref="F39:F40"/>
    <mergeCell ref="F41:F62"/>
    <mergeCell ref="F63:F84"/>
    <mergeCell ref="F86:F106"/>
    <mergeCell ref="F107:F109"/>
    <mergeCell ref="F110:F130"/>
    <mergeCell ref="F131:F138"/>
    <mergeCell ref="F139:F157"/>
    <mergeCell ref="F158:F175"/>
    <mergeCell ref="F176:F197"/>
    <mergeCell ref="F198:F199"/>
    <mergeCell ref="F200:F221"/>
    <mergeCell ref="A541:A548"/>
    <mergeCell ref="A549:A564"/>
    <mergeCell ref="A565:A586"/>
    <mergeCell ref="A587:A590"/>
    <mergeCell ref="A591:A610"/>
    <mergeCell ref="A471:A473"/>
    <mergeCell ref="A474:A494"/>
    <mergeCell ref="A495:A516"/>
    <mergeCell ref="A517:A519"/>
    <mergeCell ref="A520:A540"/>
    <mergeCell ref="A376:A393"/>
    <mergeCell ref="A394:A414"/>
    <mergeCell ref="A415:A428"/>
    <mergeCell ref="A429:A449"/>
    <mergeCell ref="A450:A470"/>
    <mergeCell ref="A296:A300"/>
    <mergeCell ref="A302:A314"/>
    <mergeCell ref="A315:A336"/>
    <mergeCell ref="A337:A356"/>
    <mergeCell ref="A357:A375"/>
    <mergeCell ref="A222:A227"/>
    <mergeCell ref="A228:A248"/>
    <mergeCell ref="A250:A269"/>
    <mergeCell ref="A270:A280"/>
    <mergeCell ref="A282:A295"/>
    <mergeCell ref="A139:A157"/>
    <mergeCell ref="A158:A175"/>
    <mergeCell ref="A176:A197"/>
    <mergeCell ref="A198:A199"/>
    <mergeCell ref="A200:A221"/>
    <mergeCell ref="A63:A84"/>
    <mergeCell ref="A86:A106"/>
    <mergeCell ref="A107:A109"/>
    <mergeCell ref="A110:A130"/>
    <mergeCell ref="A131:A138"/>
    <mergeCell ref="H1:I1"/>
    <mergeCell ref="A2:A17"/>
    <mergeCell ref="A18:A38"/>
    <mergeCell ref="A39:A40"/>
    <mergeCell ref="A41:A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SEDANA JAYA (Groceries)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Accounting Buyan Lakeside</cp:lastModifiedBy>
  <dcterms:created xsi:type="dcterms:W3CDTF">2025-01-20T00:20:00Z</dcterms:created>
  <dcterms:modified xsi:type="dcterms:W3CDTF">2025-12-02T03:00:53Z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681904DB34F748D6A06A134C0A5051D5_13</vt:lpwstr>
  </property>
  <property fmtid="{D5CDD505-2E9C-101B-9397-08002B2CF9AE}" pid="3" name="KSOProductBuildVer">
    <vt:lpwstr>1033-12.2.0.23155</vt:lpwstr>
  </property>
</Properties>
</file>