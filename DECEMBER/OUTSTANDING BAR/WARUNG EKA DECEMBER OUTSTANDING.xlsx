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<sst xmlns="http://schemas.openxmlformats.org/spreadsheetml/2006/main" count="140" uniqueCount="24">
  <si>
    <t>INV NO</t>
  </si>
  <si>
    <t>DATE</t>
  </si>
  <si>
    <t>ITEM</t>
  </si>
  <si>
    <t>QYT</t>
  </si>
  <si>
    <t>PRICE</t>
  </si>
  <si>
    <t>SUBTOTAL</t>
  </si>
  <si>
    <t>TOTALPRICE</t>
  </si>
  <si>
    <t>CRYSTAL ICE 5KG</t>
  </si>
  <si>
    <t>AQUA GALLON 19LTR</t>
  </si>
  <si>
    <t>CLEO GALLON 19LTR</t>
  </si>
  <si>
    <t>COCA-COLA CAN 330ML</t>
  </si>
  <si>
    <t>SPRITE CAN 330ML</t>
  </si>
  <si>
    <t>AQUA REFLECTIONS SPARKLING 750ML</t>
  </si>
  <si>
    <t>POLARIS SODA WATER CAN 330ML</t>
  </si>
  <si>
    <t>BINTANG PINT 330ML</t>
  </si>
  <si>
    <t>AQUA REFLECTIONS STILL 750ML</t>
  </si>
  <si>
    <t>AQUA REFLECTIONS STILL 380ML</t>
  </si>
  <si>
    <t>COKE ZERO CAN 330ML</t>
  </si>
  <si>
    <t>SCHWEPPES TONIC WATER CAN 250ML</t>
  </si>
  <si>
    <t>BINTANG BOTTLE CHARGE</t>
  </si>
  <si>
    <t>AQUA REFLECTIONS SPARKLING 380ML</t>
  </si>
  <si>
    <t>RADLER PINT 330ML</t>
  </si>
  <si>
    <t>RED BULL BLUE IMPORT CAN 250ML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</si>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</sst>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176" fontId="0" fillId="3" borderId="5" xfId="0" applyNumberFormat="1" applyFill="1" applyBorder="1" applyAlignment="1">
      <alignment vertical="center"/>
    </xf>
    <xf numFmtId="177" fontId="1" fillId="3" borderId="4" xfId="0" applyNumberFormat="1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77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177" fontId="4" fillId="3" borderId="2" xfId="0" applyNumberFormat="1" applyFont="1" applyFill="1" applyBorder="1" applyAlignment="1">
      <alignment vertical="center"/>
    </xf>
    <xf numFmtId="177" fontId="4" fillId="3" borderId="3" xfId="0" applyNumberFormat="1" applyFont="1" applyFill="1" applyBorder="1" applyAlignment="1">
      <alignment vertical="center"/>
    </xf>
    <xf numFmtId="177" fontId="4" fillId="3" borderId="4" xfId="0" applyNumberFormat="1" applyFont="1" applyFill="1" applyBorder="1" applyAlignment="1">
      <alignment vertical="center"/>
    </xf>
    <xf numFmtId="177" fontId="0" fillId="3" borderId="4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78" fontId="0" fillId="0" borderId="2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177" fontId="4" fillId="0" borderId="2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vertical="center"/>
    </xf>
    <xf numFmtId="177" fontId="0" fillId="0" borderId="0" xfId="0" applyNumberFormat="1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177" fontId="4" fillId="3" borderId="1" xfId="0" applyNumberFormat="1" applyFont="1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4"/>
  <sheetViews>
    <sheetView tabSelected="1" zoomScale="76" zoomScaleNormal="76" workbookViewId="0">
      <selection activeCell="H10" sqref="H10"/>
    </sheetView>
  </sheetViews>
  <sheetFormatPr defaultColWidth="9.140625" defaultRowHeight="16.8"/>
  <cols>
    <col min="1" max="1" width="8.859375" style="2" customWidth="1"/>
    <col min="2" max="2" width="12.7109375" style="3" customWidth="1"/>
    <col min="3" max="3" width="45.859375" style="4" customWidth="1"/>
    <col min="4" max="4" width="6.8984375" style="5" customWidth="1"/>
    <col min="5" max="5" width="13.140625" style="6" customWidth="1"/>
    <col min="6" max="6" width="13.140625" style="1" customWidth="1"/>
    <col min="7" max="7" width="21.5078125" style="1" customWidth="1"/>
    <col min="8" max="8" width="13.140625" style="1"/>
    <col min="9" max="9" width="29.2890625" style="1" customWidth="1"/>
    <col min="10" max="10" width="12.859375" style="1"/>
    <col min="11" max="11" width="18.03125" style="1" customWidth="1"/>
    <col min="12" max="12" width="11.4296875" style="1"/>
    <col min="13" max="15" width="10.2890625" style="1"/>
    <col min="16" max="16384" width="9.140625" style="1"/>
  </cols>
  <sheetData>
    <row r="1" s="1" customFormat="1" ht="21" customHeight="1" spans="1:7">
      <c r="A1" s="7" t="s">
        <v>0</v>
      </c>
      <c r="B1" s="8" t="s">
        <v>1</v>
      </c>
      <c r="C1" s="9" t="s">
        <v>2</v>
      </c>
      <c r="D1" s="10" t="s">
        <v>3</v>
      </c>
      <c r="E1" s="28" t="s">
        <v>4</v>
      </c>
      <c r="F1" s="9" t="s">
        <v>5</v>
      </c>
      <c r="G1" s="29" t="s">
        <v>6</v>
      </c>
    </row>
    <row r="2" s="1" customFormat="1" ht="19" customHeight="1" spans="1:7">
      <c r="A2" s="11">
        <v>73975</v>
      </c>
      <c r="B2" s="12">
        <v>45992</v>
      </c>
      <c r="C2" s="13" t="s">
        <v>7</v>
      </c>
      <c r="D2" s="14">
        <v>5</v>
      </c>
      <c r="E2" s="30">
        <v>8000</v>
      </c>
      <c r="F2" s="31">
        <f t="shared" ref="F2:F65" si="0">SUM(D2*E2)</f>
        <v>40000</v>
      </c>
      <c r="G2" s="32">
        <f>SUM(F2:F4)</f>
        <v>82000</v>
      </c>
    </row>
    <row r="3" s="1" customFormat="1" ht="19" customHeight="1" spans="1:7">
      <c r="A3" s="15"/>
      <c r="B3" s="16"/>
      <c r="C3" s="13" t="s">
        <v>8</v>
      </c>
      <c r="D3" s="14">
        <v>1</v>
      </c>
      <c r="E3" s="30">
        <v>20000</v>
      </c>
      <c r="F3" s="31">
        <f t="shared" si="0"/>
        <v>20000</v>
      </c>
      <c r="G3" s="33"/>
    </row>
    <row r="4" s="1" customFormat="1" ht="19" customHeight="1" spans="1:7">
      <c r="A4" s="17"/>
      <c r="B4" s="18"/>
      <c r="C4" s="13" t="s">
        <v>9</v>
      </c>
      <c r="D4" s="14">
        <v>1</v>
      </c>
      <c r="E4" s="30">
        <v>22000</v>
      </c>
      <c r="F4" s="31">
        <f t="shared" si="0"/>
        <v>22000</v>
      </c>
      <c r="G4" s="34"/>
    </row>
    <row r="5" s="1" customFormat="1" ht="19" customHeight="1" spans="1:7">
      <c r="A5" s="19">
        <v>74056</v>
      </c>
      <c r="B5" s="12">
        <v>45993</v>
      </c>
      <c r="C5" s="13" t="s">
        <v>7</v>
      </c>
      <c r="D5" s="14">
        <v>5</v>
      </c>
      <c r="E5" s="30">
        <v>8000</v>
      </c>
      <c r="F5" s="31">
        <f t="shared" si="0"/>
        <v>40000</v>
      </c>
      <c r="G5" s="32">
        <f>SUM(F5:F7)</f>
        <v>82000</v>
      </c>
    </row>
    <row r="6" s="1" customFormat="1" ht="19" customHeight="1" spans="1:7">
      <c r="A6" s="20"/>
      <c r="B6" s="16"/>
      <c r="C6" s="13" t="s">
        <v>8</v>
      </c>
      <c r="D6" s="14">
        <v>1</v>
      </c>
      <c r="E6" s="30">
        <v>20000</v>
      </c>
      <c r="F6" s="31">
        <f t="shared" si="0"/>
        <v>20000</v>
      </c>
      <c r="G6" s="33"/>
    </row>
    <row r="7" s="1" customFormat="1" ht="18" customHeight="1" spans="1:7">
      <c r="A7" s="21"/>
      <c r="B7" s="18"/>
      <c r="C7" s="13" t="s">
        <v>9</v>
      </c>
      <c r="D7" s="14">
        <v>1</v>
      </c>
      <c r="E7" s="30">
        <v>22000</v>
      </c>
      <c r="F7" s="31">
        <f t="shared" si="0"/>
        <v>22000</v>
      </c>
      <c r="G7" s="34"/>
    </row>
    <row r="8" s="1" customFormat="1" ht="18" customHeight="1" spans="1:7">
      <c r="A8" s="19">
        <v>74126</v>
      </c>
      <c r="B8" s="12">
        <v>45994</v>
      </c>
      <c r="C8" s="13" t="s">
        <v>7</v>
      </c>
      <c r="D8" s="14">
        <v>6</v>
      </c>
      <c r="E8" s="30">
        <v>8000</v>
      </c>
      <c r="F8" s="31">
        <f t="shared" si="0"/>
        <v>48000</v>
      </c>
      <c r="G8" s="32">
        <f>SUM(F8:F13)</f>
        <v>703000</v>
      </c>
    </row>
    <row r="9" s="1" customFormat="1" ht="19" customHeight="1" spans="1:7">
      <c r="A9" s="20"/>
      <c r="B9" s="16"/>
      <c r="C9" s="13" t="s">
        <v>10</v>
      </c>
      <c r="D9" s="14">
        <v>1</v>
      </c>
      <c r="E9" s="30">
        <v>135000</v>
      </c>
      <c r="F9" s="31">
        <f t="shared" si="0"/>
        <v>135000</v>
      </c>
      <c r="G9" s="33"/>
    </row>
    <row r="10" s="1" customFormat="1" ht="19" customHeight="1" spans="1:7">
      <c r="A10" s="20"/>
      <c r="B10" s="16"/>
      <c r="C10" s="13" t="s">
        <v>11</v>
      </c>
      <c r="D10" s="14">
        <v>1</v>
      </c>
      <c r="E10" s="30">
        <v>135000</v>
      </c>
      <c r="F10" s="31">
        <f t="shared" si="0"/>
        <v>135000</v>
      </c>
      <c r="G10" s="33"/>
    </row>
    <row r="11" s="1" customFormat="1" ht="19" customHeight="1" spans="1:7">
      <c r="A11" s="20"/>
      <c r="B11" s="16"/>
      <c r="C11" s="13" t="s">
        <v>8</v>
      </c>
      <c r="D11" s="14">
        <v>1</v>
      </c>
      <c r="E11" s="30">
        <v>20000</v>
      </c>
      <c r="F11" s="31">
        <f t="shared" si="0"/>
        <v>20000</v>
      </c>
      <c r="G11" s="33"/>
    </row>
    <row r="12" s="1" customFormat="1" ht="19" customHeight="1" spans="1:7">
      <c r="A12" s="20"/>
      <c r="B12" s="16"/>
      <c r="C12" s="22" t="s">
        <v>12</v>
      </c>
      <c r="D12" s="14">
        <v>2</v>
      </c>
      <c r="E12" s="30">
        <v>120000</v>
      </c>
      <c r="F12" s="31">
        <f t="shared" si="0"/>
        <v>240000</v>
      </c>
      <c r="G12" s="33"/>
    </row>
    <row r="13" s="1" customFormat="1" ht="19" customHeight="1" spans="1:7">
      <c r="A13" s="21"/>
      <c r="B13" s="18"/>
      <c r="C13" s="13" t="s">
        <v>13</v>
      </c>
      <c r="D13" s="14">
        <v>1</v>
      </c>
      <c r="E13" s="30">
        <v>125000</v>
      </c>
      <c r="F13" s="31">
        <f t="shared" si="0"/>
        <v>125000</v>
      </c>
      <c r="G13" s="34"/>
    </row>
    <row r="14" s="1" customFormat="1" ht="19" customHeight="1" spans="1:7">
      <c r="A14" s="19">
        <v>74191</v>
      </c>
      <c r="B14" s="12">
        <v>45995</v>
      </c>
      <c r="C14" s="13" t="s">
        <v>7</v>
      </c>
      <c r="D14" s="14">
        <v>6</v>
      </c>
      <c r="E14" s="30">
        <v>8000</v>
      </c>
      <c r="F14" s="31">
        <f t="shared" si="0"/>
        <v>48000</v>
      </c>
      <c r="G14" s="32">
        <f>SUM(F14:F15)</f>
        <v>92000</v>
      </c>
    </row>
    <row r="15" s="1" customFormat="1" ht="19" customHeight="1" spans="1:7">
      <c r="A15" s="21"/>
      <c r="B15" s="18"/>
      <c r="C15" s="22" t="s">
        <v>9</v>
      </c>
      <c r="D15" s="14">
        <v>2</v>
      </c>
      <c r="E15" s="30">
        <v>22000</v>
      </c>
      <c r="F15" s="31">
        <f t="shared" si="0"/>
        <v>44000</v>
      </c>
      <c r="G15" s="34"/>
    </row>
    <row r="16" s="1" customFormat="1" ht="19" customHeight="1" spans="1:7">
      <c r="A16" s="19">
        <v>74321</v>
      </c>
      <c r="B16" s="12">
        <v>45997</v>
      </c>
      <c r="C16" s="22" t="s">
        <v>8</v>
      </c>
      <c r="D16" s="14">
        <v>2</v>
      </c>
      <c r="E16" s="30">
        <v>20000</v>
      </c>
      <c r="F16" s="31">
        <f t="shared" si="0"/>
        <v>40000</v>
      </c>
      <c r="G16" s="32">
        <f>SUM(F16:F18)</f>
        <v>102000</v>
      </c>
    </row>
    <row r="17" s="1" customFormat="1" ht="19" customHeight="1" spans="1:7">
      <c r="A17" s="20"/>
      <c r="B17" s="16"/>
      <c r="C17" s="22" t="s">
        <v>9</v>
      </c>
      <c r="D17" s="14">
        <v>1</v>
      </c>
      <c r="E17" s="30">
        <v>22000</v>
      </c>
      <c r="F17" s="31">
        <f t="shared" si="0"/>
        <v>22000</v>
      </c>
      <c r="G17" s="33"/>
    </row>
    <row r="18" s="1" customFormat="1" ht="19" customHeight="1" spans="1:7">
      <c r="A18" s="21"/>
      <c r="B18" s="18"/>
      <c r="C18" s="22" t="s">
        <v>7</v>
      </c>
      <c r="D18" s="14">
        <v>5</v>
      </c>
      <c r="E18" s="30">
        <v>8000</v>
      </c>
      <c r="F18" s="31">
        <f t="shared" si="0"/>
        <v>40000</v>
      </c>
      <c r="G18" s="34"/>
    </row>
    <row r="19" s="1" customFormat="1" ht="19" customHeight="1" spans="1:7">
      <c r="A19" s="19">
        <v>74387</v>
      </c>
      <c r="B19" s="12">
        <v>45998</v>
      </c>
      <c r="C19" s="13" t="s">
        <v>9</v>
      </c>
      <c r="D19" s="14">
        <v>2</v>
      </c>
      <c r="E19" s="30">
        <v>22000</v>
      </c>
      <c r="F19" s="31">
        <f t="shared" si="0"/>
        <v>44000</v>
      </c>
      <c r="G19" s="32">
        <f>SUM(F19:F23)</f>
        <v>814000</v>
      </c>
    </row>
    <row r="20" s="1" customFormat="1" ht="19" customHeight="1" spans="1:7">
      <c r="A20" s="20"/>
      <c r="B20" s="16"/>
      <c r="C20" s="13" t="s">
        <v>8</v>
      </c>
      <c r="D20" s="14">
        <v>1</v>
      </c>
      <c r="E20" s="30">
        <v>20000</v>
      </c>
      <c r="F20" s="31">
        <f t="shared" si="0"/>
        <v>20000</v>
      </c>
      <c r="G20" s="33"/>
    </row>
    <row r="21" s="1" customFormat="1" ht="19" customHeight="1" spans="1:7">
      <c r="A21" s="20"/>
      <c r="B21" s="16"/>
      <c r="C21" s="13" t="s">
        <v>7</v>
      </c>
      <c r="D21" s="14">
        <v>5</v>
      </c>
      <c r="E21" s="30">
        <v>8000</v>
      </c>
      <c r="F21" s="31">
        <f t="shared" si="0"/>
        <v>40000</v>
      </c>
      <c r="G21" s="33"/>
    </row>
    <row r="22" s="1" customFormat="1" ht="19" customHeight="1" spans="1:7">
      <c r="A22" s="20"/>
      <c r="B22" s="16"/>
      <c r="C22" s="13" t="s">
        <v>14</v>
      </c>
      <c r="D22" s="14">
        <v>1</v>
      </c>
      <c r="E22" s="30">
        <v>480000</v>
      </c>
      <c r="F22" s="31">
        <f t="shared" si="0"/>
        <v>480000</v>
      </c>
      <c r="G22" s="33"/>
    </row>
    <row r="23" s="1" customFormat="1" ht="19" customHeight="1" spans="1:7">
      <c r="A23" s="21"/>
      <c r="B23" s="18"/>
      <c r="C23" s="22" t="s">
        <v>15</v>
      </c>
      <c r="D23" s="14">
        <v>2</v>
      </c>
      <c r="E23" s="30">
        <v>115000</v>
      </c>
      <c r="F23" s="31">
        <f t="shared" si="0"/>
        <v>230000</v>
      </c>
      <c r="G23" s="34"/>
    </row>
    <row r="24" s="1" customFormat="1" ht="19" customHeight="1" spans="1:7">
      <c r="A24" s="19">
        <v>74440</v>
      </c>
      <c r="B24" s="12">
        <v>45999</v>
      </c>
      <c r="C24" s="13" t="s">
        <v>16</v>
      </c>
      <c r="D24" s="14">
        <v>1</v>
      </c>
      <c r="E24" s="30">
        <v>125000</v>
      </c>
      <c r="F24" s="31">
        <f t="shared" si="0"/>
        <v>125000</v>
      </c>
      <c r="G24" s="32">
        <f>SUM(F24:F27)</f>
        <v>302000</v>
      </c>
    </row>
    <row r="25" s="1" customFormat="1" ht="19" customHeight="1" spans="1:7">
      <c r="A25" s="20"/>
      <c r="B25" s="16"/>
      <c r="C25" s="13" t="s">
        <v>13</v>
      </c>
      <c r="D25" s="14">
        <v>1</v>
      </c>
      <c r="E25" s="30">
        <v>125000</v>
      </c>
      <c r="F25" s="31">
        <f t="shared" si="0"/>
        <v>125000</v>
      </c>
      <c r="G25" s="33"/>
    </row>
    <row r="26" s="1" customFormat="1" ht="19" customHeight="1" spans="1:7">
      <c r="A26" s="20"/>
      <c r="B26" s="16"/>
      <c r="C26" s="22" t="s">
        <v>8</v>
      </c>
      <c r="D26" s="14">
        <v>1</v>
      </c>
      <c r="E26" s="30">
        <v>20000</v>
      </c>
      <c r="F26" s="31">
        <f t="shared" si="0"/>
        <v>20000</v>
      </c>
      <c r="G26" s="33"/>
    </row>
    <row r="27" s="1" customFormat="1" ht="19" customHeight="1" spans="1:7">
      <c r="A27" s="21"/>
      <c r="B27" s="18"/>
      <c r="C27" s="13" t="s">
        <v>7</v>
      </c>
      <c r="D27" s="14">
        <v>4</v>
      </c>
      <c r="E27" s="30">
        <v>8000</v>
      </c>
      <c r="F27" s="31">
        <f t="shared" si="0"/>
        <v>32000</v>
      </c>
      <c r="G27" s="34"/>
    </row>
    <row r="28" s="1" customFormat="1" ht="19" customHeight="1" spans="1:7">
      <c r="A28" s="19">
        <v>74505</v>
      </c>
      <c r="B28" s="12">
        <v>46000</v>
      </c>
      <c r="C28" s="22" t="s">
        <v>7</v>
      </c>
      <c r="D28" s="14">
        <v>5</v>
      </c>
      <c r="E28" s="30">
        <v>10000</v>
      </c>
      <c r="F28" s="31">
        <f t="shared" si="0"/>
        <v>50000</v>
      </c>
      <c r="G28" s="32">
        <f>SUM(F28:F30)</f>
        <v>92000</v>
      </c>
    </row>
    <row r="29" s="1" customFormat="1" ht="19" customHeight="1" spans="1:7">
      <c r="A29" s="20"/>
      <c r="B29" s="16"/>
      <c r="C29" s="13" t="s">
        <v>8</v>
      </c>
      <c r="D29" s="14">
        <v>1</v>
      </c>
      <c r="E29" s="30">
        <v>20000</v>
      </c>
      <c r="F29" s="31">
        <f t="shared" si="0"/>
        <v>20000</v>
      </c>
      <c r="G29" s="33"/>
    </row>
    <row r="30" s="1" customFormat="1" ht="19" customHeight="1" spans="1:7">
      <c r="A30" s="21"/>
      <c r="B30" s="18"/>
      <c r="C30" s="13" t="s">
        <v>9</v>
      </c>
      <c r="D30" s="14">
        <v>1</v>
      </c>
      <c r="E30" s="30">
        <v>22000</v>
      </c>
      <c r="F30" s="31">
        <f t="shared" si="0"/>
        <v>22000</v>
      </c>
      <c r="G30" s="34"/>
    </row>
    <row r="31" s="1" customFormat="1" ht="19" customHeight="1" spans="1:7">
      <c r="A31" s="23">
        <v>74575</v>
      </c>
      <c r="B31" s="24">
        <v>46001</v>
      </c>
      <c r="C31" s="25" t="s">
        <v>7</v>
      </c>
      <c r="D31" s="14">
        <v>6</v>
      </c>
      <c r="E31" s="30">
        <v>8000</v>
      </c>
      <c r="F31" s="31">
        <f t="shared" si="0"/>
        <v>48000</v>
      </c>
      <c r="G31" s="32">
        <f>SUM(F31:F37)</f>
        <v>705000</v>
      </c>
    </row>
    <row r="32" s="1" customFormat="1" ht="19" customHeight="1" spans="1:7">
      <c r="A32" s="23"/>
      <c r="B32" s="24"/>
      <c r="C32" s="26" t="s">
        <v>8</v>
      </c>
      <c r="D32" s="14">
        <v>1</v>
      </c>
      <c r="E32" s="30">
        <v>20000</v>
      </c>
      <c r="F32" s="31">
        <f t="shared" si="0"/>
        <v>20000</v>
      </c>
      <c r="G32" s="33"/>
    </row>
    <row r="33" s="1" customFormat="1" ht="19" customHeight="1" spans="1:7">
      <c r="A33" s="23"/>
      <c r="B33" s="24"/>
      <c r="C33" s="25" t="s">
        <v>9</v>
      </c>
      <c r="D33" s="14">
        <v>1</v>
      </c>
      <c r="E33" s="30">
        <v>22000</v>
      </c>
      <c r="F33" s="31">
        <f t="shared" si="0"/>
        <v>22000</v>
      </c>
      <c r="G33" s="33"/>
    </row>
    <row r="34" s="1" customFormat="1" ht="19" customHeight="1" spans="1:7">
      <c r="A34" s="23"/>
      <c r="B34" s="24"/>
      <c r="C34" s="25" t="s">
        <v>10</v>
      </c>
      <c r="D34" s="14">
        <v>1</v>
      </c>
      <c r="E34" s="30">
        <v>135000</v>
      </c>
      <c r="F34" s="31">
        <f t="shared" si="0"/>
        <v>135000</v>
      </c>
      <c r="G34" s="33"/>
    </row>
    <row r="35" s="1" customFormat="1" ht="19" customHeight="1" spans="1:7">
      <c r="A35" s="23"/>
      <c r="B35" s="24"/>
      <c r="C35" s="25" t="s">
        <v>13</v>
      </c>
      <c r="D35" s="14">
        <v>1</v>
      </c>
      <c r="E35" s="30">
        <v>125000</v>
      </c>
      <c r="F35" s="31">
        <f t="shared" si="0"/>
        <v>125000</v>
      </c>
      <c r="G35" s="33"/>
    </row>
    <row r="36" s="1" customFormat="1" ht="19" customHeight="1" spans="1:7">
      <c r="A36" s="23"/>
      <c r="B36" s="24"/>
      <c r="C36" s="25" t="s">
        <v>16</v>
      </c>
      <c r="D36" s="14">
        <v>1</v>
      </c>
      <c r="E36" s="30">
        <v>125000</v>
      </c>
      <c r="F36" s="31">
        <f t="shared" si="0"/>
        <v>125000</v>
      </c>
      <c r="G36" s="33"/>
    </row>
    <row r="37" s="1" customFormat="1" ht="19" customHeight="1" spans="1:7">
      <c r="A37" s="23"/>
      <c r="B37" s="24"/>
      <c r="C37" s="25" t="s">
        <v>15</v>
      </c>
      <c r="D37" s="14">
        <v>2</v>
      </c>
      <c r="E37" s="30">
        <v>115000</v>
      </c>
      <c r="F37" s="31">
        <f t="shared" si="0"/>
        <v>230000</v>
      </c>
      <c r="G37" s="34"/>
    </row>
    <row r="38" s="1" customFormat="1" ht="19" customHeight="1" spans="1:7">
      <c r="A38" s="19">
        <v>74644</v>
      </c>
      <c r="B38" s="12">
        <v>46002</v>
      </c>
      <c r="C38" s="13" t="s">
        <v>7</v>
      </c>
      <c r="D38" s="14">
        <v>6</v>
      </c>
      <c r="E38" s="30">
        <v>8000</v>
      </c>
      <c r="F38" s="31">
        <f t="shared" si="0"/>
        <v>48000</v>
      </c>
      <c r="G38" s="32">
        <f>SUM(F38:F40)</f>
        <v>223000</v>
      </c>
    </row>
    <row r="39" s="1" customFormat="1" ht="19" customHeight="1" spans="1:7">
      <c r="A39" s="20"/>
      <c r="B39" s="16"/>
      <c r="C39" s="13" t="s">
        <v>8</v>
      </c>
      <c r="D39" s="14">
        <v>2</v>
      </c>
      <c r="E39" s="30">
        <v>20000</v>
      </c>
      <c r="F39" s="31">
        <f t="shared" si="0"/>
        <v>40000</v>
      </c>
      <c r="G39" s="33"/>
    </row>
    <row r="40" s="1" customFormat="1" ht="19" customHeight="1" spans="1:7">
      <c r="A40" s="20"/>
      <c r="B40" s="16"/>
      <c r="C40" s="13" t="s">
        <v>17</v>
      </c>
      <c r="D40" s="14">
        <v>1</v>
      </c>
      <c r="E40" s="30">
        <v>135000</v>
      </c>
      <c r="F40" s="31">
        <f t="shared" si="0"/>
        <v>135000</v>
      </c>
      <c r="G40" s="34"/>
    </row>
    <row r="41" s="1" customFormat="1" ht="19" customHeight="1" spans="1:7">
      <c r="A41" s="19">
        <v>74702</v>
      </c>
      <c r="B41" s="12">
        <v>46003</v>
      </c>
      <c r="C41" s="13" t="s">
        <v>7</v>
      </c>
      <c r="D41" s="14">
        <v>6</v>
      </c>
      <c r="E41" s="30">
        <v>8000</v>
      </c>
      <c r="F41" s="31">
        <f t="shared" si="0"/>
        <v>48000</v>
      </c>
      <c r="G41" s="32">
        <f>SUM(F41:F45)</f>
        <v>717000</v>
      </c>
    </row>
    <row r="42" s="1" customFormat="1" ht="19" customHeight="1" spans="1:7">
      <c r="A42" s="20"/>
      <c r="B42" s="16"/>
      <c r="C42" s="13" t="s">
        <v>8</v>
      </c>
      <c r="D42" s="14">
        <v>1</v>
      </c>
      <c r="E42" s="30">
        <v>20000</v>
      </c>
      <c r="F42" s="31">
        <f t="shared" si="0"/>
        <v>20000</v>
      </c>
      <c r="G42" s="33"/>
    </row>
    <row r="43" s="1" customFormat="1" ht="19" customHeight="1" spans="1:7">
      <c r="A43" s="20"/>
      <c r="B43" s="16"/>
      <c r="C43" s="13" t="s">
        <v>9</v>
      </c>
      <c r="D43" s="14">
        <v>2</v>
      </c>
      <c r="E43" s="30">
        <v>22000</v>
      </c>
      <c r="F43" s="31">
        <f t="shared" si="0"/>
        <v>44000</v>
      </c>
      <c r="G43" s="33"/>
    </row>
    <row r="44" s="1" customFormat="1" ht="19" customHeight="1" spans="1:7">
      <c r="A44" s="20"/>
      <c r="B44" s="16"/>
      <c r="C44" s="13" t="s">
        <v>14</v>
      </c>
      <c r="D44" s="14">
        <v>1</v>
      </c>
      <c r="E44" s="30">
        <v>480000</v>
      </c>
      <c r="F44" s="31">
        <f t="shared" si="0"/>
        <v>480000</v>
      </c>
      <c r="G44" s="33"/>
    </row>
    <row r="45" s="1" customFormat="1" ht="19" customHeight="1" spans="1:7">
      <c r="A45" s="21"/>
      <c r="B45" s="18"/>
      <c r="C45" s="13" t="s">
        <v>13</v>
      </c>
      <c r="D45" s="14">
        <v>1</v>
      </c>
      <c r="E45" s="30">
        <v>125000</v>
      </c>
      <c r="F45" s="31">
        <f t="shared" si="0"/>
        <v>125000</v>
      </c>
      <c r="G45" s="34"/>
    </row>
    <row r="46" s="1" customFormat="1" ht="19" customHeight="1" spans="1:7">
      <c r="A46" s="19">
        <v>74764</v>
      </c>
      <c r="B46" s="12">
        <v>46004</v>
      </c>
      <c r="C46" s="13" t="s">
        <v>8</v>
      </c>
      <c r="D46" s="14">
        <v>1</v>
      </c>
      <c r="E46" s="30">
        <v>20000</v>
      </c>
      <c r="F46" s="31">
        <f t="shared" si="0"/>
        <v>20000</v>
      </c>
      <c r="G46" s="32">
        <f>SUM(F46:F47)</f>
        <v>68000</v>
      </c>
    </row>
    <row r="47" s="1" customFormat="1" ht="19" customHeight="1" spans="1:7">
      <c r="A47" s="21"/>
      <c r="B47" s="18"/>
      <c r="C47" s="13" t="s">
        <v>7</v>
      </c>
      <c r="D47" s="14">
        <v>6</v>
      </c>
      <c r="E47" s="30">
        <v>8000</v>
      </c>
      <c r="F47" s="31">
        <f t="shared" si="0"/>
        <v>48000</v>
      </c>
      <c r="G47" s="34"/>
    </row>
    <row r="48" s="1" customFormat="1" ht="19" customHeight="1" spans="1:7">
      <c r="A48" s="19">
        <v>74836</v>
      </c>
      <c r="B48" s="12">
        <v>46005</v>
      </c>
      <c r="C48" s="13" t="s">
        <v>7</v>
      </c>
      <c r="D48" s="14">
        <v>5</v>
      </c>
      <c r="E48" s="30">
        <v>8000</v>
      </c>
      <c r="F48" s="31">
        <f t="shared" si="0"/>
        <v>40000</v>
      </c>
      <c r="G48" s="32">
        <f>SUM(F48:F50)</f>
        <v>82000</v>
      </c>
    </row>
    <row r="49" s="1" customFormat="1" ht="19" customHeight="1" spans="1:7">
      <c r="A49" s="20"/>
      <c r="B49" s="16"/>
      <c r="C49" s="13" t="s">
        <v>8</v>
      </c>
      <c r="D49" s="14">
        <v>1</v>
      </c>
      <c r="E49" s="30">
        <v>20000</v>
      </c>
      <c r="F49" s="31">
        <f t="shared" si="0"/>
        <v>20000</v>
      </c>
      <c r="G49" s="33"/>
    </row>
    <row r="50" s="1" customFormat="1" ht="19" customHeight="1" spans="1:7">
      <c r="A50" s="21"/>
      <c r="B50" s="18"/>
      <c r="C50" s="13" t="s">
        <v>9</v>
      </c>
      <c r="D50" s="14">
        <v>1</v>
      </c>
      <c r="E50" s="30">
        <v>22000</v>
      </c>
      <c r="F50" s="31">
        <f t="shared" si="0"/>
        <v>22000</v>
      </c>
      <c r="G50" s="34"/>
    </row>
    <row r="51" s="1" customFormat="1" ht="19" customHeight="1" spans="1:7">
      <c r="A51" s="19">
        <v>74890</v>
      </c>
      <c r="B51" s="12">
        <v>46006</v>
      </c>
      <c r="C51" s="13" t="s">
        <v>7</v>
      </c>
      <c r="D51" s="14">
        <v>6</v>
      </c>
      <c r="E51" s="30">
        <v>8000</v>
      </c>
      <c r="F51" s="31">
        <f t="shared" si="0"/>
        <v>48000</v>
      </c>
      <c r="G51" s="32">
        <f>SUM(F51:F55)</f>
        <v>455000</v>
      </c>
    </row>
    <row r="52" s="1" customFormat="1" ht="19" customHeight="1" spans="1:7">
      <c r="A52" s="20"/>
      <c r="B52" s="16"/>
      <c r="C52" s="13" t="s">
        <v>8</v>
      </c>
      <c r="D52" s="14">
        <v>1</v>
      </c>
      <c r="E52" s="30">
        <v>20000</v>
      </c>
      <c r="F52" s="31">
        <f t="shared" si="0"/>
        <v>20000</v>
      </c>
      <c r="G52" s="33"/>
    </row>
    <row r="53" s="1" customFormat="1" ht="19" customHeight="1" spans="1:7">
      <c r="A53" s="20"/>
      <c r="B53" s="16"/>
      <c r="C53" s="13" t="s">
        <v>9</v>
      </c>
      <c r="D53" s="14">
        <v>1</v>
      </c>
      <c r="E53" s="30">
        <v>22000</v>
      </c>
      <c r="F53" s="31">
        <f t="shared" si="0"/>
        <v>22000</v>
      </c>
      <c r="G53" s="33"/>
    </row>
    <row r="54" s="1" customFormat="1" ht="19" customHeight="1" spans="1:7">
      <c r="A54" s="20"/>
      <c r="B54" s="16"/>
      <c r="C54" s="13" t="s">
        <v>18</v>
      </c>
      <c r="D54" s="14">
        <v>1</v>
      </c>
      <c r="E54" s="30">
        <v>125000</v>
      </c>
      <c r="F54" s="31">
        <f t="shared" si="0"/>
        <v>125000</v>
      </c>
      <c r="G54" s="33"/>
    </row>
    <row r="55" s="1" customFormat="1" ht="19" customHeight="1" spans="1:7">
      <c r="A55" s="21"/>
      <c r="B55" s="18"/>
      <c r="C55" s="27" t="s">
        <v>12</v>
      </c>
      <c r="D55" s="17">
        <v>2</v>
      </c>
      <c r="E55" s="35">
        <v>120000</v>
      </c>
      <c r="F55" s="31">
        <f t="shared" si="0"/>
        <v>240000</v>
      </c>
      <c r="G55" s="34"/>
    </row>
    <row r="56" s="1" customFormat="1" ht="19" customHeight="1" spans="1:7">
      <c r="A56" s="23">
        <v>74965</v>
      </c>
      <c r="B56" s="24">
        <v>46007</v>
      </c>
      <c r="C56" s="13" t="s">
        <v>7</v>
      </c>
      <c r="D56" s="14">
        <v>5</v>
      </c>
      <c r="E56" s="30">
        <v>8000</v>
      </c>
      <c r="F56" s="31">
        <f t="shared" si="0"/>
        <v>40000</v>
      </c>
      <c r="G56" s="32">
        <f>SUM(F56:F60)</f>
        <v>709000</v>
      </c>
    </row>
    <row r="57" s="1" customFormat="1" spans="1:7">
      <c r="A57" s="23"/>
      <c r="B57" s="24"/>
      <c r="C57" s="13" t="s">
        <v>8</v>
      </c>
      <c r="D57" s="14">
        <v>1</v>
      </c>
      <c r="E57" s="30">
        <v>20000</v>
      </c>
      <c r="F57" s="31">
        <f t="shared" si="0"/>
        <v>20000</v>
      </c>
      <c r="G57" s="33"/>
    </row>
    <row r="58" s="1" customFormat="1" spans="1:7">
      <c r="A58" s="23"/>
      <c r="B58" s="24"/>
      <c r="C58" s="13" t="s">
        <v>9</v>
      </c>
      <c r="D58" s="14">
        <v>2</v>
      </c>
      <c r="E58" s="30">
        <v>22000</v>
      </c>
      <c r="F58" s="31">
        <f t="shared" si="0"/>
        <v>44000</v>
      </c>
      <c r="G58" s="33"/>
    </row>
    <row r="59" s="1" customFormat="1" spans="1:7">
      <c r="A59" s="23"/>
      <c r="B59" s="24"/>
      <c r="C59" s="13" t="s">
        <v>14</v>
      </c>
      <c r="D59" s="14">
        <v>1</v>
      </c>
      <c r="E59" s="30">
        <v>480000</v>
      </c>
      <c r="F59" s="31">
        <f t="shared" si="0"/>
        <v>480000</v>
      </c>
      <c r="G59" s="33"/>
    </row>
    <row r="60" s="1" customFormat="1" spans="1:7">
      <c r="A60" s="23"/>
      <c r="B60" s="24"/>
      <c r="C60" s="13" t="s">
        <v>13</v>
      </c>
      <c r="D60" s="14">
        <v>1</v>
      </c>
      <c r="E60" s="30">
        <v>125000</v>
      </c>
      <c r="F60" s="31">
        <f t="shared" si="0"/>
        <v>125000</v>
      </c>
      <c r="G60" s="34"/>
    </row>
    <row r="61" s="1" customFormat="1" spans="1:7">
      <c r="A61" s="19">
        <v>75010</v>
      </c>
      <c r="B61" s="24">
        <v>46008</v>
      </c>
      <c r="C61" s="13" t="s">
        <v>7</v>
      </c>
      <c r="D61" s="14">
        <v>6</v>
      </c>
      <c r="E61" s="30">
        <v>8000</v>
      </c>
      <c r="F61" s="31">
        <f t="shared" si="0"/>
        <v>48000</v>
      </c>
      <c r="G61" s="32">
        <f>SUM(F61:F65)</f>
        <v>495000</v>
      </c>
    </row>
    <row r="62" s="1" customFormat="1" spans="1:7">
      <c r="A62" s="20"/>
      <c r="B62" s="24"/>
      <c r="C62" s="13" t="s">
        <v>8</v>
      </c>
      <c r="D62" s="14">
        <v>1</v>
      </c>
      <c r="E62" s="30">
        <v>20000</v>
      </c>
      <c r="F62" s="31">
        <f t="shared" si="0"/>
        <v>20000</v>
      </c>
      <c r="G62" s="33"/>
    </row>
    <row r="63" s="1" customFormat="1" spans="1:7">
      <c r="A63" s="20"/>
      <c r="B63" s="24"/>
      <c r="C63" s="13" t="s">
        <v>9</v>
      </c>
      <c r="D63" s="14">
        <v>1</v>
      </c>
      <c r="E63" s="30">
        <v>22000</v>
      </c>
      <c r="F63" s="31">
        <f t="shared" si="0"/>
        <v>22000</v>
      </c>
      <c r="G63" s="33"/>
    </row>
    <row r="64" s="1" customFormat="1" spans="1:7">
      <c r="A64" s="20"/>
      <c r="B64" s="24"/>
      <c r="C64" s="13" t="s">
        <v>10</v>
      </c>
      <c r="D64" s="14">
        <v>1</v>
      </c>
      <c r="E64" s="30">
        <v>135000</v>
      </c>
      <c r="F64" s="31">
        <f t="shared" si="0"/>
        <v>135000</v>
      </c>
      <c r="G64" s="33"/>
    </row>
    <row r="65" s="1" customFormat="1" spans="1:7">
      <c r="A65" s="21"/>
      <c r="B65" s="24"/>
      <c r="C65" s="13" t="s">
        <v>12</v>
      </c>
      <c r="D65" s="14">
        <v>2</v>
      </c>
      <c r="E65" s="30">
        <v>135000</v>
      </c>
      <c r="F65" s="31">
        <f t="shared" si="0"/>
        <v>270000</v>
      </c>
      <c r="G65" s="34"/>
    </row>
    <row r="66" s="1" customFormat="1" spans="1:7">
      <c r="A66" s="19">
        <v>75080</v>
      </c>
      <c r="B66" s="12">
        <v>46009</v>
      </c>
      <c r="C66" s="13" t="s">
        <v>7</v>
      </c>
      <c r="D66" s="14">
        <v>6</v>
      </c>
      <c r="E66" s="30">
        <v>8000</v>
      </c>
      <c r="F66" s="31">
        <f t="shared" ref="F66:F71" si="1">SUM(D66*E66)</f>
        <v>48000</v>
      </c>
      <c r="G66" s="32">
        <f>SUM(F66:F68)</f>
        <v>90000</v>
      </c>
    </row>
    <row r="67" s="1" customFormat="1" spans="1:8">
      <c r="A67" s="20"/>
      <c r="B67" s="16"/>
      <c r="C67" s="13" t="s">
        <v>8</v>
      </c>
      <c r="D67" s="14">
        <v>1</v>
      </c>
      <c r="E67" s="30">
        <v>20000</v>
      </c>
      <c r="F67" s="31">
        <f t="shared" si="1"/>
        <v>20000</v>
      </c>
      <c r="G67" s="33"/>
      <c r="H67" s="43"/>
    </row>
    <row r="68" s="1" customFormat="1" ht="17.6" spans="1:14">
      <c r="A68" s="21"/>
      <c r="B68" s="18"/>
      <c r="C68" s="13" t="s">
        <v>9</v>
      </c>
      <c r="D68" s="14">
        <v>1</v>
      </c>
      <c r="E68" s="30">
        <v>22000</v>
      </c>
      <c r="F68" s="31">
        <f t="shared" si="1"/>
        <v>22000</v>
      </c>
      <c r="G68" s="34"/>
      <c r="H68" s="43"/>
      <c r="I68" s="47"/>
      <c r="J68" s="48"/>
      <c r="K68" s="49"/>
      <c r="L68" s="50"/>
      <c r="M68" s="50"/>
      <c r="N68" s="52"/>
    </row>
    <row r="69" s="1" customFormat="1" ht="17.6" spans="1:14">
      <c r="A69" s="19">
        <v>75123</v>
      </c>
      <c r="B69" s="12">
        <v>46010</v>
      </c>
      <c r="C69" s="13" t="s">
        <v>17</v>
      </c>
      <c r="D69" s="14">
        <v>1</v>
      </c>
      <c r="E69" s="30">
        <v>135000</v>
      </c>
      <c r="F69" s="31">
        <f t="shared" si="1"/>
        <v>135000</v>
      </c>
      <c r="G69" s="32">
        <f>SUM(F69:F72)</f>
        <v>209000</v>
      </c>
      <c r="I69" s="51"/>
      <c r="J69" s="48"/>
      <c r="K69" s="49"/>
      <c r="L69" s="50"/>
      <c r="M69" s="50"/>
      <c r="N69" s="50"/>
    </row>
    <row r="70" s="1" customFormat="1" ht="17.6" spans="1:14">
      <c r="A70" s="20"/>
      <c r="B70" s="16"/>
      <c r="C70" s="13" t="s">
        <v>8</v>
      </c>
      <c r="D70" s="14">
        <v>1</v>
      </c>
      <c r="E70" s="30">
        <v>20000</v>
      </c>
      <c r="F70" s="31">
        <f t="shared" si="1"/>
        <v>20000</v>
      </c>
      <c r="G70" s="33"/>
      <c r="I70" s="51"/>
      <c r="J70" s="48"/>
      <c r="K70" s="49"/>
      <c r="L70" s="50"/>
      <c r="M70" s="50"/>
      <c r="N70" s="50"/>
    </row>
    <row r="71" s="1" customFormat="1" ht="17.6" spans="1:14">
      <c r="A71" s="20"/>
      <c r="B71" s="16"/>
      <c r="C71" s="13" t="s">
        <v>9</v>
      </c>
      <c r="D71" s="14">
        <v>1</v>
      </c>
      <c r="E71" s="30">
        <v>22000</v>
      </c>
      <c r="F71" s="31">
        <f t="shared" si="1"/>
        <v>22000</v>
      </c>
      <c r="G71" s="33"/>
      <c r="I71" s="51"/>
      <c r="J71" s="48"/>
      <c r="K71" s="49"/>
      <c r="L71" s="50"/>
      <c r="M71" s="50"/>
      <c r="N71" s="50"/>
    </row>
    <row r="72" s="1" customFormat="1" spans="1:7">
      <c r="A72" s="21"/>
      <c r="B72" s="18"/>
      <c r="C72" s="36" t="s">
        <v>7</v>
      </c>
      <c r="D72" s="14">
        <v>4</v>
      </c>
      <c r="E72" s="31">
        <v>8000</v>
      </c>
      <c r="F72" s="31">
        <f t="shared" ref="F72:F135" si="2">D72*E72</f>
        <v>32000</v>
      </c>
      <c r="G72" s="34"/>
    </row>
    <row r="73" s="1" customFormat="1" spans="1:7">
      <c r="A73" s="19">
        <v>75194</v>
      </c>
      <c r="B73" s="12">
        <v>46011</v>
      </c>
      <c r="C73" s="36" t="s">
        <v>9</v>
      </c>
      <c r="D73" s="14">
        <v>1</v>
      </c>
      <c r="E73" s="31">
        <v>22000</v>
      </c>
      <c r="F73" s="31">
        <f t="shared" si="2"/>
        <v>22000</v>
      </c>
      <c r="G73" s="32">
        <f>SUM(F73:F75)</f>
        <v>197000</v>
      </c>
    </row>
    <row r="74" s="1" customFormat="1" spans="1:7">
      <c r="A74" s="20"/>
      <c r="B74" s="16"/>
      <c r="C74" s="36" t="s">
        <v>7</v>
      </c>
      <c r="D74" s="14">
        <v>5</v>
      </c>
      <c r="E74" s="31">
        <v>10000</v>
      </c>
      <c r="F74" s="31">
        <f t="shared" si="2"/>
        <v>50000</v>
      </c>
      <c r="G74" s="33"/>
    </row>
    <row r="75" s="1" customFormat="1" spans="1:7">
      <c r="A75" s="21"/>
      <c r="B75" s="18"/>
      <c r="C75" s="36" t="s">
        <v>13</v>
      </c>
      <c r="D75" s="14">
        <v>1</v>
      </c>
      <c r="E75" s="31">
        <v>125000</v>
      </c>
      <c r="F75" s="31">
        <f t="shared" si="2"/>
        <v>125000</v>
      </c>
      <c r="G75" s="34"/>
    </row>
    <row r="76" s="1" customFormat="1" spans="1:7">
      <c r="A76" s="19">
        <v>75306</v>
      </c>
      <c r="B76" s="37">
        <v>46012</v>
      </c>
      <c r="C76" s="38" t="s">
        <v>7</v>
      </c>
      <c r="D76" s="39">
        <v>5</v>
      </c>
      <c r="E76" s="31">
        <v>8000</v>
      </c>
      <c r="F76" s="31">
        <f t="shared" si="2"/>
        <v>40000</v>
      </c>
      <c r="G76" s="32">
        <f>SUM(F76:F78)</f>
        <v>540000</v>
      </c>
    </row>
    <row r="77" s="1" customFormat="1" spans="1:7">
      <c r="A77" s="20"/>
      <c r="B77" s="40"/>
      <c r="C77" s="38" t="s">
        <v>8</v>
      </c>
      <c r="D77" s="39">
        <v>1</v>
      </c>
      <c r="E77" s="31">
        <v>20000</v>
      </c>
      <c r="F77" s="31">
        <f t="shared" si="2"/>
        <v>20000</v>
      </c>
      <c r="G77" s="33"/>
    </row>
    <row r="78" s="1" customFormat="1" spans="1:7">
      <c r="A78" s="21"/>
      <c r="B78" s="41"/>
      <c r="C78" s="38" t="s">
        <v>14</v>
      </c>
      <c r="D78" s="39">
        <v>1</v>
      </c>
      <c r="E78" s="31">
        <v>480000</v>
      </c>
      <c r="F78" s="31">
        <f t="shared" si="2"/>
        <v>480000</v>
      </c>
      <c r="G78" s="34"/>
    </row>
    <row r="79" s="1" customFormat="1" spans="1:7">
      <c r="A79" s="19">
        <v>75306</v>
      </c>
      <c r="B79" s="37">
        <v>46013</v>
      </c>
      <c r="C79" s="38" t="s">
        <v>7</v>
      </c>
      <c r="D79" s="39">
        <v>6</v>
      </c>
      <c r="E79" s="31">
        <v>8000</v>
      </c>
      <c r="F79" s="31">
        <f t="shared" si="2"/>
        <v>48000</v>
      </c>
      <c r="G79" s="44">
        <f>SUM(F79:F83)</f>
        <v>357000</v>
      </c>
    </row>
    <row r="80" s="1" customFormat="1" spans="1:7">
      <c r="A80" s="20"/>
      <c r="B80" s="40"/>
      <c r="C80" s="38" t="s">
        <v>8</v>
      </c>
      <c r="D80" s="39">
        <v>1</v>
      </c>
      <c r="E80" s="31">
        <v>20000</v>
      </c>
      <c r="F80" s="31">
        <f t="shared" si="2"/>
        <v>20000</v>
      </c>
      <c r="G80" s="45"/>
    </row>
    <row r="81" s="1" customFormat="1" spans="1:7">
      <c r="A81" s="20"/>
      <c r="B81" s="40"/>
      <c r="C81" s="38" t="s">
        <v>9</v>
      </c>
      <c r="D81" s="39">
        <v>2</v>
      </c>
      <c r="E81" s="31">
        <v>22000</v>
      </c>
      <c r="F81" s="31">
        <f t="shared" si="2"/>
        <v>44000</v>
      </c>
      <c r="G81" s="45"/>
    </row>
    <row r="82" s="1" customFormat="1" spans="1:7">
      <c r="A82" s="20"/>
      <c r="B82" s="40"/>
      <c r="C82" s="38" t="s">
        <v>12</v>
      </c>
      <c r="D82" s="39">
        <v>1</v>
      </c>
      <c r="E82" s="31">
        <v>120000</v>
      </c>
      <c r="F82" s="31">
        <f t="shared" si="2"/>
        <v>120000</v>
      </c>
      <c r="G82" s="45"/>
    </row>
    <row r="83" s="1" customFormat="1" spans="1:7">
      <c r="A83" s="21"/>
      <c r="B83" s="41"/>
      <c r="C83" s="38" t="s">
        <v>16</v>
      </c>
      <c r="D83" s="39">
        <v>1</v>
      </c>
      <c r="E83" s="31">
        <v>125000</v>
      </c>
      <c r="F83" s="31">
        <f t="shared" si="2"/>
        <v>125000</v>
      </c>
      <c r="G83" s="46"/>
    </row>
    <row r="84" s="1" customFormat="1" spans="1:7">
      <c r="A84" s="19">
        <v>75383</v>
      </c>
      <c r="B84" s="37">
        <v>46014</v>
      </c>
      <c r="C84" s="38" t="s">
        <v>7</v>
      </c>
      <c r="D84" s="39">
        <v>3</v>
      </c>
      <c r="E84" s="31">
        <v>8000</v>
      </c>
      <c r="F84" s="31">
        <f t="shared" si="2"/>
        <v>24000</v>
      </c>
      <c r="G84" s="32">
        <f>SUM(F84:F86)</f>
        <v>66000</v>
      </c>
    </row>
    <row r="85" s="1" customFormat="1" spans="1:7">
      <c r="A85" s="20"/>
      <c r="B85" s="40"/>
      <c r="C85" s="38" t="s">
        <v>8</v>
      </c>
      <c r="D85" s="39">
        <v>1</v>
      </c>
      <c r="E85" s="31">
        <v>20000</v>
      </c>
      <c r="F85" s="31">
        <f t="shared" si="2"/>
        <v>20000</v>
      </c>
      <c r="G85" s="33"/>
    </row>
    <row r="86" s="1" customFormat="1" spans="1:7">
      <c r="A86" s="21"/>
      <c r="B86" s="42"/>
      <c r="C86" s="36" t="s">
        <v>9</v>
      </c>
      <c r="D86" s="14">
        <v>1</v>
      </c>
      <c r="E86" s="31">
        <v>22000</v>
      </c>
      <c r="F86" s="31">
        <f t="shared" si="2"/>
        <v>22000</v>
      </c>
      <c r="G86" s="34"/>
    </row>
    <row r="87" s="1" customFormat="1" spans="1:7">
      <c r="A87" s="19">
        <v>75453</v>
      </c>
      <c r="B87" s="12">
        <v>46380</v>
      </c>
      <c r="C87" s="36" t="s">
        <v>7</v>
      </c>
      <c r="D87" s="14">
        <v>6</v>
      </c>
      <c r="E87" s="31">
        <v>8000</v>
      </c>
      <c r="F87" s="31">
        <f t="shared" si="2"/>
        <v>48000</v>
      </c>
      <c r="G87" s="32">
        <f>SUM(F87:F91)</f>
        <v>330000</v>
      </c>
    </row>
    <row r="88" s="1" customFormat="1" spans="1:7">
      <c r="A88" s="20"/>
      <c r="B88" s="16"/>
      <c r="C88" s="36" t="s">
        <v>8</v>
      </c>
      <c r="D88" s="14">
        <v>1</v>
      </c>
      <c r="E88" s="31">
        <v>20000</v>
      </c>
      <c r="F88" s="31">
        <f t="shared" si="2"/>
        <v>20000</v>
      </c>
      <c r="G88" s="33"/>
    </row>
    <row r="89" s="1" customFormat="1" spans="1:7">
      <c r="A89" s="20"/>
      <c r="B89" s="16"/>
      <c r="C89" s="36" t="s">
        <v>9</v>
      </c>
      <c r="D89" s="14">
        <v>1</v>
      </c>
      <c r="E89" s="31">
        <v>22000</v>
      </c>
      <c r="F89" s="31">
        <f t="shared" si="2"/>
        <v>22000</v>
      </c>
      <c r="G89" s="33"/>
    </row>
    <row r="90" s="1" customFormat="1" spans="1:7">
      <c r="A90" s="20"/>
      <c r="B90" s="16"/>
      <c r="C90" s="36" t="s">
        <v>13</v>
      </c>
      <c r="D90" s="14">
        <v>1</v>
      </c>
      <c r="E90" s="31">
        <v>125000</v>
      </c>
      <c r="F90" s="31">
        <f t="shared" si="2"/>
        <v>125000</v>
      </c>
      <c r="G90" s="33"/>
    </row>
    <row r="91" s="1" customFormat="1" spans="1:7">
      <c r="A91" s="21"/>
      <c r="B91" s="18"/>
      <c r="C91" s="36" t="s">
        <v>15</v>
      </c>
      <c r="D91" s="14">
        <v>1</v>
      </c>
      <c r="E91" s="31">
        <v>115000</v>
      </c>
      <c r="F91" s="31">
        <f t="shared" si="2"/>
        <v>115000</v>
      </c>
      <c r="G91" s="34"/>
    </row>
    <row r="92" s="1" customFormat="1" spans="1:7">
      <c r="A92" s="19">
        <v>75513</v>
      </c>
      <c r="B92" s="12">
        <v>46381</v>
      </c>
      <c r="C92" s="36" t="s">
        <v>15</v>
      </c>
      <c r="D92" s="14">
        <v>2</v>
      </c>
      <c r="E92" s="31">
        <v>115000</v>
      </c>
      <c r="F92" s="31">
        <f t="shared" si="2"/>
        <v>230000</v>
      </c>
      <c r="G92" s="32">
        <f>SUM(F92:F95)</f>
        <v>312000</v>
      </c>
    </row>
    <row r="93" s="1" customFormat="1" spans="1:7">
      <c r="A93" s="20"/>
      <c r="B93" s="16"/>
      <c r="C93" s="36" t="s">
        <v>7</v>
      </c>
      <c r="D93" s="14">
        <v>5</v>
      </c>
      <c r="E93" s="31">
        <v>8000</v>
      </c>
      <c r="F93" s="31">
        <f t="shared" si="2"/>
        <v>40000</v>
      </c>
      <c r="G93" s="33"/>
    </row>
    <row r="94" s="1" customFormat="1" spans="1:7">
      <c r="A94" s="20"/>
      <c r="B94" s="16"/>
      <c r="C94" s="36" t="s">
        <v>8</v>
      </c>
      <c r="D94" s="14">
        <v>1</v>
      </c>
      <c r="E94" s="31">
        <v>20000</v>
      </c>
      <c r="F94" s="31">
        <f t="shared" si="2"/>
        <v>20000</v>
      </c>
      <c r="G94" s="33"/>
    </row>
    <row r="95" s="1" customFormat="1" spans="1:7">
      <c r="A95" s="21"/>
      <c r="B95" s="18"/>
      <c r="C95" s="36" t="s">
        <v>9</v>
      </c>
      <c r="D95" s="14">
        <v>1</v>
      </c>
      <c r="E95" s="31">
        <v>22000</v>
      </c>
      <c r="F95" s="31">
        <f t="shared" si="2"/>
        <v>22000</v>
      </c>
      <c r="G95" s="34"/>
    </row>
    <row r="96" s="1" customFormat="1" spans="1:7">
      <c r="A96" s="19">
        <v>75590</v>
      </c>
      <c r="B96" s="12">
        <v>46382</v>
      </c>
      <c r="C96" s="36" t="s">
        <v>14</v>
      </c>
      <c r="D96" s="14">
        <v>3</v>
      </c>
      <c r="E96" s="31">
        <v>480000</v>
      </c>
      <c r="F96" s="31">
        <f t="shared" si="2"/>
        <v>1440000</v>
      </c>
      <c r="G96" s="32">
        <f>SUM(F96:F101)</f>
        <v>1895500</v>
      </c>
    </row>
    <row r="97" s="1" customFormat="1" spans="1:7">
      <c r="A97" s="20"/>
      <c r="B97" s="16"/>
      <c r="C97" s="36" t="s">
        <v>18</v>
      </c>
      <c r="D97" s="14">
        <v>2</v>
      </c>
      <c r="E97" s="31">
        <v>125000</v>
      </c>
      <c r="F97" s="31">
        <f t="shared" si="2"/>
        <v>250000</v>
      </c>
      <c r="G97" s="33"/>
    </row>
    <row r="98" s="1" customFormat="1" spans="1:7">
      <c r="A98" s="20"/>
      <c r="B98" s="16"/>
      <c r="C98" s="36" t="s">
        <v>8</v>
      </c>
      <c r="D98" s="14">
        <v>2</v>
      </c>
      <c r="E98" s="31">
        <v>20000</v>
      </c>
      <c r="F98" s="31">
        <f t="shared" si="2"/>
        <v>40000</v>
      </c>
      <c r="G98" s="33"/>
    </row>
    <row r="99" s="1" customFormat="1" spans="1:7">
      <c r="A99" s="20"/>
      <c r="B99" s="16"/>
      <c r="C99" s="36" t="s">
        <v>9</v>
      </c>
      <c r="D99" s="14">
        <v>1</v>
      </c>
      <c r="E99" s="31">
        <v>22000</v>
      </c>
      <c r="F99" s="31">
        <f t="shared" si="2"/>
        <v>22000</v>
      </c>
      <c r="G99" s="33"/>
    </row>
    <row r="100" s="1" customFormat="1" spans="1:7">
      <c r="A100" s="20"/>
      <c r="B100" s="16"/>
      <c r="C100" s="36" t="s">
        <v>7</v>
      </c>
      <c r="D100" s="14">
        <v>8</v>
      </c>
      <c r="E100" s="31">
        <v>8000</v>
      </c>
      <c r="F100" s="31">
        <f t="shared" si="2"/>
        <v>64000</v>
      </c>
      <c r="G100" s="33"/>
    </row>
    <row r="101" s="1" customFormat="1" spans="1:7">
      <c r="A101" s="21"/>
      <c r="B101" s="18"/>
      <c r="C101" s="36" t="s">
        <v>19</v>
      </c>
      <c r="D101" s="14">
        <v>53</v>
      </c>
      <c r="E101" s="31">
        <v>1500</v>
      </c>
      <c r="F101" s="31">
        <f t="shared" si="2"/>
        <v>79500</v>
      </c>
      <c r="G101" s="34"/>
    </row>
    <row r="102" s="1" customFormat="1" spans="1:7">
      <c r="A102" s="19">
        <v>75661</v>
      </c>
      <c r="B102" s="12">
        <v>46383</v>
      </c>
      <c r="C102" s="36" t="s">
        <v>8</v>
      </c>
      <c r="D102" s="14">
        <v>1</v>
      </c>
      <c r="E102" s="31">
        <v>20000</v>
      </c>
      <c r="F102" s="31">
        <f t="shared" si="2"/>
        <v>20000</v>
      </c>
      <c r="G102" s="32">
        <f>SUM(F102:F108)</f>
        <v>643000</v>
      </c>
    </row>
    <row r="103" s="1" customFormat="1" spans="1:7">
      <c r="A103" s="20"/>
      <c r="B103" s="16"/>
      <c r="C103" s="36" t="s">
        <v>9</v>
      </c>
      <c r="D103" s="14">
        <v>2</v>
      </c>
      <c r="E103" s="31">
        <v>22000</v>
      </c>
      <c r="F103" s="31">
        <f t="shared" si="2"/>
        <v>44000</v>
      </c>
      <c r="G103" s="33"/>
    </row>
    <row r="104" s="1" customFormat="1" spans="1:7">
      <c r="A104" s="20"/>
      <c r="B104" s="16"/>
      <c r="C104" s="36" t="s">
        <v>7</v>
      </c>
      <c r="D104" s="14">
        <v>8</v>
      </c>
      <c r="E104" s="31">
        <v>8000</v>
      </c>
      <c r="F104" s="31">
        <f t="shared" si="2"/>
        <v>64000</v>
      </c>
      <c r="G104" s="33"/>
    </row>
    <row r="105" s="1" customFormat="1" spans="1:7">
      <c r="A105" s="20"/>
      <c r="B105" s="16"/>
      <c r="C105" s="36" t="s">
        <v>13</v>
      </c>
      <c r="D105" s="14">
        <v>1</v>
      </c>
      <c r="E105" s="31">
        <v>125000</v>
      </c>
      <c r="F105" s="31">
        <f t="shared" si="2"/>
        <v>125000</v>
      </c>
      <c r="G105" s="33"/>
    </row>
    <row r="106" s="1" customFormat="1" spans="1:7">
      <c r="A106" s="20"/>
      <c r="B106" s="16"/>
      <c r="C106" s="36" t="s">
        <v>10</v>
      </c>
      <c r="D106" s="14">
        <v>1</v>
      </c>
      <c r="E106" s="31">
        <v>135000</v>
      </c>
      <c r="F106" s="31">
        <f t="shared" si="2"/>
        <v>135000</v>
      </c>
      <c r="G106" s="33"/>
    </row>
    <row r="107" s="1" customFormat="1" spans="1:7">
      <c r="A107" s="20"/>
      <c r="B107" s="16"/>
      <c r="C107" s="36" t="s">
        <v>12</v>
      </c>
      <c r="D107" s="14">
        <v>1</v>
      </c>
      <c r="E107" s="31">
        <v>120000</v>
      </c>
      <c r="F107" s="31">
        <f t="shared" si="2"/>
        <v>120000</v>
      </c>
      <c r="G107" s="33"/>
    </row>
    <row r="108" s="1" customFormat="1" spans="1:7">
      <c r="A108" s="21"/>
      <c r="B108" s="18"/>
      <c r="C108" s="36" t="s">
        <v>20</v>
      </c>
      <c r="D108" s="14">
        <v>1</v>
      </c>
      <c r="E108" s="31">
        <v>135000</v>
      </c>
      <c r="F108" s="31">
        <f t="shared" si="2"/>
        <v>135000</v>
      </c>
      <c r="G108" s="34"/>
    </row>
    <row r="109" s="1" customFormat="1" spans="1:7">
      <c r="A109" s="19">
        <v>75743</v>
      </c>
      <c r="B109" s="12">
        <v>46019</v>
      </c>
      <c r="C109" s="36" t="s">
        <v>7</v>
      </c>
      <c r="D109" s="14">
        <v>6</v>
      </c>
      <c r="E109" s="31">
        <v>8000</v>
      </c>
      <c r="F109" s="31">
        <f t="shared" si="2"/>
        <v>48000</v>
      </c>
      <c r="G109" s="32">
        <f>SUM(F109:F115)</f>
        <v>930000</v>
      </c>
    </row>
    <row r="110" s="1" customFormat="1" spans="1:7">
      <c r="A110" s="20"/>
      <c r="B110" s="16"/>
      <c r="C110" s="36" t="s">
        <v>8</v>
      </c>
      <c r="D110" s="14">
        <v>1</v>
      </c>
      <c r="E110" s="31">
        <v>20000</v>
      </c>
      <c r="F110" s="31">
        <f t="shared" si="2"/>
        <v>20000</v>
      </c>
      <c r="G110" s="33"/>
    </row>
    <row r="111" s="1" customFormat="1" spans="1:7">
      <c r="A111" s="20"/>
      <c r="B111" s="16"/>
      <c r="C111" s="36" t="s">
        <v>9</v>
      </c>
      <c r="D111" s="14">
        <v>1</v>
      </c>
      <c r="E111" s="31">
        <v>22000</v>
      </c>
      <c r="F111" s="31">
        <f t="shared" si="2"/>
        <v>22000</v>
      </c>
      <c r="G111" s="33"/>
    </row>
    <row r="112" s="1" customFormat="1" spans="1:7">
      <c r="A112" s="20"/>
      <c r="B112" s="16"/>
      <c r="C112" s="36" t="s">
        <v>13</v>
      </c>
      <c r="D112" s="14">
        <v>1</v>
      </c>
      <c r="E112" s="31">
        <v>125000</v>
      </c>
      <c r="F112" s="31">
        <f t="shared" si="2"/>
        <v>125000</v>
      </c>
      <c r="G112" s="33"/>
    </row>
    <row r="113" s="1" customFormat="1" spans="1:7">
      <c r="A113" s="20"/>
      <c r="B113" s="16"/>
      <c r="C113" s="36" t="s">
        <v>12</v>
      </c>
      <c r="D113" s="14">
        <v>1</v>
      </c>
      <c r="E113" s="31">
        <v>120000</v>
      </c>
      <c r="F113" s="31">
        <f t="shared" si="2"/>
        <v>120000</v>
      </c>
      <c r="G113" s="33"/>
    </row>
    <row r="114" s="1" customFormat="1" spans="1:7">
      <c r="A114" s="20"/>
      <c r="B114" s="16"/>
      <c r="C114" s="36" t="s">
        <v>15</v>
      </c>
      <c r="D114" s="14">
        <v>4</v>
      </c>
      <c r="E114" s="31">
        <v>115000</v>
      </c>
      <c r="F114" s="31">
        <f t="shared" si="2"/>
        <v>460000</v>
      </c>
      <c r="G114" s="33"/>
    </row>
    <row r="115" s="1" customFormat="1" spans="1:7">
      <c r="A115" s="21"/>
      <c r="B115" s="18"/>
      <c r="C115" s="36" t="s">
        <v>17</v>
      </c>
      <c r="D115" s="14">
        <v>1</v>
      </c>
      <c r="E115" s="31">
        <v>135000</v>
      </c>
      <c r="F115" s="31">
        <f t="shared" si="2"/>
        <v>135000</v>
      </c>
      <c r="G115" s="34"/>
    </row>
    <row r="116" s="1" customFormat="1" spans="1:7">
      <c r="A116" s="19">
        <v>75808</v>
      </c>
      <c r="B116" s="12">
        <v>46020</v>
      </c>
      <c r="C116" s="36" t="s">
        <v>7</v>
      </c>
      <c r="D116" s="14">
        <v>6</v>
      </c>
      <c r="E116" s="31">
        <v>10000</v>
      </c>
      <c r="F116" s="31">
        <f t="shared" si="2"/>
        <v>60000</v>
      </c>
      <c r="G116" s="32">
        <f>SUM(F116:F119)</f>
        <v>332000</v>
      </c>
    </row>
    <row r="117" s="1" customFormat="1" spans="1:7">
      <c r="A117" s="20"/>
      <c r="B117" s="16"/>
      <c r="C117" s="36" t="s">
        <v>8</v>
      </c>
      <c r="D117" s="14">
        <v>1</v>
      </c>
      <c r="E117" s="31">
        <v>20000</v>
      </c>
      <c r="F117" s="31">
        <f t="shared" si="2"/>
        <v>20000</v>
      </c>
      <c r="G117" s="33"/>
    </row>
    <row r="118" s="1" customFormat="1" spans="1:7">
      <c r="A118" s="20"/>
      <c r="B118" s="16"/>
      <c r="C118" s="36" t="s">
        <v>9</v>
      </c>
      <c r="D118" s="14">
        <v>1</v>
      </c>
      <c r="E118" s="31">
        <v>22000</v>
      </c>
      <c r="F118" s="31">
        <f t="shared" si="2"/>
        <v>22000</v>
      </c>
      <c r="G118" s="33"/>
    </row>
    <row r="119" s="1" customFormat="1" spans="1:7">
      <c r="A119" s="21"/>
      <c r="B119" s="18"/>
      <c r="C119" s="36" t="s">
        <v>15</v>
      </c>
      <c r="D119" s="14">
        <v>2</v>
      </c>
      <c r="E119" s="31">
        <v>115000</v>
      </c>
      <c r="F119" s="31">
        <f t="shared" si="2"/>
        <v>230000</v>
      </c>
      <c r="G119" s="34"/>
    </row>
    <row r="120" s="1" customFormat="1" spans="1:7">
      <c r="A120" s="19">
        <v>75894</v>
      </c>
      <c r="B120" s="12">
        <v>46021</v>
      </c>
      <c r="C120" s="36" t="s">
        <v>7</v>
      </c>
      <c r="D120" s="14">
        <v>8</v>
      </c>
      <c r="E120" s="31">
        <v>8000</v>
      </c>
      <c r="F120" s="31">
        <f t="shared" si="2"/>
        <v>64000</v>
      </c>
      <c r="G120" s="32">
        <f>SUM(F120:F125)</f>
        <v>596000</v>
      </c>
    </row>
    <row r="121" s="1" customFormat="1" spans="1:7">
      <c r="A121" s="20"/>
      <c r="B121" s="16"/>
      <c r="C121" s="36" t="s">
        <v>8</v>
      </c>
      <c r="D121" s="14">
        <v>1</v>
      </c>
      <c r="E121" s="31">
        <v>20000</v>
      </c>
      <c r="F121" s="31">
        <f t="shared" si="2"/>
        <v>20000</v>
      </c>
      <c r="G121" s="33"/>
    </row>
    <row r="122" s="1" customFormat="1" spans="1:7">
      <c r="A122" s="20"/>
      <c r="B122" s="16"/>
      <c r="C122" s="36" t="s">
        <v>9</v>
      </c>
      <c r="D122" s="14">
        <v>1</v>
      </c>
      <c r="E122" s="31">
        <v>22000</v>
      </c>
      <c r="F122" s="31">
        <f t="shared" si="2"/>
        <v>22000</v>
      </c>
      <c r="G122" s="33"/>
    </row>
    <row r="123" s="1" customFormat="1" spans="1:7">
      <c r="A123" s="20"/>
      <c r="B123" s="16"/>
      <c r="C123" s="36" t="s">
        <v>10</v>
      </c>
      <c r="D123" s="14">
        <v>1</v>
      </c>
      <c r="E123" s="31">
        <v>135000</v>
      </c>
      <c r="F123" s="31">
        <f t="shared" si="2"/>
        <v>135000</v>
      </c>
      <c r="G123" s="33"/>
    </row>
    <row r="124" s="1" customFormat="1" spans="1:7">
      <c r="A124" s="20"/>
      <c r="B124" s="16"/>
      <c r="C124" s="36" t="s">
        <v>13</v>
      </c>
      <c r="D124" s="14">
        <v>1</v>
      </c>
      <c r="E124" s="31">
        <v>125000</v>
      </c>
      <c r="F124" s="31">
        <f t="shared" si="2"/>
        <v>125000</v>
      </c>
      <c r="G124" s="33"/>
    </row>
    <row r="125" s="1" customFormat="1" spans="1:7">
      <c r="A125" s="21"/>
      <c r="B125" s="18"/>
      <c r="C125" s="36" t="s">
        <v>15</v>
      </c>
      <c r="D125" s="14">
        <v>2</v>
      </c>
      <c r="E125" s="31">
        <v>115000</v>
      </c>
      <c r="F125" s="31">
        <f t="shared" si="2"/>
        <v>230000</v>
      </c>
      <c r="G125" s="34"/>
    </row>
    <row r="126" s="1" customFormat="1" spans="1:7">
      <c r="A126" s="19">
        <v>75973</v>
      </c>
      <c r="B126" s="12">
        <v>46022</v>
      </c>
      <c r="C126" s="36" t="s">
        <v>8</v>
      </c>
      <c r="D126" s="14">
        <v>2</v>
      </c>
      <c r="E126" s="31">
        <v>20000</v>
      </c>
      <c r="F126" s="31">
        <f t="shared" si="2"/>
        <v>40000</v>
      </c>
      <c r="G126" s="32">
        <f>SUM(F126:F133)</f>
        <v>1831000</v>
      </c>
    </row>
    <row r="127" s="1" customFormat="1" spans="1:7">
      <c r="A127" s="20"/>
      <c r="B127" s="16"/>
      <c r="C127" s="36" t="s">
        <v>9</v>
      </c>
      <c r="D127" s="14">
        <v>3</v>
      </c>
      <c r="E127" s="31">
        <v>22000</v>
      </c>
      <c r="F127" s="31">
        <f t="shared" si="2"/>
        <v>66000</v>
      </c>
      <c r="G127" s="33"/>
    </row>
    <row r="128" s="1" customFormat="1" spans="1:7">
      <c r="A128" s="20"/>
      <c r="B128" s="16"/>
      <c r="C128" s="36" t="s">
        <v>21</v>
      </c>
      <c r="D128" s="14">
        <v>1</v>
      </c>
      <c r="E128" s="31">
        <v>480000</v>
      </c>
      <c r="F128" s="31">
        <f t="shared" si="2"/>
        <v>480000</v>
      </c>
      <c r="G128" s="33"/>
    </row>
    <row r="129" s="1" customFormat="1" spans="1:7">
      <c r="A129" s="20"/>
      <c r="B129" s="16"/>
      <c r="C129" s="36" t="s">
        <v>15</v>
      </c>
      <c r="D129" s="14">
        <v>2</v>
      </c>
      <c r="E129" s="31">
        <v>115000</v>
      </c>
      <c r="F129" s="31">
        <f t="shared" si="2"/>
        <v>230000</v>
      </c>
      <c r="G129" s="33"/>
    </row>
    <row r="130" s="1" customFormat="1" spans="1:7">
      <c r="A130" s="20"/>
      <c r="B130" s="16"/>
      <c r="C130" s="36" t="s">
        <v>11</v>
      </c>
      <c r="D130" s="14">
        <v>1</v>
      </c>
      <c r="E130" s="31">
        <v>135000</v>
      </c>
      <c r="F130" s="31">
        <f t="shared" si="2"/>
        <v>135000</v>
      </c>
      <c r="G130" s="33"/>
    </row>
    <row r="131" s="1" customFormat="1" spans="1:7">
      <c r="A131" s="20"/>
      <c r="B131" s="16"/>
      <c r="C131" s="36" t="s">
        <v>22</v>
      </c>
      <c r="D131" s="14">
        <v>1</v>
      </c>
      <c r="E131" s="31">
        <v>515000</v>
      </c>
      <c r="F131" s="31">
        <f t="shared" si="2"/>
        <v>515000</v>
      </c>
      <c r="G131" s="33"/>
    </row>
    <row r="132" s="1" customFormat="1" spans="1:7">
      <c r="A132" s="20"/>
      <c r="B132" s="16"/>
      <c r="C132" s="36" t="s">
        <v>13</v>
      </c>
      <c r="D132" s="14">
        <v>1</v>
      </c>
      <c r="E132" s="31">
        <v>125000</v>
      </c>
      <c r="F132" s="31">
        <f t="shared" si="2"/>
        <v>125000</v>
      </c>
      <c r="G132" s="33"/>
    </row>
    <row r="133" s="1" customFormat="1" spans="1:7">
      <c r="A133" s="21"/>
      <c r="B133" s="18"/>
      <c r="C133" s="36" t="s">
        <v>7</v>
      </c>
      <c r="D133" s="14">
        <v>30</v>
      </c>
      <c r="E133" s="31">
        <v>8000</v>
      </c>
      <c r="F133" s="31">
        <f t="shared" si="2"/>
        <v>240000</v>
      </c>
      <c r="G133" s="34"/>
    </row>
    <row r="134" s="1" customFormat="1" spans="1:7">
      <c r="A134" s="23"/>
      <c r="B134" s="24"/>
      <c r="C134" s="36"/>
      <c r="D134" s="14"/>
      <c r="E134" s="31"/>
      <c r="F134" s="31">
        <f t="shared" si="2"/>
        <v>0</v>
      </c>
      <c r="G134" s="56"/>
    </row>
    <row r="135" s="1" customFormat="1" spans="1:7">
      <c r="A135" s="23"/>
      <c r="B135" s="24"/>
      <c r="C135" s="36"/>
      <c r="D135" s="14"/>
      <c r="E135" s="31"/>
      <c r="F135" s="31">
        <f t="shared" si="2"/>
        <v>0</v>
      </c>
      <c r="G135" s="56"/>
    </row>
    <row r="136" s="1" customFormat="1" spans="1:7">
      <c r="A136" s="23"/>
      <c r="B136" s="24"/>
      <c r="C136" s="36"/>
      <c r="D136" s="14"/>
      <c r="E136" s="31"/>
      <c r="F136" s="31">
        <f t="shared" ref="F136:F138" si="3">D136*E136</f>
        <v>0</v>
      </c>
      <c r="G136" s="56"/>
    </row>
    <row r="137" s="1" customFormat="1" spans="1:7">
      <c r="A137" s="23"/>
      <c r="B137" s="24"/>
      <c r="C137" s="36"/>
      <c r="D137" s="14"/>
      <c r="E137" s="31"/>
      <c r="F137" s="31">
        <f t="shared" si="3"/>
        <v>0</v>
      </c>
      <c r="G137" s="56"/>
    </row>
    <row r="138" s="1" customFormat="1" spans="1:7">
      <c r="A138" s="23"/>
      <c r="B138" s="24"/>
      <c r="C138" s="36"/>
      <c r="D138" s="14"/>
      <c r="E138" s="31"/>
      <c r="F138" s="31">
        <f t="shared" si="3"/>
        <v>0</v>
      </c>
      <c r="G138" s="56"/>
    </row>
    <row r="139" s="1" customFormat="1" spans="1:7">
      <c r="A139" s="53" t="s">
        <v>23</v>
      </c>
      <c r="B139" s="54"/>
      <c r="C139" s="55"/>
      <c r="D139" s="54"/>
      <c r="E139" s="54"/>
      <c r="F139" s="57"/>
      <c r="G139" s="56">
        <f>SUM(G2:G138)</f>
        <v>14051500</v>
      </c>
    </row>
    <row r="140" s="1" customFormat="1" spans="1:5">
      <c r="A140" s="2"/>
      <c r="B140" s="3"/>
      <c r="C140" s="4"/>
      <c r="D140" s="5"/>
      <c r="E140" s="6"/>
    </row>
    <row r="141" s="1" customFormat="1" spans="1:5">
      <c r="A141" s="2"/>
      <c r="B141" s="3"/>
      <c r="C141" s="4"/>
      <c r="D141" s="5"/>
      <c r="E141" s="6"/>
    </row>
    <row r="142" s="1" customFormat="1" spans="1:5">
      <c r="A142" s="2"/>
      <c r="B142" s="3"/>
      <c r="C142" s="4"/>
      <c r="D142" s="5"/>
      <c r="E142" s="6"/>
    </row>
    <row r="143" s="1" customFormat="1" spans="1:5">
      <c r="A143" s="2"/>
      <c r="B143" s="3"/>
      <c r="C143" s="4"/>
      <c r="D143" s="5"/>
      <c r="E143" s="6"/>
    </row>
    <row r="144" s="1" customFormat="1" spans="1:5">
      <c r="A144" s="2"/>
      <c r="B144" s="3"/>
      <c r="C144" s="4"/>
      <c r="D144" s="5"/>
      <c r="E144" s="6"/>
    </row>
    <row r="145" s="1" customFormat="1" spans="1:5">
      <c r="A145" s="2"/>
      <c r="B145" s="3"/>
      <c r="C145" s="4"/>
      <c r="D145" s="5"/>
      <c r="E145" s="6"/>
    </row>
    <row r="146" s="1" customFormat="1" spans="1:5">
      <c r="A146" s="2"/>
      <c r="B146" s="3"/>
      <c r="C146" s="4"/>
      <c r="D146" s="5"/>
      <c r="E146" s="6"/>
    </row>
    <row r="147" s="1" customFormat="1" spans="1:5">
      <c r="A147" s="2"/>
      <c r="B147" s="3"/>
      <c r="C147" s="4"/>
      <c r="D147" s="5"/>
      <c r="E147" s="6"/>
    </row>
    <row r="148" s="1" customFormat="1" spans="1:5">
      <c r="A148" s="2"/>
      <c r="B148" s="3"/>
      <c r="C148" s="4"/>
      <c r="D148" s="5"/>
      <c r="E148" s="6"/>
    </row>
    <row r="149" s="1" customFormat="1" spans="1:5">
      <c r="A149" s="2"/>
      <c r="B149" s="3"/>
      <c r="C149" s="4"/>
      <c r="D149" s="5"/>
      <c r="E149" s="6"/>
    </row>
    <row r="150" s="1" customFormat="1" spans="1:5">
      <c r="A150" s="2"/>
      <c r="B150" s="3"/>
      <c r="C150" s="4"/>
      <c r="D150" s="5"/>
      <c r="E150" s="6"/>
    </row>
    <row r="151" s="1" customFormat="1" spans="1:5">
      <c r="A151" s="2"/>
      <c r="B151" s="3"/>
      <c r="C151" s="4"/>
      <c r="D151" s="5"/>
      <c r="E151" s="6"/>
    </row>
    <row r="152" s="1" customFormat="1" spans="1:5">
      <c r="A152" s="2"/>
      <c r="B152" s="3"/>
      <c r="C152" s="4"/>
      <c r="D152" s="5"/>
      <c r="E152" s="6"/>
    </row>
    <row r="153" s="1" customFormat="1" spans="1:5">
      <c r="A153" s="2"/>
      <c r="B153" s="3"/>
      <c r="C153" s="4"/>
      <c r="D153" s="5"/>
      <c r="E153" s="6"/>
    </row>
    <row r="154" s="1" customFormat="1" spans="1:5">
      <c r="A154" s="2"/>
      <c r="B154" s="3"/>
      <c r="C154" s="4"/>
      <c r="D154" s="5"/>
      <c r="E154" s="6"/>
    </row>
    <row r="155" s="1" customFormat="1" spans="1:5">
      <c r="A155" s="2"/>
      <c r="B155" s="3"/>
      <c r="C155" s="4"/>
      <c r="D155" s="5"/>
      <c r="E155" s="6"/>
    </row>
    <row r="156" s="1" customFormat="1" spans="1:5">
      <c r="A156" s="2"/>
      <c r="B156" s="3"/>
      <c r="C156" s="4"/>
      <c r="D156" s="5"/>
      <c r="E156" s="6"/>
    </row>
    <row r="157" s="1" customFormat="1" spans="1:5">
      <c r="A157" s="2"/>
      <c r="B157" s="3"/>
      <c r="C157" s="4"/>
      <c r="D157" s="5"/>
      <c r="E157" s="6"/>
    </row>
    <row r="158" s="1" customFormat="1" spans="1:5">
      <c r="A158" s="2"/>
      <c r="B158" s="3"/>
      <c r="C158" s="4"/>
      <c r="D158" s="5"/>
      <c r="E158" s="6"/>
    </row>
    <row r="159" s="1" customFormat="1" spans="1:5">
      <c r="A159" s="2"/>
      <c r="B159" s="3"/>
      <c r="C159" s="4"/>
      <c r="D159" s="5"/>
      <c r="E159" s="6"/>
    </row>
    <row r="160" s="1" customFormat="1" spans="1:5">
      <c r="A160" s="2"/>
      <c r="B160" s="3"/>
      <c r="C160" s="4"/>
      <c r="D160" s="5"/>
      <c r="E160" s="6"/>
    </row>
    <row r="161" s="1" customFormat="1" spans="1:5">
      <c r="A161" s="2"/>
      <c r="B161" s="3"/>
      <c r="C161" s="4"/>
      <c r="D161" s="5"/>
      <c r="E161" s="6"/>
    </row>
    <row r="162" s="1" customFormat="1" spans="1:5">
      <c r="A162" s="2"/>
      <c r="B162" s="3"/>
      <c r="C162" s="4"/>
      <c r="D162" s="5"/>
      <c r="E162" s="6"/>
    </row>
    <row r="163" s="1" customFormat="1" spans="1:5">
      <c r="A163" s="2"/>
      <c r="B163" s="3"/>
      <c r="C163" s="4"/>
      <c r="D163" s="5"/>
      <c r="E163" s="6"/>
    </row>
    <row r="164" s="1" customFormat="1" spans="1:5">
      <c r="A164" s="2"/>
      <c r="B164" s="3"/>
      <c r="C164" s="4"/>
      <c r="D164" s="5"/>
      <c r="E164" s="6"/>
    </row>
    <row r="165" s="1" customFormat="1" spans="1:5">
      <c r="A165" s="2"/>
      <c r="B165" s="3"/>
      <c r="C165" s="4"/>
      <c r="D165" s="5"/>
      <c r="E165" s="6"/>
    </row>
    <row r="166" s="1" customFormat="1" spans="1:5">
      <c r="A166" s="2"/>
      <c r="B166" s="3"/>
      <c r="C166" s="4"/>
      <c r="D166" s="5"/>
      <c r="E166" s="6"/>
    </row>
    <row r="167" s="1" customFormat="1" spans="1:5">
      <c r="A167" s="2"/>
      <c r="B167" s="3"/>
      <c r="C167" s="4"/>
      <c r="D167" s="5"/>
      <c r="E167" s="6"/>
    </row>
    <row r="168" s="1" customFormat="1" spans="1:5">
      <c r="A168" s="2"/>
      <c r="B168" s="3"/>
      <c r="C168" s="4"/>
      <c r="D168" s="5"/>
      <c r="E168" s="6"/>
    </row>
    <row r="169" s="1" customFormat="1" spans="1:5">
      <c r="A169" s="2"/>
      <c r="B169" s="3"/>
      <c r="C169" s="4"/>
      <c r="D169" s="5"/>
      <c r="E169" s="6"/>
    </row>
    <row r="170" s="1" customFormat="1" spans="1:5">
      <c r="A170" s="2"/>
      <c r="B170" s="3"/>
      <c r="C170" s="4"/>
      <c r="D170" s="5"/>
      <c r="E170" s="6"/>
    </row>
    <row r="171" s="1" customFormat="1" spans="1:5">
      <c r="A171" s="2"/>
      <c r="B171" s="3"/>
      <c r="C171" s="4"/>
      <c r="D171" s="5"/>
      <c r="E171" s="6"/>
    </row>
    <row r="172" s="1" customFormat="1" spans="1:5">
      <c r="A172" s="2"/>
      <c r="B172" s="3"/>
      <c r="C172" s="4"/>
      <c r="D172" s="5"/>
      <c r="E172" s="6"/>
    </row>
    <row r="173" s="1" customFormat="1" spans="1:5">
      <c r="A173" s="2"/>
      <c r="B173" s="3"/>
      <c r="C173" s="4"/>
      <c r="D173" s="5"/>
      <c r="E173" s="6"/>
    </row>
    <row r="174" s="1" customFormat="1" spans="1:8">
      <c r="A174" s="2"/>
      <c r="B174" s="3"/>
      <c r="C174" s="4"/>
      <c r="D174" s="5"/>
      <c r="E174" s="6"/>
      <c r="H174" s="43"/>
    </row>
  </sheetData>
  <mergeCells count="92">
    <mergeCell ref="A139:F139"/>
    <mergeCell ref="A2:A4"/>
    <mergeCell ref="A5:A7"/>
    <mergeCell ref="A8:A13"/>
    <mergeCell ref="A14:A15"/>
    <mergeCell ref="A16:A18"/>
    <mergeCell ref="A19:A23"/>
    <mergeCell ref="A24:A27"/>
    <mergeCell ref="A28:A30"/>
    <mergeCell ref="A31:A37"/>
    <mergeCell ref="A38:A40"/>
    <mergeCell ref="A41:A45"/>
    <mergeCell ref="A46:A47"/>
    <mergeCell ref="A48:A50"/>
    <mergeCell ref="A51:A55"/>
    <mergeCell ref="A56:A60"/>
    <mergeCell ref="A61:A65"/>
    <mergeCell ref="A66:A68"/>
    <mergeCell ref="A69:A72"/>
    <mergeCell ref="A73:A75"/>
    <mergeCell ref="A76:A78"/>
    <mergeCell ref="A79:A83"/>
    <mergeCell ref="A84:A86"/>
    <mergeCell ref="A87:A91"/>
    <mergeCell ref="A92:A95"/>
    <mergeCell ref="A96:A101"/>
    <mergeCell ref="A102:A108"/>
    <mergeCell ref="A109:A115"/>
    <mergeCell ref="A116:A119"/>
    <mergeCell ref="A120:A125"/>
    <mergeCell ref="A126:A133"/>
    <mergeCell ref="B2:B4"/>
    <mergeCell ref="B5:B7"/>
    <mergeCell ref="B8:B13"/>
    <mergeCell ref="B14:B15"/>
    <mergeCell ref="B16:B18"/>
    <mergeCell ref="B19:B23"/>
    <mergeCell ref="B24:B27"/>
    <mergeCell ref="B28:B30"/>
    <mergeCell ref="B31:B37"/>
    <mergeCell ref="B38:B40"/>
    <mergeCell ref="B41:B45"/>
    <mergeCell ref="B46:B47"/>
    <mergeCell ref="B48:B50"/>
    <mergeCell ref="B51:B55"/>
    <mergeCell ref="B56:B60"/>
    <mergeCell ref="B61:B65"/>
    <mergeCell ref="B66:B68"/>
    <mergeCell ref="B69:B72"/>
    <mergeCell ref="B73:B75"/>
    <mergeCell ref="B76:B78"/>
    <mergeCell ref="B79:B83"/>
    <mergeCell ref="B84:B86"/>
    <mergeCell ref="B87:B91"/>
    <mergeCell ref="B92:B95"/>
    <mergeCell ref="B96:B101"/>
    <mergeCell ref="B102:B108"/>
    <mergeCell ref="B109:B115"/>
    <mergeCell ref="B116:B119"/>
    <mergeCell ref="B120:B125"/>
    <mergeCell ref="B126:B133"/>
    <mergeCell ref="G2:G4"/>
    <mergeCell ref="G5:G7"/>
    <mergeCell ref="G8:G13"/>
    <mergeCell ref="G14:G15"/>
    <mergeCell ref="G16:G18"/>
    <mergeCell ref="G19:G23"/>
    <mergeCell ref="G24:G27"/>
    <mergeCell ref="G28:G30"/>
    <mergeCell ref="G31:G37"/>
    <mergeCell ref="G38:G40"/>
    <mergeCell ref="G41:G45"/>
    <mergeCell ref="G46:G47"/>
    <mergeCell ref="G48:G50"/>
    <mergeCell ref="G51:G55"/>
    <mergeCell ref="G56:G60"/>
    <mergeCell ref="G61:G65"/>
    <mergeCell ref="G66:G68"/>
    <mergeCell ref="G69:G72"/>
    <mergeCell ref="G73:G75"/>
    <mergeCell ref="G76:G78"/>
    <mergeCell ref="G79:G83"/>
    <mergeCell ref="G84:G86"/>
    <mergeCell ref="G87:G91"/>
    <mergeCell ref="G92:G95"/>
    <mergeCell ref="G96:G101"/>
    <mergeCell ref="G102:G108"/>
    <mergeCell ref="G109:G115"/>
    <mergeCell ref="G116:G119"/>
    <mergeCell ref="G120:G125"/>
    <mergeCell ref="G126:G133"/>
    <mergeCell ref="N69:N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2025-12-18T00:10:00Z</dcterms:created>
  <dcterms:modified xsi:type="dcterms:W3CDTF">2026-01-02T20:16:54Z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