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15" activeTab="18"/>
  </bookViews>
  <sheets>
    <sheet name="BUK BUNGA (Groceries)" sheetId="28" r:id="rId1"/>
    <sheet name="WARUNG EKA (Drinks, Etc)" sheetId="10" r:id="rId2"/>
    <sheet name="DEWATA COCONUT (Coconut)" sheetId="29" r:id="rId3"/>
    <sheet name="SEDANA JAYA" sheetId="43" r:id="rId4"/>
    <sheet name="PNB (Alcohol)" sheetId="4" r:id="rId5"/>
    <sheet name="DSP (Alcohol)" sheetId="5" r:id="rId6"/>
    <sheet name="DSP ARYA BIMA (Alcohol)" sheetId="40" r:id="rId7"/>
    <sheet name="SELERA OR STIR UP (Syrup)" sheetId="6" r:id="rId8"/>
    <sheet name="DW BALI (Alcohol)" sheetId="32" r:id="rId9"/>
    <sheet name="DDB (Alcohol)" sheetId="26" r:id="rId10"/>
    <sheet name="NANO DEWATA (Alcohol)" sheetId="42" r:id="rId11"/>
    <sheet name="BALI PERMATA JAYA (Corona Beer)" sheetId="37" r:id="rId12"/>
    <sheet name="BLACK COFFEE ROASTERS (Coffee)" sheetId="13" r:id="rId13"/>
    <sheet name="PT. PRASIDA LANTUR MAJU (Wine)" sheetId="33" r:id="rId14"/>
    <sheet name="PT LOVINA BEACH BREWERY" sheetId="38" r:id="rId15"/>
    <sheet name="CHAI CHITAI (Tea Leaf,etc)" sheetId="15" r:id="rId16"/>
    <sheet name="MULIA JAYA (Passion Fruit)" sheetId="39" r:id="rId17"/>
    <sheet name="Dewata Kencana Distribusi (Vdka" sheetId="41" r:id="rId18"/>
    <sheet name="TOTAL" sheetId="35" r:id="rId19"/>
  </sheets>
  <definedNames>
    <definedName name="_xlnm._FilterDatabase" localSheetId="1" hidden="1">'WARUNG EKA (Drinks, Etc)'!$A$1:$G$96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<sst xmlns="http://schemas.openxmlformats.org/spreadsheetml/2006/main" count="211" uniqueCount="55">
  <si>
    <t>DATE</t>
  </si>
  <si>
    <t>ITEM</t>
  </si>
  <si>
    <t>QYT</t>
  </si>
  <si>
    <t>PRICE</t>
  </si>
  <si>
    <t>SUB TOTAL</t>
  </si>
  <si>
    <t>TOTAL</t>
  </si>
  <si>
    <t>INV NO</t>
  </si>
  <si>
    <t>SUBTOTAL</t>
  </si>
  <si>
    <t>TOTALPRICE</t>
  </si>
  <si>
    <t>GRAND TOTAL</t>
  </si>
  <si>
    <t>INV NO.</t>
  </si>
  <si>
    <t>DESCRIPTIONS</t>
  </si>
  <si>
    <t>AMOUNT</t>
  </si>
  <si>
    <t>BILLS</t>
  </si>
  <si>
    <t>TOTAL PRICE</t>
  </si>
  <si>
    <t>LUMAJANG ORANGE</t>
  </si>
  <si>
    <t>IMPORTED LEMON</t>
  </si>
  <si>
    <t>MUSTARD</t>
  </si>
  <si>
    <t>MALANG APPLE</t>
  </si>
  <si>
    <t>CUCUMBER</t>
  </si>
  <si>
    <t>CARROT</t>
  </si>
  <si>
    <t>WATERMELON</t>
  </si>
  <si>
    <t>FRESH MILK</t>
  </si>
  <si>
    <t>LYCHEE CAN</t>
  </si>
  <si>
    <t>QTY</t>
  </si>
  <si>
    <t>UNIT PRICE</t>
  </si>
  <si>
    <t>SPNO2510622</t>
  </si>
  <si>
    <t>SPNO2511144</t>
  </si>
  <si>
    <t>SPN02511408</t>
  </si>
  <si>
    <t>DISCOUNT</t>
  </si>
  <si>
    <t>BILL</t>
  </si>
  <si>
    <t>PPN (11%)</t>
  </si>
  <si>
    <t>PPN</t>
  </si>
  <si>
    <t>STATUS</t>
  </si>
  <si>
    <t>Total</t>
  </si>
  <si>
    <t>NO</t>
  </si>
  <si>
    <t>SUPPLIER</t>
  </si>
  <si>
    <t>BUK BUNGA</t>
  </si>
  <si>
    <t>TOKO EKA WHOLESALE</t>
  </si>
  <si>
    <t>DEWATA COCONUT</t>
  </si>
  <si>
    <t>SEDANA JAYA</t>
  </si>
  <si>
    <t>PNB</t>
  </si>
  <si>
    <t>DSP</t>
  </si>
  <si>
    <t>DSP ARYA BIMA</t>
  </si>
  <si>
    <t>SELERA (SYRUP)</t>
  </si>
  <si>
    <t>DW BALI</t>
  </si>
  <si>
    <t>DDB</t>
  </si>
  <si>
    <t>NANO DEWATA</t>
  </si>
  <si>
    <t>BALI PERMATA JAYA</t>
  </si>
  <si>
    <t>BLACK COFFEE ROASTERY</t>
  </si>
  <si>
    <t>PRASIDA LANTUR MAJU</t>
  </si>
  <si>
    <t>PT. LOVINA BEACH BREWERY</t>
  </si>
  <si>
    <t>CHAI CHITAI</t>
  </si>
  <si>
    <t>MULIA JAYA</t>
  </si>
  <si>
    <t>DEWATA KENCANA DISTRIBUSI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</si>
</sst>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&quot;Rp&quot;* #,##0_-;\-&quot;Rp&quot;* #,##0_-;_-&quot;Rp&quot;* &quot;-&quot;??_-;_-@_-"/>
    <numFmt numFmtId="179" formatCode="[$-409]d\-mmm\-yyyy;@"/>
    <numFmt numFmtId="180" formatCode="_ [$IDR]\ * #,##0_ ;_ [$IDR]\ * \-#,##0_ ;_ [$IDR]\ * &quot;-&quot;_ ;_ @_ "/>
    <numFmt numFmtId="181" formatCode="dd\-mmm"/>
    <numFmt numFmtId="182" formatCode="[$Rp-421]#,##0.00;[Red][$Rp-421]#,##0.00"/>
    <numFmt numFmtId="183" formatCode="_-[$Rp-421]* #,##0_-;\-[$Rp-421]* #,##0_-;_-[$Rp-421]* &quot;-&quot;_-;_-@_-"/>
  </numFmts>
  <fonts count="50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sz val="12"/>
      <color theme="1"/>
      <name val="Garamond"/>
      <charset val="134"/>
    </font>
    <font>
      <b/>
      <sz val="18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6"/>
      <color theme="1"/>
      <name val="Calibri"/>
      <charset val="134"/>
    </font>
    <font>
      <b/>
      <sz val="16"/>
      <color theme="1"/>
      <name val="Calibri"/>
      <charset val="134"/>
    </font>
    <font>
      <b/>
      <i/>
      <sz val="16"/>
      <color theme="1"/>
      <name val="Calibri"/>
      <charset val="134"/>
    </font>
    <font>
      <sz val="20"/>
      <color theme="1"/>
      <name val="Garamond"/>
      <charset val="134"/>
    </font>
    <font>
      <sz val="16"/>
      <color theme="1"/>
      <name val="Arial Narrow"/>
      <charset val="134"/>
    </font>
    <font>
      <sz val="18"/>
      <color theme="1"/>
      <name val="Cambria"/>
      <charset val="134"/>
    </font>
    <font>
      <sz val="20"/>
      <color theme="1"/>
      <name val="Calibri"/>
      <charset val="134"/>
      <scheme val="minor"/>
    </font>
    <font>
      <sz val="11"/>
      <color theme="1"/>
      <name val="Calibri"/>
      <charset val="134"/>
    </font>
    <font>
      <sz val="20"/>
      <color theme="1"/>
      <name val="Calibri"/>
      <charset val="134"/>
    </font>
    <font>
      <sz val="18"/>
      <color theme="1"/>
      <name val="Cambria Math"/>
      <charset val="134"/>
    </font>
    <font>
      <sz val="2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Cambria"/>
      <charset val="134"/>
    </font>
    <font>
      <sz val="12"/>
      <name val="Cambria"/>
      <charset val="134"/>
    </font>
    <font>
      <sz val="12"/>
      <color theme="1"/>
      <name val="Cambria"/>
      <charset val="134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0" borderId="14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1" borderId="17" applyNumberFormat="0" applyAlignment="0" applyProtection="0">
      <alignment vertical="center"/>
    </xf>
    <xf numFmtId="0" fontId="40" fillId="12" borderId="18" applyNumberFormat="0" applyAlignment="0" applyProtection="0">
      <alignment vertical="center"/>
    </xf>
    <xf numFmtId="0" fontId="41" fillId="12" borderId="17" applyNumberFormat="0" applyAlignment="0" applyProtection="0">
      <alignment vertical="center"/>
    </xf>
    <xf numFmtId="0" fontId="42" fillId="13" borderId="19" applyNumberFormat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</cellStyleXfs>
  <cellXfs count="29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178" fontId="0" fillId="4" borderId="2" xfId="0" applyNumberFormat="1" applyFill="1" applyBorder="1" applyAlignment="1">
      <alignment horizontal="left" vertical="center"/>
    </xf>
    <xf numFmtId="0" fontId="0" fillId="0" borderId="2" xfId="0" applyFill="1" applyBorder="1">
      <alignment vertical="center"/>
    </xf>
    <xf numFmtId="178" fontId="0" fillId="4" borderId="2" xfId="0" applyNumberFormat="1" applyFill="1" applyBorder="1" applyAlignment="1">
      <alignment horizontal="center" vertical="center"/>
    </xf>
    <xf numFmtId="178" fontId="0" fillId="4" borderId="2" xfId="0" applyNumberFormat="1" applyFill="1" applyBorder="1">
      <alignment vertical="center"/>
    </xf>
    <xf numFmtId="0" fontId="0" fillId="2" borderId="2" xfId="0" applyFill="1" applyBorder="1">
      <alignment vertical="center"/>
    </xf>
    <xf numFmtId="178" fontId="0" fillId="2" borderId="2" xfId="0" applyNumberFormat="1" applyFill="1" applyBorder="1">
      <alignment vertical="center"/>
    </xf>
    <xf numFmtId="0" fontId="0" fillId="0" borderId="0" xfId="0" applyNumberFormat="1">
      <alignment vertical="center"/>
    </xf>
    <xf numFmtId="0" fontId="1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79" fontId="2" fillId="4" borderId="2" xfId="0" applyNumberFormat="1" applyFont="1" applyFill="1" applyBorder="1">
      <alignment vertical="center"/>
    </xf>
    <xf numFmtId="178" fontId="2" fillId="4" borderId="2" xfId="0" applyNumberFormat="1" applyFont="1" applyFill="1" applyBorder="1" applyAlignment="1">
      <alignment horizontal="left" vertical="center" wrapText="1"/>
    </xf>
    <xf numFmtId="0" fontId="2" fillId="4" borderId="2" xfId="0" applyNumberFormat="1" applyFont="1" applyFill="1" applyBorder="1" applyAlignment="1">
      <alignment horizontal="center" vertical="center" wrapText="1"/>
    </xf>
    <xf numFmtId="0" fontId="0" fillId="4" borderId="2" xfId="0" applyFill="1" applyBorder="1">
      <alignment vertical="center"/>
    </xf>
    <xf numFmtId="180" fontId="0" fillId="4" borderId="2" xfId="0" applyNumberFormat="1" applyFill="1" applyBorder="1">
      <alignment vertical="center"/>
    </xf>
    <xf numFmtId="0" fontId="0" fillId="4" borderId="3" xfId="0" applyNumberFormat="1" applyFill="1" applyBorder="1" applyAlignment="1">
      <alignment horizontal="center" vertical="center"/>
    </xf>
    <xf numFmtId="0" fontId="0" fillId="4" borderId="4" xfId="0" applyNumberFormat="1" applyFill="1" applyBorder="1" applyAlignment="1">
      <alignment horizontal="center" vertical="center"/>
    </xf>
    <xf numFmtId="0" fontId="0" fillId="4" borderId="5" xfId="0" applyNumberFormat="1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horizontal="center" vertical="center"/>
    </xf>
    <xf numFmtId="178" fontId="0" fillId="4" borderId="5" xfId="0" applyNumberFormat="1" applyFill="1" applyBorder="1" applyAlignment="1">
      <alignment horizontal="center" vertical="center"/>
    </xf>
    <xf numFmtId="179" fontId="0" fillId="4" borderId="2" xfId="0" applyNumberFormat="1" applyFill="1" applyBorder="1" applyAlignment="1">
      <alignment horizontal="center" vertical="center"/>
    </xf>
    <xf numFmtId="178" fontId="3" fillId="4" borderId="2" xfId="0" applyNumberFormat="1" applyFont="1" applyFill="1" applyBorder="1" applyAlignment="1">
      <alignment horizontal="left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78" fontId="5" fillId="4" borderId="3" xfId="0" applyNumberFormat="1" applyFont="1" applyFill="1" applyBorder="1" applyAlignment="1">
      <alignment horizontal="center" vertical="center"/>
    </xf>
    <xf numFmtId="178" fontId="5" fillId="4" borderId="4" xfId="0" applyNumberFormat="1" applyFont="1" applyFill="1" applyBorder="1" applyAlignment="1">
      <alignment horizontal="center" vertical="center"/>
    </xf>
    <xf numFmtId="178" fontId="5" fillId="4" borderId="5" xfId="0" applyNumberFormat="1" applyFont="1" applyFill="1" applyBorder="1" applyAlignment="1">
      <alignment horizontal="center" vertical="center"/>
    </xf>
    <xf numFmtId="0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178" fontId="0" fillId="4" borderId="2" xfId="0" applyNumberFormat="1" applyFill="1" applyBorder="1" applyAlignment="1">
      <alignment horizontal="center" vertical="center" wrapText="1"/>
    </xf>
    <xf numFmtId="0" fontId="0" fillId="4" borderId="2" xfId="0" applyNumberForma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180" fontId="0" fillId="4" borderId="2" xfId="0" applyNumberFormat="1" applyFill="1" applyBorder="1" applyAlignment="1">
      <alignment horizontal="center" vertical="center"/>
    </xf>
    <xf numFmtId="179" fontId="0" fillId="4" borderId="7" xfId="0" applyNumberFormat="1" applyFill="1" applyBorder="1" applyAlignment="1">
      <alignment horizontal="center" vertical="center"/>
    </xf>
    <xf numFmtId="0" fontId="0" fillId="4" borderId="7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179" fontId="7" fillId="4" borderId="2" xfId="0" applyNumberFormat="1" applyFont="1" applyFill="1" applyBorder="1" applyAlignment="1">
      <alignment horizontal="center" vertical="center"/>
    </xf>
    <xf numFmtId="0" fontId="0" fillId="4" borderId="4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180" fontId="8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80" fontId="9" fillId="4" borderId="1" xfId="0" applyNumberFormat="1" applyFont="1" applyFill="1" applyBorder="1" applyAlignment="1">
      <alignment horizontal="center" vertical="center"/>
    </xf>
    <xf numFmtId="179" fontId="0" fillId="4" borderId="2" xfId="0" applyNumberFormat="1" applyFont="1" applyFill="1" applyBorder="1" applyAlignment="1">
      <alignment horizontal="center" vertical="center"/>
    </xf>
    <xf numFmtId="0" fontId="0" fillId="4" borderId="2" xfId="0" applyNumberFormat="1" applyFont="1" applyFill="1" applyBorder="1" applyAlignment="1">
      <alignment horizontal="center" vertical="center"/>
    </xf>
    <xf numFmtId="180" fontId="0" fillId="4" borderId="1" xfId="0" applyNumberFormat="1" applyFont="1" applyFill="1" applyBorder="1" applyAlignment="1">
      <alignment horizontal="center" vertical="center"/>
    </xf>
    <xf numFmtId="179" fontId="0" fillId="4" borderId="1" xfId="0" applyNumberFormat="1" applyFont="1" applyFill="1" applyBorder="1" applyAlignment="1">
      <alignment horizontal="center" vertical="center"/>
    </xf>
    <xf numFmtId="180" fontId="0" fillId="4" borderId="10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78" fontId="5" fillId="4" borderId="3" xfId="0" applyNumberFormat="1" applyFont="1" applyFill="1" applyBorder="1" applyAlignment="1">
      <alignment vertical="center"/>
    </xf>
    <xf numFmtId="178" fontId="5" fillId="4" borderId="4" xfId="0" applyNumberFormat="1" applyFont="1" applyFill="1" applyBorder="1" applyAlignment="1">
      <alignment vertical="center"/>
    </xf>
    <xf numFmtId="178" fontId="9" fillId="4" borderId="2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80" fontId="5" fillId="4" borderId="3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179" fontId="0" fillId="4" borderId="2" xfId="0" applyNumberFormat="1" applyFill="1" applyBorder="1">
      <alignment vertical="center"/>
    </xf>
    <xf numFmtId="179" fontId="0" fillId="4" borderId="1" xfId="0" applyNumberFormat="1" applyFill="1" applyBorder="1" applyAlignment="1">
      <alignment vertical="center"/>
    </xf>
    <xf numFmtId="178" fontId="0" fillId="4" borderId="2" xfId="0" applyNumberFormat="1" applyFill="1" applyBorder="1" applyAlignment="1">
      <alignment horizontal="left" vertical="center" wrapText="1"/>
    </xf>
    <xf numFmtId="0" fontId="4" fillId="7" borderId="3" xfId="0" applyNumberFormat="1" applyFont="1" applyFill="1" applyBorder="1" applyAlignment="1">
      <alignment horizontal="center" vertical="center"/>
    </xf>
    <xf numFmtId="181" fontId="4" fillId="7" borderId="4" xfId="0" applyNumberFormat="1" applyFont="1" applyFill="1" applyBorder="1" applyAlignment="1">
      <alignment horizontal="center" vertical="center"/>
    </xf>
    <xf numFmtId="181" fontId="4" fillId="7" borderId="5" xfId="0" applyNumberFormat="1" applyFont="1" applyFill="1" applyBorder="1" applyAlignment="1">
      <alignment horizontal="center" vertical="center"/>
    </xf>
    <xf numFmtId="178" fontId="5" fillId="7" borderId="3" xfId="0" applyNumberFormat="1" applyFont="1" applyFill="1" applyBorder="1" applyAlignment="1">
      <alignment horizontal="center" vertical="center"/>
    </xf>
    <xf numFmtId="178" fontId="5" fillId="7" borderId="4" xfId="0" applyNumberFormat="1" applyFont="1" applyFill="1" applyBorder="1" applyAlignment="1">
      <alignment horizontal="center" vertical="center"/>
    </xf>
    <xf numFmtId="178" fontId="5" fillId="7" borderId="5" xfId="0" applyNumberFormat="1" applyFont="1" applyFill="1" applyBorder="1" applyAlignment="1">
      <alignment horizontal="center" vertical="center"/>
    </xf>
    <xf numFmtId="179" fontId="3" fillId="4" borderId="2" xfId="0" applyNumberFormat="1" applyFont="1" applyFill="1" applyBorder="1" applyAlignment="1">
      <alignment horizontal="center" vertical="center"/>
    </xf>
    <xf numFmtId="181" fontId="3" fillId="4" borderId="2" xfId="0" applyNumberFormat="1" applyFont="1" applyFill="1" applyBorder="1" applyAlignment="1">
      <alignment horizontal="center" vertical="center"/>
    </xf>
    <xf numFmtId="180" fontId="3" fillId="4" borderId="2" xfId="0" applyNumberFormat="1" applyFont="1" applyFill="1" applyBorder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178" fontId="4" fillId="4" borderId="2" xfId="0" applyNumberFormat="1" applyFont="1" applyFill="1" applyBorder="1" applyAlignment="1">
      <alignment horizontal="center" vertical="center"/>
    </xf>
    <xf numFmtId="178" fontId="3" fillId="4" borderId="2" xfId="0" applyNumberFormat="1" applyFont="1" applyFill="1" applyBorder="1" applyAlignment="1">
      <alignment horizontal="center" vertical="center"/>
    </xf>
    <xf numFmtId="178" fontId="4" fillId="4" borderId="3" xfId="0" applyNumberFormat="1" applyFont="1" applyFill="1" applyBorder="1" applyAlignment="1">
      <alignment horizontal="center" vertical="center"/>
    </xf>
    <xf numFmtId="178" fontId="4" fillId="4" borderId="4" xfId="0" applyNumberFormat="1" applyFont="1" applyFill="1" applyBorder="1" applyAlignment="1">
      <alignment horizontal="center" vertical="center"/>
    </xf>
    <xf numFmtId="178" fontId="4" fillId="4" borderId="5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178" fontId="5" fillId="8" borderId="3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181" fontId="0" fillId="4" borderId="2" xfId="0" applyNumberForma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178" fontId="11" fillId="7" borderId="2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178" fontId="3" fillId="4" borderId="0" xfId="0" applyNumberFormat="1" applyFont="1" applyFill="1" applyBorder="1" applyAlignment="1">
      <alignment horizontal="center" vertical="center"/>
    </xf>
    <xf numFmtId="178" fontId="0" fillId="4" borderId="2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178" fontId="12" fillId="4" borderId="2" xfId="0" applyNumberFormat="1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4" xfId="0" applyNumberFormat="1" applyFont="1" applyFill="1" applyBorder="1" applyAlignment="1">
      <alignment vertical="center"/>
    </xf>
    <xf numFmtId="178" fontId="4" fillId="4" borderId="10" xfId="0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58" fontId="0" fillId="4" borderId="2" xfId="0" applyNumberFormat="1" applyFont="1" applyFill="1" applyBorder="1" applyAlignment="1">
      <alignment horizontal="center" vertical="center"/>
    </xf>
    <xf numFmtId="178" fontId="0" fillId="8" borderId="3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4" borderId="2" xfId="0" applyNumberFormat="1" applyFill="1" applyBorder="1" applyAlignment="1">
      <alignment horizontal="center" vertical="center"/>
    </xf>
    <xf numFmtId="179" fontId="9" fillId="4" borderId="3" xfId="0" applyNumberFormat="1" applyFont="1" applyFill="1" applyBorder="1" applyAlignment="1">
      <alignment horizontal="center" vertical="center"/>
    </xf>
    <xf numFmtId="179" fontId="9" fillId="4" borderId="4" xfId="0" applyNumberFormat="1" applyFont="1" applyFill="1" applyBorder="1" applyAlignment="1">
      <alignment horizontal="center" vertical="center"/>
    </xf>
    <xf numFmtId="179" fontId="9" fillId="4" borderId="5" xfId="0" applyNumberFormat="1" applyFont="1" applyFill="1" applyBorder="1" applyAlignment="1">
      <alignment horizontal="center" vertical="center"/>
    </xf>
    <xf numFmtId="180" fontId="13" fillId="4" borderId="2" xfId="0" applyNumberFormat="1" applyFont="1" applyFill="1" applyBorder="1" applyAlignment="1">
      <alignment horizontal="center" vertical="center"/>
    </xf>
    <xf numFmtId="180" fontId="11" fillId="4" borderId="3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78" fontId="13" fillId="4" borderId="2" xfId="0" applyNumberFormat="1" applyFont="1" applyFill="1" applyBorder="1" applyAlignment="1">
      <alignment horizontal="center" vertical="center"/>
    </xf>
    <xf numFmtId="180" fontId="5" fillId="8" borderId="3" xfId="0" applyNumberFormat="1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0" fontId="7" fillId="8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178" fontId="0" fillId="8" borderId="5" xfId="0" applyNumberFormat="1" applyFill="1" applyBorder="1" applyAlignment="1">
      <alignment horizontal="center" vertical="center"/>
    </xf>
    <xf numFmtId="0" fontId="14" fillId="0" borderId="0" xfId="0" applyNumberFormat="1" applyFont="1">
      <alignment vertical="center"/>
    </xf>
    <xf numFmtId="0" fontId="14" fillId="0" borderId="0" xfId="0" applyFont="1">
      <alignment vertical="center"/>
    </xf>
    <xf numFmtId="0" fontId="14" fillId="5" borderId="2" xfId="0" applyNumberFormat="1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2" xfId="0" applyFont="1" applyFill="1" applyBorder="1">
      <alignment vertical="center"/>
    </xf>
    <xf numFmtId="179" fontId="14" fillId="4" borderId="1" xfId="0" applyNumberFormat="1" applyFont="1" applyFill="1" applyBorder="1" applyAlignment="1">
      <alignment horizontal="center" vertical="center"/>
    </xf>
    <xf numFmtId="178" fontId="14" fillId="4" borderId="2" xfId="0" applyNumberFormat="1" applyFont="1" applyFill="1" applyBorder="1" applyAlignment="1">
      <alignment horizontal="left" vertical="center" wrapText="1"/>
    </xf>
    <xf numFmtId="0" fontId="14" fillId="4" borderId="2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180" fontId="14" fillId="4" borderId="2" xfId="0" applyNumberFormat="1" applyFont="1" applyFill="1" applyBorder="1" applyAlignment="1">
      <alignment horizontal="center" vertical="center"/>
    </xf>
    <xf numFmtId="180" fontId="14" fillId="4" borderId="2" xfId="0" applyNumberFormat="1" applyFont="1" applyFill="1" applyBorder="1" applyAlignment="1">
      <alignment vertical="center"/>
    </xf>
    <xf numFmtId="180" fontId="14" fillId="0" borderId="1" xfId="0" applyNumberFormat="1" applyFont="1" applyBorder="1" applyAlignment="1">
      <alignment horizontal="center" vertical="center"/>
    </xf>
    <xf numFmtId="179" fontId="14" fillId="4" borderId="7" xfId="0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78" fontId="14" fillId="4" borderId="1" xfId="0" applyNumberFormat="1" applyFont="1" applyFill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80" fontId="15" fillId="4" borderId="2" xfId="0" applyNumberFormat="1" applyFont="1" applyFill="1" applyBorder="1" applyAlignment="1">
      <alignment horizontal="center" vertical="center"/>
    </xf>
    <xf numFmtId="182" fontId="16" fillId="4" borderId="3" xfId="0" applyNumberFormat="1" applyFont="1" applyFill="1" applyBorder="1" applyAlignment="1">
      <alignment horizontal="center" vertical="center"/>
    </xf>
    <xf numFmtId="182" fontId="16" fillId="4" borderId="13" xfId="0" applyNumberFormat="1" applyFont="1" applyFill="1" applyBorder="1" applyAlignment="1">
      <alignment horizontal="center" vertical="center"/>
    </xf>
    <xf numFmtId="182" fontId="16" fillId="4" borderId="5" xfId="0" applyNumberFormat="1" applyFont="1" applyFill="1" applyBorder="1" applyAlignment="1">
      <alignment horizontal="center" vertical="center"/>
    </xf>
    <xf numFmtId="0" fontId="14" fillId="7" borderId="3" xfId="0" applyNumberFormat="1" applyFont="1" applyFill="1" applyBorder="1" applyAlignment="1">
      <alignment horizontal="center" vertical="center"/>
    </xf>
    <xf numFmtId="181" fontId="14" fillId="7" borderId="4" xfId="0" applyNumberFormat="1" applyFont="1" applyFill="1" applyBorder="1" applyAlignment="1">
      <alignment horizontal="center" vertical="center"/>
    </xf>
    <xf numFmtId="181" fontId="14" fillId="7" borderId="5" xfId="0" applyNumberFormat="1" applyFont="1" applyFill="1" applyBorder="1" applyAlignment="1">
      <alignment horizontal="center" vertical="center"/>
    </xf>
    <xf numFmtId="178" fontId="15" fillId="7" borderId="2" xfId="0" applyNumberFormat="1" applyFont="1" applyFill="1" applyBorder="1" applyAlignment="1">
      <alignment horizontal="left" vertical="center"/>
    </xf>
    <xf numFmtId="178" fontId="16" fillId="7" borderId="3" xfId="0" applyNumberFormat="1" applyFont="1" applyFill="1" applyBorder="1" applyAlignment="1">
      <alignment horizontal="center" vertical="center"/>
    </xf>
    <xf numFmtId="178" fontId="16" fillId="7" borderId="4" xfId="0" applyNumberFormat="1" applyFont="1" applyFill="1" applyBorder="1" applyAlignment="1">
      <alignment horizontal="center" vertical="center"/>
    </xf>
    <xf numFmtId="178" fontId="16" fillId="7" borderId="5" xfId="0" applyNumberFormat="1" applyFont="1" applyFill="1" applyBorder="1" applyAlignment="1">
      <alignment horizontal="center" vertical="center"/>
    </xf>
    <xf numFmtId="178" fontId="14" fillId="0" borderId="0" xfId="0" applyNumberFormat="1" applyFont="1">
      <alignment vertical="center"/>
    </xf>
    <xf numFmtId="0" fontId="17" fillId="5" borderId="2" xfId="0" applyFont="1" applyFill="1" applyBorder="1" applyAlignment="1">
      <alignment horizontal="center" vertical="center"/>
    </xf>
    <xf numFmtId="179" fontId="18" fillId="4" borderId="2" xfId="0" applyNumberFormat="1" applyFont="1" applyFill="1" applyBorder="1" applyAlignment="1">
      <alignment vertical="center"/>
    </xf>
    <xf numFmtId="179" fontId="12" fillId="4" borderId="2" xfId="0" applyNumberFormat="1" applyFont="1" applyFill="1" applyBorder="1" applyAlignment="1">
      <alignment vertical="center"/>
    </xf>
    <xf numFmtId="178" fontId="19" fillId="4" borderId="2" xfId="0" applyNumberFormat="1" applyFont="1" applyFill="1" applyBorder="1" applyAlignment="1">
      <alignment horizontal="left" vertical="center" wrapText="1"/>
    </xf>
    <xf numFmtId="180" fontId="4" fillId="4" borderId="2" xfId="0" applyNumberFormat="1" applyFont="1" applyFill="1" applyBorder="1">
      <alignment vertical="center"/>
    </xf>
    <xf numFmtId="181" fontId="20" fillId="4" borderId="4" xfId="0" applyNumberFormat="1" applyFont="1" applyFill="1" applyBorder="1" applyAlignment="1">
      <alignment horizontal="center" vertical="center"/>
    </xf>
    <xf numFmtId="181" fontId="20" fillId="4" borderId="5" xfId="0" applyNumberFormat="1" applyFont="1" applyFill="1" applyBorder="1" applyAlignment="1">
      <alignment horizontal="center" vertical="center"/>
    </xf>
    <xf numFmtId="178" fontId="5" fillId="4" borderId="3" xfId="0" applyNumberFormat="1" applyFont="1" applyFill="1" applyBorder="1" applyAlignment="1">
      <alignment horizontal="center" vertical="center"/>
    </xf>
    <xf numFmtId="178" fontId="5" fillId="4" borderId="4" xfId="0" applyNumberFormat="1" applyFont="1" applyFill="1" applyBorder="1" applyAlignment="1">
      <alignment horizontal="center" vertical="center"/>
    </xf>
    <xf numFmtId="178" fontId="5" fillId="4" borderId="5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179" fontId="18" fillId="4" borderId="1" xfId="0" applyNumberFormat="1" applyFont="1" applyFill="1" applyBorder="1" applyAlignment="1">
      <alignment horizontal="center" vertical="center"/>
    </xf>
    <xf numFmtId="179" fontId="12" fillId="4" borderId="1" xfId="0" applyNumberFormat="1" applyFont="1" applyFill="1" applyBorder="1" applyAlignment="1">
      <alignment horizontal="center" vertical="center"/>
    </xf>
    <xf numFmtId="0" fontId="19" fillId="4" borderId="2" xfId="0" applyNumberFormat="1" applyFont="1" applyFill="1" applyBorder="1" applyAlignment="1">
      <alignment horizontal="center" vertical="center" wrapText="1"/>
    </xf>
    <xf numFmtId="180" fontId="23" fillId="4" borderId="2" xfId="0" applyNumberFormat="1" applyFont="1" applyFill="1" applyBorder="1">
      <alignment vertical="center"/>
    </xf>
    <xf numFmtId="180" fontId="23" fillId="4" borderId="2" xfId="0" applyNumberFormat="1" applyFont="1" applyFill="1" applyBorder="1" applyAlignment="1">
      <alignment vertical="center"/>
    </xf>
    <xf numFmtId="179" fontId="18" fillId="4" borderId="10" xfId="0" applyNumberFormat="1" applyFont="1" applyFill="1" applyBorder="1" applyAlignment="1">
      <alignment horizontal="center" vertical="center"/>
    </xf>
    <xf numFmtId="179" fontId="12" fillId="4" borderId="10" xfId="0" applyNumberFormat="1" applyFont="1" applyFill="1" applyBorder="1" applyAlignment="1">
      <alignment horizontal="center" vertical="center"/>
    </xf>
    <xf numFmtId="179" fontId="18" fillId="4" borderId="7" xfId="0" applyNumberFormat="1" applyFont="1" applyFill="1" applyBorder="1" applyAlignment="1">
      <alignment horizontal="center" vertical="center"/>
    </xf>
    <xf numFmtId="179" fontId="12" fillId="4" borderId="7" xfId="0" applyNumberFormat="1" applyFont="1" applyFill="1" applyBorder="1" applyAlignment="1">
      <alignment horizontal="center" vertical="center"/>
    </xf>
    <xf numFmtId="178" fontId="19" fillId="4" borderId="10" xfId="0" applyNumberFormat="1" applyFont="1" applyFill="1" applyBorder="1" applyAlignment="1">
      <alignment horizontal="left" vertical="center" wrapText="1"/>
    </xf>
    <xf numFmtId="0" fontId="19" fillId="4" borderId="10" xfId="0" applyNumberFormat="1" applyFont="1" applyFill="1" applyBorder="1" applyAlignment="1">
      <alignment horizontal="center" vertical="center" wrapText="1"/>
    </xf>
    <xf numFmtId="180" fontId="23" fillId="4" borderId="10" xfId="0" applyNumberFormat="1" applyFont="1" applyFill="1" applyBorder="1">
      <alignment vertical="center"/>
    </xf>
    <xf numFmtId="180" fontId="23" fillId="4" borderId="2" xfId="0" applyNumberFormat="1" applyFont="1" applyFill="1" applyBorder="1" applyAlignment="1">
      <alignment horizontal="center" vertical="center"/>
    </xf>
    <xf numFmtId="180" fontId="23" fillId="4" borderId="10" xfId="0" applyNumberFormat="1" applyFont="1" applyFill="1" applyBorder="1" applyAlignment="1">
      <alignment vertical="center"/>
    </xf>
    <xf numFmtId="179" fontId="18" fillId="4" borderId="2" xfId="0" applyNumberFormat="1" applyFont="1" applyFill="1" applyBorder="1" applyAlignment="1">
      <alignment horizontal="center" vertical="center"/>
    </xf>
    <xf numFmtId="179" fontId="12" fillId="4" borderId="2" xfId="0" applyNumberFormat="1" applyFont="1" applyFill="1" applyBorder="1" applyAlignment="1">
      <alignment horizontal="center" vertical="center"/>
    </xf>
    <xf numFmtId="178" fontId="23" fillId="4" borderId="2" xfId="0" applyNumberFormat="1" applyFont="1" applyFill="1" applyBorder="1" applyAlignment="1">
      <alignment vertical="center"/>
    </xf>
    <xf numFmtId="181" fontId="12" fillId="4" borderId="2" xfId="0" applyNumberFormat="1" applyFont="1" applyFill="1" applyBorder="1" applyAlignment="1">
      <alignment horizontal="center" vertical="center"/>
    </xf>
    <xf numFmtId="181" fontId="19" fillId="4" borderId="2" xfId="0" applyNumberFormat="1" applyFont="1" applyFill="1" applyBorder="1" applyAlignment="1">
      <alignment horizontal="center" vertical="center" wrapText="1"/>
    </xf>
    <xf numFmtId="179" fontId="12" fillId="4" borderId="2" xfId="0" applyNumberFormat="1" applyFont="1" applyFill="1" applyBorder="1" applyAlignment="1">
      <alignment horizontal="center" vertical="center" wrapText="1"/>
    </xf>
    <xf numFmtId="178" fontId="23" fillId="4" borderId="2" xfId="0" applyNumberFormat="1" applyFont="1" applyFill="1" applyBorder="1" applyAlignment="1">
      <alignment horizontal="center" vertical="center" wrapText="1"/>
    </xf>
    <xf numFmtId="0" fontId="24" fillId="9" borderId="0" xfId="0" applyFont="1" applyFill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183" fontId="24" fillId="9" borderId="0" xfId="0" applyNumberFormat="1" applyFont="1" applyFill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180" fontId="23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80" fontId="23" fillId="4" borderId="7" xfId="0" applyNumberFormat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80" fontId="23" fillId="4" borderId="10" xfId="0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vertical="center"/>
    </xf>
    <xf numFmtId="178" fontId="23" fillId="4" borderId="2" xfId="0" applyNumberFormat="1" applyFont="1" applyFill="1" applyBorder="1" applyAlignment="1">
      <alignment horizontal="center" vertical="center"/>
    </xf>
    <xf numFmtId="0" fontId="0" fillId="4" borderId="10" xfId="0" applyFill="1" applyBorder="1">
      <alignment vertical="center"/>
    </xf>
    <xf numFmtId="0" fontId="19" fillId="4" borderId="2" xfId="0" applyNumberFormat="1" applyFont="1" applyFill="1" applyBorder="1" applyAlignment="1">
      <alignment horizontal="center" vertical="center"/>
    </xf>
    <xf numFmtId="178" fontId="19" fillId="4" borderId="2" xfId="0" applyNumberFormat="1" applyFont="1" applyFill="1" applyBorder="1" applyAlignment="1">
      <alignment horizontal="center" vertical="center" wrapText="1"/>
    </xf>
    <xf numFmtId="179" fontId="2" fillId="4" borderId="2" xfId="0" applyNumberFormat="1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178" fontId="2" fillId="4" borderId="5" xfId="0" applyNumberFormat="1" applyFont="1" applyFill="1" applyBorder="1" applyAlignment="1">
      <alignment horizontal="left" vertical="center" wrapText="1"/>
    </xf>
    <xf numFmtId="180" fontId="0" fillId="4" borderId="1" xfId="0" applyNumberFormat="1" applyFill="1" applyBorder="1" applyAlignment="1">
      <alignment horizontal="center" vertical="center"/>
    </xf>
    <xf numFmtId="0" fontId="0" fillId="4" borderId="3" xfId="0" applyNumberFormat="1" applyFill="1" applyBorder="1" applyAlignment="1">
      <alignment horizontal="center" vertical="center"/>
    </xf>
    <xf numFmtId="181" fontId="0" fillId="4" borderId="4" xfId="0" applyNumberFormat="1" applyFill="1" applyBorder="1" applyAlignment="1">
      <alignment horizontal="center" vertical="center"/>
    </xf>
    <xf numFmtId="181" fontId="0" fillId="4" borderId="5" xfId="0" applyNumberFormat="1" applyFill="1" applyBorder="1" applyAlignment="1">
      <alignment horizontal="center" vertical="center"/>
    </xf>
    <xf numFmtId="0" fontId="3" fillId="0" borderId="0" xfId="0" applyFont="1">
      <alignment vertical="center"/>
    </xf>
    <xf numFmtId="17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9" fontId="25" fillId="5" borderId="2" xfId="0" applyNumberFormat="1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5" fillId="5" borderId="2" xfId="0" applyNumberFormat="1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78" fontId="3" fillId="4" borderId="2" xfId="0" applyNumberFormat="1" applyFont="1" applyFill="1" applyBorder="1" applyAlignment="1">
      <alignment vertical="center"/>
    </xf>
    <xf numFmtId="178" fontId="3" fillId="0" borderId="1" xfId="0" applyNumberFormat="1" applyFont="1" applyBorder="1" applyAlignment="1">
      <alignment horizontal="center" vertical="center"/>
    </xf>
    <xf numFmtId="179" fontId="3" fillId="0" borderId="7" xfId="0" applyNumberFormat="1" applyFont="1" applyBorder="1" applyAlignment="1">
      <alignment horizontal="center" vertical="center"/>
    </xf>
    <xf numFmtId="178" fontId="3" fillId="0" borderId="7" xfId="0" applyNumberFormat="1" applyFont="1" applyBorder="1" applyAlignment="1">
      <alignment horizontal="center" vertical="center"/>
    </xf>
    <xf numFmtId="178" fontId="3" fillId="0" borderId="0" xfId="0" applyNumberFormat="1" applyFont="1">
      <alignment vertical="center"/>
    </xf>
    <xf numFmtId="179" fontId="3" fillId="0" borderId="10" xfId="0" applyNumberFormat="1" applyFont="1" applyBorder="1" applyAlignment="1">
      <alignment horizontal="center" vertical="center"/>
    </xf>
    <xf numFmtId="178" fontId="3" fillId="0" borderId="10" xfId="0" applyNumberFormat="1" applyFont="1" applyBorder="1" applyAlignment="1">
      <alignment horizontal="center" vertical="center"/>
    </xf>
    <xf numFmtId="179" fontId="3" fillId="0" borderId="2" xfId="0" applyNumberFormat="1" applyFont="1" applyBorder="1" applyAlignment="1">
      <alignment vertical="center"/>
    </xf>
    <xf numFmtId="178" fontId="3" fillId="0" borderId="2" xfId="0" applyNumberFormat="1" applyFont="1" applyBorder="1" applyAlignment="1">
      <alignment vertical="center"/>
    </xf>
    <xf numFmtId="17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178" fontId="3" fillId="0" borderId="2" xfId="0" applyNumberFormat="1" applyFont="1" applyBorder="1">
      <alignment vertical="center"/>
    </xf>
    <xf numFmtId="180" fontId="0" fillId="0" borderId="2" xfId="0" applyNumberFormat="1" applyBorder="1">
      <alignment vertical="center"/>
    </xf>
    <xf numFmtId="178" fontId="4" fillId="7" borderId="4" xfId="0" applyNumberFormat="1" applyFont="1" applyFill="1" applyBorder="1" applyAlignment="1">
      <alignment horizontal="center" vertical="center"/>
    </xf>
    <xf numFmtId="178" fontId="5" fillId="7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27" fillId="0" borderId="0" xfId="0" applyFont="1" applyFill="1" applyAlignment="1">
      <alignment horizontal="left" vertical="center"/>
    </xf>
    <xf numFmtId="0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179" fontId="29" fillId="5" borderId="2" xfId="0" applyNumberFormat="1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0" fontId="29" fillId="5" borderId="2" xfId="0" applyNumberFormat="1" applyFont="1" applyFill="1" applyBorder="1" applyAlignment="1">
      <alignment horizontal="center" vertical="center"/>
    </xf>
    <xf numFmtId="178" fontId="29" fillId="5" borderId="2" xfId="0" applyNumberFormat="1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left" vertical="center"/>
    </xf>
    <xf numFmtId="178" fontId="0" fillId="4" borderId="2" xfId="0" applyNumberFormat="1" applyFill="1" applyBorder="1" applyAlignment="1">
      <alignment vertical="center"/>
    </xf>
    <xf numFmtId="178" fontId="9" fillId="4" borderId="1" xfId="0" applyNumberFormat="1" applyFont="1" applyFill="1" applyBorder="1" applyAlignment="1">
      <alignment horizontal="center" vertical="center"/>
    </xf>
    <xf numFmtId="0" fontId="0" fillId="4" borderId="10" xfId="0" applyNumberFormat="1" applyFill="1" applyBorder="1" applyAlignment="1">
      <alignment horizontal="center" vertical="center"/>
    </xf>
    <xf numFmtId="179" fontId="0" fillId="4" borderId="10" xfId="0" applyNumberFormat="1" applyFill="1" applyBorder="1" applyAlignment="1">
      <alignment horizontal="center" vertical="center"/>
    </xf>
    <xf numFmtId="178" fontId="9" fillId="4" borderId="10" xfId="0" applyNumberFormat="1" applyFont="1" applyFill="1" applyBorder="1" applyAlignment="1">
      <alignment horizontal="center" vertical="center"/>
    </xf>
    <xf numFmtId="178" fontId="27" fillId="4" borderId="2" xfId="0" applyNumberFormat="1" applyFont="1" applyFill="1" applyBorder="1" applyAlignment="1">
      <alignment horizontal="left" vertical="center"/>
    </xf>
    <xf numFmtId="178" fontId="9" fillId="4" borderId="7" xfId="0" applyNumberFormat="1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78" fontId="27" fillId="4" borderId="10" xfId="0" applyNumberFormat="1" applyFont="1" applyFill="1" applyBorder="1" applyAlignment="1">
      <alignment horizontal="left" vertical="center"/>
    </xf>
    <xf numFmtId="178" fontId="0" fillId="4" borderId="10" xfId="0" applyNumberFormat="1" applyFill="1" applyBorder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179" fontId="0" fillId="4" borderId="2" xfId="0" applyNumberFormat="1" applyFill="1" applyBorder="1" applyAlignment="1">
      <alignment vertical="center"/>
    </xf>
    <xf numFmtId="178" fontId="9" fillId="4" borderId="2" xfId="0" applyNumberFormat="1" applyFont="1" applyFill="1" applyBorder="1" applyAlignment="1">
      <alignment vertical="center"/>
    </xf>
    <xf numFmtId="0" fontId="27" fillId="4" borderId="2" xfId="0" applyFont="1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27" fillId="4" borderId="4" xfId="0" applyFont="1" applyFill="1" applyBorder="1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179" fontId="30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vertical="center"/>
    </xf>
    <xf numFmtId="179" fontId="30" fillId="0" borderId="0" xfId="0" applyNumberFormat="1" applyFont="1" applyFill="1" applyBorder="1" applyAlignment="1">
      <alignment vertical="center"/>
    </xf>
    <xf numFmtId="0" fontId="27" fillId="5" borderId="2" xfId="0" applyFont="1" applyFill="1" applyBorder="1" applyAlignment="1">
      <alignment horizontal="center" vertical="center"/>
    </xf>
    <xf numFmtId="179" fontId="30" fillId="4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179" fontId="30" fillId="4" borderId="7" xfId="0" applyNumberFormat="1" applyFont="1" applyFill="1" applyBorder="1" applyAlignment="1">
      <alignment horizontal="center" vertical="center"/>
    </xf>
    <xf numFmtId="178" fontId="0" fillId="4" borderId="7" xfId="0" applyNumberFormat="1" applyFill="1" applyBorder="1" applyAlignment="1">
      <alignment horizontal="center" vertical="center"/>
    </xf>
    <xf numFmtId="179" fontId="30" fillId="4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179" fontId="30" fillId="4" borderId="2" xfId="0" applyNumberFormat="1" applyFont="1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10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8"/>
  <sheetViews>
    <sheetView zoomScale="90" zoomScaleNormal="90" workbookViewId="0">
      <pane ySplit="1" topLeftCell="A256" activePane="bottomLeft" state="frozen"/>
      <selection/>
      <selection pane="bottomLeft" activeCell="C271" sqref="C271"/>
    </sheetView>
  </sheetViews>
  <sheetFormatPr defaultColWidth="9.14285714285714" defaultRowHeight="15" outlineLevelCol="7"/>
  <cols>
    <col min="1" max="1" width="17.5714285714286" style="249" customWidth="1"/>
    <col min="2" max="2" width="30.5714285714286" style="247" customWidth="1"/>
    <col min="3" max="3" width="9.14285714285714" style="248"/>
    <col min="4" max="4" width="15.8571428571429" style="247" customWidth="1"/>
    <col min="5" max="5" width="13.7142857142857" style="247" customWidth="1"/>
    <col min="6" max="6" width="25.8666666666667" style="247" customWidth="1"/>
    <col min="7" max="8" width="13.1428571428571" style="247"/>
    <col min="9" max="16384" width="9.14285714285714" style="247"/>
  </cols>
  <sheetData>
    <row r="1" s="247" customFormat="1" ht="20" customHeight="1" spans="1:6">
      <c r="A1" s="254" t="s">
        <v>0</v>
      </c>
      <c r="B1" s="255" t="s">
        <v>1</v>
      </c>
      <c r="C1" s="256" t="s">
        <v>2</v>
      </c>
      <c r="D1" s="255" t="s">
        <v>3</v>
      </c>
      <c r="E1" s="255" t="s">
        <v>4</v>
      </c>
      <c r="F1" s="282" t="s">
        <v>5</v>
      </c>
    </row>
    <row r="2" s="247" customFormat="1" ht="14" customHeight="1" spans="1:6">
      <c r="A2" s="283"/>
      <c r="B2" s="284"/>
      <c r="C2" s="285"/>
      <c r="D2" s="7"/>
      <c r="E2" s="7">
        <f t="shared" ref="E2:E7" si="0">SUM(C2*D2)</f>
        <v>0</v>
      </c>
      <c r="F2" s="286">
        <f>SUM(E2:E13)</f>
        <v>0</v>
      </c>
    </row>
    <row r="3" s="247" customFormat="1" ht="14" customHeight="1" spans="1:6">
      <c r="A3" s="287"/>
      <c r="B3" s="284"/>
      <c r="C3" s="285"/>
      <c r="D3" s="7"/>
      <c r="E3" s="7">
        <f t="shared" si="0"/>
        <v>0</v>
      </c>
      <c r="F3" s="288"/>
    </row>
    <row r="4" s="247" customFormat="1" ht="14" customHeight="1" spans="1:6">
      <c r="A4" s="287"/>
      <c r="B4" s="284"/>
      <c r="C4" s="285"/>
      <c r="D4" s="7"/>
      <c r="E4" s="7">
        <f t="shared" si="0"/>
        <v>0</v>
      </c>
      <c r="F4" s="288"/>
    </row>
    <row r="5" s="247" customFormat="1" ht="14" customHeight="1" spans="1:6">
      <c r="A5" s="287"/>
      <c r="B5" s="284"/>
      <c r="C5" s="285"/>
      <c r="D5" s="7"/>
      <c r="E5" s="7">
        <f t="shared" ref="E5:E68" si="1">SUM(C5*D5)</f>
        <v>0</v>
      </c>
      <c r="F5" s="288"/>
    </row>
    <row r="6" s="247" customFormat="1" ht="14" customHeight="1" spans="1:6">
      <c r="A6" s="287"/>
      <c r="B6" s="284"/>
      <c r="C6" s="285"/>
      <c r="D6" s="7"/>
      <c r="E6" s="7">
        <f t="shared" si="1"/>
        <v>0</v>
      </c>
      <c r="F6" s="288"/>
    </row>
    <row r="7" s="247" customFormat="1" ht="14" customHeight="1" spans="1:6">
      <c r="A7" s="287"/>
      <c r="B7" s="284"/>
      <c r="C7" s="285"/>
      <c r="D7" s="7"/>
      <c r="E7" s="7">
        <f t="shared" si="1"/>
        <v>0</v>
      </c>
      <c r="F7" s="288"/>
    </row>
    <row r="8" s="247" customFormat="1" ht="14" customHeight="1" spans="1:6">
      <c r="A8" s="287"/>
      <c r="B8" s="284"/>
      <c r="C8" s="285"/>
      <c r="D8" s="7"/>
      <c r="E8" s="7">
        <f t="shared" si="1"/>
        <v>0</v>
      </c>
      <c r="F8" s="288"/>
    </row>
    <row r="9" s="247" customFormat="1" ht="14" customHeight="1" spans="1:6">
      <c r="A9" s="287"/>
      <c r="B9" s="284"/>
      <c r="C9" s="285"/>
      <c r="D9" s="7"/>
      <c r="E9" s="7">
        <f t="shared" si="1"/>
        <v>0</v>
      </c>
      <c r="F9" s="288"/>
    </row>
    <row r="10" s="247" customFormat="1" ht="14" customHeight="1" spans="1:6">
      <c r="A10" s="287"/>
      <c r="B10" s="284"/>
      <c r="C10" s="285"/>
      <c r="D10" s="7"/>
      <c r="E10" s="7">
        <f t="shared" si="1"/>
        <v>0</v>
      </c>
      <c r="F10" s="288"/>
    </row>
    <row r="11" s="247" customFormat="1" ht="14" customHeight="1" spans="1:6">
      <c r="A11" s="287"/>
      <c r="B11" s="284"/>
      <c r="C11" s="285"/>
      <c r="D11" s="7"/>
      <c r="E11" s="7">
        <f t="shared" si="1"/>
        <v>0</v>
      </c>
      <c r="F11" s="288"/>
    </row>
    <row r="12" s="247" customFormat="1" ht="14" customHeight="1" spans="1:6">
      <c r="A12" s="289"/>
      <c r="B12" s="284"/>
      <c r="C12" s="285"/>
      <c r="D12" s="7"/>
      <c r="E12" s="7">
        <f t="shared" si="1"/>
        <v>0</v>
      </c>
      <c r="F12" s="268"/>
    </row>
    <row r="13" s="247" customFormat="1" ht="14" customHeight="1" spans="1:6">
      <c r="A13" s="283"/>
      <c r="B13" s="284"/>
      <c r="C13" s="285"/>
      <c r="D13" s="7"/>
      <c r="E13" s="7">
        <f t="shared" si="1"/>
        <v>0</v>
      </c>
      <c r="F13" s="286">
        <f>SUM(E13:E19)</f>
        <v>0</v>
      </c>
    </row>
    <row r="14" s="247" customFormat="1" ht="14" customHeight="1" spans="1:6">
      <c r="A14" s="287"/>
      <c r="B14" s="284"/>
      <c r="C14" s="285"/>
      <c r="D14" s="7"/>
      <c r="E14" s="7">
        <f t="shared" si="1"/>
        <v>0</v>
      </c>
      <c r="F14" s="288"/>
    </row>
    <row r="15" s="247" customFormat="1" ht="14" customHeight="1" spans="1:6">
      <c r="A15" s="287"/>
      <c r="B15" s="284"/>
      <c r="C15" s="285"/>
      <c r="D15" s="7"/>
      <c r="E15" s="7">
        <f t="shared" si="1"/>
        <v>0</v>
      </c>
      <c r="F15" s="288"/>
    </row>
    <row r="16" s="247" customFormat="1" ht="14" customHeight="1" spans="1:6">
      <c r="A16" s="287"/>
      <c r="B16" s="284"/>
      <c r="C16" s="285"/>
      <c r="D16" s="7"/>
      <c r="E16" s="7">
        <f t="shared" si="1"/>
        <v>0</v>
      </c>
      <c r="F16" s="288"/>
    </row>
    <row r="17" s="247" customFormat="1" ht="14" customHeight="1" spans="1:6">
      <c r="A17" s="287"/>
      <c r="B17" s="284"/>
      <c r="C17" s="285"/>
      <c r="D17" s="7"/>
      <c r="E17" s="7">
        <f t="shared" si="1"/>
        <v>0</v>
      </c>
      <c r="F17" s="288"/>
    </row>
    <row r="18" s="247" customFormat="1" ht="14" customHeight="1" spans="1:6">
      <c r="A18" s="287"/>
      <c r="B18" s="284"/>
      <c r="C18" s="285"/>
      <c r="D18" s="7"/>
      <c r="E18" s="7">
        <f t="shared" si="1"/>
        <v>0</v>
      </c>
      <c r="F18" s="288"/>
    </row>
    <row r="19" s="247" customFormat="1" ht="14" customHeight="1" spans="1:6">
      <c r="A19" s="287"/>
      <c r="B19" s="290"/>
      <c r="C19" s="291"/>
      <c r="D19" s="286"/>
      <c r="E19" s="7">
        <f t="shared" si="1"/>
        <v>0</v>
      </c>
      <c r="F19" s="288"/>
    </row>
    <row r="20" s="247" customFormat="1" ht="14" customHeight="1" spans="1:6">
      <c r="A20" s="283"/>
      <c r="B20" s="292"/>
      <c r="C20" s="285"/>
      <c r="D20" s="259"/>
      <c r="E20" s="7">
        <f t="shared" si="1"/>
        <v>0</v>
      </c>
      <c r="F20" s="286">
        <f>SUM(E20:E35)</f>
        <v>0</v>
      </c>
    </row>
    <row r="21" s="247" customFormat="1" ht="14" customHeight="1" spans="1:6">
      <c r="A21" s="287"/>
      <c r="B21" s="292"/>
      <c r="C21" s="285"/>
      <c r="D21" s="259"/>
      <c r="E21" s="7">
        <f t="shared" si="1"/>
        <v>0</v>
      </c>
      <c r="F21" s="288"/>
    </row>
    <row r="22" s="247" customFormat="1" ht="14" customHeight="1" spans="1:6">
      <c r="A22" s="287"/>
      <c r="B22" s="292"/>
      <c r="C22" s="285"/>
      <c r="D22" s="259"/>
      <c r="E22" s="7">
        <f t="shared" si="1"/>
        <v>0</v>
      </c>
      <c r="F22" s="288"/>
    </row>
    <row r="23" s="247" customFormat="1" ht="14" customHeight="1" spans="1:6">
      <c r="A23" s="287"/>
      <c r="B23" s="292"/>
      <c r="C23" s="285"/>
      <c r="D23" s="259"/>
      <c r="E23" s="7">
        <f t="shared" si="1"/>
        <v>0</v>
      </c>
      <c r="F23" s="288"/>
    </row>
    <row r="24" s="247" customFormat="1" ht="14" customHeight="1" spans="1:6">
      <c r="A24" s="287"/>
      <c r="B24" s="292"/>
      <c r="C24" s="285"/>
      <c r="D24" s="259"/>
      <c r="E24" s="7">
        <f t="shared" si="1"/>
        <v>0</v>
      </c>
      <c r="F24" s="288"/>
    </row>
    <row r="25" s="247" customFormat="1" ht="14" customHeight="1" spans="1:6">
      <c r="A25" s="287"/>
      <c r="B25" s="292"/>
      <c r="C25" s="285"/>
      <c r="D25" s="259"/>
      <c r="E25" s="7">
        <f t="shared" si="1"/>
        <v>0</v>
      </c>
      <c r="F25" s="288"/>
    </row>
    <row r="26" s="247" customFormat="1" ht="14" customHeight="1" spans="1:6">
      <c r="A26" s="287"/>
      <c r="B26" s="292"/>
      <c r="C26" s="285"/>
      <c r="D26" s="259"/>
      <c r="E26" s="7">
        <f t="shared" si="1"/>
        <v>0</v>
      </c>
      <c r="F26" s="288"/>
    </row>
    <row r="27" s="247" customFormat="1" ht="14" customHeight="1" spans="1:6">
      <c r="A27" s="287"/>
      <c r="B27" s="292"/>
      <c r="C27" s="285"/>
      <c r="D27" s="259"/>
      <c r="E27" s="7">
        <f t="shared" si="1"/>
        <v>0</v>
      </c>
      <c r="F27" s="288"/>
    </row>
    <row r="28" s="247" customFormat="1" ht="14" customHeight="1" spans="1:6">
      <c r="A28" s="287"/>
      <c r="B28" s="292"/>
      <c r="C28" s="285"/>
      <c r="D28" s="259"/>
      <c r="E28" s="7">
        <f t="shared" si="1"/>
        <v>0</v>
      </c>
      <c r="F28" s="288"/>
    </row>
    <row r="29" s="247" customFormat="1" ht="14" customHeight="1" spans="1:6">
      <c r="A29" s="287"/>
      <c r="B29" s="292"/>
      <c r="C29" s="285"/>
      <c r="D29" s="259"/>
      <c r="E29" s="7">
        <f t="shared" si="1"/>
        <v>0</v>
      </c>
      <c r="F29" s="288"/>
    </row>
    <row r="30" s="247" customFormat="1" ht="14" customHeight="1" spans="1:6">
      <c r="A30" s="287"/>
      <c r="B30" s="292"/>
      <c r="C30" s="285"/>
      <c r="D30" s="259"/>
      <c r="E30" s="7">
        <f t="shared" si="1"/>
        <v>0</v>
      </c>
      <c r="F30" s="288"/>
    </row>
    <row r="31" s="247" customFormat="1" ht="14" customHeight="1" spans="1:6">
      <c r="A31" s="287"/>
      <c r="B31" s="292"/>
      <c r="C31" s="285"/>
      <c r="D31" s="259"/>
      <c r="E31" s="7">
        <f t="shared" si="1"/>
        <v>0</v>
      </c>
      <c r="F31" s="288"/>
    </row>
    <row r="32" s="247" customFormat="1" ht="14" customHeight="1" spans="1:6">
      <c r="A32" s="287"/>
      <c r="B32" s="284"/>
      <c r="C32" s="285"/>
      <c r="D32" s="7"/>
      <c r="E32" s="7">
        <f t="shared" si="1"/>
        <v>0</v>
      </c>
      <c r="F32" s="288"/>
    </row>
    <row r="33" s="247" customFormat="1" ht="14" customHeight="1" spans="1:6">
      <c r="A33" s="287"/>
      <c r="B33" s="284"/>
      <c r="C33" s="285"/>
      <c r="D33" s="7"/>
      <c r="E33" s="7">
        <f t="shared" si="1"/>
        <v>0</v>
      </c>
      <c r="F33" s="288"/>
    </row>
    <row r="34" s="247" customFormat="1" ht="14" customHeight="1" spans="1:6">
      <c r="A34" s="287"/>
      <c r="B34" s="284"/>
      <c r="C34" s="285"/>
      <c r="D34" s="7"/>
      <c r="E34" s="7">
        <f t="shared" si="1"/>
        <v>0</v>
      </c>
      <c r="F34" s="288"/>
    </row>
    <row r="35" s="247" customFormat="1" ht="14" customHeight="1" spans="1:6">
      <c r="A35" s="289"/>
      <c r="B35" s="284"/>
      <c r="C35" s="285"/>
      <c r="D35" s="7"/>
      <c r="E35" s="7">
        <f t="shared" si="1"/>
        <v>0</v>
      </c>
      <c r="F35" s="268"/>
    </row>
    <row r="36" s="247" customFormat="1" ht="14" customHeight="1" spans="1:6">
      <c r="A36" s="283"/>
      <c r="B36" s="284"/>
      <c r="C36" s="285"/>
      <c r="D36" s="7"/>
      <c r="E36" s="7">
        <f t="shared" si="1"/>
        <v>0</v>
      </c>
      <c r="F36" s="286">
        <f>SUM(E36:E41)</f>
        <v>0</v>
      </c>
    </row>
    <row r="37" s="247" customFormat="1" ht="14" customHeight="1" spans="1:6">
      <c r="A37" s="287"/>
      <c r="B37" s="284"/>
      <c r="C37" s="285"/>
      <c r="D37" s="7"/>
      <c r="E37" s="7">
        <f t="shared" si="1"/>
        <v>0</v>
      </c>
      <c r="F37" s="288"/>
    </row>
    <row r="38" s="247" customFormat="1" ht="14" customHeight="1" spans="1:6">
      <c r="A38" s="287"/>
      <c r="B38" s="284"/>
      <c r="C38" s="285"/>
      <c r="D38" s="7"/>
      <c r="E38" s="7">
        <f t="shared" si="1"/>
        <v>0</v>
      </c>
      <c r="F38" s="288"/>
    </row>
    <row r="39" s="247" customFormat="1" ht="14" customHeight="1" spans="1:6">
      <c r="A39" s="287"/>
      <c r="B39" s="284"/>
      <c r="C39" s="285"/>
      <c r="D39" s="7"/>
      <c r="E39" s="7">
        <f t="shared" si="1"/>
        <v>0</v>
      </c>
      <c r="F39" s="288"/>
    </row>
    <row r="40" s="247" customFormat="1" ht="14" customHeight="1" spans="1:6">
      <c r="A40" s="287"/>
      <c r="B40" s="284"/>
      <c r="C40" s="285"/>
      <c r="D40" s="7"/>
      <c r="E40" s="7">
        <f t="shared" si="1"/>
        <v>0</v>
      </c>
      <c r="F40" s="288"/>
    </row>
    <row r="41" s="247" customFormat="1" ht="14" customHeight="1" spans="1:6">
      <c r="A41" s="289"/>
      <c r="B41" s="284"/>
      <c r="C41" s="285"/>
      <c r="D41" s="7"/>
      <c r="E41" s="7">
        <f t="shared" si="1"/>
        <v>0</v>
      </c>
      <c r="F41" s="268"/>
    </row>
    <row r="42" s="247" customFormat="1" ht="14" customHeight="1" spans="1:6">
      <c r="A42" s="283"/>
      <c r="B42" s="284"/>
      <c r="C42" s="285"/>
      <c r="D42" s="7"/>
      <c r="E42" s="7">
        <f t="shared" si="1"/>
        <v>0</v>
      </c>
      <c r="F42" s="286">
        <f>SUM(E42:E47)</f>
        <v>0</v>
      </c>
    </row>
    <row r="43" s="247" customFormat="1" ht="14" customHeight="1" spans="1:6">
      <c r="A43" s="287"/>
      <c r="B43" s="284"/>
      <c r="C43" s="285"/>
      <c r="D43" s="7"/>
      <c r="E43" s="7">
        <f t="shared" si="1"/>
        <v>0</v>
      </c>
      <c r="F43" s="288"/>
    </row>
    <row r="44" s="247" customFormat="1" ht="14" customHeight="1" spans="1:6">
      <c r="A44" s="287"/>
      <c r="B44" s="284"/>
      <c r="C44" s="285"/>
      <c r="D44" s="7"/>
      <c r="E44" s="7">
        <f t="shared" si="1"/>
        <v>0</v>
      </c>
      <c r="F44" s="288"/>
    </row>
    <row r="45" s="247" customFormat="1" ht="14" customHeight="1" spans="1:6">
      <c r="A45" s="287"/>
      <c r="B45" s="284"/>
      <c r="C45" s="285"/>
      <c r="D45" s="7"/>
      <c r="E45" s="7">
        <f t="shared" si="1"/>
        <v>0</v>
      </c>
      <c r="F45" s="288"/>
    </row>
    <row r="46" s="247" customFormat="1" ht="14" customHeight="1" spans="1:6">
      <c r="A46" s="287"/>
      <c r="B46" s="284"/>
      <c r="C46" s="285"/>
      <c r="D46" s="7"/>
      <c r="E46" s="7">
        <f t="shared" si="1"/>
        <v>0</v>
      </c>
      <c r="F46" s="288"/>
    </row>
    <row r="47" s="247" customFormat="1" ht="14" customHeight="1" spans="1:6">
      <c r="A47" s="289"/>
      <c r="B47" s="284"/>
      <c r="C47" s="285"/>
      <c r="D47" s="7"/>
      <c r="E47" s="7">
        <f t="shared" si="1"/>
        <v>0</v>
      </c>
      <c r="F47" s="268"/>
    </row>
    <row r="48" s="247" customFormat="1" ht="14" customHeight="1" spans="1:6">
      <c r="A48" s="283"/>
      <c r="B48" s="284"/>
      <c r="C48" s="285"/>
      <c r="D48" s="7"/>
      <c r="E48" s="7">
        <f t="shared" si="1"/>
        <v>0</v>
      </c>
      <c r="F48" s="286">
        <f>SUM(E48:E56)</f>
        <v>0</v>
      </c>
    </row>
    <row r="49" s="247" customFormat="1" ht="14" customHeight="1" spans="1:6">
      <c r="A49" s="287"/>
      <c r="B49" s="284"/>
      <c r="C49" s="285"/>
      <c r="D49" s="7"/>
      <c r="E49" s="7">
        <f t="shared" si="1"/>
        <v>0</v>
      </c>
      <c r="F49" s="288"/>
    </row>
    <row r="50" s="247" customFormat="1" ht="14" customHeight="1" spans="1:6">
      <c r="A50" s="287"/>
      <c r="B50" s="284"/>
      <c r="C50" s="285"/>
      <c r="D50" s="7"/>
      <c r="E50" s="7">
        <f t="shared" si="1"/>
        <v>0</v>
      </c>
      <c r="F50" s="288"/>
    </row>
    <row r="51" s="247" customFormat="1" ht="14" customHeight="1" spans="1:6">
      <c r="A51" s="287"/>
      <c r="B51" s="284"/>
      <c r="C51" s="285"/>
      <c r="D51" s="7"/>
      <c r="E51" s="7">
        <f t="shared" si="1"/>
        <v>0</v>
      </c>
      <c r="F51" s="288"/>
    </row>
    <row r="52" s="247" customFormat="1" ht="14" customHeight="1" spans="1:6">
      <c r="A52" s="287"/>
      <c r="B52" s="284"/>
      <c r="C52" s="285"/>
      <c r="D52" s="7"/>
      <c r="E52" s="7">
        <f t="shared" si="1"/>
        <v>0</v>
      </c>
      <c r="F52" s="288"/>
    </row>
    <row r="53" s="247" customFormat="1" ht="14" customHeight="1" spans="1:6">
      <c r="A53" s="287"/>
      <c r="B53" s="284"/>
      <c r="C53" s="285"/>
      <c r="D53" s="7"/>
      <c r="E53" s="7">
        <f t="shared" si="1"/>
        <v>0</v>
      </c>
      <c r="F53" s="288"/>
    </row>
    <row r="54" s="247" customFormat="1" ht="14" customHeight="1" spans="1:6">
      <c r="A54" s="287"/>
      <c r="B54" s="284"/>
      <c r="C54" s="285"/>
      <c r="D54" s="7"/>
      <c r="E54" s="7">
        <f t="shared" si="1"/>
        <v>0</v>
      </c>
      <c r="F54" s="288"/>
    </row>
    <row r="55" s="247" customFormat="1" ht="14" customHeight="1" spans="1:6">
      <c r="A55" s="287"/>
      <c r="B55" s="284"/>
      <c r="C55" s="285"/>
      <c r="D55" s="7"/>
      <c r="E55" s="7">
        <f t="shared" si="1"/>
        <v>0</v>
      </c>
      <c r="F55" s="288"/>
    </row>
    <row r="56" s="247" customFormat="1" ht="14" customHeight="1" spans="1:6">
      <c r="A56" s="289"/>
      <c r="B56" s="284"/>
      <c r="C56" s="285"/>
      <c r="D56" s="7"/>
      <c r="E56" s="7">
        <f t="shared" si="1"/>
        <v>0</v>
      </c>
      <c r="F56" s="268"/>
    </row>
    <row r="57" s="247" customFormat="1" ht="14" customHeight="1" spans="1:6">
      <c r="A57" s="283"/>
      <c r="B57" s="284"/>
      <c r="C57" s="285"/>
      <c r="D57" s="7"/>
      <c r="E57" s="7">
        <f t="shared" si="1"/>
        <v>0</v>
      </c>
      <c r="F57" s="286">
        <f>SUM(E57:E71)</f>
        <v>0</v>
      </c>
    </row>
    <row r="58" s="247" customFormat="1" ht="14" customHeight="1" spans="1:6">
      <c r="A58" s="287"/>
      <c r="B58" s="284"/>
      <c r="C58" s="285"/>
      <c r="D58" s="7"/>
      <c r="E58" s="7">
        <f t="shared" si="1"/>
        <v>0</v>
      </c>
      <c r="F58" s="288"/>
    </row>
    <row r="59" s="247" customFormat="1" ht="14" customHeight="1" spans="1:6">
      <c r="A59" s="287"/>
      <c r="B59" s="284"/>
      <c r="C59" s="285"/>
      <c r="D59" s="7"/>
      <c r="E59" s="7">
        <f t="shared" si="1"/>
        <v>0</v>
      </c>
      <c r="F59" s="288"/>
    </row>
    <row r="60" s="247" customFormat="1" ht="14" customHeight="1" spans="1:6">
      <c r="A60" s="287"/>
      <c r="B60" s="284"/>
      <c r="C60" s="285"/>
      <c r="D60" s="7"/>
      <c r="E60" s="7">
        <f t="shared" si="1"/>
        <v>0</v>
      </c>
      <c r="F60" s="288"/>
    </row>
    <row r="61" s="247" customFormat="1" ht="14" customHeight="1" spans="1:6">
      <c r="A61" s="287"/>
      <c r="B61" s="284"/>
      <c r="C61" s="285"/>
      <c r="D61" s="7"/>
      <c r="E61" s="7">
        <f t="shared" si="1"/>
        <v>0</v>
      </c>
      <c r="F61" s="288"/>
    </row>
    <row r="62" s="247" customFormat="1" ht="14" customHeight="1" spans="1:6">
      <c r="A62" s="287"/>
      <c r="B62" s="284"/>
      <c r="C62" s="285"/>
      <c r="D62" s="7"/>
      <c r="E62" s="7">
        <f t="shared" si="1"/>
        <v>0</v>
      </c>
      <c r="F62" s="288"/>
    </row>
    <row r="63" s="247" customFormat="1" ht="14" customHeight="1" spans="1:6">
      <c r="A63" s="287"/>
      <c r="B63" s="284"/>
      <c r="C63" s="285"/>
      <c r="D63" s="7"/>
      <c r="E63" s="7">
        <f t="shared" si="1"/>
        <v>0</v>
      </c>
      <c r="F63" s="288"/>
    </row>
    <row r="64" s="247" customFormat="1" ht="14" customHeight="1" spans="1:6">
      <c r="A64" s="287"/>
      <c r="B64" s="284"/>
      <c r="C64" s="285"/>
      <c r="D64" s="7"/>
      <c r="E64" s="7">
        <f t="shared" si="1"/>
        <v>0</v>
      </c>
      <c r="F64" s="288"/>
    </row>
    <row r="65" s="247" customFormat="1" ht="14" customHeight="1" spans="1:6">
      <c r="A65" s="287"/>
      <c r="B65" s="284"/>
      <c r="C65" s="285"/>
      <c r="D65" s="7"/>
      <c r="E65" s="7">
        <f t="shared" si="1"/>
        <v>0</v>
      </c>
      <c r="F65" s="288"/>
    </row>
    <row r="66" s="247" customFormat="1" ht="14" customHeight="1" spans="1:6">
      <c r="A66" s="287"/>
      <c r="B66" s="284"/>
      <c r="C66" s="285"/>
      <c r="D66" s="7"/>
      <c r="E66" s="7">
        <f t="shared" si="1"/>
        <v>0</v>
      </c>
      <c r="F66" s="288"/>
    </row>
    <row r="67" s="247" customFormat="1" ht="14" customHeight="1" spans="1:6">
      <c r="A67" s="287"/>
      <c r="B67" s="284"/>
      <c r="C67" s="285"/>
      <c r="D67" s="7"/>
      <c r="E67" s="7">
        <f t="shared" si="1"/>
        <v>0</v>
      </c>
      <c r="F67" s="288"/>
    </row>
    <row r="68" s="247" customFormat="1" ht="14" customHeight="1" spans="1:6">
      <c r="A68" s="287"/>
      <c r="B68" s="284"/>
      <c r="C68" s="285"/>
      <c r="D68" s="7"/>
      <c r="E68" s="7">
        <f t="shared" si="1"/>
        <v>0</v>
      </c>
      <c r="F68" s="288"/>
    </row>
    <row r="69" s="247" customFormat="1" ht="14" customHeight="1" spans="1:6">
      <c r="A69" s="287"/>
      <c r="B69" s="284"/>
      <c r="C69" s="285"/>
      <c r="D69" s="7"/>
      <c r="E69" s="7">
        <f t="shared" ref="E69:E132" si="2">SUM(C69*D69)</f>
        <v>0</v>
      </c>
      <c r="F69" s="288"/>
    </row>
    <row r="70" s="247" customFormat="1" ht="14" customHeight="1" spans="1:6">
      <c r="A70" s="287"/>
      <c r="B70" s="284"/>
      <c r="C70" s="285"/>
      <c r="D70" s="7"/>
      <c r="E70" s="7">
        <f t="shared" si="2"/>
        <v>0</v>
      </c>
      <c r="F70" s="288"/>
    </row>
    <row r="71" s="247" customFormat="1" ht="14" customHeight="1" spans="1:6">
      <c r="A71" s="289"/>
      <c r="B71" s="284"/>
      <c r="C71" s="285"/>
      <c r="D71" s="7"/>
      <c r="E71" s="7">
        <f t="shared" si="2"/>
        <v>0</v>
      </c>
      <c r="F71" s="268"/>
    </row>
    <row r="72" s="247" customFormat="1" ht="14" customHeight="1" spans="1:6">
      <c r="A72" s="283"/>
      <c r="B72" s="284"/>
      <c r="C72" s="285"/>
      <c r="D72" s="7"/>
      <c r="E72" s="7">
        <f t="shared" si="2"/>
        <v>0</v>
      </c>
      <c r="F72" s="286">
        <f>-SUM(E72:E83)</f>
        <v>0</v>
      </c>
    </row>
    <row r="73" s="247" customFormat="1" ht="14" customHeight="1" spans="1:6">
      <c r="A73" s="287"/>
      <c r="B73" s="284"/>
      <c r="C73" s="285"/>
      <c r="D73" s="7"/>
      <c r="E73" s="7">
        <f t="shared" si="2"/>
        <v>0</v>
      </c>
      <c r="F73" s="288"/>
    </row>
    <row r="74" s="247" customFormat="1" ht="14" customHeight="1" spans="1:8">
      <c r="A74" s="287"/>
      <c r="B74" s="284"/>
      <c r="C74" s="285"/>
      <c r="D74" s="7"/>
      <c r="E74" s="7">
        <f t="shared" si="2"/>
        <v>0</v>
      </c>
      <c r="F74" s="288"/>
      <c r="H74" s="269"/>
    </row>
    <row r="75" s="247" customFormat="1" ht="14" customHeight="1" spans="1:6">
      <c r="A75" s="287"/>
      <c r="B75" s="284"/>
      <c r="C75" s="285"/>
      <c r="D75" s="7"/>
      <c r="E75" s="7">
        <f t="shared" si="2"/>
        <v>0</v>
      </c>
      <c r="F75" s="288"/>
    </row>
    <row r="76" s="247" customFormat="1" ht="14" customHeight="1" spans="1:6">
      <c r="A76" s="287"/>
      <c r="B76" s="284"/>
      <c r="C76" s="285"/>
      <c r="D76" s="7"/>
      <c r="E76" s="7">
        <f t="shared" si="2"/>
        <v>0</v>
      </c>
      <c r="F76" s="288"/>
    </row>
    <row r="77" s="247" customFormat="1" ht="14" customHeight="1" spans="1:6">
      <c r="A77" s="287"/>
      <c r="B77" s="284"/>
      <c r="C77" s="285"/>
      <c r="D77" s="7"/>
      <c r="E77" s="7">
        <f t="shared" si="2"/>
        <v>0</v>
      </c>
      <c r="F77" s="288"/>
    </row>
    <row r="78" s="247" customFormat="1" ht="14" customHeight="1" spans="1:6">
      <c r="A78" s="287"/>
      <c r="B78" s="284"/>
      <c r="C78" s="285"/>
      <c r="D78" s="7"/>
      <c r="E78" s="7">
        <f t="shared" si="2"/>
        <v>0</v>
      </c>
      <c r="F78" s="288"/>
    </row>
    <row r="79" s="247" customFormat="1" ht="14" customHeight="1" spans="1:6">
      <c r="A79" s="287"/>
      <c r="B79" s="284"/>
      <c r="C79" s="285"/>
      <c r="D79" s="7"/>
      <c r="E79" s="7">
        <f t="shared" si="2"/>
        <v>0</v>
      </c>
      <c r="F79" s="288"/>
    </row>
    <row r="80" s="247" customFormat="1" ht="14" customHeight="1" spans="1:6">
      <c r="A80" s="287"/>
      <c r="B80" s="284"/>
      <c r="C80" s="285"/>
      <c r="D80" s="7"/>
      <c r="E80" s="7">
        <f t="shared" si="2"/>
        <v>0</v>
      </c>
      <c r="F80" s="288"/>
    </row>
    <row r="81" s="247" customFormat="1" ht="14" customHeight="1" spans="1:6">
      <c r="A81" s="287"/>
      <c r="B81" s="292"/>
      <c r="C81" s="293"/>
      <c r="D81" s="7"/>
      <c r="E81" s="7">
        <f t="shared" si="2"/>
        <v>0</v>
      </c>
      <c r="F81" s="288"/>
    </row>
    <row r="82" s="247" customFormat="1" ht="14" customHeight="1" spans="1:6">
      <c r="A82" s="287"/>
      <c r="B82" s="292"/>
      <c r="C82" s="293"/>
      <c r="D82" s="7"/>
      <c r="E82" s="7">
        <f t="shared" si="2"/>
        <v>0</v>
      </c>
      <c r="F82" s="288"/>
    </row>
    <row r="83" s="247" customFormat="1" ht="14" customHeight="1" spans="1:6">
      <c r="A83" s="289"/>
      <c r="B83" s="292"/>
      <c r="C83" s="293"/>
      <c r="D83" s="7"/>
      <c r="E83" s="7">
        <f t="shared" si="2"/>
        <v>0</v>
      </c>
      <c r="F83" s="268"/>
    </row>
    <row r="84" s="247" customFormat="1" ht="14" customHeight="1" spans="1:6">
      <c r="A84" s="283"/>
      <c r="B84" s="292"/>
      <c r="C84" s="293"/>
      <c r="D84" s="7"/>
      <c r="E84" s="7">
        <f t="shared" si="2"/>
        <v>0</v>
      </c>
      <c r="F84" s="286">
        <f>SUM(E84:E90)</f>
        <v>0</v>
      </c>
    </row>
    <row r="85" s="247" customFormat="1" ht="14" customHeight="1" spans="1:6">
      <c r="A85" s="287"/>
      <c r="B85" s="292"/>
      <c r="C85" s="293"/>
      <c r="D85" s="7"/>
      <c r="E85" s="7">
        <f t="shared" si="2"/>
        <v>0</v>
      </c>
      <c r="F85" s="288"/>
    </row>
    <row r="86" s="247" customFormat="1" ht="14" customHeight="1" spans="1:6">
      <c r="A86" s="287"/>
      <c r="B86" s="292"/>
      <c r="C86" s="293"/>
      <c r="D86" s="7"/>
      <c r="E86" s="7">
        <f t="shared" si="2"/>
        <v>0</v>
      </c>
      <c r="F86" s="288"/>
    </row>
    <row r="87" s="247" customFormat="1" ht="14" customHeight="1" spans="1:6">
      <c r="A87" s="287"/>
      <c r="B87" s="292"/>
      <c r="C87" s="293"/>
      <c r="D87" s="7"/>
      <c r="E87" s="7">
        <f t="shared" si="2"/>
        <v>0</v>
      </c>
      <c r="F87" s="288"/>
    </row>
    <row r="88" s="247" customFormat="1" ht="14" customHeight="1" spans="1:6">
      <c r="A88" s="287"/>
      <c r="B88" s="292"/>
      <c r="C88" s="293"/>
      <c r="D88" s="7"/>
      <c r="E88" s="7">
        <f t="shared" si="2"/>
        <v>0</v>
      </c>
      <c r="F88" s="288"/>
    </row>
    <row r="89" s="247" customFormat="1" ht="14" customHeight="1" spans="1:6">
      <c r="A89" s="287"/>
      <c r="B89" s="292"/>
      <c r="C89" s="293"/>
      <c r="D89" s="7"/>
      <c r="E89" s="7">
        <f t="shared" si="2"/>
        <v>0</v>
      </c>
      <c r="F89" s="288"/>
    </row>
    <row r="90" s="247" customFormat="1" ht="14" customHeight="1" spans="1:6">
      <c r="A90" s="289"/>
      <c r="B90" s="292"/>
      <c r="C90" s="293"/>
      <c r="D90" s="7"/>
      <c r="E90" s="7">
        <f t="shared" si="2"/>
        <v>0</v>
      </c>
      <c r="F90" s="268"/>
    </row>
    <row r="91" s="247" customFormat="1" ht="14" customHeight="1" spans="1:6">
      <c r="A91" s="283"/>
      <c r="B91" s="292"/>
      <c r="C91" s="293"/>
      <c r="D91" s="7"/>
      <c r="E91" s="7">
        <f t="shared" si="2"/>
        <v>0</v>
      </c>
      <c r="F91" s="286">
        <f>SUM(E91:E105)</f>
        <v>0</v>
      </c>
    </row>
    <row r="92" s="247" customFormat="1" ht="14" customHeight="1" spans="1:6">
      <c r="A92" s="287"/>
      <c r="B92" s="292"/>
      <c r="C92" s="293"/>
      <c r="D92" s="7"/>
      <c r="E92" s="7">
        <f t="shared" si="2"/>
        <v>0</v>
      </c>
      <c r="F92" s="288"/>
    </row>
    <row r="93" s="247" customFormat="1" ht="14" customHeight="1" spans="1:6">
      <c r="A93" s="287"/>
      <c r="B93" s="292"/>
      <c r="C93" s="293"/>
      <c r="D93" s="7"/>
      <c r="E93" s="7">
        <f t="shared" si="2"/>
        <v>0</v>
      </c>
      <c r="F93" s="288"/>
    </row>
    <row r="94" s="247" customFormat="1" ht="14" customHeight="1" spans="1:6">
      <c r="A94" s="287"/>
      <c r="B94" s="292"/>
      <c r="C94" s="293"/>
      <c r="D94" s="7"/>
      <c r="E94" s="7">
        <f t="shared" si="2"/>
        <v>0</v>
      </c>
      <c r="F94" s="288"/>
    </row>
    <row r="95" s="247" customFormat="1" ht="14" customHeight="1" spans="1:6">
      <c r="A95" s="287"/>
      <c r="B95" s="292"/>
      <c r="C95" s="293"/>
      <c r="D95" s="7"/>
      <c r="E95" s="7">
        <f t="shared" si="2"/>
        <v>0</v>
      </c>
      <c r="F95" s="288"/>
    </row>
    <row r="96" s="247" customFormat="1" ht="14" customHeight="1" spans="1:6">
      <c r="A96" s="287"/>
      <c r="B96" s="292"/>
      <c r="C96" s="293"/>
      <c r="D96" s="7"/>
      <c r="E96" s="7">
        <f t="shared" si="2"/>
        <v>0</v>
      </c>
      <c r="F96" s="288"/>
    </row>
    <row r="97" s="247" customFormat="1" ht="14" customHeight="1" spans="1:6">
      <c r="A97" s="287"/>
      <c r="B97" s="292"/>
      <c r="C97" s="293"/>
      <c r="D97" s="7"/>
      <c r="E97" s="7">
        <f t="shared" si="2"/>
        <v>0</v>
      </c>
      <c r="F97" s="288"/>
    </row>
    <row r="98" s="247" customFormat="1" ht="14" customHeight="1" spans="1:6">
      <c r="A98" s="287"/>
      <c r="B98" s="292"/>
      <c r="C98" s="293"/>
      <c r="D98" s="7"/>
      <c r="E98" s="7">
        <f t="shared" si="2"/>
        <v>0</v>
      </c>
      <c r="F98" s="288"/>
    </row>
    <row r="99" s="247" customFormat="1" ht="14" customHeight="1" spans="1:6">
      <c r="A99" s="287"/>
      <c r="B99" s="292"/>
      <c r="C99" s="293"/>
      <c r="D99" s="7"/>
      <c r="E99" s="7">
        <f t="shared" si="2"/>
        <v>0</v>
      </c>
      <c r="F99" s="288"/>
    </row>
    <row r="100" s="247" customFormat="1" ht="14" customHeight="1" spans="1:6">
      <c r="A100" s="287"/>
      <c r="B100" s="292"/>
      <c r="C100" s="293"/>
      <c r="D100" s="7"/>
      <c r="E100" s="7">
        <f t="shared" si="2"/>
        <v>0</v>
      </c>
      <c r="F100" s="288"/>
    </row>
    <row r="101" s="247" customFormat="1" ht="14" customHeight="1" spans="1:6">
      <c r="A101" s="287"/>
      <c r="B101" s="292"/>
      <c r="C101" s="293"/>
      <c r="D101" s="7"/>
      <c r="E101" s="7">
        <f t="shared" si="2"/>
        <v>0</v>
      </c>
      <c r="F101" s="288"/>
    </row>
    <row r="102" s="247" customFormat="1" ht="14" customHeight="1" spans="1:6">
      <c r="A102" s="287"/>
      <c r="B102" s="292"/>
      <c r="C102" s="293"/>
      <c r="D102" s="7"/>
      <c r="E102" s="7">
        <f t="shared" si="2"/>
        <v>0</v>
      </c>
      <c r="F102" s="288"/>
    </row>
    <row r="103" s="247" customFormat="1" ht="14" customHeight="1" spans="1:6">
      <c r="A103" s="287"/>
      <c r="B103" s="292"/>
      <c r="C103" s="293"/>
      <c r="D103" s="7"/>
      <c r="E103" s="7">
        <f t="shared" si="2"/>
        <v>0</v>
      </c>
      <c r="F103" s="288"/>
    </row>
    <row r="104" s="247" customFormat="1" ht="14" customHeight="1" spans="1:6">
      <c r="A104" s="287"/>
      <c r="B104" s="292"/>
      <c r="C104" s="293"/>
      <c r="D104" s="7"/>
      <c r="E104" s="7">
        <f t="shared" si="2"/>
        <v>0</v>
      </c>
      <c r="F104" s="288"/>
    </row>
    <row r="105" s="247" customFormat="1" ht="14" customHeight="1" spans="1:6">
      <c r="A105" s="289"/>
      <c r="B105" s="292"/>
      <c r="C105" s="293"/>
      <c r="D105" s="7"/>
      <c r="E105" s="7">
        <f t="shared" si="2"/>
        <v>0</v>
      </c>
      <c r="F105" s="268"/>
    </row>
    <row r="106" s="247" customFormat="1" ht="14" customHeight="1" spans="1:6">
      <c r="A106" s="283"/>
      <c r="B106" s="292"/>
      <c r="C106" s="293"/>
      <c r="D106" s="7"/>
      <c r="E106" s="7">
        <f t="shared" si="2"/>
        <v>0</v>
      </c>
      <c r="F106" s="286">
        <f>SUM(E106:E121)</f>
        <v>0</v>
      </c>
    </row>
    <row r="107" s="247" customFormat="1" ht="14" customHeight="1" spans="1:6">
      <c r="A107" s="287"/>
      <c r="B107" s="292"/>
      <c r="C107" s="293"/>
      <c r="D107" s="7"/>
      <c r="E107" s="7">
        <f t="shared" si="2"/>
        <v>0</v>
      </c>
      <c r="F107" s="288"/>
    </row>
    <row r="108" s="247" customFormat="1" ht="14" customHeight="1" spans="1:6">
      <c r="A108" s="287"/>
      <c r="B108" s="292"/>
      <c r="C108" s="293"/>
      <c r="D108" s="7"/>
      <c r="E108" s="7">
        <f t="shared" si="2"/>
        <v>0</v>
      </c>
      <c r="F108" s="288"/>
    </row>
    <row r="109" s="247" customFormat="1" ht="14" customHeight="1" spans="1:6">
      <c r="A109" s="287"/>
      <c r="B109" s="292"/>
      <c r="C109" s="293"/>
      <c r="D109" s="7"/>
      <c r="E109" s="7">
        <f t="shared" si="2"/>
        <v>0</v>
      </c>
      <c r="F109" s="288"/>
    </row>
    <row r="110" s="247" customFormat="1" ht="14" customHeight="1" spans="1:6">
      <c r="A110" s="287"/>
      <c r="B110" s="292"/>
      <c r="C110" s="293"/>
      <c r="D110" s="7"/>
      <c r="E110" s="7">
        <f t="shared" si="2"/>
        <v>0</v>
      </c>
      <c r="F110" s="288"/>
    </row>
    <row r="111" s="247" customFormat="1" ht="14" customHeight="1" spans="1:6">
      <c r="A111" s="287"/>
      <c r="B111" s="292"/>
      <c r="C111" s="293"/>
      <c r="D111" s="7"/>
      <c r="E111" s="7">
        <f t="shared" si="2"/>
        <v>0</v>
      </c>
      <c r="F111" s="288"/>
    </row>
    <row r="112" s="247" customFormat="1" ht="14" customHeight="1" spans="1:6">
      <c r="A112" s="287"/>
      <c r="B112" s="292"/>
      <c r="C112" s="293"/>
      <c r="D112" s="7"/>
      <c r="E112" s="7">
        <f t="shared" si="2"/>
        <v>0</v>
      </c>
      <c r="F112" s="288"/>
    </row>
    <row r="113" s="247" customFormat="1" ht="14" customHeight="1" spans="1:6">
      <c r="A113" s="287"/>
      <c r="B113" s="292"/>
      <c r="C113" s="293"/>
      <c r="D113" s="7"/>
      <c r="E113" s="7">
        <f t="shared" si="2"/>
        <v>0</v>
      </c>
      <c r="F113" s="288"/>
    </row>
    <row r="114" s="247" customFormat="1" ht="14" customHeight="1" spans="1:6">
      <c r="A114" s="287"/>
      <c r="B114" s="292"/>
      <c r="C114" s="293"/>
      <c r="D114" s="7"/>
      <c r="E114" s="7">
        <f t="shared" si="2"/>
        <v>0</v>
      </c>
      <c r="F114" s="288"/>
    </row>
    <row r="115" s="247" customFormat="1" ht="14" customHeight="1" spans="1:6">
      <c r="A115" s="287"/>
      <c r="B115" s="292"/>
      <c r="C115" s="293"/>
      <c r="D115" s="7"/>
      <c r="E115" s="7">
        <f t="shared" si="2"/>
        <v>0</v>
      </c>
      <c r="F115" s="288"/>
    </row>
    <row r="116" s="247" customFormat="1" ht="14" customHeight="1" spans="1:6">
      <c r="A116" s="287"/>
      <c r="B116" s="292"/>
      <c r="C116" s="293"/>
      <c r="D116" s="7"/>
      <c r="E116" s="7">
        <f t="shared" si="2"/>
        <v>0</v>
      </c>
      <c r="F116" s="288"/>
    </row>
    <row r="117" s="247" customFormat="1" ht="14" customHeight="1" spans="1:6">
      <c r="A117" s="287"/>
      <c r="B117" s="292"/>
      <c r="C117" s="293"/>
      <c r="D117" s="7"/>
      <c r="E117" s="7">
        <f t="shared" si="2"/>
        <v>0</v>
      </c>
      <c r="F117" s="288"/>
    </row>
    <row r="118" s="247" customFormat="1" ht="14" customHeight="1" spans="1:6">
      <c r="A118" s="287"/>
      <c r="B118" s="292"/>
      <c r="C118" s="293"/>
      <c r="D118" s="7"/>
      <c r="E118" s="7">
        <f t="shared" si="2"/>
        <v>0</v>
      </c>
      <c r="F118" s="288"/>
    </row>
    <row r="119" s="247" customFormat="1" ht="14" customHeight="1" spans="1:6">
      <c r="A119" s="287"/>
      <c r="B119" s="292"/>
      <c r="C119" s="293"/>
      <c r="D119" s="7"/>
      <c r="E119" s="7">
        <f t="shared" si="2"/>
        <v>0</v>
      </c>
      <c r="F119" s="288"/>
    </row>
    <row r="120" s="247" customFormat="1" ht="14" customHeight="1" spans="1:6">
      <c r="A120" s="287"/>
      <c r="B120" s="292"/>
      <c r="C120" s="293"/>
      <c r="D120" s="7"/>
      <c r="E120" s="7">
        <f t="shared" si="2"/>
        <v>0</v>
      </c>
      <c r="F120" s="288"/>
    </row>
    <row r="121" s="247" customFormat="1" ht="14" customHeight="1" spans="1:6">
      <c r="A121" s="289"/>
      <c r="B121" s="292"/>
      <c r="C121" s="293"/>
      <c r="D121" s="7"/>
      <c r="E121" s="7">
        <f t="shared" si="2"/>
        <v>0</v>
      </c>
      <c r="F121" s="268"/>
    </row>
    <row r="122" s="247" customFormat="1" ht="14" customHeight="1" spans="1:6">
      <c r="A122" s="294"/>
      <c r="B122" s="292"/>
      <c r="C122" s="293"/>
      <c r="D122" s="7"/>
      <c r="E122" s="7">
        <f t="shared" si="2"/>
        <v>0</v>
      </c>
      <c r="F122" s="259">
        <f>SUM(E122)</f>
        <v>0</v>
      </c>
    </row>
    <row r="123" s="247" customFormat="1" ht="14" customHeight="1" spans="1:7">
      <c r="A123" s="294"/>
      <c r="B123" s="292"/>
      <c r="C123" s="293"/>
      <c r="D123" s="7"/>
      <c r="E123" s="7">
        <f t="shared" si="2"/>
        <v>0</v>
      </c>
      <c r="F123" s="7">
        <f>SUM(E123:E127)</f>
        <v>0</v>
      </c>
      <c r="G123" s="269"/>
    </row>
    <row r="124" s="247" customFormat="1" spans="1:6">
      <c r="A124" s="294"/>
      <c r="B124" s="292"/>
      <c r="C124" s="293"/>
      <c r="D124" s="7"/>
      <c r="E124" s="7">
        <f t="shared" si="2"/>
        <v>0</v>
      </c>
      <c r="F124" s="7"/>
    </row>
    <row r="125" s="247" customFormat="1" spans="1:6">
      <c r="A125" s="294"/>
      <c r="B125" s="292"/>
      <c r="C125" s="293"/>
      <c r="D125" s="7"/>
      <c r="E125" s="7">
        <f t="shared" si="2"/>
        <v>0</v>
      </c>
      <c r="F125" s="7"/>
    </row>
    <row r="126" s="247" customFormat="1" spans="1:6">
      <c r="A126" s="294"/>
      <c r="B126" s="292"/>
      <c r="C126" s="293"/>
      <c r="D126" s="7"/>
      <c r="E126" s="7">
        <f t="shared" si="2"/>
        <v>0</v>
      </c>
      <c r="F126" s="7"/>
    </row>
    <row r="127" s="247" customFormat="1" spans="1:6">
      <c r="A127" s="294"/>
      <c r="B127" s="292"/>
      <c r="C127" s="293"/>
      <c r="D127" s="7"/>
      <c r="E127" s="7">
        <f t="shared" si="2"/>
        <v>0</v>
      </c>
      <c r="F127" s="7"/>
    </row>
    <row r="128" s="247" customFormat="1" spans="1:6">
      <c r="A128" s="287"/>
      <c r="B128" s="295"/>
      <c r="C128" s="296"/>
      <c r="D128" s="268"/>
      <c r="E128" s="7">
        <f t="shared" si="2"/>
        <v>0</v>
      </c>
      <c r="F128" s="286">
        <f>SUM(E128:E134)</f>
        <v>0</v>
      </c>
    </row>
    <row r="129" s="247" customFormat="1" spans="1:6">
      <c r="A129" s="287"/>
      <c r="B129" s="292"/>
      <c r="C129" s="293"/>
      <c r="D129" s="7"/>
      <c r="E129" s="7">
        <f t="shared" si="2"/>
        <v>0</v>
      </c>
      <c r="F129" s="288"/>
    </row>
    <row r="130" s="247" customFormat="1" spans="1:6">
      <c r="A130" s="287"/>
      <c r="B130" s="292"/>
      <c r="C130" s="293"/>
      <c r="D130" s="7"/>
      <c r="E130" s="7">
        <f t="shared" si="2"/>
        <v>0</v>
      </c>
      <c r="F130" s="288"/>
    </row>
    <row r="131" s="247" customFormat="1" spans="1:6">
      <c r="A131" s="287"/>
      <c r="B131" s="292"/>
      <c r="C131" s="293"/>
      <c r="D131" s="7"/>
      <c r="E131" s="7">
        <f t="shared" si="2"/>
        <v>0</v>
      </c>
      <c r="F131" s="288"/>
    </row>
    <row r="132" s="247" customFormat="1" spans="1:6">
      <c r="A132" s="287"/>
      <c r="B132" s="292"/>
      <c r="C132" s="293"/>
      <c r="D132" s="7"/>
      <c r="E132" s="7">
        <f t="shared" si="2"/>
        <v>0</v>
      </c>
      <c r="F132" s="288"/>
    </row>
    <row r="133" s="247" customFormat="1" spans="1:6">
      <c r="A133" s="287"/>
      <c r="B133" s="292"/>
      <c r="C133" s="293"/>
      <c r="D133" s="7"/>
      <c r="E133" s="7">
        <f t="shared" ref="E133:E196" si="3">SUM(C133*D133)</f>
        <v>0</v>
      </c>
      <c r="F133" s="288"/>
    </row>
    <row r="134" s="247" customFormat="1" spans="1:6">
      <c r="A134" s="289"/>
      <c r="B134" s="292"/>
      <c r="C134" s="293"/>
      <c r="D134" s="7"/>
      <c r="E134" s="7">
        <f t="shared" si="3"/>
        <v>0</v>
      </c>
      <c r="F134" s="268"/>
    </row>
    <row r="135" s="247" customFormat="1" spans="1:6">
      <c r="A135" s="283"/>
      <c r="B135" s="292"/>
      <c r="C135" s="293"/>
      <c r="D135" s="7"/>
      <c r="E135" s="7">
        <f t="shared" si="3"/>
        <v>0</v>
      </c>
      <c r="F135" s="286">
        <f>SUM(E135:E142)</f>
        <v>0</v>
      </c>
    </row>
    <row r="136" s="247" customFormat="1" spans="1:6">
      <c r="A136" s="287"/>
      <c r="B136" s="292"/>
      <c r="C136" s="293"/>
      <c r="D136" s="7"/>
      <c r="E136" s="7">
        <f t="shared" si="3"/>
        <v>0</v>
      </c>
      <c r="F136" s="288"/>
    </row>
    <row r="137" s="247" customFormat="1" spans="1:6">
      <c r="A137" s="287"/>
      <c r="B137" s="292"/>
      <c r="C137" s="293"/>
      <c r="D137" s="7"/>
      <c r="E137" s="7">
        <f t="shared" si="3"/>
        <v>0</v>
      </c>
      <c r="F137" s="288"/>
    </row>
    <row r="138" s="247" customFormat="1" spans="1:6">
      <c r="A138" s="287"/>
      <c r="B138" s="292"/>
      <c r="C138" s="293"/>
      <c r="D138" s="7"/>
      <c r="E138" s="7">
        <f t="shared" si="3"/>
        <v>0</v>
      </c>
      <c r="F138" s="288"/>
    </row>
    <row r="139" s="247" customFormat="1" spans="1:6">
      <c r="A139" s="287"/>
      <c r="B139" s="292"/>
      <c r="C139" s="293"/>
      <c r="D139" s="7"/>
      <c r="E139" s="7">
        <f t="shared" si="3"/>
        <v>0</v>
      </c>
      <c r="F139" s="288"/>
    </row>
    <row r="140" s="247" customFormat="1" spans="1:6">
      <c r="A140" s="287"/>
      <c r="B140" s="292"/>
      <c r="C140" s="293"/>
      <c r="D140" s="7"/>
      <c r="E140" s="7">
        <f t="shared" si="3"/>
        <v>0</v>
      </c>
      <c r="F140" s="288"/>
    </row>
    <row r="141" s="247" customFormat="1" spans="1:6">
      <c r="A141" s="287"/>
      <c r="B141" s="292"/>
      <c r="C141" s="293"/>
      <c r="D141" s="7"/>
      <c r="E141" s="7">
        <f t="shared" si="3"/>
        <v>0</v>
      </c>
      <c r="F141" s="288"/>
    </row>
    <row r="142" s="247" customFormat="1" spans="1:6">
      <c r="A142" s="289"/>
      <c r="B142" s="292"/>
      <c r="C142" s="293"/>
      <c r="D142" s="7"/>
      <c r="E142" s="7">
        <f t="shared" si="3"/>
        <v>0</v>
      </c>
      <c r="F142" s="268"/>
    </row>
    <row r="143" s="247" customFormat="1" spans="1:6">
      <c r="A143" s="283"/>
      <c r="B143" s="292"/>
      <c r="C143" s="293"/>
      <c r="D143" s="7"/>
      <c r="E143" s="7">
        <f t="shared" si="3"/>
        <v>0</v>
      </c>
      <c r="F143" s="286">
        <f>SUM(E143:E149)</f>
        <v>0</v>
      </c>
    </row>
    <row r="144" s="247" customFormat="1" spans="1:6">
      <c r="A144" s="287"/>
      <c r="B144" s="292"/>
      <c r="C144" s="293"/>
      <c r="D144" s="7"/>
      <c r="E144" s="7">
        <f t="shared" si="3"/>
        <v>0</v>
      </c>
      <c r="F144" s="288"/>
    </row>
    <row r="145" s="247" customFormat="1" spans="1:6">
      <c r="A145" s="287"/>
      <c r="B145" s="292"/>
      <c r="C145" s="293"/>
      <c r="D145" s="7"/>
      <c r="E145" s="7">
        <f t="shared" si="3"/>
        <v>0</v>
      </c>
      <c r="F145" s="288"/>
    </row>
    <row r="146" s="247" customFormat="1" spans="1:6">
      <c r="A146" s="287"/>
      <c r="B146" s="292"/>
      <c r="C146" s="293"/>
      <c r="D146" s="7"/>
      <c r="E146" s="7">
        <f t="shared" si="3"/>
        <v>0</v>
      </c>
      <c r="F146" s="288"/>
    </row>
    <row r="147" s="247" customFormat="1" spans="1:6">
      <c r="A147" s="287"/>
      <c r="B147" s="292"/>
      <c r="C147" s="293"/>
      <c r="D147" s="7"/>
      <c r="E147" s="7">
        <f t="shared" si="3"/>
        <v>0</v>
      </c>
      <c r="F147" s="288"/>
    </row>
    <row r="148" s="247" customFormat="1" spans="1:6">
      <c r="A148" s="287"/>
      <c r="B148" s="292"/>
      <c r="C148" s="293"/>
      <c r="D148" s="7"/>
      <c r="E148" s="7">
        <f t="shared" si="3"/>
        <v>0</v>
      </c>
      <c r="F148" s="288"/>
    </row>
    <row r="149" s="247" customFormat="1" spans="1:6">
      <c r="A149" s="289"/>
      <c r="B149" s="292"/>
      <c r="C149" s="293"/>
      <c r="D149" s="7"/>
      <c r="E149" s="7">
        <f t="shared" si="3"/>
        <v>0</v>
      </c>
      <c r="F149" s="268"/>
    </row>
    <row r="150" s="247" customFormat="1" spans="1:6">
      <c r="A150" s="283"/>
      <c r="B150" s="292"/>
      <c r="C150" s="293"/>
      <c r="D150" s="7"/>
      <c r="E150" s="7">
        <f t="shared" si="3"/>
        <v>0</v>
      </c>
      <c r="F150" s="286">
        <f>SUM(E150:E159)</f>
        <v>0</v>
      </c>
    </row>
    <row r="151" s="247" customFormat="1" spans="1:6">
      <c r="A151" s="287"/>
      <c r="B151" s="292"/>
      <c r="C151" s="293"/>
      <c r="D151" s="7"/>
      <c r="E151" s="7">
        <f t="shared" si="3"/>
        <v>0</v>
      </c>
      <c r="F151" s="288"/>
    </row>
    <row r="152" s="247" customFormat="1" spans="1:6">
      <c r="A152" s="287"/>
      <c r="B152" s="292"/>
      <c r="C152" s="293"/>
      <c r="D152" s="7"/>
      <c r="E152" s="7">
        <f t="shared" si="3"/>
        <v>0</v>
      </c>
      <c r="F152" s="288"/>
    </row>
    <row r="153" s="247" customFormat="1" spans="1:6">
      <c r="A153" s="287"/>
      <c r="B153" s="292"/>
      <c r="C153" s="293"/>
      <c r="D153" s="7"/>
      <c r="E153" s="7">
        <f t="shared" si="3"/>
        <v>0</v>
      </c>
      <c r="F153" s="288"/>
    </row>
    <row r="154" s="247" customFormat="1" spans="1:6">
      <c r="A154" s="287"/>
      <c r="B154" s="292"/>
      <c r="C154" s="293"/>
      <c r="D154" s="7"/>
      <c r="E154" s="7">
        <f t="shared" si="3"/>
        <v>0</v>
      </c>
      <c r="F154" s="288"/>
    </row>
    <row r="155" s="247" customFormat="1" spans="1:6">
      <c r="A155" s="287"/>
      <c r="B155" s="292"/>
      <c r="C155" s="293"/>
      <c r="D155" s="7"/>
      <c r="E155" s="7">
        <f t="shared" si="3"/>
        <v>0</v>
      </c>
      <c r="F155" s="288"/>
    </row>
    <row r="156" s="247" customFormat="1" spans="1:6">
      <c r="A156" s="287"/>
      <c r="B156" s="292"/>
      <c r="C156" s="293"/>
      <c r="D156" s="7"/>
      <c r="E156" s="7">
        <f t="shared" si="3"/>
        <v>0</v>
      </c>
      <c r="F156" s="288"/>
    </row>
    <row r="157" s="247" customFormat="1" spans="1:6">
      <c r="A157" s="287"/>
      <c r="B157" s="292"/>
      <c r="C157" s="293"/>
      <c r="D157" s="7"/>
      <c r="E157" s="7">
        <f t="shared" si="3"/>
        <v>0</v>
      </c>
      <c r="F157" s="288"/>
    </row>
    <row r="158" s="247" customFormat="1" spans="1:6">
      <c r="A158" s="287"/>
      <c r="B158" s="292"/>
      <c r="C158" s="293"/>
      <c r="D158" s="7"/>
      <c r="E158" s="7">
        <f t="shared" si="3"/>
        <v>0</v>
      </c>
      <c r="F158" s="288"/>
    </row>
    <row r="159" s="247" customFormat="1" spans="1:6">
      <c r="A159" s="289"/>
      <c r="B159" s="292"/>
      <c r="C159" s="293"/>
      <c r="D159" s="7"/>
      <c r="E159" s="7">
        <f t="shared" si="3"/>
        <v>0</v>
      </c>
      <c r="F159" s="268"/>
    </row>
    <row r="160" s="247" customFormat="1" spans="1:6">
      <c r="A160" s="283"/>
      <c r="B160" s="292"/>
      <c r="C160" s="293"/>
      <c r="D160" s="7"/>
      <c r="E160" s="7">
        <f t="shared" si="3"/>
        <v>0</v>
      </c>
      <c r="F160" s="286">
        <f>SUM(E160:E173)</f>
        <v>0</v>
      </c>
    </row>
    <row r="161" s="247" customFormat="1" spans="1:6">
      <c r="A161" s="287"/>
      <c r="B161" s="292"/>
      <c r="C161" s="293"/>
      <c r="D161" s="7"/>
      <c r="E161" s="7">
        <f t="shared" si="3"/>
        <v>0</v>
      </c>
      <c r="F161" s="288"/>
    </row>
    <row r="162" s="247" customFormat="1" spans="1:6">
      <c r="A162" s="287"/>
      <c r="B162" s="292"/>
      <c r="C162" s="293"/>
      <c r="D162" s="7"/>
      <c r="E162" s="7">
        <f t="shared" si="3"/>
        <v>0</v>
      </c>
      <c r="F162" s="288"/>
    </row>
    <row r="163" s="247" customFormat="1" spans="1:6">
      <c r="A163" s="287"/>
      <c r="B163" s="292"/>
      <c r="C163" s="293"/>
      <c r="D163" s="7"/>
      <c r="E163" s="7">
        <f t="shared" si="3"/>
        <v>0</v>
      </c>
      <c r="F163" s="288"/>
    </row>
    <row r="164" s="247" customFormat="1" spans="1:6">
      <c r="A164" s="287"/>
      <c r="B164" s="292"/>
      <c r="C164" s="293"/>
      <c r="D164" s="7"/>
      <c r="E164" s="7">
        <f t="shared" si="3"/>
        <v>0</v>
      </c>
      <c r="F164" s="288"/>
    </row>
    <row r="165" s="247" customFormat="1" spans="1:6">
      <c r="A165" s="287"/>
      <c r="B165" s="292"/>
      <c r="C165" s="293"/>
      <c r="D165" s="7"/>
      <c r="E165" s="7">
        <f t="shared" si="3"/>
        <v>0</v>
      </c>
      <c r="F165" s="288"/>
    </row>
    <row r="166" s="247" customFormat="1" spans="1:6">
      <c r="A166" s="287"/>
      <c r="B166" s="292"/>
      <c r="C166" s="293"/>
      <c r="D166" s="7"/>
      <c r="E166" s="7">
        <f t="shared" si="3"/>
        <v>0</v>
      </c>
      <c r="F166" s="288"/>
    </row>
    <row r="167" s="247" customFormat="1" spans="1:6">
      <c r="A167" s="287"/>
      <c r="B167" s="292"/>
      <c r="C167" s="293"/>
      <c r="D167" s="7"/>
      <c r="E167" s="7">
        <f t="shared" si="3"/>
        <v>0</v>
      </c>
      <c r="F167" s="288"/>
    </row>
    <row r="168" s="247" customFormat="1" spans="1:6">
      <c r="A168" s="287"/>
      <c r="B168" s="292"/>
      <c r="C168" s="293"/>
      <c r="D168" s="7"/>
      <c r="E168" s="7">
        <f t="shared" si="3"/>
        <v>0</v>
      </c>
      <c r="F168" s="288"/>
    </row>
    <row r="169" s="247" customFormat="1" spans="1:6">
      <c r="A169" s="287"/>
      <c r="B169" s="292"/>
      <c r="C169" s="293"/>
      <c r="D169" s="7"/>
      <c r="E169" s="7">
        <f t="shared" si="3"/>
        <v>0</v>
      </c>
      <c r="F169" s="288"/>
    </row>
    <row r="170" s="247" customFormat="1" spans="1:6">
      <c r="A170" s="287"/>
      <c r="B170" s="292"/>
      <c r="C170" s="293"/>
      <c r="D170" s="7"/>
      <c r="E170" s="7">
        <f t="shared" si="3"/>
        <v>0</v>
      </c>
      <c r="F170" s="288"/>
    </row>
    <row r="171" s="247" customFormat="1" spans="1:6">
      <c r="A171" s="287"/>
      <c r="B171" s="292"/>
      <c r="C171" s="293"/>
      <c r="D171" s="7"/>
      <c r="E171" s="7">
        <f t="shared" si="3"/>
        <v>0</v>
      </c>
      <c r="F171" s="288"/>
    </row>
    <row r="172" s="247" customFormat="1" spans="1:6">
      <c r="A172" s="287"/>
      <c r="B172" s="292"/>
      <c r="C172" s="293"/>
      <c r="D172" s="7"/>
      <c r="E172" s="7">
        <f t="shared" si="3"/>
        <v>0</v>
      </c>
      <c r="F172" s="288"/>
    </row>
    <row r="173" s="247" customFormat="1" spans="1:6">
      <c r="A173" s="289"/>
      <c r="B173" s="292"/>
      <c r="C173" s="293"/>
      <c r="D173" s="7"/>
      <c r="E173" s="7">
        <f t="shared" si="3"/>
        <v>0</v>
      </c>
      <c r="F173" s="268"/>
    </row>
    <row r="174" s="247" customFormat="1" ht="15.75" spans="1:6">
      <c r="A174" s="287"/>
      <c r="B174" s="292"/>
      <c r="C174" s="293"/>
      <c r="D174" s="7"/>
      <c r="E174" s="7">
        <f t="shared" si="3"/>
        <v>0</v>
      </c>
      <c r="F174" s="288">
        <f>SUM(E174)</f>
        <v>0</v>
      </c>
    </row>
    <row r="175" s="247" customFormat="1" spans="1:6">
      <c r="A175" s="283"/>
      <c r="B175" s="292"/>
      <c r="C175" s="293"/>
      <c r="D175" s="7"/>
      <c r="E175" s="7">
        <f t="shared" si="3"/>
        <v>0</v>
      </c>
      <c r="F175" s="286">
        <f>SUM(E175:E190)</f>
        <v>0</v>
      </c>
    </row>
    <row r="176" s="247" customFormat="1" ht="15.75" spans="1:6">
      <c r="A176" s="287"/>
      <c r="B176" s="292"/>
      <c r="C176" s="293"/>
      <c r="D176" s="7"/>
      <c r="E176" s="7">
        <f t="shared" si="3"/>
        <v>0</v>
      </c>
      <c r="F176" s="288"/>
    </row>
    <row r="177" s="247" customFormat="1" ht="15.75" spans="1:6">
      <c r="A177" s="287"/>
      <c r="B177" s="292"/>
      <c r="C177" s="293"/>
      <c r="D177" s="7"/>
      <c r="E177" s="7">
        <f t="shared" si="3"/>
        <v>0</v>
      </c>
      <c r="F177" s="288"/>
    </row>
    <row r="178" s="247" customFormat="1" ht="15.75" spans="1:6">
      <c r="A178" s="287"/>
      <c r="B178" s="292"/>
      <c r="C178" s="293"/>
      <c r="D178" s="7"/>
      <c r="E178" s="7">
        <f t="shared" si="3"/>
        <v>0</v>
      </c>
      <c r="F178" s="288"/>
    </row>
    <row r="179" s="247" customFormat="1" ht="15.75" spans="1:6">
      <c r="A179" s="287"/>
      <c r="B179" s="292"/>
      <c r="C179" s="293"/>
      <c r="D179" s="7"/>
      <c r="E179" s="7">
        <f t="shared" si="3"/>
        <v>0</v>
      </c>
      <c r="F179" s="288"/>
    </row>
    <row r="180" s="247" customFormat="1" ht="15.75" spans="1:6">
      <c r="A180" s="287"/>
      <c r="B180" s="292"/>
      <c r="C180" s="293"/>
      <c r="D180" s="7"/>
      <c r="E180" s="7">
        <f t="shared" si="3"/>
        <v>0</v>
      </c>
      <c r="F180" s="288"/>
    </row>
    <row r="181" s="247" customFormat="1" ht="15.75" spans="1:6">
      <c r="A181" s="287"/>
      <c r="B181" s="292"/>
      <c r="C181" s="293"/>
      <c r="D181" s="7"/>
      <c r="E181" s="7">
        <f t="shared" si="3"/>
        <v>0</v>
      </c>
      <c r="F181" s="288"/>
    </row>
    <row r="182" s="247" customFormat="1" ht="15.75" spans="1:6">
      <c r="A182" s="287"/>
      <c r="B182" s="292"/>
      <c r="C182" s="293"/>
      <c r="D182" s="7"/>
      <c r="E182" s="7">
        <f t="shared" si="3"/>
        <v>0</v>
      </c>
      <c r="F182" s="288"/>
    </row>
    <row r="183" s="247" customFormat="1" ht="15.75" spans="1:6">
      <c r="A183" s="287"/>
      <c r="B183" s="292"/>
      <c r="C183" s="293"/>
      <c r="D183" s="7"/>
      <c r="E183" s="7">
        <f t="shared" si="3"/>
        <v>0</v>
      </c>
      <c r="F183" s="288"/>
    </row>
    <row r="184" s="247" customFormat="1" ht="15.75" spans="1:6">
      <c r="A184" s="287"/>
      <c r="B184" s="292"/>
      <c r="C184" s="293"/>
      <c r="D184" s="7"/>
      <c r="E184" s="7">
        <f t="shared" si="3"/>
        <v>0</v>
      </c>
      <c r="F184" s="288"/>
    </row>
    <row r="185" s="247" customFormat="1" ht="15.75" spans="1:6">
      <c r="A185" s="287"/>
      <c r="B185" s="292"/>
      <c r="C185" s="293"/>
      <c r="D185" s="7"/>
      <c r="E185" s="7">
        <f t="shared" si="3"/>
        <v>0</v>
      </c>
      <c r="F185" s="288"/>
    </row>
    <row r="186" s="247" customFormat="1" ht="15.75" spans="1:6">
      <c r="A186" s="287"/>
      <c r="B186" s="292"/>
      <c r="C186" s="293"/>
      <c r="D186" s="7"/>
      <c r="E186" s="7">
        <f t="shared" si="3"/>
        <v>0</v>
      </c>
      <c r="F186" s="288"/>
    </row>
    <row r="187" s="247" customFormat="1" ht="15.75" spans="1:6">
      <c r="A187" s="287"/>
      <c r="B187" s="292"/>
      <c r="C187" s="293"/>
      <c r="D187" s="7"/>
      <c r="E187" s="7">
        <f t="shared" si="3"/>
        <v>0</v>
      </c>
      <c r="F187" s="288"/>
    </row>
    <row r="188" s="247" customFormat="1" ht="15.75" spans="1:6">
      <c r="A188" s="287"/>
      <c r="B188" s="292"/>
      <c r="C188" s="293"/>
      <c r="D188" s="7"/>
      <c r="E188" s="7">
        <f t="shared" si="3"/>
        <v>0</v>
      </c>
      <c r="F188" s="288"/>
    </row>
    <row r="189" s="247" customFormat="1" ht="15.75" spans="1:6">
      <c r="A189" s="287"/>
      <c r="B189" s="295"/>
      <c r="C189" s="296"/>
      <c r="D189" s="268"/>
      <c r="E189" s="7">
        <f t="shared" si="3"/>
        <v>0</v>
      </c>
      <c r="F189" s="288"/>
    </row>
    <row r="190" s="247" customFormat="1" ht="15.75" spans="1:6">
      <c r="A190" s="287"/>
      <c r="B190" s="292"/>
      <c r="C190" s="293"/>
      <c r="D190" s="7"/>
      <c r="E190" s="7">
        <f t="shared" si="3"/>
        <v>0</v>
      </c>
      <c r="F190" s="268"/>
    </row>
    <row r="191" s="247" customFormat="1" spans="1:6">
      <c r="A191" s="283"/>
      <c r="B191" s="292"/>
      <c r="C191" s="293"/>
      <c r="D191" s="7"/>
      <c r="E191" s="7">
        <f t="shared" si="3"/>
        <v>0</v>
      </c>
      <c r="F191" s="286">
        <f>SUM(E191:E198)</f>
        <v>0</v>
      </c>
    </row>
    <row r="192" s="247" customFormat="1" ht="15.75" spans="1:6">
      <c r="A192" s="287"/>
      <c r="B192" s="292"/>
      <c r="C192" s="293"/>
      <c r="D192" s="7"/>
      <c r="E192" s="7">
        <f t="shared" si="3"/>
        <v>0</v>
      </c>
      <c r="F192" s="288"/>
    </row>
    <row r="193" s="247" customFormat="1" ht="15.75" spans="1:6">
      <c r="A193" s="287"/>
      <c r="B193" s="292"/>
      <c r="C193" s="293"/>
      <c r="D193" s="7"/>
      <c r="E193" s="7">
        <f t="shared" si="3"/>
        <v>0</v>
      </c>
      <c r="F193" s="288"/>
    </row>
    <row r="194" s="247" customFormat="1" ht="15.75" spans="1:6">
      <c r="A194" s="287"/>
      <c r="B194" s="292"/>
      <c r="C194" s="293"/>
      <c r="D194" s="7"/>
      <c r="E194" s="7">
        <f t="shared" si="3"/>
        <v>0</v>
      </c>
      <c r="F194" s="288"/>
    </row>
    <row r="195" s="247" customFormat="1" ht="15.75" spans="1:6">
      <c r="A195" s="287"/>
      <c r="B195" s="292"/>
      <c r="C195" s="293"/>
      <c r="D195" s="7"/>
      <c r="E195" s="7">
        <f t="shared" si="3"/>
        <v>0</v>
      </c>
      <c r="F195" s="288"/>
    </row>
    <row r="196" s="247" customFormat="1" ht="15.75" spans="1:6">
      <c r="A196" s="287"/>
      <c r="B196" s="292"/>
      <c r="C196" s="293"/>
      <c r="D196" s="7"/>
      <c r="E196" s="7">
        <f t="shared" si="3"/>
        <v>0</v>
      </c>
      <c r="F196" s="288"/>
    </row>
    <row r="197" s="247" customFormat="1" ht="15.75" spans="1:6">
      <c r="A197" s="287"/>
      <c r="B197" s="292"/>
      <c r="C197" s="293"/>
      <c r="D197" s="7"/>
      <c r="E197" s="7">
        <f t="shared" ref="E197:E260" si="4">SUM(C197*D197)</f>
        <v>0</v>
      </c>
      <c r="F197" s="288"/>
    </row>
    <row r="198" s="247" customFormat="1" spans="1:6">
      <c r="A198" s="289"/>
      <c r="B198" s="292"/>
      <c r="C198" s="293"/>
      <c r="D198" s="7"/>
      <c r="E198" s="7">
        <f t="shared" si="4"/>
        <v>0</v>
      </c>
      <c r="F198" s="268"/>
    </row>
    <row r="199" s="247" customFormat="1" spans="1:6">
      <c r="A199" s="283"/>
      <c r="B199" s="292"/>
      <c r="C199" s="293"/>
      <c r="D199" s="7"/>
      <c r="E199" s="7">
        <f t="shared" si="4"/>
        <v>0</v>
      </c>
      <c r="F199" s="286">
        <f>SUM(E199:E210)</f>
        <v>0</v>
      </c>
    </row>
    <row r="200" s="247" customFormat="1" ht="15.75" spans="1:6">
      <c r="A200" s="287"/>
      <c r="B200" s="292"/>
      <c r="C200" s="293"/>
      <c r="D200" s="7"/>
      <c r="E200" s="7">
        <f t="shared" si="4"/>
        <v>0</v>
      </c>
      <c r="F200" s="288"/>
    </row>
    <row r="201" s="247" customFormat="1" ht="15.75" spans="1:6">
      <c r="A201" s="287"/>
      <c r="B201" s="292"/>
      <c r="C201" s="293"/>
      <c r="D201" s="7"/>
      <c r="E201" s="7">
        <f t="shared" si="4"/>
        <v>0</v>
      </c>
      <c r="F201" s="288"/>
    </row>
    <row r="202" s="247" customFormat="1" ht="15.75" spans="1:6">
      <c r="A202" s="287"/>
      <c r="B202" s="292"/>
      <c r="C202" s="293"/>
      <c r="D202" s="7"/>
      <c r="E202" s="7">
        <f t="shared" si="4"/>
        <v>0</v>
      </c>
      <c r="F202" s="288"/>
    </row>
    <row r="203" s="247" customFormat="1" ht="15.75" spans="1:6">
      <c r="A203" s="287"/>
      <c r="B203" s="292"/>
      <c r="C203" s="293"/>
      <c r="D203" s="7"/>
      <c r="E203" s="7">
        <f t="shared" si="4"/>
        <v>0</v>
      </c>
      <c r="F203" s="288"/>
    </row>
    <row r="204" s="247" customFormat="1" ht="15.75" spans="1:6">
      <c r="A204" s="287"/>
      <c r="B204" s="292"/>
      <c r="C204" s="293"/>
      <c r="D204" s="7"/>
      <c r="E204" s="7">
        <f t="shared" si="4"/>
        <v>0</v>
      </c>
      <c r="F204" s="288"/>
    </row>
    <row r="205" s="247" customFormat="1" ht="15.75" spans="1:6">
      <c r="A205" s="287"/>
      <c r="B205" s="292"/>
      <c r="C205" s="293"/>
      <c r="D205" s="7"/>
      <c r="E205" s="7">
        <f t="shared" si="4"/>
        <v>0</v>
      </c>
      <c r="F205" s="288"/>
    </row>
    <row r="206" s="247" customFormat="1" ht="15.75" spans="1:6">
      <c r="A206" s="287"/>
      <c r="B206" s="292"/>
      <c r="C206" s="293"/>
      <c r="D206" s="7"/>
      <c r="E206" s="7">
        <f t="shared" si="4"/>
        <v>0</v>
      </c>
      <c r="F206" s="288"/>
    </row>
    <row r="207" s="247" customFormat="1" ht="15.75" spans="1:6">
      <c r="A207" s="287"/>
      <c r="B207" s="292"/>
      <c r="C207" s="293"/>
      <c r="D207" s="7"/>
      <c r="E207" s="7">
        <f t="shared" si="4"/>
        <v>0</v>
      </c>
      <c r="F207" s="288"/>
    </row>
    <row r="208" s="247" customFormat="1" ht="15.75" spans="1:6">
      <c r="A208" s="287"/>
      <c r="B208" s="292"/>
      <c r="C208" s="293"/>
      <c r="D208" s="7"/>
      <c r="E208" s="7">
        <f t="shared" si="4"/>
        <v>0</v>
      </c>
      <c r="F208" s="288"/>
    </row>
    <row r="209" s="247" customFormat="1" ht="15.75" spans="1:6">
      <c r="A209" s="287"/>
      <c r="B209" s="292"/>
      <c r="C209" s="293"/>
      <c r="D209" s="7"/>
      <c r="E209" s="7">
        <f t="shared" si="4"/>
        <v>0</v>
      </c>
      <c r="F209" s="288"/>
    </row>
    <row r="210" s="247" customFormat="1" spans="1:6">
      <c r="A210" s="289"/>
      <c r="B210" s="292"/>
      <c r="C210" s="293"/>
      <c r="D210" s="7"/>
      <c r="E210" s="7">
        <f t="shared" si="4"/>
        <v>0</v>
      </c>
      <c r="F210" s="268"/>
    </row>
    <row r="211" s="247" customFormat="1" spans="1:6">
      <c r="A211" s="283"/>
      <c r="B211" s="292"/>
      <c r="C211" s="293"/>
      <c r="D211" s="7"/>
      <c r="E211" s="7">
        <f t="shared" si="4"/>
        <v>0</v>
      </c>
      <c r="F211" s="286">
        <f>SUM(E211:E219)</f>
        <v>0</v>
      </c>
    </row>
    <row r="212" s="247" customFormat="1" ht="15.75" spans="1:6">
      <c r="A212" s="287"/>
      <c r="B212" s="292"/>
      <c r="C212" s="293"/>
      <c r="D212" s="7"/>
      <c r="E212" s="7">
        <f t="shared" si="4"/>
        <v>0</v>
      </c>
      <c r="F212" s="288"/>
    </row>
    <row r="213" s="247" customFormat="1" ht="15.75" spans="1:6">
      <c r="A213" s="287"/>
      <c r="B213" s="292"/>
      <c r="C213" s="293"/>
      <c r="D213" s="7"/>
      <c r="E213" s="7">
        <f t="shared" si="4"/>
        <v>0</v>
      </c>
      <c r="F213" s="288"/>
    </row>
    <row r="214" s="247" customFormat="1" ht="15.75" spans="1:6">
      <c r="A214" s="287"/>
      <c r="B214" s="292"/>
      <c r="C214" s="293"/>
      <c r="D214" s="7"/>
      <c r="E214" s="7">
        <f t="shared" si="4"/>
        <v>0</v>
      </c>
      <c r="F214" s="288"/>
    </row>
    <row r="215" s="247" customFormat="1" ht="15.75" spans="1:6">
      <c r="A215" s="287"/>
      <c r="B215" s="292"/>
      <c r="C215" s="293"/>
      <c r="D215" s="7"/>
      <c r="E215" s="7">
        <f t="shared" si="4"/>
        <v>0</v>
      </c>
      <c r="F215" s="288"/>
    </row>
    <row r="216" s="247" customFormat="1" ht="15.75" spans="1:6">
      <c r="A216" s="287"/>
      <c r="B216" s="292"/>
      <c r="C216" s="293"/>
      <c r="D216" s="7"/>
      <c r="E216" s="7">
        <f t="shared" si="4"/>
        <v>0</v>
      </c>
      <c r="F216" s="288"/>
    </row>
    <row r="217" s="247" customFormat="1" ht="15.75" spans="1:6">
      <c r="A217" s="287"/>
      <c r="B217" s="292"/>
      <c r="C217" s="293"/>
      <c r="D217" s="7"/>
      <c r="E217" s="7">
        <f t="shared" si="4"/>
        <v>0</v>
      </c>
      <c r="F217" s="288"/>
    </row>
    <row r="218" s="247" customFormat="1" ht="15.75" spans="1:6">
      <c r="A218" s="287"/>
      <c r="B218" s="292"/>
      <c r="C218" s="293"/>
      <c r="D218" s="7"/>
      <c r="E218" s="7">
        <f t="shared" si="4"/>
        <v>0</v>
      </c>
      <c r="F218" s="288"/>
    </row>
    <row r="219" s="247" customFormat="1" spans="1:6">
      <c r="A219" s="289"/>
      <c r="B219" s="292"/>
      <c r="C219" s="293"/>
      <c r="D219" s="7"/>
      <c r="E219" s="7">
        <f t="shared" si="4"/>
        <v>0</v>
      </c>
      <c r="F219" s="268"/>
    </row>
    <row r="220" s="247" customFormat="1" spans="1:6">
      <c r="A220" s="283"/>
      <c r="B220" s="292"/>
      <c r="C220" s="293"/>
      <c r="D220" s="7"/>
      <c r="E220" s="7">
        <f t="shared" si="4"/>
        <v>0</v>
      </c>
      <c r="F220" s="286">
        <f>SUM(E220:E230)</f>
        <v>0</v>
      </c>
    </row>
    <row r="221" s="247" customFormat="1" ht="15.75" spans="1:6">
      <c r="A221" s="287"/>
      <c r="B221" s="292"/>
      <c r="C221" s="293"/>
      <c r="D221" s="7"/>
      <c r="E221" s="7">
        <f t="shared" si="4"/>
        <v>0</v>
      </c>
      <c r="F221" s="288"/>
    </row>
    <row r="222" s="247" customFormat="1" ht="15.75" spans="1:6">
      <c r="A222" s="287"/>
      <c r="B222" s="292"/>
      <c r="C222" s="293"/>
      <c r="D222" s="7"/>
      <c r="E222" s="7">
        <f t="shared" si="4"/>
        <v>0</v>
      </c>
      <c r="F222" s="288"/>
    </row>
    <row r="223" s="247" customFormat="1" ht="15.75" spans="1:6">
      <c r="A223" s="287"/>
      <c r="B223" s="292"/>
      <c r="C223" s="293"/>
      <c r="D223" s="7"/>
      <c r="E223" s="7">
        <f t="shared" si="4"/>
        <v>0</v>
      </c>
      <c r="F223" s="288"/>
    </row>
    <row r="224" s="247" customFormat="1" ht="15.75" spans="1:6">
      <c r="A224" s="287"/>
      <c r="B224" s="292"/>
      <c r="C224" s="293"/>
      <c r="D224" s="7"/>
      <c r="E224" s="7">
        <f t="shared" si="4"/>
        <v>0</v>
      </c>
      <c r="F224" s="288"/>
    </row>
    <row r="225" s="247" customFormat="1" ht="15.75" spans="1:6">
      <c r="A225" s="287"/>
      <c r="B225" s="292"/>
      <c r="C225" s="293"/>
      <c r="D225" s="7"/>
      <c r="E225" s="7">
        <f t="shared" si="4"/>
        <v>0</v>
      </c>
      <c r="F225" s="288"/>
    </row>
    <row r="226" s="247" customFormat="1" ht="15.75" spans="1:6">
      <c r="A226" s="287"/>
      <c r="B226" s="292"/>
      <c r="C226" s="293"/>
      <c r="D226" s="7"/>
      <c r="E226" s="7">
        <f t="shared" si="4"/>
        <v>0</v>
      </c>
      <c r="F226" s="288"/>
    </row>
    <row r="227" s="247" customFormat="1" ht="15.75" spans="1:6">
      <c r="A227" s="287"/>
      <c r="B227" s="292"/>
      <c r="C227" s="293"/>
      <c r="D227" s="7"/>
      <c r="E227" s="7">
        <f t="shared" si="4"/>
        <v>0</v>
      </c>
      <c r="F227" s="288"/>
    </row>
    <row r="228" s="247" customFormat="1" ht="15.75" spans="1:6">
      <c r="A228" s="287"/>
      <c r="B228" s="292"/>
      <c r="C228" s="293"/>
      <c r="D228" s="7"/>
      <c r="E228" s="7">
        <f t="shared" si="4"/>
        <v>0</v>
      </c>
      <c r="F228" s="288"/>
    </row>
    <row r="229" s="247" customFormat="1" ht="15.75" spans="1:6">
      <c r="A229" s="287"/>
      <c r="B229" s="292"/>
      <c r="C229" s="293"/>
      <c r="D229" s="7"/>
      <c r="E229" s="7">
        <f t="shared" si="4"/>
        <v>0</v>
      </c>
      <c r="F229" s="288"/>
    </row>
    <row r="230" s="247" customFormat="1" spans="1:6">
      <c r="A230" s="289"/>
      <c r="B230" s="292"/>
      <c r="C230" s="293"/>
      <c r="D230" s="7"/>
      <c r="E230" s="7">
        <f t="shared" si="4"/>
        <v>0</v>
      </c>
      <c r="F230" s="268"/>
    </row>
    <row r="231" s="247" customFormat="1" spans="1:6">
      <c r="A231" s="283"/>
      <c r="B231" s="292"/>
      <c r="C231" s="293"/>
      <c r="D231" s="7"/>
      <c r="E231" s="7">
        <f t="shared" si="4"/>
        <v>0</v>
      </c>
      <c r="F231" s="286">
        <f>SUM(E231:E241)</f>
        <v>0</v>
      </c>
    </row>
    <row r="232" s="247" customFormat="1" ht="15.75" spans="1:6">
      <c r="A232" s="287"/>
      <c r="B232" s="292"/>
      <c r="C232" s="293"/>
      <c r="D232" s="7"/>
      <c r="E232" s="7">
        <f t="shared" si="4"/>
        <v>0</v>
      </c>
      <c r="F232" s="288"/>
    </row>
    <row r="233" s="247" customFormat="1" ht="15.75" spans="1:6">
      <c r="A233" s="287"/>
      <c r="B233" s="292"/>
      <c r="C233" s="293"/>
      <c r="D233" s="7"/>
      <c r="E233" s="7">
        <f t="shared" si="4"/>
        <v>0</v>
      </c>
      <c r="F233" s="288"/>
    </row>
    <row r="234" s="247" customFormat="1" ht="15.75" spans="1:6">
      <c r="A234" s="287"/>
      <c r="B234" s="292"/>
      <c r="C234" s="293"/>
      <c r="D234" s="7"/>
      <c r="E234" s="7">
        <f t="shared" si="4"/>
        <v>0</v>
      </c>
      <c r="F234" s="288"/>
    </row>
    <row r="235" s="247" customFormat="1" ht="15.75" spans="1:6">
      <c r="A235" s="287"/>
      <c r="B235" s="292"/>
      <c r="C235" s="293"/>
      <c r="D235" s="7"/>
      <c r="E235" s="7">
        <f t="shared" si="4"/>
        <v>0</v>
      </c>
      <c r="F235" s="288"/>
    </row>
    <row r="236" s="247" customFormat="1" ht="15.75" spans="1:6">
      <c r="A236" s="287"/>
      <c r="B236" s="292"/>
      <c r="C236" s="293"/>
      <c r="D236" s="7"/>
      <c r="E236" s="7">
        <f t="shared" si="4"/>
        <v>0</v>
      </c>
      <c r="F236" s="288"/>
    </row>
    <row r="237" s="247" customFormat="1" ht="15.75" spans="1:6">
      <c r="A237" s="287"/>
      <c r="B237" s="292"/>
      <c r="C237" s="293"/>
      <c r="D237" s="7"/>
      <c r="E237" s="7">
        <f t="shared" si="4"/>
        <v>0</v>
      </c>
      <c r="F237" s="288"/>
    </row>
    <row r="238" s="247" customFormat="1" ht="15.75" spans="1:6">
      <c r="A238" s="287"/>
      <c r="B238" s="292"/>
      <c r="C238" s="293"/>
      <c r="D238" s="7"/>
      <c r="E238" s="7">
        <f t="shared" si="4"/>
        <v>0</v>
      </c>
      <c r="F238" s="288"/>
    </row>
    <row r="239" s="247" customFormat="1" ht="15.75" spans="1:6">
      <c r="A239" s="287"/>
      <c r="B239" s="292"/>
      <c r="C239" s="293"/>
      <c r="D239" s="7"/>
      <c r="E239" s="7">
        <f t="shared" si="4"/>
        <v>0</v>
      </c>
      <c r="F239" s="288"/>
    </row>
    <row r="240" s="247" customFormat="1" ht="15.75" spans="1:6">
      <c r="A240" s="287"/>
      <c r="B240" s="292"/>
      <c r="C240" s="293"/>
      <c r="D240" s="7"/>
      <c r="E240" s="7">
        <f t="shared" si="4"/>
        <v>0</v>
      </c>
      <c r="F240" s="288"/>
    </row>
    <row r="241" s="247" customFormat="1" spans="1:6">
      <c r="A241" s="289"/>
      <c r="B241" s="292"/>
      <c r="C241" s="293"/>
      <c r="D241" s="7"/>
      <c r="E241" s="7">
        <f t="shared" si="4"/>
        <v>0</v>
      </c>
      <c r="F241" s="268"/>
    </row>
    <row r="242" s="247" customFormat="1" spans="1:6">
      <c r="A242" s="283"/>
      <c r="B242" s="292"/>
      <c r="C242" s="293"/>
      <c r="D242" s="7"/>
      <c r="E242" s="7">
        <f t="shared" si="4"/>
        <v>0</v>
      </c>
      <c r="F242" s="286">
        <f>SUM(E242:E252)</f>
        <v>0</v>
      </c>
    </row>
    <row r="243" s="247" customFormat="1" ht="15.75" spans="1:6">
      <c r="A243" s="287"/>
      <c r="B243" s="292"/>
      <c r="C243" s="293"/>
      <c r="D243" s="7"/>
      <c r="E243" s="7">
        <f t="shared" si="4"/>
        <v>0</v>
      </c>
      <c r="F243" s="288"/>
    </row>
    <row r="244" s="247" customFormat="1" ht="15.75" spans="1:6">
      <c r="A244" s="287"/>
      <c r="B244" s="292"/>
      <c r="C244" s="293"/>
      <c r="D244" s="7"/>
      <c r="E244" s="7">
        <f t="shared" si="4"/>
        <v>0</v>
      </c>
      <c r="F244" s="288"/>
    </row>
    <row r="245" s="247" customFormat="1" ht="15.75" spans="1:6">
      <c r="A245" s="287"/>
      <c r="B245" s="292"/>
      <c r="C245" s="293"/>
      <c r="D245" s="7"/>
      <c r="E245" s="7">
        <f t="shared" si="4"/>
        <v>0</v>
      </c>
      <c r="F245" s="288"/>
    </row>
    <row r="246" s="247" customFormat="1" ht="15.75" spans="1:6">
      <c r="A246" s="287"/>
      <c r="B246" s="292"/>
      <c r="C246" s="293"/>
      <c r="D246" s="7"/>
      <c r="E246" s="7">
        <f t="shared" si="4"/>
        <v>0</v>
      </c>
      <c r="F246" s="288"/>
    </row>
    <row r="247" s="247" customFormat="1" ht="15.75" spans="1:6">
      <c r="A247" s="287"/>
      <c r="B247" s="292"/>
      <c r="C247" s="293"/>
      <c r="D247" s="7"/>
      <c r="E247" s="7">
        <f t="shared" si="4"/>
        <v>0</v>
      </c>
      <c r="F247" s="288"/>
    </row>
    <row r="248" s="247" customFormat="1" ht="15.75" spans="1:6">
      <c r="A248" s="287"/>
      <c r="B248" s="292"/>
      <c r="C248" s="293"/>
      <c r="D248" s="7"/>
      <c r="E248" s="7">
        <f t="shared" si="4"/>
        <v>0</v>
      </c>
      <c r="F248" s="288"/>
    </row>
    <row r="249" s="247" customFormat="1" ht="15.75" spans="1:6">
      <c r="A249" s="287"/>
      <c r="B249" s="292"/>
      <c r="C249" s="293"/>
      <c r="D249" s="7"/>
      <c r="E249" s="7">
        <f t="shared" si="4"/>
        <v>0</v>
      </c>
      <c r="F249" s="288"/>
    </row>
    <row r="250" s="247" customFormat="1" ht="15.75" spans="1:6">
      <c r="A250" s="287"/>
      <c r="B250" s="292"/>
      <c r="C250" s="293"/>
      <c r="D250" s="7"/>
      <c r="E250" s="7">
        <f t="shared" si="4"/>
        <v>0</v>
      </c>
      <c r="F250" s="288"/>
    </row>
    <row r="251" s="247" customFormat="1" ht="15.75" spans="1:6">
      <c r="A251" s="287"/>
      <c r="B251" s="292"/>
      <c r="C251" s="293"/>
      <c r="D251" s="7"/>
      <c r="E251" s="7">
        <f t="shared" si="4"/>
        <v>0</v>
      </c>
      <c r="F251" s="288"/>
    </row>
    <row r="252" s="247" customFormat="1" spans="1:6">
      <c r="A252" s="289"/>
      <c r="B252" s="292"/>
      <c r="C252" s="293"/>
      <c r="D252" s="7"/>
      <c r="E252" s="7">
        <f t="shared" si="4"/>
        <v>0</v>
      </c>
      <c r="F252" s="268"/>
    </row>
    <row r="253" s="247" customFormat="1" spans="1:6">
      <c r="A253" s="283"/>
      <c r="B253" s="292"/>
      <c r="C253" s="293"/>
      <c r="D253" s="7"/>
      <c r="E253" s="7">
        <f t="shared" si="4"/>
        <v>0</v>
      </c>
      <c r="F253" s="286">
        <f>SUM(E253:E262)</f>
        <v>0</v>
      </c>
    </row>
    <row r="254" s="247" customFormat="1" ht="15.75" spans="1:6">
      <c r="A254" s="287"/>
      <c r="B254" s="292"/>
      <c r="C254" s="293"/>
      <c r="D254" s="7"/>
      <c r="E254" s="7">
        <f t="shared" si="4"/>
        <v>0</v>
      </c>
      <c r="F254" s="288"/>
    </row>
    <row r="255" s="247" customFormat="1" ht="15.75" spans="1:6">
      <c r="A255" s="287"/>
      <c r="B255" s="292"/>
      <c r="C255" s="293"/>
      <c r="D255" s="7"/>
      <c r="E255" s="7">
        <f t="shared" si="4"/>
        <v>0</v>
      </c>
      <c r="F255" s="288"/>
    </row>
    <row r="256" s="247" customFormat="1" ht="15.75" spans="1:6">
      <c r="A256" s="287"/>
      <c r="B256" s="292"/>
      <c r="C256" s="293"/>
      <c r="D256" s="7"/>
      <c r="E256" s="7">
        <f t="shared" si="4"/>
        <v>0</v>
      </c>
      <c r="F256" s="288"/>
    </row>
    <row r="257" s="247" customFormat="1" ht="15.75" spans="1:6">
      <c r="A257" s="287"/>
      <c r="B257" s="292"/>
      <c r="C257" s="293"/>
      <c r="D257" s="7"/>
      <c r="E257" s="7">
        <f t="shared" si="4"/>
        <v>0</v>
      </c>
      <c r="F257" s="288"/>
    </row>
    <row r="258" s="247" customFormat="1" ht="15.75" spans="1:6">
      <c r="A258" s="287"/>
      <c r="B258" s="292"/>
      <c r="C258" s="293"/>
      <c r="D258" s="7"/>
      <c r="E258" s="7">
        <f t="shared" si="4"/>
        <v>0</v>
      </c>
      <c r="F258" s="288"/>
    </row>
    <row r="259" s="247" customFormat="1" ht="15.75" spans="1:6">
      <c r="A259" s="287"/>
      <c r="B259" s="292"/>
      <c r="C259" s="293"/>
      <c r="D259" s="7"/>
      <c r="E259" s="7">
        <f t="shared" si="4"/>
        <v>0</v>
      </c>
      <c r="F259" s="288"/>
    </row>
    <row r="260" s="247" customFormat="1" ht="15.75" spans="1:6">
      <c r="A260" s="287"/>
      <c r="B260" s="292"/>
      <c r="C260" s="293"/>
      <c r="D260" s="7"/>
      <c r="E260" s="7">
        <f t="shared" si="4"/>
        <v>0</v>
      </c>
      <c r="F260" s="288"/>
    </row>
    <row r="261" s="247" customFormat="1" ht="15.75" spans="1:6">
      <c r="A261" s="287"/>
      <c r="B261" s="292"/>
      <c r="C261" s="293"/>
      <c r="D261" s="7"/>
      <c r="E261" s="7">
        <f>SUM(C261*D261)</f>
        <v>0</v>
      </c>
      <c r="F261" s="288"/>
    </row>
    <row r="262" s="247" customFormat="1" spans="1:6">
      <c r="A262" s="289"/>
      <c r="B262" s="292"/>
      <c r="C262" s="293"/>
      <c r="D262" s="7"/>
      <c r="E262" s="7">
        <f>SUM(C262*D262)</f>
        <v>0</v>
      </c>
      <c r="F262" s="268"/>
    </row>
    <row r="263" s="247" customFormat="1" ht="15.75" spans="1:6">
      <c r="A263" s="294"/>
      <c r="B263" s="292"/>
      <c r="C263" s="293"/>
      <c r="D263" s="7"/>
      <c r="E263" s="7">
        <f>SUM(C263*D263)</f>
        <v>0</v>
      </c>
      <c r="F263" s="259">
        <f>SUM(E263)</f>
        <v>0</v>
      </c>
    </row>
    <row r="264" s="247" customFormat="1" spans="1:6">
      <c r="A264" s="283"/>
      <c r="B264" s="292"/>
      <c r="C264" s="293"/>
      <c r="D264" s="7"/>
      <c r="E264" s="7">
        <f>SUM(C264*D264)</f>
        <v>0</v>
      </c>
      <c r="F264" s="286">
        <f>SUM(E264:E274)</f>
        <v>0</v>
      </c>
    </row>
    <row r="265" s="247" customFormat="1" spans="1:6">
      <c r="A265" s="287"/>
      <c r="B265" s="292"/>
      <c r="C265" s="293"/>
      <c r="D265" s="7"/>
      <c r="E265" s="7">
        <f>SUM(C265*D265)</f>
        <v>0</v>
      </c>
      <c r="F265" s="288"/>
    </row>
    <row r="266" s="247" customFormat="1" spans="1:6">
      <c r="A266" s="287"/>
      <c r="B266" s="292"/>
      <c r="C266" s="293"/>
      <c r="D266" s="7"/>
      <c r="E266" s="7">
        <f>SUM(C266*D266)</f>
        <v>0</v>
      </c>
      <c r="F266" s="288"/>
    </row>
    <row r="267" s="247" customFormat="1" spans="1:6">
      <c r="A267" s="287"/>
      <c r="B267" s="292"/>
      <c r="C267" s="293"/>
      <c r="D267" s="7"/>
      <c r="E267" s="7">
        <f>SUM(C267*D267)</f>
        <v>0</v>
      </c>
      <c r="F267" s="288"/>
    </row>
    <row r="268" s="247" customFormat="1" spans="1:6">
      <c r="A268" s="287"/>
      <c r="B268" s="292"/>
      <c r="C268" s="293"/>
      <c r="D268" s="7"/>
      <c r="E268" s="7">
        <f>SUM(C268*D268)</f>
        <v>0</v>
      </c>
      <c r="F268" s="288"/>
    </row>
    <row r="269" s="247" customFormat="1" spans="1:6">
      <c r="A269" s="287"/>
      <c r="B269" s="292"/>
      <c r="C269" s="293"/>
      <c r="D269" s="7"/>
      <c r="E269" s="7">
        <f>SUM(C269*D269)</f>
        <v>0</v>
      </c>
      <c r="F269" s="288"/>
    </row>
    <row r="270" s="247" customFormat="1" spans="1:6">
      <c r="A270" s="287"/>
      <c r="B270" s="292"/>
      <c r="C270" s="293"/>
      <c r="D270" s="7"/>
      <c r="E270" s="7">
        <f>SUM(C270*D270)</f>
        <v>0</v>
      </c>
      <c r="F270" s="288"/>
    </row>
    <row r="271" s="247" customFormat="1" spans="1:6">
      <c r="A271" s="287"/>
      <c r="B271" s="292"/>
      <c r="C271" s="293"/>
      <c r="D271" s="7"/>
      <c r="E271" s="7">
        <f>SUM(C271*D271)</f>
        <v>0</v>
      </c>
      <c r="F271" s="288"/>
    </row>
    <row r="272" s="247" customFormat="1" spans="1:6">
      <c r="A272" s="287"/>
      <c r="B272" s="292"/>
      <c r="C272" s="293"/>
      <c r="D272" s="7"/>
      <c r="E272" s="7">
        <f>SUM(C272*D272)</f>
        <v>0</v>
      </c>
      <c r="F272" s="288"/>
    </row>
    <row r="273" s="247" customFormat="1" spans="1:6">
      <c r="A273" s="287"/>
      <c r="B273" s="292"/>
      <c r="C273" s="293"/>
      <c r="D273" s="7"/>
      <c r="E273" s="7">
        <f>SUM(C273*D273)</f>
        <v>0</v>
      </c>
      <c r="F273" s="288"/>
    </row>
    <row r="274" s="247" customFormat="1" spans="1:6">
      <c r="A274" s="289"/>
      <c r="B274" s="292"/>
      <c r="C274" s="293"/>
      <c r="D274" s="7"/>
      <c r="E274" s="7">
        <f>SUM(C274*D274)</f>
        <v>0</v>
      </c>
      <c r="F274" s="268"/>
    </row>
    <row r="275" s="247" customFormat="1" spans="1:6">
      <c r="A275" s="249"/>
      <c r="C275" s="248"/>
      <c r="E275" s="7"/>
      <c r="F275" s="259">
        <f>SUM(F2:F274)</f>
        <v>0</v>
      </c>
    </row>
    <row r="276" s="247" customFormat="1" spans="1:3">
      <c r="A276" s="249"/>
      <c r="C276" s="248"/>
    </row>
    <row r="277" s="247" customFormat="1" spans="1:3">
      <c r="A277" s="249"/>
      <c r="C277" s="248"/>
    </row>
    <row r="278" s="247" customFormat="1" spans="1:3">
      <c r="A278" s="249"/>
      <c r="C278" s="248"/>
    </row>
    <row r="279" s="247" customFormat="1" spans="1:3">
      <c r="A279" s="249"/>
      <c r="C279" s="248"/>
    </row>
    <row r="280" s="247" customFormat="1" spans="1:3">
      <c r="A280" s="249"/>
      <c r="C280" s="248"/>
    </row>
    <row r="281" s="247" customFormat="1" spans="1:3">
      <c r="A281" s="249"/>
      <c r="C281" s="248"/>
    </row>
    <row r="282" s="247" customFormat="1" spans="1:3">
      <c r="A282" s="249"/>
      <c r="C282" s="248"/>
    </row>
    <row r="283" s="247" customFormat="1" spans="1:3">
      <c r="A283" s="249"/>
      <c r="C283" s="248"/>
    </row>
    <row r="284" s="247" customFormat="1" spans="1:3">
      <c r="A284" s="249"/>
      <c r="C284" s="248"/>
    </row>
    <row r="285" s="247" customFormat="1" spans="1:3">
      <c r="A285" s="249"/>
      <c r="C285" s="248"/>
    </row>
    <row r="286" s="247" customFormat="1" spans="1:3">
      <c r="A286" s="249"/>
      <c r="C286" s="248"/>
    </row>
    <row r="287" s="247" customFormat="1" spans="1:3">
      <c r="A287" s="249"/>
      <c r="C287" s="248"/>
    </row>
    <row r="288" s="247" customFormat="1" spans="1:3">
      <c r="A288" s="249"/>
      <c r="C288" s="248"/>
    </row>
    <row r="289" s="247" customFormat="1" spans="1:3">
      <c r="A289" s="249"/>
      <c r="C289" s="248"/>
    </row>
    <row r="290" s="247" customFormat="1" spans="1:3">
      <c r="A290" s="249"/>
      <c r="C290" s="248"/>
    </row>
    <row r="291" s="247" customFormat="1" spans="1:3">
      <c r="A291" s="249"/>
      <c r="C291" s="248"/>
    </row>
    <row r="292" s="247" customFormat="1" spans="1:3">
      <c r="A292" s="249"/>
      <c r="C292" s="248"/>
    </row>
    <row r="293" s="247" customFormat="1" spans="1:3">
      <c r="A293" s="249"/>
      <c r="C293" s="248"/>
    </row>
    <row r="294" s="247" customFormat="1" spans="1:3">
      <c r="A294" s="249"/>
      <c r="C294" s="248"/>
    </row>
    <row r="295" s="247" customFormat="1" spans="1:3">
      <c r="A295" s="249"/>
      <c r="C295" s="248"/>
    </row>
    <row r="296" s="247" customFormat="1" spans="1:3">
      <c r="A296" s="249"/>
      <c r="C296" s="248"/>
    </row>
    <row r="297" s="247" customFormat="1" spans="1:3">
      <c r="A297" s="249"/>
      <c r="C297" s="248"/>
    </row>
    <row r="298" s="247" customFormat="1" spans="1:3">
      <c r="A298" s="249"/>
      <c r="C298" s="248"/>
    </row>
    <row r="299" s="247" customFormat="1" spans="1:3">
      <c r="A299" s="249"/>
      <c r="C299" s="248"/>
    </row>
    <row r="300" s="247" customFormat="1" spans="1:3">
      <c r="A300" s="249"/>
      <c r="C300" s="248"/>
    </row>
    <row r="301" s="247" customFormat="1" spans="1:3">
      <c r="A301" s="249"/>
      <c r="C301" s="248"/>
    </row>
    <row r="302" s="247" customFormat="1" spans="1:3">
      <c r="A302" s="249"/>
      <c r="C302" s="248"/>
    </row>
    <row r="303" s="247" customFormat="1" spans="1:3">
      <c r="A303" s="249"/>
      <c r="C303" s="248"/>
    </row>
    <row r="304" s="247" customFormat="1" spans="1:3">
      <c r="A304" s="249"/>
      <c r="C304" s="248"/>
    </row>
    <row r="305" s="247" customFormat="1" spans="1:3">
      <c r="A305" s="249"/>
      <c r="C305" s="248"/>
    </row>
    <row r="306" s="247" customFormat="1" spans="1:3">
      <c r="A306" s="249"/>
      <c r="C306" s="248"/>
    </row>
    <row r="307" s="247" customFormat="1" spans="1:3">
      <c r="A307" s="249"/>
      <c r="C307" s="248"/>
    </row>
    <row r="308" s="247" customFormat="1" spans="1:3">
      <c r="A308" s="249"/>
      <c r="C308" s="248"/>
    </row>
    <row r="309" s="247" customFormat="1" spans="1:3">
      <c r="A309" s="249"/>
      <c r="C309" s="248"/>
    </row>
    <row r="310" s="247" customFormat="1" spans="1:3">
      <c r="A310" s="249"/>
      <c r="C310" s="248"/>
    </row>
    <row r="311" s="247" customFormat="1" spans="1:3">
      <c r="A311" s="249"/>
      <c r="C311" s="248"/>
    </row>
    <row r="312" s="247" customFormat="1" spans="1:3">
      <c r="A312" s="249"/>
      <c r="C312" s="248"/>
    </row>
    <row r="313" s="247" customFormat="1" spans="1:3">
      <c r="A313" s="249"/>
      <c r="C313" s="248"/>
    </row>
    <row r="314" s="247" customFormat="1" spans="1:3">
      <c r="A314" s="249"/>
      <c r="C314" s="248"/>
    </row>
    <row r="315" s="247" customFormat="1" spans="1:3">
      <c r="A315" s="249"/>
      <c r="C315" s="248"/>
    </row>
    <row r="316" s="247" customFormat="1" spans="1:3">
      <c r="A316" s="249"/>
      <c r="C316" s="248"/>
    </row>
    <row r="317" s="247" customFormat="1" spans="1:3">
      <c r="A317" s="249"/>
      <c r="C317" s="248"/>
    </row>
    <row r="318" s="247" customFormat="1" spans="1:3">
      <c r="A318" s="249"/>
      <c r="C318" s="248"/>
    </row>
    <row r="319" s="247" customFormat="1" spans="1:3">
      <c r="A319" s="249"/>
      <c r="C319" s="248"/>
    </row>
    <row r="320" s="247" customFormat="1" spans="1:3">
      <c r="A320" s="249"/>
      <c r="C320" s="248"/>
    </row>
    <row r="321" s="247" customFormat="1" spans="1:3">
      <c r="A321" s="249"/>
      <c r="C321" s="248"/>
    </row>
    <row r="322" s="247" customFormat="1" spans="1:3">
      <c r="A322" s="249"/>
      <c r="C322" s="248"/>
    </row>
    <row r="323" s="247" customFormat="1" spans="1:3">
      <c r="A323" s="249"/>
      <c r="C323" s="248"/>
    </row>
    <row r="324" s="247" customFormat="1" spans="1:3">
      <c r="A324" s="249"/>
      <c r="C324" s="248"/>
    </row>
    <row r="325" s="247" customFormat="1" spans="1:3">
      <c r="A325" s="249"/>
      <c r="C325" s="248"/>
    </row>
    <row r="326" s="247" customFormat="1" spans="1:3">
      <c r="A326" s="249"/>
      <c r="C326" s="248"/>
    </row>
    <row r="327" s="247" customFormat="1" spans="1:3">
      <c r="A327" s="249"/>
      <c r="C327" s="248"/>
    </row>
    <row r="328" s="247" customFormat="1" spans="1:3">
      <c r="A328" s="249"/>
      <c r="C328" s="248"/>
    </row>
    <row r="329" s="247" customFormat="1" spans="1:3">
      <c r="A329" s="249"/>
      <c r="C329" s="248"/>
    </row>
    <row r="330" s="247" customFormat="1" spans="1:3">
      <c r="A330" s="249"/>
      <c r="C330" s="248"/>
    </row>
    <row r="331" s="247" customFormat="1" spans="1:3">
      <c r="A331" s="249"/>
      <c r="C331" s="248"/>
    </row>
    <row r="332" s="247" customFormat="1" spans="1:3">
      <c r="A332" s="249"/>
      <c r="C332" s="248"/>
    </row>
    <row r="333" s="247" customFormat="1" spans="1:3">
      <c r="A333" s="249"/>
      <c r="C333" s="248"/>
    </row>
    <row r="334" s="247" customFormat="1" spans="1:3">
      <c r="A334" s="249"/>
      <c r="C334" s="248"/>
    </row>
    <row r="335" s="247" customFormat="1" spans="1:3">
      <c r="A335" s="249"/>
      <c r="C335" s="248"/>
    </row>
    <row r="336" s="247" customFormat="1" spans="1:3">
      <c r="A336" s="249"/>
      <c r="C336" s="248"/>
    </row>
    <row r="337" s="247" customFormat="1" spans="1:3">
      <c r="A337" s="249"/>
      <c r="C337" s="248"/>
    </row>
    <row r="338" s="247" customFormat="1" spans="1:3">
      <c r="A338" s="249"/>
      <c r="C338" s="248"/>
    </row>
    <row r="339" s="247" customFormat="1" spans="1:3">
      <c r="A339" s="249"/>
      <c r="C339" s="248"/>
    </row>
    <row r="340" s="247" customFormat="1" spans="1:3">
      <c r="A340" s="249"/>
      <c r="C340" s="248"/>
    </row>
    <row r="341" s="247" customFormat="1" spans="1:3">
      <c r="A341" s="249"/>
      <c r="C341" s="248"/>
    </row>
    <row r="342" s="247" customFormat="1" spans="1:3">
      <c r="A342" s="249"/>
      <c r="C342" s="248"/>
    </row>
    <row r="343" s="247" customFormat="1" spans="1:3">
      <c r="A343" s="249"/>
      <c r="C343" s="248"/>
    </row>
    <row r="344" s="247" customFormat="1" spans="1:3">
      <c r="A344" s="249"/>
      <c r="C344" s="248"/>
    </row>
    <row r="345" s="247" customFormat="1" spans="1:3">
      <c r="A345" s="249"/>
      <c r="C345" s="248"/>
    </row>
    <row r="346" s="247" customFormat="1" spans="1:3">
      <c r="A346" s="249"/>
      <c r="C346" s="248"/>
    </row>
    <row r="347" s="247" customFormat="1" spans="1:3">
      <c r="A347" s="249"/>
      <c r="C347" s="248"/>
    </row>
    <row r="348" s="247" customFormat="1" spans="1:3">
      <c r="A348" s="249"/>
      <c r="C348" s="248"/>
    </row>
    <row r="349" s="247" customFormat="1" spans="1:3">
      <c r="A349" s="249"/>
      <c r="C349" s="248"/>
    </row>
    <row r="350" s="247" customFormat="1" spans="1:3">
      <c r="A350" s="249"/>
      <c r="C350" s="248"/>
    </row>
    <row r="351" s="247" customFormat="1" spans="1:3">
      <c r="A351" s="249"/>
      <c r="C351" s="248"/>
    </row>
    <row r="352" s="247" customFormat="1" spans="1:3">
      <c r="A352" s="249"/>
      <c r="C352" s="248"/>
    </row>
    <row r="353" s="247" customFormat="1" spans="1:3">
      <c r="A353" s="249"/>
      <c r="C353" s="248"/>
    </row>
    <row r="354" s="247" customFormat="1" spans="1:3">
      <c r="A354" s="249"/>
      <c r="C354" s="248"/>
    </row>
    <row r="355" s="247" customFormat="1" spans="1:3">
      <c r="A355" s="249"/>
      <c r="C355" s="248"/>
    </row>
    <row r="356" s="247" customFormat="1" spans="1:3">
      <c r="A356" s="249"/>
      <c r="C356" s="248"/>
    </row>
    <row r="357" s="247" customFormat="1" spans="1:3">
      <c r="A357" s="249"/>
      <c r="C357" s="248"/>
    </row>
    <row r="358" s="247" customFormat="1" spans="1:3">
      <c r="A358" s="249"/>
      <c r="C358" s="248"/>
    </row>
    <row r="359" s="247" customFormat="1" spans="1:3">
      <c r="A359" s="249"/>
      <c r="C359" s="248"/>
    </row>
    <row r="360" s="247" customFormat="1" spans="1:3">
      <c r="A360" s="249"/>
      <c r="C360" s="248"/>
    </row>
    <row r="361" s="247" customFormat="1" spans="1:3">
      <c r="A361" s="249"/>
      <c r="C361" s="248"/>
    </row>
    <row r="362" s="247" customFormat="1" spans="1:3">
      <c r="A362" s="249"/>
      <c r="C362" s="248"/>
    </row>
    <row r="363" s="247" customFormat="1" spans="1:3">
      <c r="A363" s="249"/>
      <c r="C363" s="248"/>
    </row>
    <row r="364" s="247" customFormat="1" spans="1:3">
      <c r="A364" s="249"/>
      <c r="C364" s="248"/>
    </row>
    <row r="365" s="247" customFormat="1" spans="1:3">
      <c r="A365" s="249"/>
      <c r="C365" s="248"/>
    </row>
    <row r="366" s="247" customFormat="1" spans="1:3">
      <c r="A366" s="249"/>
      <c r="C366" s="248"/>
    </row>
    <row r="367" s="247" customFormat="1" spans="1:3">
      <c r="A367" s="249"/>
      <c r="C367" s="248"/>
    </row>
    <row r="368" s="247" customFormat="1" spans="1:3">
      <c r="A368" s="249"/>
      <c r="C368" s="248"/>
    </row>
    <row r="369" s="247" customFormat="1" spans="1:3">
      <c r="A369" s="249"/>
      <c r="C369" s="248"/>
    </row>
    <row r="370" s="247" customFormat="1" spans="1:3">
      <c r="A370" s="249"/>
      <c r="C370" s="248"/>
    </row>
    <row r="371" s="247" customFormat="1" spans="1:3">
      <c r="A371" s="249"/>
      <c r="C371" s="248"/>
    </row>
    <row r="372" s="247" customFormat="1" spans="1:3">
      <c r="A372" s="249"/>
      <c r="C372" s="248"/>
    </row>
    <row r="373" s="247" customFormat="1" spans="1:3">
      <c r="A373" s="249"/>
      <c r="C373" s="248"/>
    </row>
    <row r="374" s="247" customFormat="1" spans="1:3">
      <c r="A374" s="249"/>
      <c r="C374" s="248"/>
    </row>
    <row r="375" s="247" customFormat="1" spans="1:3">
      <c r="A375" s="249"/>
      <c r="C375" s="248"/>
    </row>
    <row r="376" s="247" customFormat="1" spans="1:3">
      <c r="A376" s="249"/>
      <c r="C376" s="248"/>
    </row>
    <row r="377" s="247" customFormat="1" spans="1:3">
      <c r="A377" s="249"/>
      <c r="C377" s="248"/>
    </row>
    <row r="378" s="247" customFormat="1" spans="1:7">
      <c r="A378" s="249"/>
      <c r="C378" s="248"/>
      <c r="G378" s="269"/>
    </row>
  </sheetData>
  <mergeCells count="52">
    <mergeCell ref="A2:A12"/>
    <mergeCell ref="A13:A19"/>
    <mergeCell ref="A20:A35"/>
    <mergeCell ref="A36:A41"/>
    <mergeCell ref="A42:A47"/>
    <mergeCell ref="A48:A56"/>
    <mergeCell ref="A57:A71"/>
    <mergeCell ref="A72:A83"/>
    <mergeCell ref="A84:A90"/>
    <mergeCell ref="A91:A105"/>
    <mergeCell ref="A106:A121"/>
    <mergeCell ref="A123:A127"/>
    <mergeCell ref="A128:A134"/>
    <mergeCell ref="A135:A142"/>
    <mergeCell ref="A143:A149"/>
    <mergeCell ref="A150:A159"/>
    <mergeCell ref="A160:A173"/>
    <mergeCell ref="A175:A190"/>
    <mergeCell ref="A191:A198"/>
    <mergeCell ref="A199:A210"/>
    <mergeCell ref="A211:A219"/>
    <mergeCell ref="A220:A230"/>
    <mergeCell ref="A231:A241"/>
    <mergeCell ref="A242:A252"/>
    <mergeCell ref="A253:A262"/>
    <mergeCell ref="A264:A274"/>
    <mergeCell ref="F2:F12"/>
    <mergeCell ref="F13:F19"/>
    <mergeCell ref="F20:F35"/>
    <mergeCell ref="F36:F41"/>
    <mergeCell ref="F42:F47"/>
    <mergeCell ref="F48:F56"/>
    <mergeCell ref="F57:F71"/>
    <mergeCell ref="F72:F83"/>
    <mergeCell ref="F84:F90"/>
    <mergeCell ref="F91:F105"/>
    <mergeCell ref="F106:F121"/>
    <mergeCell ref="F123:F127"/>
    <mergeCell ref="F128:F134"/>
    <mergeCell ref="F135:F142"/>
    <mergeCell ref="F143:F149"/>
    <mergeCell ref="F150:F159"/>
    <mergeCell ref="F160:F173"/>
    <mergeCell ref="F175:F190"/>
    <mergeCell ref="F191:F198"/>
    <mergeCell ref="F199:F210"/>
    <mergeCell ref="F211:F219"/>
    <mergeCell ref="F220:F230"/>
    <mergeCell ref="F231:F241"/>
    <mergeCell ref="F242:F252"/>
    <mergeCell ref="F253:F262"/>
    <mergeCell ref="F264:F27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"/>
  <sheetViews>
    <sheetView workbookViewId="0">
      <pane ySplit="1" topLeftCell="A111" activePane="bottomLeft" state="frozen"/>
      <selection/>
      <selection pane="bottomLeft" activeCell="E117" sqref="A2:E117"/>
    </sheetView>
  </sheetViews>
  <sheetFormatPr defaultColWidth="9.14285714285714" defaultRowHeight="15"/>
  <cols>
    <col min="1" max="1" width="8.85714285714286" style="248" customWidth="1"/>
    <col min="2" max="2" width="12.7142857142857" style="249" customWidth="1"/>
    <col min="3" max="3" width="45.8571428571429" style="250" customWidth="1"/>
    <col min="4" max="4" width="6.8952380952381" style="251" customWidth="1"/>
    <col min="5" max="5" width="13.1428571428571" style="252" customWidth="1"/>
    <col min="6" max="6" width="13.1428571428571" style="247" customWidth="1"/>
    <col min="7" max="7" width="21.5047619047619" style="248" customWidth="1"/>
    <col min="8" max="8" width="13.1428571428571" style="247"/>
    <col min="9" max="9" width="29.2857142857143" style="247" customWidth="1"/>
    <col min="10" max="10" width="12.8571428571429" style="247"/>
    <col min="11" max="11" width="18.0285714285714" style="247" customWidth="1"/>
    <col min="12" max="12" width="11.4285714285714" style="247"/>
    <col min="13" max="15" width="10.2857142857143" style="247"/>
    <col min="16" max="16384" width="9.14285714285714" style="247"/>
  </cols>
  <sheetData>
    <row r="1" s="247" customFormat="1" ht="21" customHeight="1" spans="1:7">
      <c r="A1" s="253" t="s">
        <v>6</v>
      </c>
      <c r="B1" s="254" t="s">
        <v>0</v>
      </c>
      <c r="C1" s="255" t="s">
        <v>1</v>
      </c>
      <c r="D1" s="256" t="s">
        <v>2</v>
      </c>
      <c r="E1" s="257" t="s">
        <v>3</v>
      </c>
      <c r="F1" s="255" t="s">
        <v>7</v>
      </c>
      <c r="G1" s="255" t="s">
        <v>8</v>
      </c>
    </row>
    <row r="2" s="247" customFormat="1" ht="19" customHeight="1" spans="1:7">
      <c r="A2" s="37"/>
      <c r="B2" s="36"/>
      <c r="C2" s="258"/>
      <c r="D2" s="116"/>
      <c r="E2" s="7"/>
      <c r="F2" s="259">
        <f>SUM(D2*E2)</f>
        <v>0</v>
      </c>
      <c r="G2" s="260">
        <f>SUM(F2:F3)</f>
        <v>0</v>
      </c>
    </row>
    <row r="3" s="247" customFormat="1" ht="19" customHeight="1" spans="1:7">
      <c r="A3" s="261"/>
      <c r="B3" s="262"/>
      <c r="C3" s="258"/>
      <c r="D3" s="116"/>
      <c r="E3" s="7"/>
      <c r="F3" s="259">
        <f>SUM(D3*E3)</f>
        <v>0</v>
      </c>
      <c r="G3" s="263"/>
    </row>
    <row r="4" s="247" customFormat="1" ht="19" customHeight="1" spans="1:7">
      <c r="A4" s="49"/>
      <c r="B4" s="25"/>
      <c r="C4" s="258"/>
      <c r="D4" s="116"/>
      <c r="E4" s="7"/>
      <c r="F4" s="259">
        <f t="shared" ref="F4:F9" si="0">SUM(D4*E4)</f>
        <v>0</v>
      </c>
      <c r="G4" s="61">
        <f>SUM(F4:F6)</f>
        <v>0</v>
      </c>
    </row>
    <row r="5" s="247" customFormat="1" ht="19" customHeight="1" spans="1:7">
      <c r="A5" s="49"/>
      <c r="B5" s="25"/>
      <c r="C5" s="258"/>
      <c r="D5" s="116"/>
      <c r="E5" s="7"/>
      <c r="F5" s="259">
        <f t="shared" si="0"/>
        <v>0</v>
      </c>
      <c r="G5" s="61"/>
    </row>
    <row r="6" s="247" customFormat="1" ht="19" customHeight="1" spans="1:7">
      <c r="A6" s="49"/>
      <c r="B6" s="25"/>
      <c r="C6" s="258"/>
      <c r="D6" s="116"/>
      <c r="E6" s="7"/>
      <c r="F6" s="259">
        <f t="shared" si="0"/>
        <v>0</v>
      </c>
      <c r="G6" s="61"/>
    </row>
    <row r="7" s="247" customFormat="1" ht="18" customHeight="1" spans="1:7">
      <c r="A7" s="49"/>
      <c r="B7" s="25"/>
      <c r="C7" s="258"/>
      <c r="D7" s="116"/>
      <c r="E7" s="7"/>
      <c r="F7" s="259">
        <f t="shared" si="0"/>
        <v>0</v>
      </c>
      <c r="G7" s="61">
        <f>SUM(F7:F9)</f>
        <v>0</v>
      </c>
    </row>
    <row r="8" s="247" customFormat="1" ht="18" customHeight="1" spans="1:7">
      <c r="A8" s="49"/>
      <c r="B8" s="25"/>
      <c r="C8" s="258"/>
      <c r="D8" s="116"/>
      <c r="E8" s="7"/>
      <c r="F8" s="259">
        <f t="shared" si="0"/>
        <v>0</v>
      </c>
      <c r="G8" s="61"/>
    </row>
    <row r="9" s="247" customFormat="1" ht="19" customHeight="1" spans="1:7">
      <c r="A9" s="49"/>
      <c r="B9" s="25"/>
      <c r="C9" s="258"/>
      <c r="D9" s="116"/>
      <c r="E9" s="7"/>
      <c r="F9" s="259">
        <f t="shared" si="0"/>
        <v>0</v>
      </c>
      <c r="G9" s="61"/>
    </row>
    <row r="10" s="247" customFormat="1" ht="19" customHeight="1" spans="1:7">
      <c r="A10" s="49"/>
      <c r="B10" s="25"/>
      <c r="C10" s="258"/>
      <c r="D10" s="116"/>
      <c r="E10" s="7"/>
      <c r="F10" s="259">
        <f t="shared" ref="F10:F22" si="1">SUM(D10*E10)</f>
        <v>0</v>
      </c>
      <c r="G10" s="61">
        <f>SUM(F10:F15)</f>
        <v>0</v>
      </c>
    </row>
    <row r="11" s="247" customFormat="1" ht="19" customHeight="1" spans="1:7">
      <c r="A11" s="49"/>
      <c r="B11" s="25"/>
      <c r="C11" s="258"/>
      <c r="D11" s="116"/>
      <c r="E11" s="7"/>
      <c r="F11" s="259">
        <f t="shared" si="1"/>
        <v>0</v>
      </c>
      <c r="G11" s="61"/>
    </row>
    <row r="12" s="247" customFormat="1" ht="19" customHeight="1" spans="1:7">
      <c r="A12" s="49"/>
      <c r="B12" s="25"/>
      <c r="C12" s="264"/>
      <c r="D12" s="116"/>
      <c r="E12" s="7"/>
      <c r="F12" s="259">
        <f t="shared" si="1"/>
        <v>0</v>
      </c>
      <c r="G12" s="61"/>
    </row>
    <row r="13" s="247" customFormat="1" ht="19" customHeight="1" spans="1:7">
      <c r="A13" s="49"/>
      <c r="B13" s="25"/>
      <c r="C13" s="258"/>
      <c r="D13" s="116"/>
      <c r="E13" s="7"/>
      <c r="F13" s="259">
        <f t="shared" si="1"/>
        <v>0</v>
      </c>
      <c r="G13" s="61"/>
    </row>
    <row r="14" s="247" customFormat="1" ht="19" customHeight="1" spans="1:7">
      <c r="A14" s="49"/>
      <c r="B14" s="25"/>
      <c r="C14" s="258"/>
      <c r="D14" s="116"/>
      <c r="E14" s="7"/>
      <c r="F14" s="259">
        <f t="shared" si="1"/>
        <v>0</v>
      </c>
      <c r="G14" s="61"/>
    </row>
    <row r="15" s="247" customFormat="1" ht="19" customHeight="1" spans="1:7">
      <c r="A15" s="49"/>
      <c r="B15" s="25"/>
      <c r="C15" s="264"/>
      <c r="D15" s="116"/>
      <c r="E15" s="7"/>
      <c r="F15" s="259">
        <f t="shared" si="1"/>
        <v>0</v>
      </c>
      <c r="G15" s="61"/>
    </row>
    <row r="16" s="247" customFormat="1" ht="19" customHeight="1" spans="1:7">
      <c r="A16" s="204"/>
      <c r="B16" s="36"/>
      <c r="C16" s="264"/>
      <c r="D16" s="116"/>
      <c r="E16" s="7"/>
      <c r="F16" s="259">
        <f t="shared" si="1"/>
        <v>0</v>
      </c>
      <c r="G16" s="260">
        <f>SUM(F16:F18)</f>
        <v>0</v>
      </c>
    </row>
    <row r="17" s="247" customFormat="1" ht="19" customHeight="1" spans="1:7">
      <c r="A17" s="206"/>
      <c r="B17" s="42"/>
      <c r="C17" s="264"/>
      <c r="D17" s="116"/>
      <c r="E17" s="7"/>
      <c r="F17" s="259">
        <f t="shared" si="1"/>
        <v>0</v>
      </c>
      <c r="G17" s="265"/>
    </row>
    <row r="18" s="247" customFormat="1" ht="19" customHeight="1" spans="1:7">
      <c r="A18" s="266"/>
      <c r="B18" s="262"/>
      <c r="C18" s="264"/>
      <c r="D18" s="116"/>
      <c r="E18" s="7"/>
      <c r="F18" s="259">
        <f t="shared" si="1"/>
        <v>0</v>
      </c>
      <c r="G18" s="263"/>
    </row>
    <row r="19" s="247" customFormat="1" ht="19" customHeight="1" spans="1:7">
      <c r="A19" s="49"/>
      <c r="B19" s="25"/>
      <c r="C19" s="258"/>
      <c r="D19" s="116"/>
      <c r="E19" s="7"/>
      <c r="F19" s="259">
        <f t="shared" si="1"/>
        <v>0</v>
      </c>
      <c r="G19" s="61">
        <f>SUM(F19:F20)</f>
        <v>0</v>
      </c>
    </row>
    <row r="20" s="247" customFormat="1" ht="19" customHeight="1" spans="1:7">
      <c r="A20" s="49"/>
      <c r="B20" s="25"/>
      <c r="C20" s="258"/>
      <c r="D20" s="116"/>
      <c r="E20" s="7"/>
      <c r="F20" s="259">
        <f t="shared" si="1"/>
        <v>0</v>
      </c>
      <c r="G20" s="61"/>
    </row>
    <row r="21" s="247" customFormat="1" ht="19" customHeight="1" spans="1:7">
      <c r="A21" s="204"/>
      <c r="B21" s="36"/>
      <c r="C21" s="258"/>
      <c r="D21" s="116"/>
      <c r="E21" s="7"/>
      <c r="F21" s="259">
        <f t="shared" ref="F21:F45" si="2">SUM(D21*E21)</f>
        <v>0</v>
      </c>
      <c r="G21" s="260">
        <f>SUM(F21:F25)</f>
        <v>0</v>
      </c>
    </row>
    <row r="22" s="247" customFormat="1" ht="19" customHeight="1" spans="1:7">
      <c r="A22" s="206"/>
      <c r="B22" s="42"/>
      <c r="C22" s="258"/>
      <c r="D22" s="116"/>
      <c r="E22" s="7"/>
      <c r="F22" s="259">
        <f t="shared" si="2"/>
        <v>0</v>
      </c>
      <c r="G22" s="265"/>
    </row>
    <row r="23" s="247" customFormat="1" ht="19" customHeight="1" spans="1:7">
      <c r="A23" s="206"/>
      <c r="B23" s="42"/>
      <c r="C23" s="264"/>
      <c r="D23" s="116"/>
      <c r="E23" s="7"/>
      <c r="F23" s="259">
        <f t="shared" si="2"/>
        <v>0</v>
      </c>
      <c r="G23" s="265"/>
    </row>
    <row r="24" s="247" customFormat="1" ht="19" customHeight="1" spans="1:7">
      <c r="A24" s="206"/>
      <c r="B24" s="42"/>
      <c r="C24" s="258"/>
      <c r="D24" s="116"/>
      <c r="E24" s="7"/>
      <c r="F24" s="259">
        <f t="shared" si="2"/>
        <v>0</v>
      </c>
      <c r="G24" s="265"/>
    </row>
    <row r="25" s="247" customFormat="1" ht="19" customHeight="1" spans="1:7">
      <c r="A25" s="266"/>
      <c r="B25" s="262"/>
      <c r="C25" s="258"/>
      <c r="D25" s="116"/>
      <c r="E25" s="7"/>
      <c r="F25" s="259">
        <f t="shared" si="2"/>
        <v>0</v>
      </c>
      <c r="G25" s="263"/>
    </row>
    <row r="26" s="247" customFormat="1" ht="19" customHeight="1" spans="1:7">
      <c r="A26" s="204"/>
      <c r="B26" s="36"/>
      <c r="C26" s="264"/>
      <c r="D26" s="116"/>
      <c r="E26" s="7"/>
      <c r="F26" s="259">
        <f t="shared" si="2"/>
        <v>0</v>
      </c>
      <c r="G26" s="260">
        <f>SUM(F26:F28)</f>
        <v>0</v>
      </c>
    </row>
    <row r="27" s="247" customFormat="1" ht="19" customHeight="1" spans="1:7">
      <c r="A27" s="206"/>
      <c r="B27" s="42"/>
      <c r="C27" s="258"/>
      <c r="D27" s="116"/>
      <c r="E27" s="7"/>
      <c r="F27" s="259">
        <f t="shared" si="2"/>
        <v>0</v>
      </c>
      <c r="G27" s="265"/>
    </row>
    <row r="28" s="247" customFormat="1" ht="19" customHeight="1" spans="1:7">
      <c r="A28" s="266"/>
      <c r="B28" s="262"/>
      <c r="C28" s="264"/>
      <c r="D28" s="116"/>
      <c r="E28" s="7"/>
      <c r="F28" s="259">
        <f t="shared" si="2"/>
        <v>0</v>
      </c>
      <c r="G28" s="263"/>
    </row>
    <row r="29" s="247" customFormat="1" ht="19" customHeight="1" spans="1:7">
      <c r="A29" s="204"/>
      <c r="B29" s="36"/>
      <c r="C29" s="258"/>
      <c r="D29" s="116"/>
      <c r="E29" s="7"/>
      <c r="F29" s="259">
        <f t="shared" si="2"/>
        <v>0</v>
      </c>
      <c r="G29" s="260">
        <f>SUM(F29:F32)</f>
        <v>0</v>
      </c>
    </row>
    <row r="30" s="247" customFormat="1" ht="19" customHeight="1" spans="1:7">
      <c r="A30" s="206"/>
      <c r="B30" s="42"/>
      <c r="C30" s="258"/>
      <c r="D30" s="116"/>
      <c r="E30" s="7"/>
      <c r="F30" s="259">
        <f t="shared" si="2"/>
        <v>0</v>
      </c>
      <c r="G30" s="265"/>
    </row>
    <row r="31" s="247" customFormat="1" ht="19" customHeight="1" spans="1:7">
      <c r="A31" s="206"/>
      <c r="B31" s="42"/>
      <c r="C31" s="258"/>
      <c r="D31" s="116"/>
      <c r="E31" s="7"/>
      <c r="F31" s="259">
        <f t="shared" si="2"/>
        <v>0</v>
      </c>
      <c r="G31" s="265"/>
    </row>
    <row r="32" s="247" customFormat="1" ht="19" customHeight="1" spans="1:7">
      <c r="A32" s="266"/>
      <c r="B32" s="262"/>
      <c r="C32" s="258"/>
      <c r="D32" s="116"/>
      <c r="E32" s="7"/>
      <c r="F32" s="259">
        <f t="shared" si="2"/>
        <v>0</v>
      </c>
      <c r="G32" s="263"/>
    </row>
    <row r="33" s="247" customFormat="1" ht="19" customHeight="1" spans="1:7">
      <c r="A33" s="204"/>
      <c r="B33" s="36"/>
      <c r="C33" s="258"/>
      <c r="D33" s="116"/>
      <c r="E33" s="7"/>
      <c r="F33" s="259">
        <f t="shared" si="2"/>
        <v>0</v>
      </c>
      <c r="G33" s="260">
        <f>SUM(F33:F37)</f>
        <v>0</v>
      </c>
    </row>
    <row r="34" s="247" customFormat="1" ht="19" customHeight="1" spans="1:7">
      <c r="A34" s="206"/>
      <c r="B34" s="42"/>
      <c r="C34" s="258"/>
      <c r="D34" s="116"/>
      <c r="E34" s="7"/>
      <c r="F34" s="259">
        <f t="shared" si="2"/>
        <v>0</v>
      </c>
      <c r="G34" s="265"/>
    </row>
    <row r="35" s="247" customFormat="1" ht="19" customHeight="1" spans="1:7">
      <c r="A35" s="206"/>
      <c r="B35" s="42"/>
      <c r="C35" s="258"/>
      <c r="D35" s="116"/>
      <c r="E35" s="7"/>
      <c r="F35" s="259">
        <f t="shared" si="2"/>
        <v>0</v>
      </c>
      <c r="G35" s="265"/>
    </row>
    <row r="36" s="247" customFormat="1" ht="19" customHeight="1" spans="1:7">
      <c r="A36" s="206"/>
      <c r="B36" s="42"/>
      <c r="C36" s="258"/>
      <c r="D36" s="116"/>
      <c r="E36" s="7"/>
      <c r="F36" s="259">
        <f t="shared" si="2"/>
        <v>0</v>
      </c>
      <c r="G36" s="265"/>
    </row>
    <row r="37" s="247" customFormat="1" ht="19" customHeight="1" spans="1:7">
      <c r="A37" s="266"/>
      <c r="B37" s="262"/>
      <c r="C37" s="258"/>
      <c r="D37" s="116"/>
      <c r="E37" s="7"/>
      <c r="F37" s="259">
        <f t="shared" si="2"/>
        <v>0</v>
      </c>
      <c r="G37" s="263"/>
    </row>
    <row r="38" s="247" customFormat="1" ht="19" customHeight="1" spans="1:7">
      <c r="A38" s="204"/>
      <c r="B38" s="36"/>
      <c r="C38" s="258"/>
      <c r="D38" s="116"/>
      <c r="E38" s="7"/>
      <c r="F38" s="259">
        <f t="shared" si="2"/>
        <v>0</v>
      </c>
      <c r="G38" s="260">
        <f>SUM(F38:F41)</f>
        <v>0</v>
      </c>
    </row>
    <row r="39" s="247" customFormat="1" ht="19" customHeight="1" spans="1:7">
      <c r="A39" s="206"/>
      <c r="B39" s="42"/>
      <c r="C39" s="258"/>
      <c r="D39" s="116"/>
      <c r="E39" s="7"/>
      <c r="F39" s="259">
        <f t="shared" si="2"/>
        <v>0</v>
      </c>
      <c r="G39" s="265"/>
    </row>
    <row r="40" s="247" customFormat="1" ht="19" customHeight="1" spans="1:7">
      <c r="A40" s="206"/>
      <c r="B40" s="42"/>
      <c r="C40" s="258"/>
      <c r="D40" s="116"/>
      <c r="E40" s="7"/>
      <c r="F40" s="259">
        <f t="shared" si="2"/>
        <v>0</v>
      </c>
      <c r="G40" s="265"/>
    </row>
    <row r="41" s="247" customFormat="1" ht="19" customHeight="1" spans="1:7">
      <c r="A41" s="266"/>
      <c r="B41" s="262"/>
      <c r="C41" s="258"/>
      <c r="D41" s="116"/>
      <c r="E41" s="7"/>
      <c r="F41" s="259">
        <f t="shared" si="2"/>
        <v>0</v>
      </c>
      <c r="G41" s="263"/>
    </row>
    <row r="42" s="247" customFormat="1" ht="19" customHeight="1" spans="1:7">
      <c r="A42" s="49"/>
      <c r="B42" s="25"/>
      <c r="C42" s="258"/>
      <c r="D42" s="116"/>
      <c r="E42" s="7"/>
      <c r="F42" s="259">
        <f t="shared" si="2"/>
        <v>0</v>
      </c>
      <c r="G42" s="61">
        <f>SUM(F42:F43)</f>
        <v>0</v>
      </c>
    </row>
    <row r="43" s="247" customFormat="1" ht="19" customHeight="1" spans="1:7">
      <c r="A43" s="49"/>
      <c r="B43" s="25"/>
      <c r="C43" s="258"/>
      <c r="D43" s="116"/>
      <c r="E43" s="7"/>
      <c r="F43" s="259">
        <f t="shared" si="2"/>
        <v>0</v>
      </c>
      <c r="G43" s="61"/>
    </row>
    <row r="44" s="247" customFormat="1" ht="19" customHeight="1" spans="1:7">
      <c r="A44" s="204"/>
      <c r="B44" s="36"/>
      <c r="C44" s="258"/>
      <c r="D44" s="116"/>
      <c r="E44" s="7"/>
      <c r="F44" s="259">
        <f t="shared" si="2"/>
        <v>0</v>
      </c>
      <c r="G44" s="260">
        <f>SUM(F44:F45)</f>
        <v>0</v>
      </c>
    </row>
    <row r="45" s="247" customFormat="1" ht="19" customHeight="1" spans="1:7">
      <c r="A45" s="266"/>
      <c r="B45" s="262"/>
      <c r="C45" s="258"/>
      <c r="D45" s="116"/>
      <c r="E45" s="7"/>
      <c r="F45" s="259">
        <f t="shared" si="2"/>
        <v>0</v>
      </c>
      <c r="G45" s="263"/>
    </row>
    <row r="46" s="247" customFormat="1" ht="19" customHeight="1" spans="1:7">
      <c r="A46" s="204"/>
      <c r="B46" s="36"/>
      <c r="C46" s="258"/>
      <c r="D46" s="116"/>
      <c r="E46" s="7"/>
      <c r="F46" s="259">
        <f t="shared" ref="F46:F72" si="3">SUM(D46*E46)</f>
        <v>0</v>
      </c>
      <c r="G46" s="260">
        <f>SUM(F46:F54)</f>
        <v>0</v>
      </c>
    </row>
    <row r="47" s="247" customFormat="1" ht="19" customHeight="1" spans="1:7">
      <c r="A47" s="206"/>
      <c r="B47" s="42"/>
      <c r="C47" s="258"/>
      <c r="D47" s="116"/>
      <c r="E47" s="7"/>
      <c r="F47" s="259">
        <f t="shared" si="3"/>
        <v>0</v>
      </c>
      <c r="G47" s="265"/>
    </row>
    <row r="48" s="247" customFormat="1" ht="19" customHeight="1" spans="1:7">
      <c r="A48" s="206"/>
      <c r="B48" s="42"/>
      <c r="C48" s="258"/>
      <c r="D48" s="116"/>
      <c r="E48" s="7"/>
      <c r="F48" s="259">
        <f t="shared" si="3"/>
        <v>0</v>
      </c>
      <c r="G48" s="265"/>
    </row>
    <row r="49" s="247" customFormat="1" ht="19" customHeight="1" spans="1:7">
      <c r="A49" s="206"/>
      <c r="B49" s="42"/>
      <c r="C49" s="258"/>
      <c r="D49" s="116"/>
      <c r="E49" s="7"/>
      <c r="F49" s="259">
        <f t="shared" si="3"/>
        <v>0</v>
      </c>
      <c r="G49" s="265"/>
    </row>
    <row r="50" s="247" customFormat="1" ht="19" customHeight="1" spans="1:7">
      <c r="A50" s="206"/>
      <c r="B50" s="42"/>
      <c r="C50" s="258"/>
      <c r="D50" s="116"/>
      <c r="E50" s="7"/>
      <c r="F50" s="259">
        <f t="shared" si="3"/>
        <v>0</v>
      </c>
      <c r="G50" s="265"/>
    </row>
    <row r="51" s="247" customFormat="1" ht="19" customHeight="1" spans="1:7">
      <c r="A51" s="206"/>
      <c r="B51" s="42"/>
      <c r="C51" s="258"/>
      <c r="D51" s="116"/>
      <c r="E51" s="7"/>
      <c r="F51" s="259">
        <f t="shared" si="3"/>
        <v>0</v>
      </c>
      <c r="G51" s="265"/>
    </row>
    <row r="52" s="247" customFormat="1" ht="19" customHeight="1" spans="1:7">
      <c r="A52" s="206"/>
      <c r="B52" s="42"/>
      <c r="C52" s="258"/>
      <c r="D52" s="116"/>
      <c r="E52" s="7"/>
      <c r="F52" s="259">
        <f t="shared" si="3"/>
        <v>0</v>
      </c>
      <c r="G52" s="265"/>
    </row>
    <row r="53" s="247" customFormat="1" ht="19" customHeight="1" spans="1:7">
      <c r="A53" s="206"/>
      <c r="B53" s="42"/>
      <c r="C53" s="258"/>
      <c r="D53" s="116"/>
      <c r="E53" s="7"/>
      <c r="F53" s="259">
        <f t="shared" si="3"/>
        <v>0</v>
      </c>
      <c r="G53" s="265"/>
    </row>
    <row r="54" s="247" customFormat="1" ht="19" customHeight="1" spans="1:7">
      <c r="A54" s="266"/>
      <c r="B54" s="262"/>
      <c r="C54" s="258"/>
      <c r="D54" s="116"/>
      <c r="E54" s="7"/>
      <c r="F54" s="259">
        <f t="shared" si="3"/>
        <v>0</v>
      </c>
      <c r="G54" s="263"/>
    </row>
    <row r="55" s="247" customFormat="1" ht="19" customHeight="1" spans="1:7">
      <c r="A55" s="49"/>
      <c r="B55" s="25"/>
      <c r="C55" s="258"/>
      <c r="D55" s="116"/>
      <c r="E55" s="7"/>
      <c r="F55" s="259">
        <f t="shared" si="3"/>
        <v>0</v>
      </c>
      <c r="G55" s="260">
        <f>SUM(F55:F58)</f>
        <v>0</v>
      </c>
    </row>
    <row r="56" s="247" customFormat="1" ht="19" customHeight="1" spans="1:7">
      <c r="A56" s="49"/>
      <c r="B56" s="25"/>
      <c r="C56" s="267"/>
      <c r="D56" s="261"/>
      <c r="E56" s="268"/>
      <c r="F56" s="259">
        <f t="shared" si="3"/>
        <v>0</v>
      </c>
      <c r="G56" s="265"/>
    </row>
    <row r="57" s="247" customFormat="1" ht="19" customHeight="1" spans="1:7">
      <c r="A57" s="49"/>
      <c r="B57" s="25"/>
      <c r="C57" s="258"/>
      <c r="D57" s="116"/>
      <c r="E57" s="7"/>
      <c r="F57" s="259">
        <f t="shared" si="3"/>
        <v>0</v>
      </c>
      <c r="G57" s="265"/>
    </row>
    <row r="58" s="247" customFormat="1" spans="1:7">
      <c r="A58" s="49"/>
      <c r="B58" s="25"/>
      <c r="C58" s="258"/>
      <c r="D58" s="116"/>
      <c r="E58" s="7"/>
      <c r="F58" s="259">
        <f t="shared" si="3"/>
        <v>0</v>
      </c>
      <c r="G58" s="265"/>
    </row>
    <row r="59" s="247" customFormat="1" spans="1:7">
      <c r="A59" s="206"/>
      <c r="B59" s="42"/>
      <c r="C59" s="258"/>
      <c r="D59" s="116"/>
      <c r="E59" s="7"/>
      <c r="F59" s="259">
        <f t="shared" si="3"/>
        <v>0</v>
      </c>
      <c r="G59" s="260">
        <f>SUM(F59:F60)</f>
        <v>0</v>
      </c>
    </row>
    <row r="60" s="247" customFormat="1" spans="1:7">
      <c r="A60" s="266"/>
      <c r="B60" s="262"/>
      <c r="C60" s="258"/>
      <c r="D60" s="116"/>
      <c r="E60" s="7"/>
      <c r="F60" s="259">
        <f t="shared" si="3"/>
        <v>0</v>
      </c>
      <c r="G60" s="263"/>
    </row>
    <row r="61" s="247" customFormat="1" spans="1:7">
      <c r="A61" s="204"/>
      <c r="B61" s="36"/>
      <c r="C61" s="258"/>
      <c r="D61" s="116"/>
      <c r="E61" s="7"/>
      <c r="F61" s="259">
        <f t="shared" si="3"/>
        <v>0</v>
      </c>
      <c r="G61" s="260">
        <f>SUM(F61:F63)</f>
        <v>0</v>
      </c>
    </row>
    <row r="62" s="247" customFormat="1" spans="1:7">
      <c r="A62" s="206"/>
      <c r="B62" s="42"/>
      <c r="C62" s="258"/>
      <c r="D62" s="116"/>
      <c r="E62" s="7"/>
      <c r="F62" s="259">
        <f t="shared" si="3"/>
        <v>0</v>
      </c>
      <c r="G62" s="265"/>
    </row>
    <row r="63" s="247" customFormat="1" spans="1:7">
      <c r="A63" s="266"/>
      <c r="B63" s="262"/>
      <c r="C63" s="258"/>
      <c r="D63" s="116"/>
      <c r="E63" s="7"/>
      <c r="F63" s="259">
        <f t="shared" si="3"/>
        <v>0</v>
      </c>
      <c r="G63" s="263"/>
    </row>
    <row r="64" s="247" customFormat="1" spans="1:7">
      <c r="A64" s="49"/>
      <c r="B64" s="25"/>
      <c r="C64" s="258"/>
      <c r="D64" s="116"/>
      <c r="E64" s="7"/>
      <c r="F64" s="259">
        <f t="shared" si="3"/>
        <v>0</v>
      </c>
      <c r="G64" s="61">
        <f>SUM(F64:F68)</f>
        <v>0</v>
      </c>
    </row>
    <row r="65" s="247" customFormat="1" spans="1:7">
      <c r="A65" s="49"/>
      <c r="B65" s="25"/>
      <c r="C65" s="258"/>
      <c r="D65" s="116"/>
      <c r="E65" s="7"/>
      <c r="F65" s="259">
        <f t="shared" si="3"/>
        <v>0</v>
      </c>
      <c r="G65" s="61"/>
    </row>
    <row r="66" s="247" customFormat="1" spans="1:7">
      <c r="A66" s="49"/>
      <c r="B66" s="25"/>
      <c r="C66" s="258"/>
      <c r="D66" s="116"/>
      <c r="E66" s="7"/>
      <c r="F66" s="259">
        <f t="shared" si="3"/>
        <v>0</v>
      </c>
      <c r="G66" s="61"/>
    </row>
    <row r="67" s="247" customFormat="1" spans="1:7">
      <c r="A67" s="49"/>
      <c r="B67" s="25"/>
      <c r="C67" s="258"/>
      <c r="D67" s="116"/>
      <c r="E67" s="7"/>
      <c r="F67" s="259">
        <f t="shared" si="3"/>
        <v>0</v>
      </c>
      <c r="G67" s="61"/>
    </row>
    <row r="68" s="247" customFormat="1" spans="1:8">
      <c r="A68" s="49"/>
      <c r="B68" s="25"/>
      <c r="C68" s="258"/>
      <c r="D68" s="116"/>
      <c r="E68" s="7"/>
      <c r="F68" s="259">
        <f t="shared" si="3"/>
        <v>0</v>
      </c>
      <c r="G68" s="61"/>
      <c r="H68" s="269"/>
    </row>
    <row r="69" s="247" customFormat="1" ht="15.75" spans="1:14">
      <c r="A69" s="49"/>
      <c r="B69" s="270"/>
      <c r="C69" s="258"/>
      <c r="D69" s="116"/>
      <c r="E69" s="7"/>
      <c r="F69" s="259">
        <f t="shared" si="3"/>
        <v>0</v>
      </c>
      <c r="G69" s="271">
        <f>SUM(F69)</f>
        <v>0</v>
      </c>
      <c r="H69" s="269"/>
      <c r="I69" s="276"/>
      <c r="J69" s="277"/>
      <c r="K69" s="278"/>
      <c r="L69" s="279"/>
      <c r="M69" s="279"/>
      <c r="N69" s="280"/>
    </row>
    <row r="70" s="247" customFormat="1" ht="15.75" spans="1:14">
      <c r="A70" s="204"/>
      <c r="B70" s="36"/>
      <c r="C70" s="258"/>
      <c r="D70" s="116"/>
      <c r="E70" s="7"/>
      <c r="F70" s="259">
        <f t="shared" si="3"/>
        <v>0</v>
      </c>
      <c r="G70" s="260">
        <f>SUM(F70:F72)</f>
        <v>0</v>
      </c>
      <c r="I70" s="281"/>
      <c r="J70" s="277"/>
      <c r="K70" s="278"/>
      <c r="L70" s="279"/>
      <c r="M70" s="279"/>
      <c r="N70" s="279"/>
    </row>
    <row r="71" s="247" customFormat="1" ht="15.75" spans="1:14">
      <c r="A71" s="206"/>
      <c r="B71" s="42"/>
      <c r="C71" s="258"/>
      <c r="D71" s="116"/>
      <c r="E71" s="7"/>
      <c r="F71" s="259">
        <f t="shared" si="3"/>
        <v>0</v>
      </c>
      <c r="G71" s="265"/>
      <c r="I71" s="281"/>
      <c r="J71" s="277"/>
      <c r="K71" s="278"/>
      <c r="L71" s="279"/>
      <c r="M71" s="279"/>
      <c r="N71" s="279"/>
    </row>
    <row r="72" s="247" customFormat="1" ht="15.75" spans="1:14">
      <c r="A72" s="266"/>
      <c r="B72" s="262"/>
      <c r="C72" s="258"/>
      <c r="D72" s="116"/>
      <c r="E72" s="7"/>
      <c r="F72" s="259">
        <f t="shared" si="3"/>
        <v>0</v>
      </c>
      <c r="G72" s="263"/>
      <c r="I72" s="281"/>
      <c r="J72" s="277"/>
      <c r="K72" s="278"/>
      <c r="L72" s="279"/>
      <c r="M72" s="279"/>
      <c r="N72" s="279"/>
    </row>
    <row r="73" s="247" customFormat="1" spans="1:7">
      <c r="A73" s="204"/>
      <c r="B73" s="36"/>
      <c r="C73" s="272"/>
      <c r="D73" s="116"/>
      <c r="E73" s="259"/>
      <c r="F73" s="259">
        <f t="shared" ref="F73:F84" si="4">D73*E73</f>
        <v>0</v>
      </c>
      <c r="G73" s="260">
        <f>SUM(F73:F79)</f>
        <v>0</v>
      </c>
    </row>
    <row r="74" s="247" customFormat="1" spans="1:7">
      <c r="A74" s="206"/>
      <c r="B74" s="42"/>
      <c r="C74" s="272"/>
      <c r="D74" s="116"/>
      <c r="E74" s="259"/>
      <c r="F74" s="259">
        <f t="shared" si="4"/>
        <v>0</v>
      </c>
      <c r="G74" s="265"/>
    </row>
    <row r="75" s="247" customFormat="1" spans="1:7">
      <c r="A75" s="206"/>
      <c r="B75" s="42"/>
      <c r="C75" s="272"/>
      <c r="D75" s="116"/>
      <c r="E75" s="259"/>
      <c r="F75" s="259">
        <f t="shared" si="4"/>
        <v>0</v>
      </c>
      <c r="G75" s="265"/>
    </row>
    <row r="76" s="247" customFormat="1" spans="1:7">
      <c r="A76" s="206"/>
      <c r="B76" s="42"/>
      <c r="C76" s="272"/>
      <c r="D76" s="116"/>
      <c r="E76" s="259"/>
      <c r="F76" s="259">
        <f t="shared" si="4"/>
        <v>0</v>
      </c>
      <c r="G76" s="265"/>
    </row>
    <row r="77" s="247" customFormat="1" spans="1:7">
      <c r="A77" s="206"/>
      <c r="B77" s="42"/>
      <c r="C77" s="272"/>
      <c r="D77" s="116"/>
      <c r="E77" s="259"/>
      <c r="F77" s="259">
        <f t="shared" si="4"/>
        <v>0</v>
      </c>
      <c r="G77" s="265"/>
    </row>
    <row r="78" s="247" customFormat="1" spans="1:7">
      <c r="A78" s="206"/>
      <c r="B78" s="42"/>
      <c r="C78" s="272"/>
      <c r="D78" s="116"/>
      <c r="E78" s="259"/>
      <c r="F78" s="259">
        <f t="shared" si="4"/>
        <v>0</v>
      </c>
      <c r="G78" s="265"/>
    </row>
    <row r="79" s="247" customFormat="1" spans="1:7">
      <c r="A79" s="266"/>
      <c r="B79" s="262"/>
      <c r="C79" s="272"/>
      <c r="D79" s="116"/>
      <c r="E79" s="259"/>
      <c r="F79" s="259">
        <f t="shared" si="4"/>
        <v>0</v>
      </c>
      <c r="G79" s="263"/>
    </row>
    <row r="80" s="247" customFormat="1" spans="1:7">
      <c r="A80" s="204"/>
      <c r="B80" s="36"/>
      <c r="C80" s="272"/>
      <c r="D80" s="116"/>
      <c r="E80" s="259"/>
      <c r="F80" s="259">
        <f t="shared" si="4"/>
        <v>0</v>
      </c>
      <c r="G80" s="260">
        <f>SUM(F80:F84)</f>
        <v>0</v>
      </c>
    </row>
    <row r="81" s="247" customFormat="1" spans="1:7">
      <c r="A81" s="206"/>
      <c r="B81" s="42"/>
      <c r="C81" s="272"/>
      <c r="D81" s="116"/>
      <c r="E81" s="259"/>
      <c r="F81" s="259">
        <f t="shared" si="4"/>
        <v>0</v>
      </c>
      <c r="G81" s="265"/>
    </row>
    <row r="82" s="247" customFormat="1" spans="1:7">
      <c r="A82" s="206"/>
      <c r="B82" s="42"/>
      <c r="C82" s="272"/>
      <c r="D82" s="116"/>
      <c r="E82" s="259"/>
      <c r="F82" s="259">
        <f t="shared" si="4"/>
        <v>0</v>
      </c>
      <c r="G82" s="265"/>
    </row>
    <row r="83" s="247" customFormat="1" spans="1:7">
      <c r="A83" s="206"/>
      <c r="B83" s="42"/>
      <c r="C83" s="272"/>
      <c r="D83" s="116"/>
      <c r="E83" s="259"/>
      <c r="F83" s="259">
        <f t="shared" si="4"/>
        <v>0</v>
      </c>
      <c r="G83" s="265"/>
    </row>
    <row r="84" s="247" customFormat="1" spans="1:7">
      <c r="A84" s="266"/>
      <c r="B84" s="262"/>
      <c r="C84" s="272"/>
      <c r="D84" s="116"/>
      <c r="E84" s="259"/>
      <c r="F84" s="259">
        <f t="shared" si="4"/>
        <v>0</v>
      </c>
      <c r="G84" s="263"/>
    </row>
    <row r="85" s="247" customFormat="1" spans="1:7">
      <c r="A85" s="204"/>
      <c r="B85" s="36"/>
      <c r="C85" s="272"/>
      <c r="D85" s="116"/>
      <c r="E85" s="259"/>
      <c r="F85" s="259">
        <f t="shared" ref="F85:F93" si="5">D85*E85</f>
        <v>0</v>
      </c>
      <c r="G85" s="260">
        <f>SUM(F85:F90)</f>
        <v>0</v>
      </c>
    </row>
    <row r="86" s="247" customFormat="1" spans="1:7">
      <c r="A86" s="206"/>
      <c r="B86" s="42"/>
      <c r="C86" s="272"/>
      <c r="D86" s="116"/>
      <c r="E86" s="259"/>
      <c r="F86" s="259">
        <f t="shared" si="5"/>
        <v>0</v>
      </c>
      <c r="G86" s="265"/>
    </row>
    <row r="87" s="247" customFormat="1" spans="1:7">
      <c r="A87" s="206"/>
      <c r="B87" s="42"/>
      <c r="C87" s="272"/>
      <c r="D87" s="116"/>
      <c r="E87" s="259"/>
      <c r="F87" s="259">
        <f t="shared" si="5"/>
        <v>0</v>
      </c>
      <c r="G87" s="265"/>
    </row>
    <row r="88" s="247" customFormat="1" spans="1:7">
      <c r="A88" s="206"/>
      <c r="B88" s="42"/>
      <c r="C88" s="272"/>
      <c r="D88" s="116"/>
      <c r="E88" s="259"/>
      <c r="F88" s="259">
        <f t="shared" si="5"/>
        <v>0</v>
      </c>
      <c r="G88" s="265"/>
    </row>
    <row r="89" s="247" customFormat="1" spans="1:7">
      <c r="A89" s="206"/>
      <c r="B89" s="42"/>
      <c r="C89" s="272"/>
      <c r="D89" s="116"/>
      <c r="E89" s="259"/>
      <c r="F89" s="259">
        <f t="shared" si="5"/>
        <v>0</v>
      </c>
      <c r="G89" s="265"/>
    </row>
    <row r="90" s="247" customFormat="1" spans="1:7">
      <c r="A90" s="266"/>
      <c r="B90" s="262"/>
      <c r="C90" s="272"/>
      <c r="D90" s="116"/>
      <c r="E90" s="259"/>
      <c r="F90" s="259">
        <f t="shared" si="5"/>
        <v>0</v>
      </c>
      <c r="G90" s="263"/>
    </row>
    <row r="91" s="247" customFormat="1" spans="1:7">
      <c r="A91" s="204"/>
      <c r="B91" s="36"/>
      <c r="C91" s="272"/>
      <c r="D91" s="116"/>
      <c r="E91" s="259"/>
      <c r="F91" s="259">
        <f t="shared" si="5"/>
        <v>0</v>
      </c>
      <c r="G91" s="260">
        <f>SUM(F91:F93)</f>
        <v>0</v>
      </c>
    </row>
    <row r="92" s="247" customFormat="1" spans="1:7">
      <c r="A92" s="206"/>
      <c r="B92" s="42"/>
      <c r="C92" s="272"/>
      <c r="D92" s="116"/>
      <c r="E92" s="259"/>
      <c r="F92" s="259">
        <f t="shared" si="5"/>
        <v>0</v>
      </c>
      <c r="G92" s="265"/>
    </row>
    <row r="93" s="247" customFormat="1" spans="1:7">
      <c r="A93" s="266"/>
      <c r="B93" s="262"/>
      <c r="C93" s="272"/>
      <c r="D93" s="116"/>
      <c r="E93" s="259"/>
      <c r="F93" s="259">
        <f t="shared" si="5"/>
        <v>0</v>
      </c>
      <c r="G93" s="263"/>
    </row>
    <row r="94" s="247" customFormat="1" spans="1:7">
      <c r="A94" s="204"/>
      <c r="B94" s="36"/>
      <c r="C94" s="272"/>
      <c r="D94" s="116"/>
      <c r="E94" s="259"/>
      <c r="F94" s="259">
        <f t="shared" ref="F94:F114" si="6">D94*E94</f>
        <v>0</v>
      </c>
      <c r="G94" s="260">
        <f>SUM(F94:F99)</f>
        <v>0</v>
      </c>
    </row>
    <row r="95" s="247" customFormat="1" spans="1:7">
      <c r="A95" s="206"/>
      <c r="B95" s="42"/>
      <c r="C95" s="272"/>
      <c r="D95" s="116"/>
      <c r="E95" s="259"/>
      <c r="F95" s="259">
        <f t="shared" si="6"/>
        <v>0</v>
      </c>
      <c r="G95" s="265"/>
    </row>
    <row r="96" s="247" customFormat="1" spans="1:7">
      <c r="A96" s="206"/>
      <c r="B96" s="42"/>
      <c r="C96" s="272"/>
      <c r="D96" s="116"/>
      <c r="E96" s="259"/>
      <c r="F96" s="259">
        <f t="shared" si="6"/>
        <v>0</v>
      </c>
      <c r="G96" s="265"/>
    </row>
    <row r="97" s="247" customFormat="1" spans="1:7">
      <c r="A97" s="206"/>
      <c r="B97" s="42"/>
      <c r="C97" s="272"/>
      <c r="D97" s="116"/>
      <c r="E97" s="259"/>
      <c r="F97" s="259">
        <f t="shared" si="6"/>
        <v>0</v>
      </c>
      <c r="G97" s="265"/>
    </row>
    <row r="98" s="247" customFormat="1" spans="1:7">
      <c r="A98" s="206"/>
      <c r="B98" s="42"/>
      <c r="C98" s="272"/>
      <c r="D98" s="116"/>
      <c r="E98" s="259"/>
      <c r="F98" s="259">
        <f t="shared" si="6"/>
        <v>0</v>
      </c>
      <c r="G98" s="265"/>
    </row>
    <row r="99" s="247" customFormat="1" spans="1:7">
      <c r="A99" s="266"/>
      <c r="B99" s="262"/>
      <c r="C99" s="272"/>
      <c r="D99" s="116"/>
      <c r="E99" s="259"/>
      <c r="F99" s="259">
        <f t="shared" si="6"/>
        <v>0</v>
      </c>
      <c r="G99" s="263"/>
    </row>
    <row r="100" s="247" customFormat="1" spans="1:7">
      <c r="A100" s="204"/>
      <c r="B100" s="36"/>
      <c r="C100" s="272"/>
      <c r="D100" s="116"/>
      <c r="E100" s="259"/>
      <c r="F100" s="259">
        <f t="shared" si="6"/>
        <v>0</v>
      </c>
      <c r="G100" s="260">
        <f>SUM(F100:F104)</f>
        <v>0</v>
      </c>
    </row>
    <row r="101" s="247" customFormat="1" spans="1:7">
      <c r="A101" s="206"/>
      <c r="B101" s="42"/>
      <c r="C101" s="272"/>
      <c r="D101" s="116"/>
      <c r="E101" s="259"/>
      <c r="F101" s="259">
        <f t="shared" si="6"/>
        <v>0</v>
      </c>
      <c r="G101" s="265"/>
    </row>
    <row r="102" s="247" customFormat="1" spans="1:7">
      <c r="A102" s="206"/>
      <c r="B102" s="42"/>
      <c r="C102" s="272"/>
      <c r="D102" s="116"/>
      <c r="E102" s="259"/>
      <c r="F102" s="259">
        <f t="shared" si="6"/>
        <v>0</v>
      </c>
      <c r="G102" s="265"/>
    </row>
    <row r="103" s="247" customFormat="1" spans="1:7">
      <c r="A103" s="206"/>
      <c r="B103" s="42"/>
      <c r="C103" s="272"/>
      <c r="D103" s="116"/>
      <c r="E103" s="259"/>
      <c r="F103" s="259">
        <f t="shared" si="6"/>
        <v>0</v>
      </c>
      <c r="G103" s="265"/>
    </row>
    <row r="104" s="247" customFormat="1" spans="1:7">
      <c r="A104" s="266"/>
      <c r="B104" s="262"/>
      <c r="C104" s="272"/>
      <c r="D104" s="116"/>
      <c r="E104" s="259"/>
      <c r="F104" s="259">
        <f t="shared" si="6"/>
        <v>0</v>
      </c>
      <c r="G104" s="263"/>
    </row>
    <row r="105" s="247" customFormat="1" spans="1:7">
      <c r="A105" s="204"/>
      <c r="B105" s="36"/>
      <c r="C105" s="272"/>
      <c r="D105" s="116"/>
      <c r="E105" s="259"/>
      <c r="F105" s="259">
        <f t="shared" si="6"/>
        <v>0</v>
      </c>
      <c r="G105" s="260">
        <f>SUM(F105:F110)</f>
        <v>0</v>
      </c>
    </row>
    <row r="106" s="247" customFormat="1" spans="1:7">
      <c r="A106" s="206"/>
      <c r="B106" s="42"/>
      <c r="C106" s="272"/>
      <c r="D106" s="116"/>
      <c r="E106" s="259"/>
      <c r="F106" s="259">
        <f t="shared" si="6"/>
        <v>0</v>
      </c>
      <c r="G106" s="265"/>
    </row>
    <row r="107" s="247" customFormat="1" spans="1:7">
      <c r="A107" s="206"/>
      <c r="B107" s="42"/>
      <c r="C107" s="272"/>
      <c r="D107" s="116"/>
      <c r="E107" s="259"/>
      <c r="F107" s="259">
        <f t="shared" si="6"/>
        <v>0</v>
      </c>
      <c r="G107" s="265"/>
    </row>
    <row r="108" s="247" customFormat="1" spans="1:7">
      <c r="A108" s="206"/>
      <c r="B108" s="42"/>
      <c r="C108" s="272"/>
      <c r="D108" s="116"/>
      <c r="E108" s="259"/>
      <c r="F108" s="259">
        <f t="shared" si="6"/>
        <v>0</v>
      </c>
      <c r="G108" s="265"/>
    </row>
    <row r="109" s="247" customFormat="1" spans="1:7">
      <c r="A109" s="206"/>
      <c r="B109" s="42"/>
      <c r="C109" s="272"/>
      <c r="D109" s="116"/>
      <c r="E109" s="259"/>
      <c r="F109" s="259">
        <f t="shared" si="6"/>
        <v>0</v>
      </c>
      <c r="G109" s="265"/>
    </row>
    <row r="110" s="247" customFormat="1" spans="1:7">
      <c r="A110" s="266"/>
      <c r="B110" s="262"/>
      <c r="C110" s="272"/>
      <c r="D110" s="116"/>
      <c r="E110" s="259"/>
      <c r="F110" s="259">
        <f t="shared" si="6"/>
        <v>0</v>
      </c>
      <c r="G110" s="263"/>
    </row>
    <row r="111" s="247" customFormat="1" spans="1:7">
      <c r="A111" s="204"/>
      <c r="B111" s="36"/>
      <c r="C111" s="272"/>
      <c r="D111" s="116"/>
      <c r="E111" s="259"/>
      <c r="F111" s="259">
        <f t="shared" si="6"/>
        <v>0</v>
      </c>
      <c r="G111" s="260">
        <f>SUM(F111:F114)</f>
        <v>0</v>
      </c>
    </row>
    <row r="112" s="247" customFormat="1" spans="1:7">
      <c r="A112" s="206"/>
      <c r="B112" s="42"/>
      <c r="C112" s="272"/>
      <c r="D112" s="116"/>
      <c r="E112" s="259"/>
      <c r="F112" s="259">
        <f t="shared" si="6"/>
        <v>0</v>
      </c>
      <c r="G112" s="265"/>
    </row>
    <row r="113" s="247" customFormat="1" spans="1:7">
      <c r="A113" s="206"/>
      <c r="B113" s="42"/>
      <c r="C113" s="272"/>
      <c r="D113" s="116"/>
      <c r="E113" s="259"/>
      <c r="F113" s="259">
        <f t="shared" si="6"/>
        <v>0</v>
      </c>
      <c r="G113" s="265"/>
    </row>
    <row r="114" s="247" customFormat="1" spans="1:7">
      <c r="A114" s="206"/>
      <c r="B114" s="42"/>
      <c r="C114" s="272"/>
      <c r="D114" s="116"/>
      <c r="E114" s="259"/>
      <c r="F114" s="259">
        <f t="shared" si="6"/>
        <v>0</v>
      </c>
      <c r="G114" s="265"/>
    </row>
    <row r="115" s="247" customFormat="1" spans="1:7">
      <c r="A115" s="204"/>
      <c r="B115" s="36"/>
      <c r="C115" s="272"/>
      <c r="D115" s="116"/>
      <c r="E115" s="259"/>
      <c r="F115" s="259">
        <f t="shared" ref="F115:F117" si="7">D115*E115</f>
        <v>0</v>
      </c>
      <c r="G115" s="260">
        <f>SUM(F115:F117)</f>
        <v>0</v>
      </c>
    </row>
    <row r="116" s="247" customFormat="1" spans="1:7">
      <c r="A116" s="206"/>
      <c r="B116" s="42"/>
      <c r="C116" s="272"/>
      <c r="D116" s="116"/>
      <c r="E116" s="259"/>
      <c r="F116" s="259">
        <f t="shared" si="7"/>
        <v>0</v>
      </c>
      <c r="G116" s="265"/>
    </row>
    <row r="117" s="247" customFormat="1" spans="1:7">
      <c r="A117" s="266"/>
      <c r="B117" s="262"/>
      <c r="C117" s="272"/>
      <c r="D117" s="116"/>
      <c r="E117" s="259"/>
      <c r="F117" s="259">
        <f t="shared" si="7"/>
        <v>0</v>
      </c>
      <c r="G117" s="263"/>
    </row>
    <row r="118" s="247" customFormat="1" spans="1:7">
      <c r="A118" s="273" t="s">
        <v>9</v>
      </c>
      <c r="B118" s="127"/>
      <c r="C118" s="274"/>
      <c r="D118" s="127"/>
      <c r="E118" s="127"/>
      <c r="F118" s="275"/>
      <c r="G118" s="61">
        <f>SUM(G2:G117)</f>
        <v>0</v>
      </c>
    </row>
    <row r="119" s="247" customFormat="1" spans="1:7">
      <c r="A119" s="248"/>
      <c r="B119" s="249"/>
      <c r="C119" s="250"/>
      <c r="D119" s="251"/>
      <c r="E119" s="252"/>
      <c r="G119" s="248"/>
    </row>
    <row r="120" s="247" customFormat="1" spans="1:7">
      <c r="A120" s="248"/>
      <c r="B120" s="249"/>
      <c r="C120" s="250"/>
      <c r="D120" s="251"/>
      <c r="E120" s="252"/>
      <c r="G120" s="248"/>
    </row>
    <row r="121" s="247" customFormat="1" spans="1:7">
      <c r="A121" s="248"/>
      <c r="B121" s="249"/>
      <c r="C121" s="250"/>
      <c r="D121" s="251"/>
      <c r="E121" s="252"/>
      <c r="G121" s="248"/>
    </row>
    <row r="122" s="247" customFormat="1" spans="1:7">
      <c r="A122" s="248"/>
      <c r="B122" s="249"/>
      <c r="C122" s="250"/>
      <c r="D122" s="251"/>
      <c r="E122" s="252"/>
      <c r="G122" s="248"/>
    </row>
    <row r="123" s="247" customFormat="1" spans="1:7">
      <c r="A123" s="248"/>
      <c r="B123" s="249"/>
      <c r="C123" s="250"/>
      <c r="D123" s="251"/>
      <c r="E123" s="252"/>
      <c r="G123" s="248"/>
    </row>
    <row r="124" s="247" customFormat="1" spans="1:7">
      <c r="A124" s="248"/>
      <c r="B124" s="249"/>
      <c r="C124" s="250"/>
      <c r="D124" s="251"/>
      <c r="E124" s="252"/>
      <c r="G124" s="248"/>
    </row>
    <row r="125" s="247" customFormat="1" spans="1:7">
      <c r="A125" s="248"/>
      <c r="B125" s="249"/>
      <c r="C125" s="250"/>
      <c r="D125" s="251"/>
      <c r="E125" s="252"/>
      <c r="G125" s="248"/>
    </row>
    <row r="126" s="247" customFormat="1" spans="1:7">
      <c r="A126" s="248"/>
      <c r="B126" s="249"/>
      <c r="C126" s="250"/>
      <c r="D126" s="251"/>
      <c r="E126" s="252"/>
      <c r="G126" s="248"/>
    </row>
    <row r="127" s="247" customFormat="1" spans="1:7">
      <c r="A127" s="248"/>
      <c r="B127" s="249"/>
      <c r="C127" s="250"/>
      <c r="D127" s="251"/>
      <c r="E127" s="252"/>
      <c r="G127" s="248"/>
    </row>
    <row r="128" s="247" customFormat="1" spans="1:7">
      <c r="A128" s="248"/>
      <c r="B128" s="249"/>
      <c r="C128" s="250"/>
      <c r="D128" s="251"/>
      <c r="E128" s="252"/>
      <c r="G128" s="248"/>
    </row>
    <row r="129" s="247" customFormat="1" spans="1:7">
      <c r="A129" s="248"/>
      <c r="B129" s="249"/>
      <c r="C129" s="250"/>
      <c r="D129" s="251"/>
      <c r="E129" s="252"/>
      <c r="G129" s="248"/>
    </row>
    <row r="130" s="247" customFormat="1" spans="1:7">
      <c r="A130" s="248"/>
      <c r="B130" s="249"/>
      <c r="C130" s="250"/>
      <c r="D130" s="251"/>
      <c r="E130" s="252"/>
      <c r="G130" s="248"/>
    </row>
    <row r="131" s="247" customFormat="1" spans="1:7">
      <c r="A131" s="248"/>
      <c r="B131" s="249"/>
      <c r="C131" s="250"/>
      <c r="D131" s="251"/>
      <c r="E131" s="252"/>
      <c r="G131" s="248"/>
    </row>
    <row r="132" s="247" customFormat="1" spans="1:7">
      <c r="A132" s="248"/>
      <c r="B132" s="249"/>
      <c r="C132" s="250"/>
      <c r="D132" s="251"/>
      <c r="E132" s="252"/>
      <c r="G132" s="248"/>
    </row>
    <row r="133" s="247" customFormat="1" spans="1:7">
      <c r="A133" s="248"/>
      <c r="B133" s="249"/>
      <c r="C133" s="250"/>
      <c r="D133" s="251"/>
      <c r="E133" s="252"/>
      <c r="G133" s="248"/>
    </row>
    <row r="134" s="247" customFormat="1" spans="1:7">
      <c r="A134" s="248"/>
      <c r="B134" s="249"/>
      <c r="C134" s="250"/>
      <c r="D134" s="251"/>
      <c r="E134" s="252"/>
      <c r="G134" s="248"/>
    </row>
    <row r="135" s="247" customFormat="1" spans="1:7">
      <c r="A135" s="248"/>
      <c r="B135" s="249"/>
      <c r="C135" s="250"/>
      <c r="D135" s="251"/>
      <c r="E135" s="252"/>
      <c r="G135" s="248"/>
    </row>
    <row r="136" s="247" customFormat="1" spans="1:7">
      <c r="A136" s="248"/>
      <c r="B136" s="249"/>
      <c r="C136" s="250"/>
      <c r="D136" s="251"/>
      <c r="E136" s="252"/>
      <c r="G136" s="248"/>
    </row>
    <row r="137" s="247" customFormat="1" spans="1:7">
      <c r="A137" s="248"/>
      <c r="B137" s="249"/>
      <c r="C137" s="250"/>
      <c r="D137" s="251"/>
      <c r="E137" s="252"/>
      <c r="G137" s="248"/>
    </row>
    <row r="138" s="247" customFormat="1" spans="1:7">
      <c r="A138" s="248"/>
      <c r="B138" s="249"/>
      <c r="C138" s="250"/>
      <c r="D138" s="251"/>
      <c r="E138" s="252"/>
      <c r="G138" s="248"/>
    </row>
    <row r="139" s="247" customFormat="1" spans="1:7">
      <c r="A139" s="248"/>
      <c r="B139" s="249"/>
      <c r="C139" s="250"/>
      <c r="D139" s="251"/>
      <c r="E139" s="252"/>
      <c r="G139" s="248"/>
    </row>
    <row r="140" s="247" customFormat="1" spans="1:7">
      <c r="A140" s="248"/>
      <c r="B140" s="249"/>
      <c r="C140" s="250"/>
      <c r="D140" s="251"/>
      <c r="E140" s="252"/>
      <c r="G140" s="248"/>
    </row>
    <row r="141" s="247" customFormat="1" spans="1:7">
      <c r="A141" s="248"/>
      <c r="B141" s="249"/>
      <c r="C141" s="250"/>
      <c r="D141" s="251"/>
      <c r="E141" s="252"/>
      <c r="G141" s="248"/>
    </row>
    <row r="142" s="247" customFormat="1" spans="1:7">
      <c r="A142" s="248"/>
      <c r="B142" s="249"/>
      <c r="C142" s="250"/>
      <c r="D142" s="251"/>
      <c r="E142" s="252"/>
      <c r="G142" s="248"/>
    </row>
    <row r="143" s="247" customFormat="1" spans="1:7">
      <c r="A143" s="248"/>
      <c r="B143" s="249"/>
      <c r="C143" s="250"/>
      <c r="D143" s="251"/>
      <c r="E143" s="252"/>
      <c r="G143" s="248"/>
    </row>
    <row r="144" s="247" customFormat="1" spans="1:7">
      <c r="A144" s="248"/>
      <c r="B144" s="249"/>
      <c r="C144" s="250"/>
      <c r="D144" s="251"/>
      <c r="E144" s="252"/>
      <c r="G144" s="248"/>
    </row>
    <row r="145" s="247" customFormat="1" spans="1:7">
      <c r="A145" s="248"/>
      <c r="B145" s="249"/>
      <c r="C145" s="250"/>
      <c r="D145" s="251"/>
      <c r="E145" s="252"/>
      <c r="G145" s="248"/>
    </row>
    <row r="146" s="247" customFormat="1" spans="1:7">
      <c r="A146" s="248"/>
      <c r="B146" s="249"/>
      <c r="C146" s="250"/>
      <c r="D146" s="251"/>
      <c r="E146" s="252"/>
      <c r="G146" s="248"/>
    </row>
    <row r="147" s="247" customFormat="1" spans="1:7">
      <c r="A147" s="248"/>
      <c r="B147" s="249"/>
      <c r="C147" s="250"/>
      <c r="D147" s="251"/>
      <c r="E147" s="252"/>
      <c r="G147" s="248"/>
    </row>
    <row r="148" s="247" customFormat="1" spans="1:7">
      <c r="A148" s="248"/>
      <c r="B148" s="249"/>
      <c r="C148" s="250"/>
      <c r="D148" s="251"/>
      <c r="E148" s="252"/>
      <c r="G148" s="248"/>
    </row>
    <row r="149" s="247" customFormat="1" spans="1:7">
      <c r="A149" s="248"/>
      <c r="B149" s="249"/>
      <c r="C149" s="250"/>
      <c r="D149" s="251"/>
      <c r="E149" s="252"/>
      <c r="G149" s="248"/>
    </row>
    <row r="150" s="247" customFormat="1" spans="1:7">
      <c r="A150" s="248"/>
      <c r="B150" s="249"/>
      <c r="C150" s="250"/>
      <c r="D150" s="251"/>
      <c r="E150" s="252"/>
      <c r="G150" s="248"/>
    </row>
    <row r="151" s="247" customFormat="1" spans="1:7">
      <c r="A151" s="248"/>
      <c r="B151" s="249"/>
      <c r="C151" s="250"/>
      <c r="D151" s="251"/>
      <c r="E151" s="252"/>
      <c r="G151" s="248"/>
    </row>
    <row r="152" s="247" customFormat="1" spans="1:7">
      <c r="A152" s="248"/>
      <c r="B152" s="249"/>
      <c r="C152" s="250"/>
      <c r="D152" s="251"/>
      <c r="E152" s="252"/>
      <c r="G152" s="248"/>
    </row>
    <row r="153" s="247" customFormat="1" spans="1:8">
      <c r="A153" s="248"/>
      <c r="B153" s="249"/>
      <c r="C153" s="250"/>
      <c r="D153" s="251"/>
      <c r="E153" s="252"/>
      <c r="G153" s="248"/>
      <c r="H153" s="269"/>
    </row>
  </sheetData>
  <mergeCells count="86">
    <mergeCell ref="A118:F118"/>
    <mergeCell ref="A2:A3"/>
    <mergeCell ref="A4:A6"/>
    <mergeCell ref="A7:A9"/>
    <mergeCell ref="A10:A15"/>
    <mergeCell ref="A16:A18"/>
    <mergeCell ref="A19:A20"/>
    <mergeCell ref="A21:A25"/>
    <mergeCell ref="A26:A28"/>
    <mergeCell ref="A29:A32"/>
    <mergeCell ref="A33:A37"/>
    <mergeCell ref="A38:A41"/>
    <mergeCell ref="A42:A43"/>
    <mergeCell ref="A44:A45"/>
    <mergeCell ref="A46:A54"/>
    <mergeCell ref="A55:A58"/>
    <mergeCell ref="A59:A60"/>
    <mergeCell ref="A61:A63"/>
    <mergeCell ref="A64:A68"/>
    <mergeCell ref="A70:A72"/>
    <mergeCell ref="A73:A79"/>
    <mergeCell ref="A80:A84"/>
    <mergeCell ref="A85:A90"/>
    <mergeCell ref="A91:A93"/>
    <mergeCell ref="A94:A99"/>
    <mergeCell ref="A100:A104"/>
    <mergeCell ref="A105:A110"/>
    <mergeCell ref="A111:A114"/>
    <mergeCell ref="A115:A117"/>
    <mergeCell ref="B2:B3"/>
    <mergeCell ref="B4:B6"/>
    <mergeCell ref="B7:B9"/>
    <mergeCell ref="B10:B15"/>
    <mergeCell ref="B16:B18"/>
    <mergeCell ref="B19:B20"/>
    <mergeCell ref="B21:B25"/>
    <mergeCell ref="B26:B28"/>
    <mergeCell ref="B29:B32"/>
    <mergeCell ref="B33:B37"/>
    <mergeCell ref="B38:B41"/>
    <mergeCell ref="B42:B43"/>
    <mergeCell ref="B44:B45"/>
    <mergeCell ref="B46:B54"/>
    <mergeCell ref="B55:B58"/>
    <mergeCell ref="B59:B60"/>
    <mergeCell ref="B61:B63"/>
    <mergeCell ref="B64:B68"/>
    <mergeCell ref="B70:B72"/>
    <mergeCell ref="B73:B79"/>
    <mergeCell ref="B80:B84"/>
    <mergeCell ref="B85:B90"/>
    <mergeCell ref="B91:B93"/>
    <mergeCell ref="B94:B99"/>
    <mergeCell ref="B100:B104"/>
    <mergeCell ref="B105:B110"/>
    <mergeCell ref="B111:B114"/>
    <mergeCell ref="B115:B117"/>
    <mergeCell ref="G2:G3"/>
    <mergeCell ref="G4:G6"/>
    <mergeCell ref="G7:G9"/>
    <mergeCell ref="G10:G15"/>
    <mergeCell ref="G16:G18"/>
    <mergeCell ref="G19:G20"/>
    <mergeCell ref="G21:G25"/>
    <mergeCell ref="G26:G28"/>
    <mergeCell ref="G29:G32"/>
    <mergeCell ref="G33:G37"/>
    <mergeCell ref="G38:G41"/>
    <mergeCell ref="G42:G43"/>
    <mergeCell ref="G44:G45"/>
    <mergeCell ref="G46:G54"/>
    <mergeCell ref="G55:G58"/>
    <mergeCell ref="G59:G60"/>
    <mergeCell ref="G61:G63"/>
    <mergeCell ref="G64:G68"/>
    <mergeCell ref="G70:G72"/>
    <mergeCell ref="G73:G79"/>
    <mergeCell ref="G80:G84"/>
    <mergeCell ref="G85:G90"/>
    <mergeCell ref="G91:G93"/>
    <mergeCell ref="G94:G99"/>
    <mergeCell ref="G100:G104"/>
    <mergeCell ref="G105:G110"/>
    <mergeCell ref="G111:G114"/>
    <mergeCell ref="G115:G117"/>
    <mergeCell ref="N70:N7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zoomScale="85" zoomScaleNormal="85" workbookViewId="0">
      <pane ySplit="1" topLeftCell="A7" activePane="bottomLeft" state="frozen"/>
      <selection/>
      <selection pane="bottomLeft" activeCell="E10" sqref="E10:G10"/>
    </sheetView>
  </sheetViews>
  <sheetFormatPr defaultColWidth="9.14285714285714" defaultRowHeight="15" outlineLevelCol="6"/>
  <cols>
    <col min="2" max="2" width="10.1428571428571" customWidth="1"/>
    <col min="3" max="4" width="19.447619047619" customWidth="1"/>
    <col min="5" max="5" width="38.9904761904762" customWidth="1"/>
    <col min="6" max="6" width="17.7142857142857" customWidth="1"/>
    <col min="7" max="7" width="17.7238095238095" customWidth="1"/>
  </cols>
  <sheetData>
    <row r="1" ht="28" customHeight="1" spans="1:7">
      <c r="A1" s="13" t="s">
        <v>0</v>
      </c>
      <c r="B1" s="13" t="s">
        <v>10</v>
      </c>
      <c r="C1" s="13" t="s">
        <v>11</v>
      </c>
      <c r="D1" s="13" t="s">
        <v>12</v>
      </c>
      <c r="E1" s="13" t="s">
        <v>13</v>
      </c>
      <c r="F1" s="13" t="s">
        <v>3</v>
      </c>
      <c r="G1" s="13" t="s">
        <v>5</v>
      </c>
    </row>
    <row r="2" ht="136.35" customHeight="1" spans="1:7">
      <c r="A2" s="95"/>
      <c r="B2" s="116"/>
      <c r="C2" s="70"/>
      <c r="D2" s="16"/>
      <c r="E2" s="4"/>
      <c r="F2" s="244"/>
      <c r="G2" s="244">
        <f>SUM(D2*F2)</f>
        <v>0</v>
      </c>
    </row>
    <row r="3" ht="106.2" customHeight="1" spans="1:7">
      <c r="A3" s="95"/>
      <c r="B3" s="116"/>
      <c r="C3" s="70"/>
      <c r="D3" s="16"/>
      <c r="E3" s="4"/>
      <c r="F3" s="244"/>
      <c r="G3" s="244">
        <f t="shared" ref="G3:G8" si="0">SUM(D3*F3)</f>
        <v>0</v>
      </c>
    </row>
    <row r="4" ht="110.45" customHeight="1" spans="1:7">
      <c r="A4" s="95"/>
      <c r="B4" s="116"/>
      <c r="C4" s="70"/>
      <c r="D4" s="16"/>
      <c r="E4" s="4"/>
      <c r="F4" s="244"/>
      <c r="G4" s="244">
        <f t="shared" si="0"/>
        <v>0</v>
      </c>
    </row>
    <row r="5" ht="106" customHeight="1" spans="1:7">
      <c r="A5" s="95"/>
      <c r="B5" s="116"/>
      <c r="C5" s="70"/>
      <c r="D5" s="16"/>
      <c r="E5" s="4"/>
      <c r="F5" s="244"/>
      <c r="G5" s="244">
        <f t="shared" si="0"/>
        <v>0</v>
      </c>
    </row>
    <row r="6" ht="112.95" customHeight="1" spans="1:7">
      <c r="A6" s="95"/>
      <c r="B6" s="116"/>
      <c r="C6" s="70"/>
      <c r="D6" s="16"/>
      <c r="E6" s="4"/>
      <c r="F6" s="244"/>
      <c r="G6" s="244">
        <f t="shared" si="0"/>
        <v>0</v>
      </c>
    </row>
    <row r="7" ht="113.5" customHeight="1" spans="1:7">
      <c r="A7" s="95"/>
      <c r="B7" s="116"/>
      <c r="C7" s="70"/>
      <c r="D7" s="16"/>
      <c r="E7" s="4"/>
      <c r="F7" s="244"/>
      <c r="G7" s="244">
        <f t="shared" si="0"/>
        <v>0</v>
      </c>
    </row>
    <row r="8" ht="110.25" customHeight="1" spans="1:7">
      <c r="A8" s="95"/>
      <c r="B8" s="116"/>
      <c r="C8" s="70"/>
      <c r="D8" s="16"/>
      <c r="E8" s="4"/>
      <c r="F8" s="244"/>
      <c r="G8" s="244">
        <f t="shared" si="0"/>
        <v>0</v>
      </c>
    </row>
    <row r="9" ht="109.9" customHeight="1" spans="1:7">
      <c r="A9" s="95"/>
      <c r="B9" s="116"/>
      <c r="C9" s="70"/>
      <c r="D9" s="16"/>
      <c r="E9" s="4"/>
      <c r="F9" s="244"/>
      <c r="G9" s="244">
        <f t="shared" ref="G9:G15" si="1">SUM(D9*F9)</f>
        <v>0</v>
      </c>
    </row>
    <row r="10" ht="23.25" spans="1:7">
      <c r="A10" s="245"/>
      <c r="B10" s="245"/>
      <c r="C10" s="245"/>
      <c r="D10" s="245"/>
      <c r="E10" s="246">
        <f>SUM(G2:G9)</f>
        <v>0</v>
      </c>
      <c r="F10" s="246"/>
      <c r="G10" s="246"/>
    </row>
    <row r="11" ht="140" customHeight="1"/>
    <row r="12" ht="140" customHeight="1"/>
    <row r="13" ht="140" customHeight="1"/>
    <row r="14" ht="140" customHeight="1"/>
    <row r="15" ht="140" customHeight="1"/>
  </sheetData>
  <mergeCells count="2">
    <mergeCell ref="A10:C10"/>
    <mergeCell ref="E10:G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3"/>
  <sheetViews>
    <sheetView zoomScale="85" zoomScaleNormal="85" workbookViewId="0">
      <pane ySplit="1" topLeftCell="A2" activePane="bottomLeft" state="frozen"/>
      <selection/>
      <selection pane="bottomLeft" activeCell="G6" sqref="G6"/>
    </sheetView>
  </sheetViews>
  <sheetFormatPr defaultColWidth="9.14285714285714" defaultRowHeight="15.75" outlineLevelCol="6"/>
  <cols>
    <col min="1" max="1" width="28.3809523809524" style="221" customWidth="1"/>
    <col min="2" max="2" width="32.1809523809524" style="222" customWidth="1"/>
    <col min="3" max="3" width="9.14285714285714" style="223"/>
    <col min="4" max="4" width="13.3809523809524" style="220" customWidth="1"/>
    <col min="5" max="5" width="27.9714285714286" style="220" customWidth="1"/>
    <col min="6" max="6" width="28.1619047619048" style="220" customWidth="1"/>
    <col min="7" max="8" width="14.2857142857143" style="220"/>
    <col min="9" max="16384" width="9.14285714285714" style="220"/>
  </cols>
  <sheetData>
    <row r="1" s="176" customFormat="1" ht="31" customHeight="1" spans="1:6">
      <c r="A1" s="224" t="s">
        <v>0</v>
      </c>
      <c r="B1" s="225" t="s">
        <v>1</v>
      </c>
      <c r="C1" s="226" t="s">
        <v>2</v>
      </c>
      <c r="D1" s="227" t="s">
        <v>3</v>
      </c>
      <c r="E1" s="227" t="s">
        <v>14</v>
      </c>
      <c r="F1" s="227" t="s">
        <v>5</v>
      </c>
    </row>
    <row r="2" s="220" customFormat="1" spans="1:6">
      <c r="A2" s="228">
        <v>45993</v>
      </c>
      <c r="B2" s="229" t="s">
        <v>15</v>
      </c>
      <c r="C2" s="230">
        <v>3</v>
      </c>
      <c r="D2" s="231">
        <v>28000</v>
      </c>
      <c r="E2" s="231">
        <f t="shared" ref="E2:E11" si="0">SUM(C2*D2)</f>
        <v>84000</v>
      </c>
      <c r="F2" s="232">
        <f>SUM(E2:E10)</f>
        <v>769100</v>
      </c>
    </row>
    <row r="3" s="220" customFormat="1" spans="1:6">
      <c r="A3" s="233"/>
      <c r="B3" s="229" t="s">
        <v>16</v>
      </c>
      <c r="C3" s="230">
        <v>2</v>
      </c>
      <c r="D3" s="231">
        <v>93000</v>
      </c>
      <c r="E3" s="231">
        <f t="shared" si="0"/>
        <v>186000</v>
      </c>
      <c r="F3" s="234"/>
    </row>
    <row r="4" s="220" customFormat="1" spans="1:7">
      <c r="A4" s="233"/>
      <c r="B4" s="229" t="s">
        <v>17</v>
      </c>
      <c r="C4" s="230">
        <v>0.3</v>
      </c>
      <c r="D4" s="231">
        <v>17000</v>
      </c>
      <c r="E4" s="231">
        <f t="shared" si="0"/>
        <v>5100</v>
      </c>
      <c r="F4" s="234"/>
      <c r="G4" s="235"/>
    </row>
    <row r="5" s="220" customFormat="1" spans="1:6">
      <c r="A5" s="233"/>
      <c r="B5" s="229" t="s">
        <v>18</v>
      </c>
      <c r="C5" s="230">
        <v>1</v>
      </c>
      <c r="D5" s="231">
        <v>61000</v>
      </c>
      <c r="E5" s="231">
        <f t="shared" si="0"/>
        <v>61000</v>
      </c>
      <c r="F5" s="234"/>
    </row>
    <row r="6" s="220" customFormat="1" spans="1:7">
      <c r="A6" s="233"/>
      <c r="B6" s="229" t="s">
        <v>19</v>
      </c>
      <c r="C6" s="230">
        <v>1</v>
      </c>
      <c r="D6" s="231">
        <v>17000</v>
      </c>
      <c r="E6" s="231">
        <f t="shared" si="0"/>
        <v>17000</v>
      </c>
      <c r="F6" s="234"/>
      <c r="G6" s="235"/>
    </row>
    <row r="7" s="220" customFormat="1" spans="1:6">
      <c r="A7" s="233"/>
      <c r="B7" s="229" t="s">
        <v>20</v>
      </c>
      <c r="C7" s="230">
        <v>1</v>
      </c>
      <c r="D7" s="231">
        <v>31000</v>
      </c>
      <c r="E7" s="231">
        <f t="shared" si="0"/>
        <v>31000</v>
      </c>
      <c r="F7" s="234"/>
    </row>
    <row r="8" s="220" customFormat="1" spans="1:6">
      <c r="A8" s="233"/>
      <c r="B8" s="229" t="s">
        <v>21</v>
      </c>
      <c r="C8" s="230">
        <v>8</v>
      </c>
      <c r="D8" s="231">
        <v>15000</v>
      </c>
      <c r="E8" s="231">
        <f t="shared" si="0"/>
        <v>120000</v>
      </c>
      <c r="F8" s="234"/>
    </row>
    <row r="9" s="220" customFormat="1" spans="1:6">
      <c r="A9" s="233"/>
      <c r="B9" s="229" t="s">
        <v>22</v>
      </c>
      <c r="C9" s="230">
        <v>5</v>
      </c>
      <c r="D9" s="231">
        <v>35000</v>
      </c>
      <c r="E9" s="231">
        <f t="shared" si="0"/>
        <v>175000</v>
      </c>
      <c r="F9" s="234"/>
    </row>
    <row r="10" s="220" customFormat="1" spans="1:6">
      <c r="A10" s="236"/>
      <c r="B10" s="229" t="s">
        <v>23</v>
      </c>
      <c r="C10" s="230">
        <v>2</v>
      </c>
      <c r="D10" s="231">
        <v>45000</v>
      </c>
      <c r="E10" s="231">
        <f t="shared" si="0"/>
        <v>90000</v>
      </c>
      <c r="F10" s="237"/>
    </row>
    <row r="11" s="220" customFormat="1" spans="1:6">
      <c r="A11" s="238"/>
      <c r="B11" s="229"/>
      <c r="C11" s="230"/>
      <c r="D11" s="231"/>
      <c r="E11" s="231">
        <f t="shared" si="0"/>
        <v>0</v>
      </c>
      <c r="F11" s="239"/>
    </row>
    <row r="12" s="220" customFormat="1" spans="1:7">
      <c r="A12" s="238"/>
      <c r="B12" s="229"/>
      <c r="C12" s="230"/>
      <c r="D12" s="231"/>
      <c r="E12" s="231">
        <f t="shared" ref="E12:E22" si="1">SUM(C12*D12)</f>
        <v>0</v>
      </c>
      <c r="F12" s="239">
        <f>SUM(E12:E22)</f>
        <v>0</v>
      </c>
      <c r="G12" s="235"/>
    </row>
    <row r="13" s="220" customFormat="1" spans="1:6">
      <c r="A13" s="238"/>
      <c r="B13" s="229"/>
      <c r="C13" s="230"/>
      <c r="D13" s="231"/>
      <c r="E13" s="231">
        <f t="shared" si="1"/>
        <v>0</v>
      </c>
      <c r="F13" s="239"/>
    </row>
    <row r="14" s="220" customFormat="1" spans="1:6">
      <c r="A14" s="238"/>
      <c r="B14" s="229"/>
      <c r="C14" s="230"/>
      <c r="D14" s="231"/>
      <c r="E14" s="231">
        <f t="shared" si="1"/>
        <v>0</v>
      </c>
      <c r="F14" s="239"/>
    </row>
    <row r="15" s="220" customFormat="1" spans="1:6">
      <c r="A15" s="238"/>
      <c r="B15" s="229"/>
      <c r="C15" s="230"/>
      <c r="D15" s="231"/>
      <c r="E15" s="231">
        <f t="shared" si="1"/>
        <v>0</v>
      </c>
      <c r="F15" s="239"/>
    </row>
    <row r="16" s="220" customFormat="1" spans="1:6">
      <c r="A16" s="238"/>
      <c r="B16" s="229"/>
      <c r="C16" s="230"/>
      <c r="D16" s="231"/>
      <c r="E16" s="231">
        <f t="shared" si="1"/>
        <v>0</v>
      </c>
      <c r="F16" s="239"/>
    </row>
    <row r="17" s="220" customFormat="1" spans="1:6">
      <c r="A17" s="238"/>
      <c r="B17" s="229"/>
      <c r="C17" s="230"/>
      <c r="D17" s="231"/>
      <c r="E17" s="231">
        <f t="shared" si="1"/>
        <v>0</v>
      </c>
      <c r="F17" s="239"/>
    </row>
    <row r="18" s="220" customFormat="1" spans="1:6">
      <c r="A18" s="238"/>
      <c r="B18" s="229"/>
      <c r="C18" s="230"/>
      <c r="D18" s="231"/>
      <c r="E18" s="231">
        <f t="shared" si="1"/>
        <v>0</v>
      </c>
      <c r="F18" s="239"/>
    </row>
    <row r="19" s="220" customFormat="1" spans="1:6">
      <c r="A19" s="238"/>
      <c r="B19" s="229"/>
      <c r="C19" s="230"/>
      <c r="D19" s="231"/>
      <c r="E19" s="231">
        <f t="shared" si="1"/>
        <v>0</v>
      </c>
      <c r="F19" s="239"/>
    </row>
    <row r="20" s="220" customFormat="1" spans="1:6">
      <c r="A20" s="238"/>
      <c r="B20" s="229"/>
      <c r="C20" s="230"/>
      <c r="D20" s="231"/>
      <c r="E20" s="231">
        <f t="shared" si="1"/>
        <v>0</v>
      </c>
      <c r="F20" s="239"/>
    </row>
    <row r="21" s="220" customFormat="1" spans="1:6">
      <c r="A21" s="238"/>
      <c r="B21" s="229"/>
      <c r="C21" s="230"/>
      <c r="D21" s="231"/>
      <c r="E21" s="231">
        <f t="shared" si="1"/>
        <v>0</v>
      </c>
      <c r="F21" s="239"/>
    </row>
    <row r="22" s="220" customFormat="1" spans="1:6">
      <c r="A22" s="238"/>
      <c r="B22" s="229"/>
      <c r="C22" s="230"/>
      <c r="D22" s="231"/>
      <c r="E22" s="231">
        <f t="shared" si="1"/>
        <v>0</v>
      </c>
      <c r="F22" s="239"/>
    </row>
    <row r="23" s="220" customFormat="1" spans="1:6">
      <c r="A23" s="238"/>
      <c r="B23" s="229"/>
      <c r="C23" s="230"/>
      <c r="D23" s="231"/>
      <c r="E23" s="231">
        <f t="shared" ref="E23:E36" si="2">SUM(C23*D23)</f>
        <v>0</v>
      </c>
      <c r="F23" s="239">
        <f>SUM(E23:E36)</f>
        <v>0</v>
      </c>
    </row>
    <row r="24" s="220" customFormat="1" spans="1:6">
      <c r="A24" s="238"/>
      <c r="B24" s="229"/>
      <c r="C24" s="230"/>
      <c r="D24" s="231"/>
      <c r="E24" s="231">
        <f t="shared" si="2"/>
        <v>0</v>
      </c>
      <c r="F24" s="239"/>
    </row>
    <row r="25" s="220" customFormat="1" spans="1:6">
      <c r="A25" s="238"/>
      <c r="B25" s="229"/>
      <c r="C25" s="230"/>
      <c r="D25" s="231"/>
      <c r="E25" s="231">
        <f t="shared" si="2"/>
        <v>0</v>
      </c>
      <c r="F25" s="239"/>
    </row>
    <row r="26" s="220" customFormat="1" spans="1:6">
      <c r="A26" s="238"/>
      <c r="B26" s="229"/>
      <c r="C26" s="230"/>
      <c r="D26" s="231"/>
      <c r="E26" s="231">
        <f t="shared" si="2"/>
        <v>0</v>
      </c>
      <c r="F26" s="239"/>
    </row>
    <row r="27" s="220" customFormat="1" spans="1:6">
      <c r="A27" s="238"/>
      <c r="B27" s="229"/>
      <c r="C27" s="230"/>
      <c r="D27" s="231"/>
      <c r="E27" s="231">
        <f t="shared" si="2"/>
        <v>0</v>
      </c>
      <c r="F27" s="239"/>
    </row>
    <row r="28" s="220" customFormat="1" spans="1:6">
      <c r="A28" s="238"/>
      <c r="B28" s="229"/>
      <c r="C28" s="230"/>
      <c r="D28" s="231"/>
      <c r="E28" s="231">
        <f t="shared" si="2"/>
        <v>0</v>
      </c>
      <c r="F28" s="239"/>
    </row>
    <row r="29" s="220" customFormat="1" spans="1:6">
      <c r="A29" s="238"/>
      <c r="B29" s="229"/>
      <c r="C29" s="230"/>
      <c r="D29" s="231"/>
      <c r="E29" s="231">
        <f t="shared" si="2"/>
        <v>0</v>
      </c>
      <c r="F29" s="239"/>
    </row>
    <row r="30" s="220" customFormat="1" spans="1:6">
      <c r="A30" s="238"/>
      <c r="B30" s="229"/>
      <c r="C30" s="230"/>
      <c r="D30" s="231"/>
      <c r="E30" s="231">
        <f t="shared" si="2"/>
        <v>0</v>
      </c>
      <c r="F30" s="239"/>
    </row>
    <row r="31" s="220" customFormat="1" spans="1:6">
      <c r="A31" s="238"/>
      <c r="B31" s="229"/>
      <c r="C31" s="230"/>
      <c r="D31" s="231"/>
      <c r="E31" s="231">
        <f t="shared" si="2"/>
        <v>0</v>
      </c>
      <c r="F31" s="239"/>
    </row>
    <row r="32" s="220" customFormat="1" spans="1:6">
      <c r="A32" s="238"/>
      <c r="B32" s="229"/>
      <c r="C32" s="230"/>
      <c r="D32" s="231"/>
      <c r="E32" s="231">
        <f t="shared" si="2"/>
        <v>0</v>
      </c>
      <c r="F32" s="239"/>
    </row>
    <row r="33" s="220" customFormat="1" spans="1:6">
      <c r="A33" s="238"/>
      <c r="B33" s="229"/>
      <c r="C33" s="230"/>
      <c r="D33" s="231"/>
      <c r="E33" s="231">
        <f t="shared" si="2"/>
        <v>0</v>
      </c>
      <c r="F33" s="239"/>
    </row>
    <row r="34" s="220" customFormat="1" spans="1:6">
      <c r="A34" s="238"/>
      <c r="B34" s="229"/>
      <c r="C34" s="230"/>
      <c r="D34" s="231"/>
      <c r="E34" s="231">
        <f t="shared" si="2"/>
        <v>0</v>
      </c>
      <c r="F34" s="239"/>
    </row>
    <row r="35" s="220" customFormat="1" spans="1:6">
      <c r="A35" s="238"/>
      <c r="B35" s="229"/>
      <c r="C35" s="230"/>
      <c r="D35" s="231"/>
      <c r="E35" s="231">
        <f t="shared" si="2"/>
        <v>0</v>
      </c>
      <c r="F35" s="239"/>
    </row>
    <row r="36" s="220" customFormat="1" spans="1:6">
      <c r="A36" s="238"/>
      <c r="B36" s="229"/>
      <c r="C36" s="230"/>
      <c r="D36" s="231"/>
      <c r="E36" s="231">
        <f t="shared" si="2"/>
        <v>0</v>
      </c>
      <c r="F36" s="239"/>
    </row>
    <row r="37" s="220" customFormat="1" spans="1:6">
      <c r="A37" s="240"/>
      <c r="B37" s="241"/>
      <c r="C37" s="230"/>
      <c r="D37" s="242"/>
      <c r="E37" s="242"/>
      <c r="F37" s="243">
        <f>SUM(F2:F36)</f>
        <v>769100</v>
      </c>
    </row>
    <row r="38" s="220" customFormat="1" spans="1:3">
      <c r="A38" s="221"/>
      <c r="B38" s="222"/>
      <c r="C38" s="223"/>
    </row>
    <row r="39" s="220" customFormat="1" spans="1:3">
      <c r="A39" s="221"/>
      <c r="B39" s="222"/>
      <c r="C39" s="223"/>
    </row>
    <row r="40" s="220" customFormat="1" spans="1:3">
      <c r="A40" s="221"/>
      <c r="B40" s="222"/>
      <c r="C40" s="223"/>
    </row>
    <row r="41" s="220" customFormat="1" spans="1:3">
      <c r="A41" s="221"/>
      <c r="B41" s="222"/>
      <c r="C41" s="223"/>
    </row>
    <row r="42" s="220" customFormat="1" spans="1:3">
      <c r="A42" s="221"/>
      <c r="B42" s="222"/>
      <c r="C42" s="223"/>
    </row>
    <row r="43" s="220" customFormat="1" spans="1:3">
      <c r="A43" s="221"/>
      <c r="B43" s="222"/>
      <c r="C43" s="223"/>
    </row>
    <row r="44" s="220" customFormat="1" spans="1:3">
      <c r="A44" s="221"/>
      <c r="B44" s="222"/>
      <c r="C44" s="223"/>
    </row>
    <row r="45" s="220" customFormat="1" spans="1:3">
      <c r="A45" s="221"/>
      <c r="B45" s="222"/>
      <c r="C45" s="223"/>
    </row>
    <row r="46" s="220" customFormat="1" spans="1:3">
      <c r="A46" s="221"/>
      <c r="B46" s="222"/>
      <c r="C46" s="223"/>
    </row>
    <row r="47" s="220" customFormat="1" spans="1:3">
      <c r="A47" s="221"/>
      <c r="B47" s="222"/>
      <c r="C47" s="223"/>
    </row>
    <row r="48" s="220" customFormat="1" spans="1:3">
      <c r="A48" s="221"/>
      <c r="B48" s="222"/>
      <c r="C48" s="223"/>
    </row>
    <row r="49" s="220" customFormat="1" spans="1:3">
      <c r="A49" s="221"/>
      <c r="B49" s="222"/>
      <c r="C49" s="223"/>
    </row>
    <row r="50" s="220" customFormat="1" spans="1:3">
      <c r="A50" s="221"/>
      <c r="B50" s="222"/>
      <c r="C50" s="223"/>
    </row>
    <row r="51" s="220" customFormat="1" spans="1:3">
      <c r="A51" s="221"/>
      <c r="B51" s="222"/>
      <c r="C51" s="223"/>
    </row>
    <row r="52" s="220" customFormat="1" spans="1:3">
      <c r="A52" s="221"/>
      <c r="B52" s="222"/>
      <c r="C52" s="223"/>
    </row>
    <row r="53" s="220" customFormat="1" spans="1:3">
      <c r="A53" s="221"/>
      <c r="B53" s="222"/>
      <c r="C53" s="223"/>
    </row>
    <row r="54" s="220" customFormat="1" spans="1:3">
      <c r="A54" s="221"/>
      <c r="B54" s="222"/>
      <c r="C54" s="223"/>
    </row>
    <row r="55" s="220" customFormat="1" spans="1:3">
      <c r="A55" s="221"/>
      <c r="B55" s="222"/>
      <c r="C55" s="223"/>
    </row>
    <row r="56" s="220" customFormat="1" spans="1:3">
      <c r="A56" s="221"/>
      <c r="B56" s="222"/>
      <c r="C56" s="223"/>
    </row>
    <row r="57" s="220" customFormat="1" spans="1:3">
      <c r="A57" s="221"/>
      <c r="B57" s="222"/>
      <c r="C57" s="223"/>
    </row>
    <row r="58" s="220" customFormat="1" spans="1:3">
      <c r="A58" s="221"/>
      <c r="B58" s="222"/>
      <c r="C58" s="223"/>
    </row>
    <row r="59" s="220" customFormat="1" spans="1:3">
      <c r="A59" s="221"/>
      <c r="B59" s="222"/>
      <c r="C59" s="223"/>
    </row>
    <row r="60" s="220" customFormat="1" spans="1:3">
      <c r="A60" s="221"/>
      <c r="B60" s="222"/>
      <c r="C60" s="223"/>
    </row>
    <row r="61" s="220" customFormat="1" spans="1:3">
      <c r="A61" s="221"/>
      <c r="B61" s="222"/>
      <c r="C61" s="223"/>
    </row>
    <row r="62" s="220" customFormat="1" spans="1:3">
      <c r="A62" s="221"/>
      <c r="B62" s="222"/>
      <c r="C62" s="223"/>
    </row>
    <row r="63" s="220" customFormat="1" spans="1:3">
      <c r="A63" s="221"/>
      <c r="B63" s="222"/>
      <c r="C63" s="223"/>
    </row>
    <row r="64" s="220" customFormat="1" spans="1:3">
      <c r="A64" s="221"/>
      <c r="B64" s="222"/>
      <c r="C64" s="223"/>
    </row>
    <row r="65" s="220" customFormat="1" spans="1:3">
      <c r="A65" s="221"/>
      <c r="B65" s="222"/>
      <c r="C65" s="223"/>
    </row>
    <row r="66" s="220" customFormat="1" spans="1:3">
      <c r="A66" s="221"/>
      <c r="B66" s="222"/>
      <c r="C66" s="223"/>
    </row>
    <row r="67" s="220" customFormat="1" spans="1:3">
      <c r="A67" s="221"/>
      <c r="B67" s="222"/>
      <c r="C67" s="223"/>
    </row>
    <row r="68" s="220" customFormat="1" spans="1:3">
      <c r="A68" s="221"/>
      <c r="B68" s="222"/>
      <c r="C68" s="223"/>
    </row>
    <row r="69" s="220" customFormat="1" spans="1:3">
      <c r="A69" s="221"/>
      <c r="B69" s="222"/>
      <c r="C69" s="223"/>
    </row>
    <row r="70" s="220" customFormat="1" spans="1:3">
      <c r="A70" s="221"/>
      <c r="B70" s="222"/>
      <c r="C70" s="223"/>
    </row>
    <row r="71" s="220" customFormat="1" spans="1:3">
      <c r="A71" s="221"/>
      <c r="B71" s="222"/>
      <c r="C71" s="223"/>
    </row>
    <row r="72" s="220" customFormat="1" spans="1:3">
      <c r="A72" s="221"/>
      <c r="B72" s="222"/>
      <c r="C72" s="223"/>
    </row>
    <row r="73" s="220" customFormat="1" spans="1:3">
      <c r="A73" s="221"/>
      <c r="B73" s="222"/>
      <c r="C73" s="223"/>
    </row>
    <row r="74" s="220" customFormat="1" spans="1:3">
      <c r="A74" s="221"/>
      <c r="B74" s="222"/>
      <c r="C74" s="223"/>
    </row>
    <row r="75" s="220" customFormat="1" spans="1:3">
      <c r="A75" s="221"/>
      <c r="B75" s="222"/>
      <c r="C75" s="223"/>
    </row>
    <row r="76" s="220" customFormat="1" spans="1:3">
      <c r="A76" s="221"/>
      <c r="B76" s="222"/>
      <c r="C76" s="223"/>
    </row>
    <row r="77" s="220" customFormat="1" spans="1:3">
      <c r="A77" s="221"/>
      <c r="B77" s="222"/>
      <c r="C77" s="223"/>
    </row>
    <row r="78" s="220" customFormat="1" spans="1:3">
      <c r="A78" s="221"/>
      <c r="B78" s="222"/>
      <c r="C78" s="223"/>
    </row>
    <row r="79" s="220" customFormat="1" spans="1:3">
      <c r="A79" s="221"/>
      <c r="B79" s="222"/>
      <c r="C79" s="223"/>
    </row>
    <row r="80" s="220" customFormat="1" spans="1:3">
      <c r="A80" s="221"/>
      <c r="B80" s="222"/>
      <c r="C80" s="223"/>
    </row>
    <row r="81" s="220" customFormat="1" spans="1:3">
      <c r="A81" s="221"/>
      <c r="B81" s="222"/>
      <c r="C81" s="223"/>
    </row>
    <row r="82" s="220" customFormat="1" spans="1:3">
      <c r="A82" s="221"/>
      <c r="B82" s="222"/>
      <c r="C82" s="223"/>
    </row>
    <row r="83" s="220" customFormat="1" spans="1:3">
      <c r="A83" s="221"/>
      <c r="B83" s="222"/>
      <c r="C83" s="223"/>
    </row>
    <row r="84" s="220" customFormat="1" spans="1:3">
      <c r="A84" s="221"/>
      <c r="B84" s="222"/>
      <c r="C84" s="223"/>
    </row>
    <row r="85" s="220" customFormat="1" spans="1:3">
      <c r="A85" s="221"/>
      <c r="B85" s="222"/>
      <c r="C85" s="223"/>
    </row>
    <row r="86" s="220" customFormat="1" spans="1:3">
      <c r="A86" s="221"/>
      <c r="B86" s="222"/>
      <c r="C86" s="223"/>
    </row>
    <row r="87" s="220" customFormat="1" spans="1:3">
      <c r="A87" s="221"/>
      <c r="B87" s="222"/>
      <c r="C87" s="223"/>
    </row>
    <row r="88" s="220" customFormat="1" spans="1:3">
      <c r="A88" s="221"/>
      <c r="B88" s="222"/>
      <c r="C88" s="223"/>
    </row>
    <row r="89" s="220" customFormat="1" spans="1:3">
      <c r="A89" s="221"/>
      <c r="B89" s="222"/>
      <c r="C89" s="223"/>
    </row>
    <row r="90" s="220" customFormat="1" spans="1:3">
      <c r="A90" s="221"/>
      <c r="B90" s="222"/>
      <c r="C90" s="223"/>
    </row>
    <row r="91" s="220" customFormat="1" spans="1:3">
      <c r="A91" s="221"/>
      <c r="B91" s="222"/>
      <c r="C91" s="223"/>
    </row>
    <row r="92" s="220" customFormat="1" spans="1:3">
      <c r="A92" s="221"/>
      <c r="B92" s="222"/>
      <c r="C92" s="223"/>
    </row>
    <row r="93" s="220" customFormat="1" spans="1:3">
      <c r="A93" s="221"/>
      <c r="B93" s="222"/>
      <c r="C93" s="223"/>
    </row>
    <row r="94" s="220" customFormat="1" spans="1:3">
      <c r="A94" s="221"/>
      <c r="B94" s="222"/>
      <c r="C94" s="223"/>
    </row>
    <row r="95" s="220" customFormat="1" spans="1:3">
      <c r="A95" s="221"/>
      <c r="B95" s="222"/>
      <c r="C95" s="223"/>
    </row>
    <row r="96" s="220" customFormat="1" spans="1:3">
      <c r="A96" s="221"/>
      <c r="B96" s="222"/>
      <c r="C96" s="223"/>
    </row>
    <row r="97" s="220" customFormat="1" spans="1:3">
      <c r="A97" s="221"/>
      <c r="B97" s="222"/>
      <c r="C97" s="223"/>
    </row>
    <row r="98" s="220" customFormat="1" spans="1:3">
      <c r="A98" s="221"/>
      <c r="B98" s="222"/>
      <c r="C98" s="223"/>
    </row>
    <row r="99" s="220" customFormat="1" spans="1:3">
      <c r="A99" s="221"/>
      <c r="B99" s="222"/>
      <c r="C99" s="223"/>
    </row>
    <row r="100" s="220" customFormat="1" spans="1:3">
      <c r="A100" s="221"/>
      <c r="B100" s="222"/>
      <c r="C100" s="223"/>
    </row>
    <row r="101" s="220" customFormat="1" spans="1:3">
      <c r="A101" s="221"/>
      <c r="B101" s="222"/>
      <c r="C101" s="223"/>
    </row>
    <row r="102" s="220" customFormat="1" spans="1:3">
      <c r="A102" s="221"/>
      <c r="B102" s="222"/>
      <c r="C102" s="223"/>
    </row>
    <row r="103" s="220" customFormat="1" spans="1:3">
      <c r="A103" s="221"/>
      <c r="B103" s="222"/>
      <c r="C103" s="223"/>
    </row>
    <row r="104" s="220" customFormat="1" spans="1:3">
      <c r="A104" s="221"/>
      <c r="B104" s="222"/>
      <c r="C104" s="223"/>
    </row>
    <row r="105" s="220" customFormat="1" spans="1:3">
      <c r="A105" s="221"/>
      <c r="B105" s="222"/>
      <c r="C105" s="223"/>
    </row>
    <row r="106" s="220" customFormat="1" spans="1:3">
      <c r="A106" s="221"/>
      <c r="B106" s="222"/>
      <c r="C106" s="223"/>
    </row>
    <row r="107" s="220" customFormat="1" spans="1:3">
      <c r="A107" s="221"/>
      <c r="B107" s="222"/>
      <c r="C107" s="223"/>
    </row>
    <row r="108" s="220" customFormat="1" spans="1:3">
      <c r="A108" s="221"/>
      <c r="B108" s="222"/>
      <c r="C108" s="223"/>
    </row>
    <row r="109" s="220" customFormat="1" spans="1:3">
      <c r="A109" s="221"/>
      <c r="B109" s="222"/>
      <c r="C109" s="223"/>
    </row>
    <row r="110" s="220" customFormat="1" spans="1:3">
      <c r="A110" s="221"/>
      <c r="B110" s="222"/>
      <c r="C110" s="223"/>
    </row>
    <row r="111" s="220" customFormat="1" spans="1:3">
      <c r="A111" s="221"/>
      <c r="B111" s="222"/>
      <c r="C111" s="223"/>
    </row>
    <row r="112" s="220" customFormat="1" spans="1:3">
      <c r="A112" s="221"/>
      <c r="B112" s="222"/>
      <c r="C112" s="223"/>
    </row>
    <row r="113" s="220" customFormat="1" spans="1:3">
      <c r="A113" s="221"/>
      <c r="B113" s="222"/>
      <c r="C113" s="223"/>
    </row>
    <row r="114" s="220" customFormat="1" spans="1:3">
      <c r="A114" s="221"/>
      <c r="B114" s="222"/>
      <c r="C114" s="223"/>
    </row>
    <row r="115" s="220" customFormat="1" spans="1:3">
      <c r="A115" s="221"/>
      <c r="B115" s="222"/>
      <c r="C115" s="223"/>
    </row>
    <row r="116" s="220" customFormat="1" spans="1:3">
      <c r="A116" s="221"/>
      <c r="B116" s="222"/>
      <c r="C116" s="223"/>
    </row>
    <row r="117" s="220" customFormat="1" spans="1:3">
      <c r="A117" s="221"/>
      <c r="B117" s="222"/>
      <c r="C117" s="223"/>
    </row>
    <row r="118" s="220" customFormat="1" spans="1:3">
      <c r="A118" s="221"/>
      <c r="B118" s="222"/>
      <c r="C118" s="223"/>
    </row>
    <row r="119" s="220" customFormat="1" spans="1:7">
      <c r="A119" s="221"/>
      <c r="B119" s="222"/>
      <c r="C119" s="223"/>
      <c r="G119" s="235"/>
    </row>
    <row r="120" s="220" customFormat="1" spans="1:3">
      <c r="A120" s="221"/>
      <c r="B120" s="222"/>
      <c r="C120" s="223"/>
    </row>
    <row r="121" s="220" customFormat="1" spans="1:3">
      <c r="A121" s="221"/>
      <c r="B121" s="222"/>
      <c r="C121" s="223"/>
    </row>
    <row r="122" s="220" customFormat="1" spans="1:3">
      <c r="A122" s="221"/>
      <c r="B122" s="222"/>
      <c r="C122" s="223"/>
    </row>
    <row r="123" s="220" customFormat="1" spans="1:3">
      <c r="A123" s="221"/>
      <c r="B123" s="222"/>
      <c r="C123" s="223"/>
    </row>
    <row r="124" s="220" customFormat="1" spans="1:3">
      <c r="A124" s="221"/>
      <c r="B124" s="222"/>
      <c r="C124" s="223"/>
    </row>
    <row r="125" s="220" customFormat="1" spans="1:3">
      <c r="A125" s="221"/>
      <c r="B125" s="222"/>
      <c r="C125" s="223"/>
    </row>
    <row r="126" s="220" customFormat="1" spans="1:3">
      <c r="A126" s="221"/>
      <c r="B126" s="222"/>
      <c r="C126" s="223"/>
    </row>
    <row r="127" s="220" customFormat="1" spans="1:3">
      <c r="A127" s="221"/>
      <c r="B127" s="222"/>
      <c r="C127" s="223"/>
    </row>
    <row r="128" s="220" customFormat="1" spans="1:3">
      <c r="A128" s="221"/>
      <c r="B128" s="222"/>
      <c r="C128" s="223"/>
    </row>
    <row r="129" s="220" customFormat="1" spans="1:3">
      <c r="A129" s="221"/>
      <c r="B129" s="222"/>
      <c r="C129" s="223"/>
    </row>
    <row r="130" s="220" customFormat="1" spans="1:3">
      <c r="A130" s="221"/>
      <c r="B130" s="222"/>
      <c r="C130" s="223"/>
    </row>
    <row r="131" s="220" customFormat="1" spans="1:3">
      <c r="A131" s="221"/>
      <c r="B131" s="222"/>
      <c r="C131" s="223"/>
    </row>
    <row r="132" s="220" customFormat="1" spans="1:3">
      <c r="A132" s="221"/>
      <c r="B132" s="222"/>
      <c r="C132" s="223"/>
    </row>
    <row r="133" s="220" customFormat="1" spans="1:3">
      <c r="A133" s="221"/>
      <c r="B133" s="222"/>
      <c r="C133" s="223"/>
    </row>
    <row r="134" s="220" customFormat="1" spans="1:3">
      <c r="A134" s="221"/>
      <c r="B134" s="222"/>
      <c r="C134" s="223"/>
    </row>
    <row r="135" s="220" customFormat="1" spans="1:3">
      <c r="A135" s="221"/>
      <c r="B135" s="222"/>
      <c r="C135" s="223"/>
    </row>
    <row r="136" s="220" customFormat="1" spans="1:3">
      <c r="A136" s="221"/>
      <c r="B136" s="222"/>
      <c r="C136" s="223"/>
    </row>
    <row r="137" s="220" customFormat="1" spans="1:3">
      <c r="A137" s="221"/>
      <c r="B137" s="222"/>
      <c r="C137" s="223"/>
    </row>
    <row r="138" s="220" customFormat="1" spans="1:3">
      <c r="A138" s="221"/>
      <c r="B138" s="222"/>
      <c r="C138" s="223"/>
    </row>
    <row r="139" s="220" customFormat="1" spans="1:3">
      <c r="A139" s="221"/>
      <c r="B139" s="222"/>
      <c r="C139" s="223"/>
    </row>
    <row r="140" s="220" customFormat="1" spans="1:3">
      <c r="A140" s="221"/>
      <c r="B140" s="222"/>
      <c r="C140" s="223"/>
    </row>
    <row r="141" s="220" customFormat="1" spans="1:3">
      <c r="A141" s="221"/>
      <c r="B141" s="222"/>
      <c r="C141" s="223"/>
    </row>
    <row r="142" s="220" customFormat="1" spans="1:3">
      <c r="A142" s="221"/>
      <c r="B142" s="222"/>
      <c r="C142" s="223"/>
    </row>
    <row r="143" s="220" customFormat="1" spans="1:3">
      <c r="A143" s="221"/>
      <c r="B143" s="222"/>
      <c r="C143" s="223"/>
    </row>
    <row r="144" s="220" customFormat="1" spans="1:3">
      <c r="A144" s="221"/>
      <c r="B144" s="222"/>
      <c r="C144" s="223"/>
    </row>
    <row r="145" s="220" customFormat="1" spans="1:3">
      <c r="A145" s="221"/>
      <c r="B145" s="222"/>
      <c r="C145" s="223"/>
    </row>
    <row r="146" s="220" customFormat="1" spans="1:3">
      <c r="A146" s="221"/>
      <c r="B146" s="222"/>
      <c r="C146" s="223"/>
    </row>
    <row r="147" s="220" customFormat="1" spans="1:3">
      <c r="A147" s="221"/>
      <c r="B147" s="222"/>
      <c r="C147" s="223"/>
    </row>
    <row r="148" s="220" customFormat="1" spans="1:3">
      <c r="A148" s="221"/>
      <c r="B148" s="222"/>
      <c r="C148" s="223"/>
    </row>
    <row r="149" s="220" customFormat="1" spans="1:3">
      <c r="A149" s="221"/>
      <c r="B149" s="222"/>
      <c r="C149" s="223"/>
    </row>
    <row r="150" s="220" customFormat="1" spans="1:3">
      <c r="A150" s="221"/>
      <c r="B150" s="222"/>
      <c r="C150" s="223"/>
    </row>
    <row r="151" s="220" customFormat="1" spans="1:3">
      <c r="A151" s="221"/>
      <c r="B151" s="222"/>
      <c r="C151" s="223"/>
    </row>
    <row r="152" s="220" customFormat="1" spans="1:3">
      <c r="A152" s="221"/>
      <c r="B152" s="222"/>
      <c r="C152" s="223"/>
    </row>
    <row r="153" s="220" customFormat="1" spans="1:3">
      <c r="A153" s="221"/>
      <c r="B153" s="222"/>
      <c r="C153" s="223"/>
    </row>
    <row r="154" s="220" customFormat="1" spans="1:3">
      <c r="A154" s="221"/>
      <c r="B154" s="222"/>
      <c r="C154" s="223"/>
    </row>
    <row r="155" s="220" customFormat="1" spans="1:3">
      <c r="A155" s="221"/>
      <c r="B155" s="222"/>
      <c r="C155" s="223"/>
    </row>
    <row r="156" s="220" customFormat="1" spans="1:3">
      <c r="A156" s="221"/>
      <c r="B156" s="222"/>
      <c r="C156" s="223"/>
    </row>
    <row r="157" s="220" customFormat="1" spans="1:3">
      <c r="A157" s="221"/>
      <c r="B157" s="222"/>
      <c r="C157" s="223"/>
    </row>
    <row r="158" s="220" customFormat="1" spans="1:3">
      <c r="A158" s="221"/>
      <c r="B158" s="222"/>
      <c r="C158" s="223"/>
    </row>
    <row r="159" s="220" customFormat="1" spans="1:3">
      <c r="A159" s="221"/>
      <c r="B159" s="222"/>
      <c r="C159" s="223"/>
    </row>
    <row r="160" s="220" customFormat="1" spans="1:3">
      <c r="A160" s="221"/>
      <c r="B160" s="222"/>
      <c r="C160" s="223"/>
    </row>
    <row r="161" s="220" customFormat="1" spans="1:3">
      <c r="A161" s="221"/>
      <c r="B161" s="222"/>
      <c r="C161" s="223"/>
    </row>
    <row r="162" s="220" customFormat="1" spans="1:3">
      <c r="A162" s="221"/>
      <c r="B162" s="222"/>
      <c r="C162" s="223"/>
    </row>
    <row r="163" s="220" customFormat="1" spans="1:3">
      <c r="A163" s="221"/>
      <c r="B163" s="222"/>
      <c r="C163" s="223"/>
    </row>
    <row r="164" s="220" customFormat="1" spans="1:3">
      <c r="A164" s="221"/>
      <c r="B164" s="222"/>
      <c r="C164" s="223"/>
    </row>
    <row r="165" s="220" customFormat="1" spans="1:3">
      <c r="A165" s="221"/>
      <c r="B165" s="222"/>
      <c r="C165" s="223"/>
    </row>
    <row r="166" s="220" customFormat="1" spans="1:3">
      <c r="A166" s="221"/>
      <c r="B166" s="222"/>
      <c r="C166" s="223"/>
    </row>
    <row r="167" s="220" customFormat="1" spans="1:3">
      <c r="A167" s="221"/>
      <c r="B167" s="222"/>
      <c r="C167" s="223"/>
    </row>
    <row r="168" s="220" customFormat="1" spans="1:3">
      <c r="A168" s="221"/>
      <c r="B168" s="222"/>
      <c r="C168" s="223"/>
    </row>
    <row r="169" s="220" customFormat="1" spans="1:3">
      <c r="A169" s="221"/>
      <c r="B169" s="222"/>
      <c r="C169" s="223"/>
    </row>
    <row r="170" s="220" customFormat="1" spans="1:3">
      <c r="A170" s="221"/>
      <c r="B170" s="222"/>
      <c r="C170" s="223"/>
    </row>
    <row r="171" s="220" customFormat="1" spans="1:3">
      <c r="A171" s="221"/>
      <c r="B171" s="222"/>
      <c r="C171" s="223"/>
    </row>
    <row r="172" s="220" customFormat="1" spans="1:3">
      <c r="A172" s="221"/>
      <c r="B172" s="222"/>
      <c r="C172" s="223"/>
    </row>
    <row r="173" s="220" customFormat="1" spans="1:3">
      <c r="A173" s="221"/>
      <c r="B173" s="222"/>
      <c r="C173" s="223"/>
    </row>
    <row r="174" s="220" customFormat="1" spans="1:3">
      <c r="A174" s="221"/>
      <c r="B174" s="222"/>
      <c r="C174" s="223"/>
    </row>
    <row r="175" s="220" customFormat="1" spans="1:3">
      <c r="A175" s="221"/>
      <c r="B175" s="222"/>
      <c r="C175" s="223"/>
    </row>
    <row r="176" s="220" customFormat="1" spans="1:3">
      <c r="A176" s="221"/>
      <c r="B176" s="222"/>
      <c r="C176" s="223"/>
    </row>
    <row r="177" s="220" customFormat="1" spans="1:3">
      <c r="A177" s="221"/>
      <c r="B177" s="222"/>
      <c r="C177" s="223"/>
    </row>
    <row r="178" s="220" customFormat="1" spans="1:3">
      <c r="A178" s="221"/>
      <c r="B178" s="222"/>
      <c r="C178" s="223"/>
    </row>
    <row r="179" s="220" customFormat="1" spans="1:3">
      <c r="A179" s="221"/>
      <c r="B179" s="222"/>
      <c r="C179" s="223"/>
    </row>
    <row r="180" s="220" customFormat="1" spans="1:3">
      <c r="A180" s="221"/>
      <c r="B180" s="222"/>
      <c r="C180" s="223"/>
    </row>
    <row r="181" s="220" customFormat="1" spans="1:3">
      <c r="A181" s="221"/>
      <c r="B181" s="222"/>
      <c r="C181" s="223"/>
    </row>
    <row r="182" s="220" customFormat="1" spans="1:3">
      <c r="A182" s="221"/>
      <c r="B182" s="222"/>
      <c r="C182" s="223"/>
    </row>
    <row r="183" s="220" customFormat="1" spans="1:3">
      <c r="A183" s="221"/>
      <c r="B183" s="222"/>
      <c r="C183" s="223"/>
    </row>
    <row r="184" s="220" customFormat="1" spans="1:3">
      <c r="A184" s="221"/>
      <c r="B184" s="222"/>
      <c r="C184" s="223"/>
    </row>
    <row r="185" s="220" customFormat="1" spans="1:3">
      <c r="A185" s="221"/>
      <c r="B185" s="222"/>
      <c r="C185" s="223"/>
    </row>
    <row r="186" s="220" customFormat="1" spans="1:3">
      <c r="A186" s="221"/>
      <c r="B186" s="222"/>
      <c r="C186" s="223"/>
    </row>
    <row r="187" s="220" customFormat="1" spans="1:3">
      <c r="A187" s="221"/>
      <c r="B187" s="222"/>
      <c r="C187" s="223"/>
    </row>
    <row r="188" s="220" customFormat="1" spans="1:3">
      <c r="A188" s="221"/>
      <c r="B188" s="222"/>
      <c r="C188" s="223"/>
    </row>
    <row r="189" s="220" customFormat="1" spans="1:3">
      <c r="A189" s="221"/>
      <c r="B189" s="222"/>
      <c r="C189" s="223"/>
    </row>
    <row r="190" s="220" customFormat="1" spans="1:3">
      <c r="A190" s="221"/>
      <c r="B190" s="222"/>
      <c r="C190" s="223"/>
    </row>
    <row r="191" s="220" customFormat="1" spans="1:3">
      <c r="A191" s="221"/>
      <c r="B191" s="222"/>
      <c r="C191" s="223"/>
    </row>
    <row r="192" s="220" customFormat="1" spans="1:3">
      <c r="A192" s="221"/>
      <c r="B192" s="222"/>
      <c r="C192" s="223"/>
    </row>
    <row r="193" s="220" customFormat="1" spans="1:3">
      <c r="A193" s="221"/>
      <c r="B193" s="222"/>
      <c r="C193" s="223"/>
    </row>
    <row r="194" s="220" customFormat="1" spans="1:3">
      <c r="A194" s="221"/>
      <c r="B194" s="222"/>
      <c r="C194" s="223"/>
    </row>
    <row r="195" s="220" customFormat="1" spans="1:3">
      <c r="A195" s="221"/>
      <c r="B195" s="222"/>
      <c r="C195" s="223"/>
    </row>
    <row r="196" s="220" customFormat="1" spans="1:3">
      <c r="A196" s="221"/>
      <c r="B196" s="222"/>
      <c r="C196" s="223"/>
    </row>
    <row r="197" s="220" customFormat="1" spans="1:3">
      <c r="A197" s="221"/>
      <c r="B197" s="222"/>
      <c r="C197" s="223"/>
    </row>
    <row r="198" s="220" customFormat="1" spans="1:3">
      <c r="A198" s="221"/>
      <c r="B198" s="222"/>
      <c r="C198" s="223"/>
    </row>
    <row r="199" s="220" customFormat="1" spans="1:3">
      <c r="A199" s="221"/>
      <c r="B199" s="222"/>
      <c r="C199" s="223"/>
    </row>
    <row r="200" s="220" customFormat="1" spans="1:3">
      <c r="A200" s="221"/>
      <c r="B200" s="222"/>
      <c r="C200" s="223"/>
    </row>
    <row r="201" s="220" customFormat="1" spans="1:3">
      <c r="A201" s="221"/>
      <c r="B201" s="222"/>
      <c r="C201" s="223"/>
    </row>
    <row r="202" s="220" customFormat="1" spans="1:3">
      <c r="A202" s="221"/>
      <c r="B202" s="222"/>
      <c r="C202" s="223"/>
    </row>
    <row r="203" s="220" customFormat="1" spans="1:3">
      <c r="A203" s="221"/>
      <c r="B203" s="222"/>
      <c r="C203" s="223"/>
    </row>
    <row r="204" s="220" customFormat="1" spans="1:3">
      <c r="A204" s="221"/>
      <c r="B204" s="222"/>
      <c r="C204" s="223"/>
    </row>
    <row r="205" s="220" customFormat="1" spans="1:3">
      <c r="A205" s="221"/>
      <c r="B205" s="222"/>
      <c r="C205" s="223"/>
    </row>
    <row r="206" s="220" customFormat="1" spans="1:3">
      <c r="A206" s="221"/>
      <c r="B206" s="222"/>
      <c r="C206" s="223"/>
    </row>
    <row r="207" s="220" customFormat="1" spans="1:3">
      <c r="A207" s="221"/>
      <c r="B207" s="222"/>
      <c r="C207" s="223"/>
    </row>
    <row r="208" s="220" customFormat="1" spans="1:3">
      <c r="A208" s="221"/>
      <c r="B208" s="222"/>
      <c r="C208" s="223"/>
    </row>
    <row r="209" s="220" customFormat="1" spans="1:3">
      <c r="A209" s="221"/>
      <c r="B209" s="222"/>
      <c r="C209" s="223"/>
    </row>
    <row r="210" s="220" customFormat="1" spans="1:3">
      <c r="A210" s="221"/>
      <c r="B210" s="222"/>
      <c r="C210" s="223"/>
    </row>
    <row r="211" s="220" customFormat="1" spans="1:3">
      <c r="A211" s="221"/>
      <c r="B211" s="222"/>
      <c r="C211" s="223"/>
    </row>
    <row r="212" s="220" customFormat="1" spans="1:3">
      <c r="A212" s="221"/>
      <c r="B212" s="222"/>
      <c r="C212" s="223"/>
    </row>
    <row r="213" s="220" customFormat="1" spans="1:3">
      <c r="A213" s="221"/>
      <c r="B213" s="222"/>
      <c r="C213" s="223"/>
    </row>
    <row r="214" s="220" customFormat="1" spans="1:3">
      <c r="A214" s="221"/>
      <c r="B214" s="222"/>
      <c r="C214" s="223"/>
    </row>
    <row r="215" s="220" customFormat="1" spans="1:3">
      <c r="A215" s="221"/>
      <c r="B215" s="222"/>
      <c r="C215" s="223"/>
    </row>
    <row r="216" s="220" customFormat="1" spans="1:3">
      <c r="A216" s="221"/>
      <c r="B216" s="222"/>
      <c r="C216" s="223"/>
    </row>
    <row r="217" s="220" customFormat="1" spans="1:3">
      <c r="A217" s="221"/>
      <c r="B217" s="222"/>
      <c r="C217" s="223"/>
    </row>
    <row r="218" s="220" customFormat="1" spans="1:3">
      <c r="A218" s="221"/>
      <c r="B218" s="222"/>
      <c r="C218" s="223"/>
    </row>
    <row r="219" s="220" customFormat="1" spans="1:3">
      <c r="A219" s="221"/>
      <c r="B219" s="222"/>
      <c r="C219" s="223"/>
    </row>
    <row r="220" s="220" customFormat="1" spans="1:3">
      <c r="A220" s="221"/>
      <c r="B220" s="222"/>
      <c r="C220" s="223"/>
    </row>
    <row r="221" s="220" customFormat="1" spans="1:3">
      <c r="A221" s="221"/>
      <c r="B221" s="222"/>
      <c r="C221" s="223"/>
    </row>
    <row r="222" s="220" customFormat="1" spans="1:3">
      <c r="A222" s="221"/>
      <c r="B222" s="222"/>
      <c r="C222" s="223"/>
    </row>
    <row r="223" s="220" customFormat="1" spans="1:3">
      <c r="A223" s="221"/>
      <c r="B223" s="222"/>
      <c r="C223" s="223"/>
    </row>
    <row r="224" s="220" customFormat="1" spans="1:3">
      <c r="A224" s="221"/>
      <c r="B224" s="222"/>
      <c r="C224" s="223"/>
    </row>
    <row r="225" s="220" customFormat="1" spans="1:3">
      <c r="A225" s="221"/>
      <c r="B225" s="222"/>
      <c r="C225" s="223"/>
    </row>
    <row r="226" s="220" customFormat="1" spans="1:3">
      <c r="A226" s="221"/>
      <c r="B226" s="222"/>
      <c r="C226" s="223"/>
    </row>
    <row r="227" s="220" customFormat="1" spans="1:3">
      <c r="A227" s="221"/>
      <c r="B227" s="222"/>
      <c r="C227" s="223"/>
    </row>
    <row r="228" s="220" customFormat="1" spans="1:3">
      <c r="A228" s="221"/>
      <c r="B228" s="222"/>
      <c r="C228" s="223"/>
    </row>
    <row r="229" s="220" customFormat="1" spans="1:3">
      <c r="A229" s="221"/>
      <c r="B229" s="222"/>
      <c r="C229" s="223"/>
    </row>
    <row r="230" s="220" customFormat="1" spans="1:3">
      <c r="A230" s="221"/>
      <c r="B230" s="222"/>
      <c r="C230" s="223"/>
    </row>
    <row r="231" s="220" customFormat="1" spans="1:3">
      <c r="A231" s="221"/>
      <c r="B231" s="222"/>
      <c r="C231" s="223"/>
    </row>
    <row r="232" s="220" customFormat="1" spans="1:3">
      <c r="A232" s="221"/>
      <c r="B232" s="222"/>
      <c r="C232" s="223"/>
    </row>
    <row r="233" s="220" customFormat="1" spans="1:3">
      <c r="A233" s="221"/>
      <c r="B233" s="222"/>
      <c r="C233" s="223"/>
    </row>
    <row r="234" s="220" customFormat="1" spans="1:3">
      <c r="A234" s="221"/>
      <c r="B234" s="222"/>
      <c r="C234" s="223"/>
    </row>
    <row r="235" s="220" customFormat="1" spans="1:3">
      <c r="A235" s="221"/>
      <c r="B235" s="222"/>
      <c r="C235" s="223"/>
    </row>
    <row r="236" s="220" customFormat="1" spans="1:3">
      <c r="A236" s="221"/>
      <c r="B236" s="222"/>
      <c r="C236" s="223"/>
    </row>
    <row r="237" s="220" customFormat="1" spans="1:3">
      <c r="A237" s="221"/>
      <c r="B237" s="222"/>
      <c r="C237" s="223"/>
    </row>
    <row r="238" s="220" customFormat="1" spans="1:3">
      <c r="A238" s="221"/>
      <c r="B238" s="222"/>
      <c r="C238" s="223"/>
    </row>
    <row r="239" s="220" customFormat="1" spans="1:3">
      <c r="A239" s="221"/>
      <c r="B239" s="222"/>
      <c r="C239" s="223"/>
    </row>
    <row r="240" s="220" customFormat="1" spans="1:3">
      <c r="A240" s="221"/>
      <c r="B240" s="222"/>
      <c r="C240" s="223"/>
    </row>
    <row r="241" s="220" customFormat="1" spans="1:3">
      <c r="A241" s="221"/>
      <c r="B241" s="222"/>
      <c r="C241" s="223"/>
    </row>
    <row r="242" s="220" customFormat="1" spans="1:3">
      <c r="A242" s="221"/>
      <c r="B242" s="222"/>
      <c r="C242" s="223"/>
    </row>
    <row r="243" s="220" customFormat="1" spans="1:3">
      <c r="A243" s="221"/>
      <c r="B243" s="222"/>
      <c r="C243" s="223"/>
    </row>
    <row r="244" s="220" customFormat="1" spans="1:3">
      <c r="A244" s="221"/>
      <c r="B244" s="222"/>
      <c r="C244" s="223"/>
    </row>
    <row r="245" s="220" customFormat="1" spans="1:3">
      <c r="A245" s="221"/>
      <c r="B245" s="222"/>
      <c r="C245" s="223"/>
    </row>
    <row r="246" s="220" customFormat="1" spans="1:3">
      <c r="A246" s="221"/>
      <c r="B246" s="222"/>
      <c r="C246" s="223"/>
    </row>
    <row r="247" s="220" customFormat="1" spans="1:3">
      <c r="A247" s="221"/>
      <c r="B247" s="222"/>
      <c r="C247" s="223"/>
    </row>
    <row r="248" s="220" customFormat="1" spans="1:3">
      <c r="A248" s="221"/>
      <c r="B248" s="222"/>
      <c r="C248" s="223"/>
    </row>
    <row r="249" s="220" customFormat="1" spans="1:3">
      <c r="A249" s="221"/>
      <c r="B249" s="222"/>
      <c r="C249" s="223"/>
    </row>
    <row r="250" s="220" customFormat="1" spans="1:3">
      <c r="A250" s="221"/>
      <c r="B250" s="222"/>
      <c r="C250" s="223"/>
    </row>
    <row r="251" s="220" customFormat="1" spans="1:3">
      <c r="A251" s="221"/>
      <c r="B251" s="222"/>
      <c r="C251" s="223"/>
    </row>
    <row r="252" s="220" customFormat="1" spans="1:3">
      <c r="A252" s="221"/>
      <c r="B252" s="222"/>
      <c r="C252" s="223"/>
    </row>
    <row r="253" s="220" customFormat="1" spans="1:3">
      <c r="A253" s="221"/>
      <c r="B253" s="222"/>
      <c r="C253" s="223"/>
    </row>
    <row r="254" s="220" customFormat="1" spans="1:3">
      <c r="A254" s="221"/>
      <c r="B254" s="222"/>
      <c r="C254" s="223"/>
    </row>
    <row r="255" s="220" customFormat="1" spans="1:3">
      <c r="A255" s="221"/>
      <c r="B255" s="222"/>
      <c r="C255" s="223"/>
    </row>
    <row r="256" s="220" customFormat="1" spans="1:3">
      <c r="A256" s="221"/>
      <c r="B256" s="222"/>
      <c r="C256" s="223"/>
    </row>
    <row r="257" s="220" customFormat="1" spans="1:3">
      <c r="A257" s="221"/>
      <c r="B257" s="222"/>
      <c r="C257" s="223"/>
    </row>
    <row r="258" s="220" customFormat="1" spans="1:3">
      <c r="A258" s="221"/>
      <c r="B258" s="222"/>
      <c r="C258" s="223"/>
    </row>
    <row r="259" s="220" customFormat="1" spans="1:3">
      <c r="A259" s="221"/>
      <c r="B259" s="222"/>
      <c r="C259" s="223"/>
    </row>
    <row r="260" s="220" customFormat="1" spans="1:3">
      <c r="A260" s="221"/>
      <c r="B260" s="222"/>
      <c r="C260" s="223"/>
    </row>
    <row r="261" s="220" customFormat="1" spans="1:3">
      <c r="A261" s="221"/>
      <c r="B261" s="222"/>
      <c r="C261" s="223"/>
    </row>
    <row r="262" s="220" customFormat="1" spans="1:3">
      <c r="A262" s="221"/>
      <c r="B262" s="222"/>
      <c r="C262" s="223"/>
    </row>
    <row r="263" s="220" customFormat="1" spans="1:3">
      <c r="A263" s="221"/>
      <c r="B263" s="222"/>
      <c r="C263" s="223"/>
    </row>
    <row r="264" s="220" customFormat="1" spans="1:3">
      <c r="A264" s="221"/>
      <c r="B264" s="222"/>
      <c r="C264" s="223"/>
    </row>
    <row r="265" s="220" customFormat="1" spans="1:3">
      <c r="A265" s="221"/>
      <c r="B265" s="222"/>
      <c r="C265" s="223"/>
    </row>
    <row r="266" s="220" customFormat="1" spans="1:3">
      <c r="A266" s="221"/>
      <c r="B266" s="222"/>
      <c r="C266" s="223"/>
    </row>
    <row r="267" s="220" customFormat="1" spans="1:3">
      <c r="A267" s="221"/>
      <c r="B267" s="222"/>
      <c r="C267" s="223"/>
    </row>
    <row r="268" s="220" customFormat="1" spans="1:3">
      <c r="A268" s="221"/>
      <c r="B268" s="222"/>
      <c r="C268" s="223"/>
    </row>
    <row r="269" s="220" customFormat="1" spans="1:3">
      <c r="A269" s="221"/>
      <c r="B269" s="222"/>
      <c r="C269" s="223"/>
    </row>
    <row r="270" s="220" customFormat="1" spans="1:3">
      <c r="A270" s="221"/>
      <c r="B270" s="222"/>
      <c r="C270" s="223"/>
    </row>
    <row r="271" s="220" customFormat="1" spans="1:3">
      <c r="A271" s="221"/>
      <c r="B271" s="222"/>
      <c r="C271" s="223"/>
    </row>
    <row r="272" s="220" customFormat="1" spans="1:3">
      <c r="A272" s="221"/>
      <c r="B272" s="222"/>
      <c r="C272" s="223"/>
    </row>
    <row r="273" s="220" customFormat="1" spans="1:3">
      <c r="A273" s="221"/>
      <c r="B273" s="222"/>
      <c r="C273" s="223"/>
    </row>
    <row r="274" s="220" customFormat="1" spans="1:3">
      <c r="A274" s="221"/>
      <c r="B274" s="222"/>
      <c r="C274" s="223"/>
    </row>
    <row r="275" s="220" customFormat="1" spans="1:3">
      <c r="A275" s="221"/>
      <c r="B275" s="222"/>
      <c r="C275" s="223"/>
    </row>
    <row r="276" s="220" customFormat="1" spans="1:3">
      <c r="A276" s="221"/>
      <c r="B276" s="222"/>
      <c r="C276" s="223"/>
    </row>
    <row r="277" s="220" customFormat="1" spans="1:3">
      <c r="A277" s="221"/>
      <c r="B277" s="222"/>
      <c r="C277" s="223"/>
    </row>
    <row r="278" s="220" customFormat="1" spans="1:3">
      <c r="A278" s="221"/>
      <c r="B278" s="222"/>
      <c r="C278" s="223"/>
    </row>
    <row r="279" s="220" customFormat="1" spans="1:3">
      <c r="A279" s="221"/>
      <c r="B279" s="222"/>
      <c r="C279" s="223"/>
    </row>
    <row r="280" s="220" customFormat="1" spans="1:3">
      <c r="A280" s="221"/>
      <c r="B280" s="222"/>
      <c r="C280" s="223"/>
    </row>
    <row r="281" s="220" customFormat="1" spans="1:3">
      <c r="A281" s="221"/>
      <c r="B281" s="222"/>
      <c r="C281" s="223"/>
    </row>
    <row r="282" s="220" customFormat="1" spans="1:3">
      <c r="A282" s="221"/>
      <c r="B282" s="222"/>
      <c r="C282" s="223"/>
    </row>
    <row r="283" s="220" customFormat="1" spans="1:3">
      <c r="A283" s="221"/>
      <c r="B283" s="222"/>
      <c r="C283" s="223"/>
    </row>
    <row r="284" s="220" customFormat="1" spans="1:3">
      <c r="A284" s="221"/>
      <c r="B284" s="222"/>
      <c r="C284" s="223"/>
    </row>
    <row r="285" s="220" customFormat="1" spans="1:3">
      <c r="A285" s="221"/>
      <c r="B285" s="222"/>
      <c r="C285" s="223"/>
    </row>
    <row r="286" s="220" customFormat="1" spans="1:3">
      <c r="A286" s="221"/>
      <c r="B286" s="222"/>
      <c r="C286" s="223"/>
    </row>
    <row r="287" s="220" customFormat="1" spans="1:3">
      <c r="A287" s="221"/>
      <c r="B287" s="222"/>
      <c r="C287" s="223"/>
    </row>
    <row r="288" s="220" customFormat="1" spans="1:3">
      <c r="A288" s="221"/>
      <c r="B288" s="222"/>
      <c r="C288" s="223"/>
    </row>
    <row r="289" s="220" customFormat="1" spans="1:3">
      <c r="A289" s="221"/>
      <c r="B289" s="222"/>
      <c r="C289" s="223"/>
    </row>
    <row r="290" s="220" customFormat="1" spans="1:3">
      <c r="A290" s="221"/>
      <c r="B290" s="222"/>
      <c r="C290" s="223"/>
    </row>
    <row r="291" s="220" customFormat="1" spans="1:3">
      <c r="A291" s="221"/>
      <c r="B291" s="222"/>
      <c r="C291" s="223"/>
    </row>
    <row r="292" s="220" customFormat="1" spans="1:3">
      <c r="A292" s="221"/>
      <c r="B292" s="222"/>
      <c r="C292" s="223"/>
    </row>
    <row r="293" s="220" customFormat="1" spans="1:3">
      <c r="A293" s="221"/>
      <c r="B293" s="222"/>
      <c r="C293" s="223"/>
    </row>
    <row r="294" s="220" customFormat="1" spans="1:3">
      <c r="A294" s="221"/>
      <c r="B294" s="222"/>
      <c r="C294" s="223"/>
    </row>
    <row r="295" s="220" customFormat="1" spans="1:3">
      <c r="A295" s="221"/>
      <c r="B295" s="222"/>
      <c r="C295" s="223"/>
    </row>
    <row r="296" s="220" customFormat="1" spans="1:3">
      <c r="A296" s="221"/>
      <c r="B296" s="222"/>
      <c r="C296" s="223"/>
    </row>
    <row r="297" s="220" customFormat="1" spans="1:3">
      <c r="A297" s="221"/>
      <c r="B297" s="222"/>
      <c r="C297" s="223"/>
    </row>
    <row r="298" s="220" customFormat="1" spans="1:3">
      <c r="A298" s="221"/>
      <c r="B298" s="222"/>
      <c r="C298" s="223"/>
    </row>
    <row r="299" s="220" customFormat="1" spans="1:3">
      <c r="A299" s="221"/>
      <c r="B299" s="222"/>
      <c r="C299" s="223"/>
    </row>
    <row r="300" s="220" customFormat="1" spans="1:3">
      <c r="A300" s="221"/>
      <c r="B300" s="222"/>
      <c r="C300" s="223"/>
    </row>
    <row r="301" s="220" customFormat="1" spans="1:3">
      <c r="A301" s="221"/>
      <c r="B301" s="222"/>
      <c r="C301" s="223"/>
    </row>
    <row r="302" s="220" customFormat="1" spans="1:3">
      <c r="A302" s="221"/>
      <c r="B302" s="222"/>
      <c r="C302" s="223"/>
    </row>
    <row r="303" s="220" customFormat="1" spans="1:3">
      <c r="A303" s="221"/>
      <c r="B303" s="222"/>
      <c r="C303" s="223"/>
    </row>
    <row r="304" s="220" customFormat="1" spans="1:3">
      <c r="A304" s="221"/>
      <c r="B304" s="222"/>
      <c r="C304" s="223"/>
    </row>
    <row r="305" s="220" customFormat="1" spans="1:3">
      <c r="A305" s="221"/>
      <c r="B305" s="222"/>
      <c r="C305" s="223"/>
    </row>
    <row r="306" s="220" customFormat="1" spans="1:3">
      <c r="A306" s="221"/>
      <c r="B306" s="222"/>
      <c r="C306" s="223"/>
    </row>
    <row r="307" s="220" customFormat="1" spans="1:3">
      <c r="A307" s="221"/>
      <c r="B307" s="222"/>
      <c r="C307" s="223"/>
    </row>
    <row r="308" s="220" customFormat="1" spans="1:3">
      <c r="A308" s="221"/>
      <c r="B308" s="222"/>
      <c r="C308" s="223"/>
    </row>
    <row r="309" s="220" customFormat="1" spans="1:3">
      <c r="A309" s="221"/>
      <c r="B309" s="222"/>
      <c r="C309" s="223"/>
    </row>
    <row r="310" s="220" customFormat="1" spans="1:3">
      <c r="A310" s="221"/>
      <c r="B310" s="222"/>
      <c r="C310" s="223"/>
    </row>
    <row r="311" s="220" customFormat="1" spans="1:3">
      <c r="A311" s="221"/>
      <c r="B311" s="222"/>
      <c r="C311" s="223"/>
    </row>
    <row r="312" s="220" customFormat="1" spans="1:3">
      <c r="A312" s="221"/>
      <c r="B312" s="222"/>
      <c r="C312" s="223"/>
    </row>
    <row r="313" s="220" customFormat="1" spans="1:3">
      <c r="A313" s="221"/>
      <c r="B313" s="222"/>
      <c r="C313" s="223"/>
    </row>
    <row r="314" s="220" customFormat="1" spans="1:3">
      <c r="A314" s="221"/>
      <c r="B314" s="222"/>
      <c r="C314" s="223"/>
    </row>
    <row r="315" s="220" customFormat="1" spans="1:3">
      <c r="A315" s="221"/>
      <c r="B315" s="222"/>
      <c r="C315" s="223"/>
    </row>
    <row r="316" s="220" customFormat="1" spans="1:3">
      <c r="A316" s="221"/>
      <c r="B316" s="222"/>
      <c r="C316" s="223"/>
    </row>
    <row r="317" s="220" customFormat="1" spans="1:3">
      <c r="A317" s="221"/>
      <c r="B317" s="222"/>
      <c r="C317" s="223"/>
    </row>
    <row r="318" s="220" customFormat="1" spans="1:3">
      <c r="A318" s="221"/>
      <c r="B318" s="222"/>
      <c r="C318" s="223"/>
    </row>
    <row r="319" s="220" customFormat="1" spans="1:3">
      <c r="A319" s="221"/>
      <c r="B319" s="222"/>
      <c r="C319" s="223"/>
    </row>
    <row r="320" s="220" customFormat="1" spans="1:3">
      <c r="A320" s="221"/>
      <c r="B320" s="222"/>
      <c r="C320" s="223"/>
    </row>
    <row r="321" s="220" customFormat="1" spans="1:3">
      <c r="A321" s="221"/>
      <c r="B321" s="222"/>
      <c r="C321" s="223"/>
    </row>
    <row r="322" s="220" customFormat="1" spans="1:3">
      <c r="A322" s="221"/>
      <c r="B322" s="222"/>
      <c r="C322" s="223"/>
    </row>
    <row r="323" s="220" customFormat="1" spans="1:3">
      <c r="A323" s="221"/>
      <c r="B323" s="222"/>
      <c r="C323" s="223"/>
    </row>
    <row r="324" s="220" customFormat="1" spans="1:3">
      <c r="A324" s="221"/>
      <c r="B324" s="222"/>
      <c r="C324" s="223"/>
    </row>
    <row r="325" s="220" customFormat="1" spans="1:3">
      <c r="A325" s="221"/>
      <c r="B325" s="222"/>
      <c r="C325" s="223"/>
    </row>
    <row r="326" s="220" customFormat="1" spans="1:3">
      <c r="A326" s="221"/>
      <c r="B326" s="222"/>
      <c r="C326" s="223"/>
    </row>
    <row r="327" s="220" customFormat="1" spans="1:3">
      <c r="A327" s="221"/>
      <c r="B327" s="222"/>
      <c r="C327" s="223"/>
    </row>
    <row r="328" s="220" customFormat="1" spans="1:3">
      <c r="A328" s="221"/>
      <c r="B328" s="222"/>
      <c r="C328" s="223"/>
    </row>
    <row r="329" s="220" customFormat="1" spans="1:3">
      <c r="A329" s="221"/>
      <c r="B329" s="222"/>
      <c r="C329" s="223"/>
    </row>
    <row r="330" s="220" customFormat="1" spans="1:3">
      <c r="A330" s="221"/>
      <c r="B330" s="222"/>
      <c r="C330" s="223"/>
    </row>
    <row r="331" s="220" customFormat="1" spans="1:3">
      <c r="A331" s="221"/>
      <c r="B331" s="222"/>
      <c r="C331" s="223"/>
    </row>
    <row r="332" s="220" customFormat="1" spans="1:3">
      <c r="A332" s="221"/>
      <c r="B332" s="222"/>
      <c r="C332" s="223"/>
    </row>
    <row r="333" s="220" customFormat="1" spans="1:3">
      <c r="A333" s="221"/>
      <c r="B333" s="222"/>
      <c r="C333" s="223"/>
    </row>
    <row r="334" s="220" customFormat="1" spans="1:3">
      <c r="A334" s="221"/>
      <c r="B334" s="222"/>
      <c r="C334" s="223"/>
    </row>
    <row r="335" s="220" customFormat="1" spans="1:3">
      <c r="A335" s="221"/>
      <c r="B335" s="222"/>
      <c r="C335" s="223"/>
    </row>
    <row r="336" s="220" customFormat="1" spans="1:3">
      <c r="A336" s="221"/>
      <c r="B336" s="222"/>
      <c r="C336" s="223"/>
    </row>
    <row r="337" s="220" customFormat="1" spans="1:3">
      <c r="A337" s="221"/>
      <c r="B337" s="222"/>
      <c r="C337" s="223"/>
    </row>
    <row r="338" s="220" customFormat="1" spans="1:3">
      <c r="A338" s="221"/>
      <c r="B338" s="222"/>
      <c r="C338" s="223"/>
    </row>
    <row r="339" s="220" customFormat="1" spans="1:3">
      <c r="A339" s="221"/>
      <c r="B339" s="222"/>
      <c r="C339" s="223"/>
    </row>
    <row r="340" s="220" customFormat="1" spans="1:3">
      <c r="A340" s="221"/>
      <c r="B340" s="222"/>
      <c r="C340" s="223"/>
    </row>
    <row r="341" s="220" customFormat="1" spans="1:3">
      <c r="A341" s="221"/>
      <c r="B341" s="222"/>
      <c r="C341" s="223"/>
    </row>
    <row r="342" s="220" customFormat="1" spans="1:3">
      <c r="A342" s="221"/>
      <c r="B342" s="222"/>
      <c r="C342" s="223"/>
    </row>
    <row r="343" s="220" customFormat="1" spans="1:3">
      <c r="A343" s="221"/>
      <c r="B343" s="222"/>
      <c r="C343" s="223"/>
    </row>
    <row r="344" s="220" customFormat="1" spans="1:3">
      <c r="A344" s="221"/>
      <c r="B344" s="222"/>
      <c r="C344" s="223"/>
    </row>
    <row r="345" s="220" customFormat="1" spans="1:3">
      <c r="A345" s="221"/>
      <c r="B345" s="222"/>
      <c r="C345" s="223"/>
    </row>
    <row r="346" s="220" customFormat="1" spans="1:3">
      <c r="A346" s="221"/>
      <c r="B346" s="222"/>
      <c r="C346" s="223"/>
    </row>
    <row r="347" s="220" customFormat="1" spans="1:3">
      <c r="A347" s="221"/>
      <c r="B347" s="222"/>
      <c r="C347" s="223"/>
    </row>
    <row r="348" s="220" customFormat="1" spans="1:3">
      <c r="A348" s="221"/>
      <c r="B348" s="222"/>
      <c r="C348" s="223"/>
    </row>
    <row r="349" s="220" customFormat="1" spans="1:3">
      <c r="A349" s="221"/>
      <c r="B349" s="222"/>
      <c r="C349" s="223"/>
    </row>
    <row r="350" s="220" customFormat="1" spans="1:3">
      <c r="A350" s="221"/>
      <c r="B350" s="222"/>
      <c r="C350" s="223"/>
    </row>
    <row r="351" s="220" customFormat="1" spans="1:3">
      <c r="A351" s="221"/>
      <c r="B351" s="222"/>
      <c r="C351" s="223"/>
    </row>
    <row r="352" s="220" customFormat="1" spans="1:3">
      <c r="A352" s="221"/>
      <c r="B352" s="222"/>
      <c r="C352" s="223"/>
    </row>
    <row r="353" s="220" customFormat="1" spans="1:3">
      <c r="A353" s="221"/>
      <c r="B353" s="222"/>
      <c r="C353" s="223"/>
    </row>
    <row r="354" s="220" customFormat="1" spans="1:3">
      <c r="A354" s="221"/>
      <c r="B354" s="222"/>
      <c r="C354" s="223"/>
    </row>
    <row r="355" s="220" customFormat="1" spans="1:3">
      <c r="A355" s="221"/>
      <c r="B355" s="222"/>
      <c r="C355" s="223"/>
    </row>
    <row r="356" s="220" customFormat="1" spans="1:3">
      <c r="A356" s="221"/>
      <c r="B356" s="222"/>
      <c r="C356" s="223"/>
    </row>
    <row r="357" s="220" customFormat="1" spans="1:3">
      <c r="A357" s="221"/>
      <c r="B357" s="222"/>
      <c r="C357" s="223"/>
    </row>
    <row r="358" s="220" customFormat="1" spans="1:3">
      <c r="A358" s="221"/>
      <c r="B358" s="222"/>
      <c r="C358" s="223"/>
    </row>
    <row r="359" s="220" customFormat="1" spans="1:3">
      <c r="A359" s="221"/>
      <c r="B359" s="222"/>
      <c r="C359" s="223"/>
    </row>
    <row r="360" s="220" customFormat="1" spans="1:3">
      <c r="A360" s="221"/>
      <c r="B360" s="222"/>
      <c r="C360" s="223"/>
    </row>
    <row r="361" s="220" customFormat="1" spans="1:3">
      <c r="A361" s="221"/>
      <c r="B361" s="222"/>
      <c r="C361" s="223"/>
    </row>
    <row r="362" s="220" customFormat="1" spans="1:3">
      <c r="A362" s="221"/>
      <c r="B362" s="222"/>
      <c r="C362" s="223"/>
    </row>
    <row r="363" s="220" customFormat="1" spans="1:3">
      <c r="A363" s="221"/>
      <c r="B363" s="222"/>
      <c r="C363" s="223"/>
    </row>
    <row r="364" s="220" customFormat="1" spans="1:3">
      <c r="A364" s="221"/>
      <c r="B364" s="222"/>
      <c r="C364" s="223"/>
    </row>
    <row r="365" s="220" customFormat="1" spans="1:3">
      <c r="A365" s="221"/>
      <c r="B365" s="222"/>
      <c r="C365" s="223"/>
    </row>
    <row r="366" s="220" customFormat="1" spans="1:3">
      <c r="A366" s="221"/>
      <c r="B366" s="222"/>
      <c r="C366" s="223"/>
    </row>
    <row r="367" s="220" customFormat="1" spans="1:3">
      <c r="A367" s="221"/>
      <c r="B367" s="222"/>
      <c r="C367" s="223"/>
    </row>
    <row r="368" s="220" customFormat="1" spans="1:3">
      <c r="A368" s="221"/>
      <c r="B368" s="222"/>
      <c r="C368" s="223"/>
    </row>
    <row r="369" s="220" customFormat="1" spans="1:3">
      <c r="A369" s="221"/>
      <c r="B369" s="222"/>
      <c r="C369" s="223"/>
    </row>
    <row r="370" s="220" customFormat="1" spans="1:3">
      <c r="A370" s="221"/>
      <c r="B370" s="222"/>
      <c r="C370" s="223"/>
    </row>
    <row r="371" s="220" customFormat="1" spans="1:3">
      <c r="A371" s="221"/>
      <c r="B371" s="222"/>
      <c r="C371" s="223"/>
    </row>
    <row r="372" s="220" customFormat="1" spans="1:3">
      <c r="A372" s="221"/>
      <c r="B372" s="222"/>
      <c r="C372" s="223"/>
    </row>
    <row r="373" s="220" customFormat="1" spans="1:3">
      <c r="A373" s="221"/>
      <c r="B373" s="222"/>
      <c r="C373" s="223"/>
    </row>
    <row r="374" s="220" customFormat="1" spans="1:3">
      <c r="A374" s="221"/>
      <c r="B374" s="222"/>
      <c r="C374" s="223"/>
    </row>
    <row r="375" s="220" customFormat="1" spans="1:3">
      <c r="A375" s="221"/>
      <c r="B375" s="222"/>
      <c r="C375" s="223"/>
    </row>
    <row r="376" s="220" customFormat="1" spans="1:3">
      <c r="A376" s="221"/>
      <c r="B376" s="222"/>
      <c r="C376" s="223"/>
    </row>
    <row r="377" s="220" customFormat="1" spans="1:3">
      <c r="A377" s="221"/>
      <c r="B377" s="222"/>
      <c r="C377" s="223"/>
    </row>
    <row r="378" s="220" customFormat="1" spans="1:3">
      <c r="A378" s="221"/>
      <c r="B378" s="222"/>
      <c r="C378" s="223"/>
    </row>
    <row r="379" s="220" customFormat="1" spans="1:3">
      <c r="A379" s="221"/>
      <c r="B379" s="222"/>
      <c r="C379" s="223"/>
    </row>
    <row r="380" s="220" customFormat="1" spans="1:3">
      <c r="A380" s="221"/>
      <c r="B380" s="222"/>
      <c r="C380" s="223"/>
    </row>
    <row r="381" s="220" customFormat="1" spans="1:3">
      <c r="A381" s="221"/>
      <c r="B381" s="222"/>
      <c r="C381" s="223"/>
    </row>
    <row r="382" s="220" customFormat="1" spans="1:3">
      <c r="A382" s="221"/>
      <c r="B382" s="222"/>
      <c r="C382" s="223"/>
    </row>
    <row r="383" s="220" customFormat="1" spans="1:3">
      <c r="A383" s="221"/>
      <c r="B383" s="222"/>
      <c r="C383" s="223"/>
    </row>
    <row r="384" s="220" customFormat="1" spans="1:3">
      <c r="A384" s="221"/>
      <c r="B384" s="222"/>
      <c r="C384" s="223"/>
    </row>
    <row r="385" s="220" customFormat="1" spans="1:3">
      <c r="A385" s="221"/>
      <c r="B385" s="222"/>
      <c r="C385" s="223"/>
    </row>
    <row r="386" s="220" customFormat="1" spans="1:3">
      <c r="A386" s="221"/>
      <c r="B386" s="222"/>
      <c r="C386" s="223"/>
    </row>
    <row r="387" s="220" customFormat="1" spans="1:3">
      <c r="A387" s="221"/>
      <c r="B387" s="222"/>
      <c r="C387" s="223"/>
    </row>
    <row r="388" s="220" customFormat="1" spans="1:3">
      <c r="A388" s="221"/>
      <c r="B388" s="222"/>
      <c r="C388" s="223"/>
    </row>
    <row r="389" s="220" customFormat="1" spans="1:3">
      <c r="A389" s="221"/>
      <c r="B389" s="222"/>
      <c r="C389" s="223"/>
    </row>
    <row r="390" s="220" customFormat="1" spans="1:3">
      <c r="A390" s="221"/>
      <c r="B390" s="222"/>
      <c r="C390" s="223"/>
    </row>
    <row r="391" s="220" customFormat="1" spans="1:3">
      <c r="A391" s="221"/>
      <c r="B391" s="222"/>
      <c r="C391" s="223"/>
    </row>
    <row r="392" s="220" customFormat="1" spans="1:3">
      <c r="A392" s="221"/>
      <c r="B392" s="222"/>
      <c r="C392" s="223"/>
    </row>
    <row r="393" s="220" customFormat="1" spans="1:3">
      <c r="A393" s="221"/>
      <c r="B393" s="222"/>
      <c r="C393" s="223"/>
    </row>
  </sheetData>
  <mergeCells count="2">
    <mergeCell ref="A2:A10"/>
    <mergeCell ref="F2:F1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opLeftCell="C1" workbookViewId="0">
      <pane ySplit="1" topLeftCell="A4" activePane="bottomLeft" state="frozen"/>
      <selection/>
      <selection pane="bottomLeft" activeCell="H7" sqref="H7"/>
    </sheetView>
  </sheetViews>
  <sheetFormatPr defaultColWidth="9.14285714285714" defaultRowHeight="15" outlineLevelCol="7"/>
  <cols>
    <col min="1" max="1" width="17.4285714285714" style="11" customWidth="1"/>
    <col min="2" max="2" width="19.1428571428571" customWidth="1"/>
    <col min="3" max="3" width="28.4285714285714" customWidth="1"/>
    <col min="4" max="4" width="7.14285714285714" customWidth="1"/>
    <col min="5" max="5" width="50.2" customWidth="1"/>
    <col min="6" max="6" width="20" customWidth="1"/>
    <col min="7" max="7" width="25.7047619047619" customWidth="1"/>
    <col min="8" max="8" width="29.0666666666667" customWidth="1"/>
    <col min="9" max="9" width="14.4285714285714"/>
    <col min="11" max="11" width="14.4285714285714"/>
  </cols>
  <sheetData>
    <row r="1" ht="16" customHeight="1" spans="1:8">
      <c r="A1" s="12" t="s">
        <v>0</v>
      </c>
      <c r="B1" s="13" t="s">
        <v>10</v>
      </c>
      <c r="C1" s="13" t="s">
        <v>11</v>
      </c>
      <c r="D1" s="13" t="s">
        <v>24</v>
      </c>
      <c r="E1" s="13" t="s">
        <v>13</v>
      </c>
      <c r="F1" s="13" t="s">
        <v>25</v>
      </c>
      <c r="G1" s="13" t="s">
        <v>4</v>
      </c>
      <c r="H1" s="13" t="s">
        <v>5</v>
      </c>
    </row>
    <row r="2" ht="192" customHeight="1" spans="1:8">
      <c r="A2" s="213">
        <v>45961</v>
      </c>
      <c r="B2" s="213" t="s">
        <v>26</v>
      </c>
      <c r="C2" s="15"/>
      <c r="D2" s="16"/>
      <c r="E2" s="49"/>
      <c r="F2" s="18"/>
      <c r="G2" s="41">
        <f>D2*F2</f>
        <v>0</v>
      </c>
      <c r="H2" s="41">
        <f>SUM(D2*F2)</f>
        <v>0</v>
      </c>
    </row>
    <row r="3" ht="60" customHeight="1" spans="1:8">
      <c r="A3" s="213">
        <v>45972</v>
      </c>
      <c r="B3" s="213" t="s">
        <v>27</v>
      </c>
      <c r="C3" s="15"/>
      <c r="D3" s="16"/>
      <c r="E3" s="49"/>
      <c r="F3" s="18"/>
      <c r="G3" s="18">
        <f>D3*F3</f>
        <v>0</v>
      </c>
      <c r="H3" s="41">
        <f>SUM(G3:G5)</f>
        <v>0</v>
      </c>
    </row>
    <row r="4" ht="60" customHeight="1" spans="1:8">
      <c r="A4" s="213"/>
      <c r="B4" s="213"/>
      <c r="C4" s="15"/>
      <c r="D4" s="16"/>
      <c r="E4" s="49"/>
      <c r="F4" s="18"/>
      <c r="G4" s="18">
        <f>D4*F4</f>
        <v>0</v>
      </c>
      <c r="H4" s="41"/>
    </row>
    <row r="5" ht="60" customHeight="1" spans="1:8">
      <c r="A5" s="213"/>
      <c r="B5" s="213"/>
      <c r="C5" s="15"/>
      <c r="D5" s="16"/>
      <c r="E5" s="49"/>
      <c r="F5" s="18"/>
      <c r="G5" s="18">
        <f>D5*F5</f>
        <v>0</v>
      </c>
      <c r="H5" s="41"/>
    </row>
    <row r="6" ht="151.95" customHeight="1" spans="1:8">
      <c r="A6" s="214">
        <v>45985</v>
      </c>
      <c r="B6" s="214" t="s">
        <v>28</v>
      </c>
      <c r="C6" s="215"/>
      <c r="D6" s="16"/>
      <c r="E6" s="204"/>
      <c r="F6" s="18"/>
      <c r="G6" s="41">
        <f>D6*F6</f>
        <v>0</v>
      </c>
      <c r="H6" s="216">
        <f>SUM(G6:G6)</f>
        <v>0</v>
      </c>
    </row>
    <row r="7" spans="1:8">
      <c r="A7" s="217"/>
      <c r="B7" s="218"/>
      <c r="C7" s="219"/>
      <c r="D7" s="219"/>
      <c r="E7" s="5"/>
      <c r="F7" s="5"/>
      <c r="G7" s="5"/>
      <c r="H7" s="5">
        <f>SUM(H2:H6)</f>
        <v>0</v>
      </c>
    </row>
    <row r="8" ht="177" customHeight="1"/>
    <row r="9" ht="177" customHeight="1"/>
    <row r="10" ht="177" customHeight="1"/>
    <row r="11" ht="177" customHeight="1"/>
    <row r="12" ht="34" customHeight="1"/>
    <row r="13" ht="58" customHeight="1"/>
    <row r="14" ht="58" customHeight="1"/>
    <row r="15" ht="58" customHeight="1"/>
    <row r="16" ht="58" customHeight="1"/>
    <row r="17" ht="58" customHeight="1"/>
    <row r="18" ht="58" customHeight="1"/>
    <row r="19" ht="58" customHeight="1"/>
    <row r="20" ht="58" customHeight="1"/>
    <row r="21" ht="58" customHeight="1"/>
    <row r="22" ht="58" customHeight="1"/>
  </sheetData>
  <mergeCells count="5">
    <mergeCell ref="A7:C7"/>
    <mergeCell ref="A3:A5"/>
    <mergeCell ref="B3:B5"/>
    <mergeCell ref="E3:E5"/>
    <mergeCell ref="H3:H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zoomScale="55" zoomScaleNormal="55" workbookViewId="0">
      <pane ySplit="1" topLeftCell="A15" activePane="bottomLeft" state="frozen"/>
      <selection/>
      <selection pane="bottomLeft" activeCell="F16" sqref="F16:J16"/>
    </sheetView>
  </sheetViews>
  <sheetFormatPr defaultColWidth="9.14285714285714" defaultRowHeight="15"/>
  <cols>
    <col min="1" max="1" width="20.5142857142857" style="176" customWidth="1"/>
    <col min="2" max="2" width="36.5714285714286" style="176" customWidth="1"/>
    <col min="3" max="3" width="51.9428571428571" customWidth="1"/>
    <col min="4" max="4" width="16.1428571428571" customWidth="1"/>
    <col min="5" max="5" width="23.1428571428571" customWidth="1"/>
    <col min="6" max="6" width="33" customWidth="1"/>
    <col min="7" max="7" width="30.647619047619" customWidth="1"/>
    <col min="8" max="8" width="24.9238095238095" style="175" customWidth="1"/>
    <col min="9" max="9" width="24.9238095238095" customWidth="1"/>
    <col min="10" max="10" width="58.1809523809524" customWidth="1"/>
    <col min="11" max="11" width="12.8571428571429"/>
  </cols>
  <sheetData>
    <row r="1" s="174" customFormat="1" ht="34" customHeight="1" spans="1:10">
      <c r="A1" s="177" t="s">
        <v>0</v>
      </c>
      <c r="B1" s="177" t="s">
        <v>10</v>
      </c>
      <c r="C1" s="177" t="s">
        <v>11</v>
      </c>
      <c r="D1" s="177" t="s">
        <v>24</v>
      </c>
      <c r="E1" s="177" t="s">
        <v>3</v>
      </c>
      <c r="F1" s="177" t="s">
        <v>29</v>
      </c>
      <c r="G1" s="177" t="s">
        <v>25</v>
      </c>
      <c r="H1" s="177" t="s">
        <v>7</v>
      </c>
      <c r="I1" s="177" t="s">
        <v>5</v>
      </c>
      <c r="J1" s="177" t="s">
        <v>30</v>
      </c>
    </row>
    <row r="2" ht="160" customHeight="1" spans="1:10">
      <c r="A2" s="178"/>
      <c r="B2" s="179"/>
      <c r="C2" s="167"/>
      <c r="D2" s="180"/>
      <c r="E2" s="181"/>
      <c r="F2" s="181">
        <f t="shared" ref="F2:F12" si="0">E2*10%</f>
        <v>0</v>
      </c>
      <c r="G2" s="182">
        <f t="shared" ref="G2:G15" si="1">E2-F2</f>
        <v>0</v>
      </c>
      <c r="H2" s="182">
        <f t="shared" ref="H2:H8" si="2">D2*G2</f>
        <v>0</v>
      </c>
      <c r="I2" s="190">
        <f>SUM(H2:H3)</f>
        <v>0</v>
      </c>
      <c r="J2" s="49"/>
    </row>
    <row r="3" ht="160" customHeight="1" spans="1:10">
      <c r="A3" s="183"/>
      <c r="B3" s="184"/>
      <c r="C3" s="167"/>
      <c r="D3" s="180"/>
      <c r="E3" s="181"/>
      <c r="F3" s="181">
        <f t="shared" si="0"/>
        <v>0</v>
      </c>
      <c r="G3" s="182">
        <f t="shared" si="1"/>
        <v>0</v>
      </c>
      <c r="H3" s="182">
        <f t="shared" si="2"/>
        <v>0</v>
      </c>
      <c r="I3" s="202"/>
      <c r="J3" s="49"/>
    </row>
    <row r="4" ht="313.4" customHeight="1" spans="1:10">
      <c r="A4" s="185"/>
      <c r="B4" s="186"/>
      <c r="C4" s="187"/>
      <c r="D4" s="188"/>
      <c r="E4" s="189"/>
      <c r="F4" s="190"/>
      <c r="G4" s="189">
        <f t="shared" si="1"/>
        <v>0</v>
      </c>
      <c r="H4" s="191">
        <f t="shared" si="2"/>
        <v>0</v>
      </c>
      <c r="I4" s="181">
        <f>SUM(H4)</f>
        <v>0</v>
      </c>
      <c r="J4" s="17"/>
    </row>
    <row r="5" ht="383.5" customHeight="1" spans="1:10">
      <c r="A5" s="192"/>
      <c r="B5" s="193"/>
      <c r="C5" s="167"/>
      <c r="D5" s="180"/>
      <c r="E5" s="181"/>
      <c r="F5" s="181">
        <f t="shared" si="0"/>
        <v>0</v>
      </c>
      <c r="G5" s="181">
        <f t="shared" si="1"/>
        <v>0</v>
      </c>
      <c r="H5" s="182">
        <f t="shared" si="2"/>
        <v>0</v>
      </c>
      <c r="I5" s="181">
        <f>SUM(H5)</f>
        <v>0</v>
      </c>
      <c r="J5" s="17"/>
    </row>
    <row r="6" ht="365" customHeight="1" spans="1:10">
      <c r="A6" s="192"/>
      <c r="B6" s="193"/>
      <c r="C6" s="167"/>
      <c r="D6" s="180"/>
      <c r="E6" s="181"/>
      <c r="F6" s="181">
        <f t="shared" si="0"/>
        <v>0</v>
      </c>
      <c r="G6" s="181">
        <f t="shared" si="1"/>
        <v>0</v>
      </c>
      <c r="H6" s="182">
        <f t="shared" si="2"/>
        <v>0</v>
      </c>
      <c r="I6" s="181">
        <f>SUM(H6)</f>
        <v>0</v>
      </c>
      <c r="J6" s="17"/>
    </row>
    <row r="7" ht="139.5" customHeight="1" spans="1:10">
      <c r="A7" s="178"/>
      <c r="B7" s="179"/>
      <c r="C7" s="167"/>
      <c r="D7" s="180"/>
      <c r="E7" s="181"/>
      <c r="F7" s="181">
        <f t="shared" si="0"/>
        <v>0</v>
      </c>
      <c r="G7" s="181">
        <f t="shared" si="1"/>
        <v>0</v>
      </c>
      <c r="H7" s="182">
        <f t="shared" si="2"/>
        <v>0</v>
      </c>
      <c r="I7" s="203">
        <f>SUM(H7:H9)</f>
        <v>0</v>
      </c>
      <c r="J7" s="204"/>
    </row>
    <row r="8" ht="139.5" spans="1:10">
      <c r="A8" s="185"/>
      <c r="B8" s="186"/>
      <c r="C8" s="167"/>
      <c r="D8" s="180"/>
      <c r="E8" s="181"/>
      <c r="F8" s="181">
        <f t="shared" si="0"/>
        <v>0</v>
      </c>
      <c r="G8" s="181">
        <f t="shared" si="1"/>
        <v>0</v>
      </c>
      <c r="H8" s="182">
        <f t="shared" si="2"/>
        <v>0</v>
      </c>
      <c r="I8" s="205"/>
      <c r="J8" s="206"/>
    </row>
    <row r="9" ht="139.5" spans="1:10">
      <c r="A9" s="183"/>
      <c r="B9" s="184"/>
      <c r="C9" s="167"/>
      <c r="D9" s="180"/>
      <c r="E9" s="181"/>
      <c r="F9" s="181">
        <f t="shared" si="0"/>
        <v>0</v>
      </c>
      <c r="G9" s="181">
        <f t="shared" si="1"/>
        <v>0</v>
      </c>
      <c r="H9" s="194">
        <f t="shared" ref="H9:H15" si="3">SUM(D9*G9)</f>
        <v>0</v>
      </c>
      <c r="I9" s="207"/>
      <c r="J9" s="208"/>
    </row>
    <row r="10" ht="381.45" customHeight="1" spans="1:10">
      <c r="A10" s="193"/>
      <c r="B10" s="195"/>
      <c r="C10" s="196"/>
      <c r="D10" s="180"/>
      <c r="E10" s="181"/>
      <c r="F10" s="181">
        <f t="shared" si="0"/>
        <v>0</v>
      </c>
      <c r="G10" s="181">
        <f t="shared" si="1"/>
        <v>0</v>
      </c>
      <c r="H10" s="194">
        <f t="shared" si="3"/>
        <v>0</v>
      </c>
      <c r="I10" s="209">
        <f t="shared" ref="I10:I15" si="4">SUM(H10)</f>
        <v>0</v>
      </c>
      <c r="J10" s="210"/>
    </row>
    <row r="11" ht="386.3" customHeight="1" spans="1:10">
      <c r="A11" s="193"/>
      <c r="B11" s="195"/>
      <c r="C11" s="196"/>
      <c r="D11" s="180"/>
      <c r="E11" s="181"/>
      <c r="F11" s="181">
        <f t="shared" si="0"/>
        <v>0</v>
      </c>
      <c r="G11" s="181">
        <f t="shared" si="1"/>
        <v>0</v>
      </c>
      <c r="H11" s="194">
        <f t="shared" si="3"/>
        <v>0</v>
      </c>
      <c r="I11" s="209">
        <f t="shared" si="4"/>
        <v>0</v>
      </c>
      <c r="J11" s="17"/>
    </row>
    <row r="12" ht="382.6" customHeight="1" spans="1:10">
      <c r="A12" s="197"/>
      <c r="B12" s="180"/>
      <c r="C12" s="180"/>
      <c r="D12" s="180"/>
      <c r="E12" s="198"/>
      <c r="F12" s="198">
        <f t="shared" si="0"/>
        <v>0</v>
      </c>
      <c r="G12" s="198">
        <f t="shared" si="1"/>
        <v>0</v>
      </c>
      <c r="H12" s="198">
        <f t="shared" si="3"/>
        <v>0</v>
      </c>
      <c r="I12" s="198">
        <f t="shared" si="4"/>
        <v>0</v>
      </c>
      <c r="J12" s="211"/>
    </row>
    <row r="13" ht="379.8" customHeight="1" spans="1:10">
      <c r="A13" s="197"/>
      <c r="B13" s="180"/>
      <c r="C13" s="180"/>
      <c r="D13" s="180"/>
      <c r="E13" s="198"/>
      <c r="F13" s="198"/>
      <c r="G13" s="198">
        <f t="shared" si="1"/>
        <v>0</v>
      </c>
      <c r="H13" s="198">
        <f t="shared" si="3"/>
        <v>0</v>
      </c>
      <c r="I13" s="212">
        <f t="shared" si="4"/>
        <v>0</v>
      </c>
      <c r="J13" s="211"/>
    </row>
    <row r="14" s="175" customFormat="1" ht="399.8" customHeight="1" spans="1:10">
      <c r="A14" s="197"/>
      <c r="B14" s="180"/>
      <c r="C14" s="180"/>
      <c r="D14" s="180"/>
      <c r="E14" s="198"/>
      <c r="F14" s="198">
        <f>E14*10%</f>
        <v>0</v>
      </c>
      <c r="G14" s="198">
        <f t="shared" si="1"/>
        <v>0</v>
      </c>
      <c r="H14" s="198">
        <f t="shared" si="3"/>
        <v>0</v>
      </c>
      <c r="I14" s="212">
        <f t="shared" si="4"/>
        <v>0</v>
      </c>
      <c r="J14" s="211"/>
    </row>
    <row r="15" ht="388.5" customHeight="1" spans="1:10">
      <c r="A15" s="197"/>
      <c r="B15" s="180"/>
      <c r="C15" s="180"/>
      <c r="D15" s="180"/>
      <c r="E15" s="198"/>
      <c r="F15" s="198">
        <f>E15*10%</f>
        <v>0</v>
      </c>
      <c r="G15" s="198">
        <f t="shared" si="1"/>
        <v>0</v>
      </c>
      <c r="H15" s="198">
        <f t="shared" si="3"/>
        <v>0</v>
      </c>
      <c r="I15" s="212">
        <f t="shared" si="4"/>
        <v>0</v>
      </c>
      <c r="J15" s="211"/>
    </row>
    <row r="16" ht="33.75" spans="1:10">
      <c r="A16" s="199" t="s">
        <v>5</v>
      </c>
      <c r="B16" s="200"/>
      <c r="C16" s="200"/>
      <c r="D16" s="200"/>
      <c r="E16" s="200"/>
      <c r="F16" s="201">
        <f>SUM(I2:I15)</f>
        <v>0</v>
      </c>
      <c r="G16" s="201"/>
      <c r="H16" s="201"/>
      <c r="I16" s="201"/>
      <c r="J16" s="201"/>
    </row>
  </sheetData>
  <mergeCells count="10">
    <mergeCell ref="A16:E16"/>
    <mergeCell ref="F16:J16"/>
    <mergeCell ref="A2:A3"/>
    <mergeCell ref="A7:A9"/>
    <mergeCell ref="B2:B3"/>
    <mergeCell ref="B7:B9"/>
    <mergeCell ref="I2:I3"/>
    <mergeCell ref="I7:I9"/>
    <mergeCell ref="J2:J3"/>
    <mergeCell ref="J7:J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62" zoomScaleNormal="62" workbookViewId="0">
      <selection activeCell="E3" sqref="E3:G3"/>
    </sheetView>
  </sheetViews>
  <sheetFormatPr defaultColWidth="9.14285714285714" defaultRowHeight="15" outlineLevelRow="2" outlineLevelCol="6"/>
  <cols>
    <col min="1" max="1" width="18.9619047619048" customWidth="1"/>
    <col min="2" max="2" width="32.9809523809524" customWidth="1"/>
    <col min="3" max="3" width="29.3428571428571" customWidth="1"/>
    <col min="4" max="4" width="25.3333333333333" customWidth="1"/>
    <col min="5" max="5" width="60.2571428571429" customWidth="1"/>
    <col min="6" max="7" width="30.647619047619" customWidth="1"/>
  </cols>
  <sheetData>
    <row r="1" ht="34" customHeight="1" spans="1:7">
      <c r="A1" s="164" t="s">
        <v>0</v>
      </c>
      <c r="B1" s="164" t="s">
        <v>10</v>
      </c>
      <c r="C1" s="164" t="s">
        <v>11</v>
      </c>
      <c r="D1" s="164" t="s">
        <v>24</v>
      </c>
      <c r="E1" s="164" t="s">
        <v>13</v>
      </c>
      <c r="F1" s="164" t="s">
        <v>3</v>
      </c>
      <c r="G1" s="164" t="s">
        <v>5</v>
      </c>
    </row>
    <row r="2" ht="338" customHeight="1" spans="1:7">
      <c r="A2" s="165"/>
      <c r="B2" s="166"/>
      <c r="C2" s="167"/>
      <c r="D2" s="167"/>
      <c r="E2" s="17"/>
      <c r="F2" s="168"/>
      <c r="G2" s="168"/>
    </row>
    <row r="3" ht="35" customHeight="1" spans="1:7">
      <c r="A3" s="169" t="s">
        <v>5</v>
      </c>
      <c r="B3" s="169"/>
      <c r="C3" s="170"/>
      <c r="D3" s="169"/>
      <c r="E3" s="171"/>
      <c r="F3" s="172"/>
      <c r="G3" s="173"/>
    </row>
  </sheetData>
  <mergeCells count="2">
    <mergeCell ref="A3:C3"/>
    <mergeCell ref="E3:G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zoomScale="55" zoomScaleNormal="55" workbookViewId="0">
      <selection activeCell="E8" sqref="E8:H8"/>
    </sheetView>
  </sheetViews>
  <sheetFormatPr defaultColWidth="9.14285714285714" defaultRowHeight="21" outlineLevelCol="7"/>
  <cols>
    <col min="1" max="1" width="17" style="134" customWidth="1"/>
    <col min="2" max="2" width="18" style="135" customWidth="1"/>
    <col min="3" max="3" width="24.2857142857143" style="135" customWidth="1"/>
    <col min="4" max="4" width="12.7238095238095" style="135" customWidth="1"/>
    <col min="5" max="5" width="45.2" style="135" customWidth="1"/>
    <col min="6" max="7" width="29.0666666666667" style="135" customWidth="1"/>
    <col min="8" max="8" width="23.1142857142857" style="135" customWidth="1"/>
    <col min="9" max="12" width="9.14285714285714" style="135"/>
    <col min="13" max="13" width="13.1428571428571" style="135" customWidth="1"/>
    <col min="14" max="16384" width="9.14285714285714" style="135"/>
  </cols>
  <sheetData>
    <row r="1" ht="34" customHeight="1" spans="1:8">
      <c r="A1" s="136" t="s">
        <v>0</v>
      </c>
      <c r="B1" s="137" t="s">
        <v>10</v>
      </c>
      <c r="C1" s="137" t="s">
        <v>11</v>
      </c>
      <c r="D1" s="137" t="s">
        <v>24</v>
      </c>
      <c r="E1" s="137" t="s">
        <v>13</v>
      </c>
      <c r="F1" s="137" t="s">
        <v>3</v>
      </c>
      <c r="G1" s="137" t="s">
        <v>7</v>
      </c>
      <c r="H1" s="138" t="s">
        <v>5</v>
      </c>
    </row>
    <row r="2" ht="64" customHeight="1" spans="1:8">
      <c r="A2" s="139"/>
      <c r="B2" s="139"/>
      <c r="C2" s="140"/>
      <c r="D2" s="141"/>
      <c r="E2" s="142"/>
      <c r="F2" s="143"/>
      <c r="G2" s="144">
        <f>D2*F2</f>
        <v>0</v>
      </c>
      <c r="H2" s="145">
        <f>SUM(G2:G6)</f>
        <v>0</v>
      </c>
    </row>
    <row r="3" ht="64" customHeight="1" spans="1:8">
      <c r="A3" s="146"/>
      <c r="B3" s="146"/>
      <c r="C3" s="140"/>
      <c r="D3" s="141"/>
      <c r="E3" s="142"/>
      <c r="F3" s="143"/>
      <c r="G3" s="144">
        <f>D3*F3</f>
        <v>0</v>
      </c>
      <c r="H3" s="147"/>
    </row>
    <row r="4" ht="64" customHeight="1" spans="1:8">
      <c r="A4" s="146"/>
      <c r="B4" s="146"/>
      <c r="C4" s="140"/>
      <c r="D4" s="141"/>
      <c r="E4" s="142"/>
      <c r="F4" s="143"/>
      <c r="G4" s="144">
        <f>D4*F4</f>
        <v>0</v>
      </c>
      <c r="H4" s="147"/>
    </row>
    <row r="5" ht="64" customHeight="1" spans="1:8">
      <c r="A5" s="146"/>
      <c r="B5" s="146"/>
      <c r="C5" s="140"/>
      <c r="D5" s="141"/>
      <c r="E5" s="142"/>
      <c r="F5" s="143"/>
      <c r="G5" s="144">
        <f>D5*F5</f>
        <v>0</v>
      </c>
      <c r="H5" s="147"/>
    </row>
    <row r="6" ht="64" customHeight="1" spans="1:8">
      <c r="A6" s="146"/>
      <c r="B6" s="146"/>
      <c r="C6" s="148"/>
      <c r="D6" s="141"/>
      <c r="E6" s="142"/>
      <c r="F6" s="143"/>
      <c r="G6" s="144">
        <f>D6*F6</f>
        <v>0</v>
      </c>
      <c r="H6" s="149"/>
    </row>
    <row r="7" ht="35" customHeight="1" spans="1:8">
      <c r="A7" s="150" t="s">
        <v>4</v>
      </c>
      <c r="B7" s="150"/>
      <c r="C7" s="150"/>
      <c r="D7" s="141">
        <f>SUM(D2:D6)</f>
        <v>0</v>
      </c>
      <c r="E7" s="151"/>
      <c r="F7" s="152" t="s">
        <v>31</v>
      </c>
      <c r="G7" s="152"/>
      <c r="H7" s="152">
        <f>H2*11%</f>
        <v>0</v>
      </c>
    </row>
    <row r="8" ht="35" customHeight="1" spans="1:8">
      <c r="A8" s="150" t="s">
        <v>5</v>
      </c>
      <c r="B8" s="150"/>
      <c r="C8" s="150"/>
      <c r="D8" s="141"/>
      <c r="E8" s="153">
        <f>SUM(H2:H7)</f>
        <v>0</v>
      </c>
      <c r="F8" s="154"/>
      <c r="G8" s="154"/>
      <c r="H8" s="155"/>
    </row>
    <row r="9" ht="64" customHeight="1" spans="1:8">
      <c r="A9" s="156"/>
      <c r="B9" s="157"/>
      <c r="C9" s="158"/>
      <c r="D9" s="158"/>
      <c r="E9" s="159" t="s">
        <v>9</v>
      </c>
      <c r="F9" s="160">
        <f>SUM(E8)</f>
        <v>0</v>
      </c>
      <c r="G9" s="161"/>
      <c r="H9" s="162"/>
    </row>
    <row r="10" ht="64" customHeight="1" spans="6:6">
      <c r="F10" s="163"/>
    </row>
    <row r="11" ht="64" customHeight="1"/>
    <row r="12" ht="64" customHeight="1"/>
    <row r="13" ht="64" customHeight="1"/>
    <row r="14" ht="35" customHeight="1"/>
    <row r="15" ht="35" customHeight="1"/>
    <row r="16" ht="160" customHeight="1"/>
    <row r="17" ht="160" customHeight="1"/>
    <row r="18" ht="35" customHeight="1"/>
    <row r="19" ht="35" customHeight="1"/>
    <row r="20" ht="321" customHeight="1"/>
    <row r="21" ht="34" customHeight="1"/>
    <row r="22" ht="34" customHeight="1"/>
    <row r="23" ht="34" customHeight="1"/>
    <row r="24" ht="58" customHeight="1"/>
    <row r="25" ht="58" customHeight="1"/>
    <row r="26" ht="58" customHeight="1"/>
    <row r="27" ht="58" customHeight="1"/>
    <row r="28" ht="58" customHeight="1"/>
    <row r="29" ht="58" customHeight="1"/>
    <row r="30" ht="58" customHeight="1"/>
    <row r="31" ht="58" customHeight="1"/>
    <row r="32" ht="58" customHeight="1"/>
    <row r="33" ht="58" customHeight="1"/>
  </sheetData>
  <mergeCells count="10">
    <mergeCell ref="A7:C7"/>
    <mergeCell ref="F7:G7"/>
    <mergeCell ref="A8:C8"/>
    <mergeCell ref="E8:H8"/>
    <mergeCell ref="A9:C9"/>
    <mergeCell ref="F9:H9"/>
    <mergeCell ref="A2:A6"/>
    <mergeCell ref="B2:B6"/>
    <mergeCell ref="E2:E6"/>
    <mergeCell ref="H2:H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pane ySplit="1" topLeftCell="A2" activePane="bottomLeft" state="frozen"/>
      <selection/>
      <selection pane="bottomLeft" activeCell="E4" sqref="E4:G4"/>
    </sheetView>
  </sheetViews>
  <sheetFormatPr defaultColWidth="9.14285714285714" defaultRowHeight="15" outlineLevelRow="4" outlineLevelCol="6"/>
  <cols>
    <col min="1" max="1" width="13.4" customWidth="1"/>
    <col min="2" max="2" width="11.1619047619048" customWidth="1"/>
    <col min="3" max="3" width="18.5714285714286" customWidth="1"/>
    <col min="4" max="4" width="18.5714285714286" style="11" customWidth="1"/>
    <col min="5" max="5" width="46.5619047619048" customWidth="1"/>
    <col min="6" max="7" width="17.9619047619048" customWidth="1"/>
  </cols>
  <sheetData>
    <row r="1" ht="16" customHeight="1" spans="1:7">
      <c r="A1" s="34" t="s">
        <v>0</v>
      </c>
      <c r="B1" s="35" t="s">
        <v>10</v>
      </c>
      <c r="C1" s="35" t="s">
        <v>11</v>
      </c>
      <c r="D1" s="34" t="s">
        <v>12</v>
      </c>
      <c r="E1" s="35" t="s">
        <v>13</v>
      </c>
      <c r="F1" s="35" t="s">
        <v>3</v>
      </c>
      <c r="G1" s="35" t="s">
        <v>5</v>
      </c>
    </row>
    <row r="2" ht="156.5" customHeight="1" spans="1:7">
      <c r="A2" s="25"/>
      <c r="B2" s="116"/>
      <c r="C2" s="38"/>
      <c r="D2" s="116"/>
      <c r="E2" s="17"/>
      <c r="F2" s="7"/>
      <c r="G2" s="7">
        <f>F2*D2</f>
        <v>0</v>
      </c>
    </row>
    <row r="3" ht="156.5" customHeight="1" spans="1:7">
      <c r="A3" s="25"/>
      <c r="B3" s="95"/>
      <c r="C3" s="38"/>
      <c r="D3" s="116"/>
      <c r="E3" s="17"/>
      <c r="F3" s="7"/>
      <c r="G3" s="7">
        <f>F3*D3</f>
        <v>0</v>
      </c>
    </row>
    <row r="4" ht="23.25" spans="1:7">
      <c r="A4" s="89" t="s">
        <v>9</v>
      </c>
      <c r="B4" s="90"/>
      <c r="C4" s="90"/>
      <c r="D4" s="131"/>
      <c r="E4" s="113">
        <f>SUM(G2:G3)</f>
        <v>0</v>
      </c>
      <c r="F4" s="132"/>
      <c r="G4" s="133"/>
    </row>
    <row r="5" ht="22" customHeight="1"/>
  </sheetData>
  <mergeCells count="2">
    <mergeCell ref="A4:D4"/>
    <mergeCell ref="E4:G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zoomScale="85" zoomScaleNormal="85" workbookViewId="0">
      <pane ySplit="1" topLeftCell="A7" activePane="bottomLeft" state="frozen"/>
      <selection/>
      <selection pane="bottomLeft" activeCell="E4" sqref="E4:G4"/>
    </sheetView>
  </sheetViews>
  <sheetFormatPr defaultColWidth="9.14285714285714" defaultRowHeight="15"/>
  <cols>
    <col min="1" max="1" width="13.4" customWidth="1"/>
    <col min="2" max="2" width="11.1619047619048" customWidth="1"/>
    <col min="3" max="4" width="18.5714285714286" customWidth="1"/>
    <col min="5" max="5" width="43.8666666666667" customWidth="1"/>
    <col min="6" max="6" width="17.9619047619048" customWidth="1"/>
    <col min="7" max="7" width="22" customWidth="1"/>
    <col min="9" max="9" width="11.5714285714286"/>
  </cols>
  <sheetData>
    <row r="1" ht="16" customHeight="1" spans="1:7">
      <c r="A1" s="34" t="s">
        <v>0</v>
      </c>
      <c r="B1" s="35" t="s">
        <v>10</v>
      </c>
      <c r="C1" s="35" t="s">
        <v>11</v>
      </c>
      <c r="D1" s="35" t="s">
        <v>12</v>
      </c>
      <c r="E1" s="35" t="s">
        <v>13</v>
      </c>
      <c r="F1" s="35" t="s">
        <v>3</v>
      </c>
      <c r="G1" s="35" t="s">
        <v>5</v>
      </c>
    </row>
    <row r="2" ht="168" customHeight="1" spans="1:7">
      <c r="A2" s="25"/>
      <c r="B2" s="116"/>
      <c r="C2" s="38"/>
      <c r="D2" s="27"/>
      <c r="E2" s="17"/>
      <c r="F2" s="18"/>
      <c r="G2" s="18">
        <f>SUM(D2*F2)</f>
        <v>0</v>
      </c>
    </row>
    <row r="3" ht="23.5" customHeight="1" spans="1:7">
      <c r="A3" s="117" t="s">
        <v>4</v>
      </c>
      <c r="B3" s="118"/>
      <c r="C3" s="119"/>
      <c r="D3" s="27"/>
      <c r="E3" s="17"/>
      <c r="F3" s="120" t="s">
        <v>32</v>
      </c>
      <c r="G3" s="41">
        <f>G2*11%</f>
        <v>0</v>
      </c>
    </row>
    <row r="4" ht="23.5" customHeight="1" spans="1:7">
      <c r="A4" s="117" t="s">
        <v>5</v>
      </c>
      <c r="B4" s="118"/>
      <c r="C4" s="119"/>
      <c r="D4" s="38"/>
      <c r="E4" s="128">
        <f>SUM(G2:G3)</f>
        <v>0</v>
      </c>
      <c r="F4" s="128"/>
      <c r="G4" s="128"/>
    </row>
    <row r="5" ht="150.5" customHeight="1" spans="1:7">
      <c r="A5" s="25"/>
      <c r="B5" s="116"/>
      <c r="C5" s="38"/>
      <c r="D5" s="27"/>
      <c r="E5" s="17"/>
      <c r="F5" s="18"/>
      <c r="G5" s="18">
        <f>D5*F5</f>
        <v>0</v>
      </c>
    </row>
    <row r="6" ht="23.5" customHeight="1" spans="1:9">
      <c r="A6" s="124" t="s">
        <v>4</v>
      </c>
      <c r="B6" s="125"/>
      <c r="C6" s="126"/>
      <c r="D6" s="127"/>
      <c r="E6" s="7"/>
      <c r="F6" s="128" t="s">
        <v>32</v>
      </c>
      <c r="G6" s="7">
        <f>G5*11%</f>
        <v>0</v>
      </c>
      <c r="I6" s="130"/>
    </row>
    <row r="7" ht="23.5" customHeight="1" spans="1:7">
      <c r="A7" s="124" t="s">
        <v>5</v>
      </c>
      <c r="B7" s="125"/>
      <c r="C7" s="126"/>
      <c r="D7" s="127"/>
      <c r="E7" s="128">
        <f>SUM(G5:G6)</f>
        <v>0</v>
      </c>
      <c r="F7" s="128"/>
      <c r="G7" s="128"/>
    </row>
    <row r="8" ht="168" customHeight="1" spans="1:7">
      <c r="A8" s="25"/>
      <c r="B8" s="116"/>
      <c r="C8" s="38"/>
      <c r="D8" s="27"/>
      <c r="E8" s="17"/>
      <c r="F8" s="18"/>
      <c r="G8" s="18"/>
    </row>
    <row r="9" ht="23.5" customHeight="1" spans="1:7">
      <c r="A9" s="124"/>
      <c r="B9" s="125"/>
      <c r="C9" s="126"/>
      <c r="D9" s="127"/>
      <c r="E9" s="7"/>
      <c r="F9" s="7"/>
      <c r="G9" s="7"/>
    </row>
    <row r="10" ht="23.5" customHeight="1" spans="1:7">
      <c r="A10" s="124" t="s">
        <v>5</v>
      </c>
      <c r="B10" s="125"/>
      <c r="C10" s="126"/>
      <c r="D10" s="127"/>
      <c r="E10" s="128"/>
      <c r="F10" s="128"/>
      <c r="G10" s="128"/>
    </row>
    <row r="11" ht="168" customHeight="1" spans="1:7">
      <c r="A11" s="25"/>
      <c r="B11" s="116"/>
      <c r="C11" s="38"/>
      <c r="D11" s="27"/>
      <c r="E11" s="17"/>
      <c r="F11" s="18"/>
      <c r="G11" s="18"/>
    </row>
    <row r="12" ht="23.5" customHeight="1" spans="1:7">
      <c r="A12" s="124"/>
      <c r="B12" s="125"/>
      <c r="C12" s="126"/>
      <c r="D12" s="127"/>
      <c r="E12" s="7"/>
      <c r="F12" s="7"/>
      <c r="G12" s="41"/>
    </row>
    <row r="13" ht="23.5" customHeight="1" spans="1:7">
      <c r="A13" s="124" t="s">
        <v>5</v>
      </c>
      <c r="B13" s="125"/>
      <c r="C13" s="126"/>
      <c r="D13" s="127"/>
      <c r="E13" s="128"/>
      <c r="F13" s="128"/>
      <c r="G13" s="128"/>
    </row>
    <row r="14" ht="24" customHeight="1" spans="1:7">
      <c r="A14" s="89" t="s">
        <v>9</v>
      </c>
      <c r="B14" s="90"/>
      <c r="C14" s="90"/>
      <c r="D14" s="91"/>
      <c r="E14" s="129">
        <f>SUM(E4+E7+E10+E13)</f>
        <v>0</v>
      </c>
      <c r="F14" s="93"/>
      <c r="G14" s="94"/>
    </row>
  </sheetData>
  <mergeCells count="14">
    <mergeCell ref="A3:C3"/>
    <mergeCell ref="A4:C4"/>
    <mergeCell ref="E4:G4"/>
    <mergeCell ref="A6:C6"/>
    <mergeCell ref="A7:C7"/>
    <mergeCell ref="E7:G7"/>
    <mergeCell ref="A9:C9"/>
    <mergeCell ref="A10:C10"/>
    <mergeCell ref="E10:G10"/>
    <mergeCell ref="A12:C12"/>
    <mergeCell ref="A13:C13"/>
    <mergeCell ref="E13:G13"/>
    <mergeCell ref="A14:D14"/>
    <mergeCell ref="E14:G1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zoomScale="83" zoomScaleNormal="83" workbookViewId="0">
      <pane ySplit="1" topLeftCell="A9" activePane="bottomLeft" state="frozen"/>
      <selection/>
      <selection pane="bottomLeft" activeCell="E15" sqref="E15"/>
    </sheetView>
  </sheetViews>
  <sheetFormatPr defaultColWidth="9.14285714285714" defaultRowHeight="15" outlineLevelCol="6"/>
  <cols>
    <col min="1" max="1" width="12.2857142857143" customWidth="1"/>
    <col min="2" max="2" width="24.1428571428571" customWidth="1"/>
    <col min="3" max="3" width="18.7142857142857" customWidth="1"/>
    <col min="4" max="4" width="11.7142857142857" customWidth="1"/>
    <col min="5" max="5" width="46.5619047619048" customWidth="1"/>
    <col min="6" max="6" width="14.7904761904762" customWidth="1"/>
    <col min="7" max="7" width="15.1238095238095" customWidth="1"/>
  </cols>
  <sheetData>
    <row r="1" ht="16" customHeight="1" spans="1:7">
      <c r="A1" s="34" t="s">
        <v>0</v>
      </c>
      <c r="B1" s="35" t="s">
        <v>10</v>
      </c>
      <c r="C1" s="35" t="s">
        <v>11</v>
      </c>
      <c r="D1" s="35" t="s">
        <v>12</v>
      </c>
      <c r="E1" s="35" t="s">
        <v>13</v>
      </c>
      <c r="F1" s="35" t="s">
        <v>3</v>
      </c>
      <c r="G1" s="35" t="s">
        <v>5</v>
      </c>
    </row>
    <row r="2" ht="168" customHeight="1" spans="1:7">
      <c r="A2" s="25"/>
      <c r="B2" s="116"/>
      <c r="C2" s="38"/>
      <c r="D2" s="27"/>
      <c r="E2" s="17"/>
      <c r="F2" s="18"/>
      <c r="G2" s="18">
        <f>SUM(D2*F2)</f>
        <v>0</v>
      </c>
    </row>
    <row r="3" ht="23.5" customHeight="1" spans="1:7">
      <c r="A3" s="117" t="s">
        <v>4</v>
      </c>
      <c r="B3" s="118"/>
      <c r="C3" s="119"/>
      <c r="D3" s="27"/>
      <c r="E3" s="17"/>
      <c r="F3" s="120"/>
      <c r="G3" s="41"/>
    </row>
    <row r="4" ht="23.5" customHeight="1" spans="1:7">
      <c r="A4" s="117" t="s">
        <v>5</v>
      </c>
      <c r="B4" s="118"/>
      <c r="C4" s="119"/>
      <c r="D4" s="38"/>
      <c r="E4" s="121">
        <f>SUM(G2:G3)</f>
        <v>0</v>
      </c>
      <c r="F4" s="122"/>
      <c r="G4" s="123"/>
    </row>
    <row r="5" ht="168" customHeight="1" spans="1:7">
      <c r="A5" s="25"/>
      <c r="B5" s="116"/>
      <c r="C5" s="38"/>
      <c r="D5" s="27"/>
      <c r="E5" s="17"/>
      <c r="F5" s="18"/>
      <c r="G5" s="18">
        <f>SUM(D5*F5)</f>
        <v>0</v>
      </c>
    </row>
    <row r="6" ht="23.5" customHeight="1" spans="1:7">
      <c r="A6" s="124" t="s">
        <v>4</v>
      </c>
      <c r="B6" s="125"/>
      <c r="C6" s="126"/>
      <c r="D6" s="127"/>
      <c r="E6" s="7"/>
      <c r="F6" s="7"/>
      <c r="G6" s="7"/>
    </row>
    <row r="7" ht="23.5" customHeight="1" spans="1:7">
      <c r="A7" s="124" t="s">
        <v>5</v>
      </c>
      <c r="B7" s="125"/>
      <c r="C7" s="126"/>
      <c r="D7" s="127"/>
      <c r="E7" s="128">
        <f>SUM(G5:G6)</f>
        <v>0</v>
      </c>
      <c r="F7" s="128"/>
      <c r="G7" s="128"/>
    </row>
    <row r="8" ht="168" customHeight="1" spans="1:7">
      <c r="A8" s="25"/>
      <c r="B8" s="116"/>
      <c r="C8" s="38"/>
      <c r="D8" s="27"/>
      <c r="E8" s="17"/>
      <c r="F8" s="18"/>
      <c r="G8" s="18"/>
    </row>
    <row r="9" ht="23.5" customHeight="1" spans="1:7">
      <c r="A9" s="124"/>
      <c r="B9" s="125"/>
      <c r="C9" s="126"/>
      <c r="D9" s="127"/>
      <c r="E9" s="7"/>
      <c r="F9" s="7"/>
      <c r="G9" s="7"/>
    </row>
    <row r="10" ht="23.5" customHeight="1" spans="1:7">
      <c r="A10" s="124"/>
      <c r="B10" s="125"/>
      <c r="C10" s="126"/>
      <c r="D10" s="127"/>
      <c r="E10" s="128"/>
      <c r="F10" s="128"/>
      <c r="G10" s="128"/>
    </row>
    <row r="11" ht="168" customHeight="1" spans="1:7">
      <c r="A11" s="25"/>
      <c r="B11" s="116"/>
      <c r="C11" s="38"/>
      <c r="D11" s="27"/>
      <c r="E11" s="17"/>
      <c r="F11" s="18"/>
      <c r="G11" s="18"/>
    </row>
    <row r="12" ht="23.5" customHeight="1" spans="1:7">
      <c r="A12" s="124"/>
      <c r="B12" s="125"/>
      <c r="C12" s="126"/>
      <c r="D12" s="127"/>
      <c r="E12" s="7"/>
      <c r="F12" s="7"/>
      <c r="G12" s="41"/>
    </row>
    <row r="13" ht="23.5" customHeight="1" spans="1:7">
      <c r="A13" s="124"/>
      <c r="B13" s="125"/>
      <c r="C13" s="126"/>
      <c r="D13" s="127"/>
      <c r="E13" s="128"/>
      <c r="F13" s="128"/>
      <c r="G13" s="128"/>
    </row>
    <row r="14" ht="24" customHeight="1" spans="1:7">
      <c r="A14" s="89" t="s">
        <v>9</v>
      </c>
      <c r="B14" s="90"/>
      <c r="C14" s="90"/>
      <c r="D14" s="91"/>
      <c r="E14" s="129">
        <f>SUM(E4+E7+E10+E13)</f>
        <v>0</v>
      </c>
      <c r="F14" s="93"/>
      <c r="G14" s="94"/>
    </row>
  </sheetData>
  <mergeCells count="14">
    <mergeCell ref="A3:C3"/>
    <mergeCell ref="A4:C4"/>
    <mergeCell ref="E4:G4"/>
    <mergeCell ref="A6:C6"/>
    <mergeCell ref="A7:C7"/>
    <mergeCell ref="E7:G7"/>
    <mergeCell ref="A9:C9"/>
    <mergeCell ref="A10:C10"/>
    <mergeCell ref="E10:G10"/>
    <mergeCell ref="A12:C12"/>
    <mergeCell ref="A13:C13"/>
    <mergeCell ref="E13:G13"/>
    <mergeCell ref="A14:D14"/>
    <mergeCell ref="E14:G1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zoomScale="89" zoomScaleNormal="89" workbookViewId="0">
      <pane ySplit="1" topLeftCell="A12" activePane="bottomLeft" state="frozen"/>
      <selection/>
      <selection pane="bottomLeft" activeCell="E17" sqref="E17:H17"/>
    </sheetView>
  </sheetViews>
  <sheetFormatPr defaultColWidth="9.14285714285714" defaultRowHeight="15" outlineLevelCol="7"/>
  <cols>
    <col min="1" max="1" width="13.4" customWidth="1"/>
    <col min="2" max="2" width="25.7142857142857" customWidth="1"/>
    <col min="3" max="3" width="18.5714285714286" customWidth="1"/>
    <col min="4" max="4" width="13.6380952380952" customWidth="1"/>
    <col min="5" max="5" width="45.5047619047619" customWidth="1"/>
    <col min="6" max="6" width="19.7333333333333" customWidth="1"/>
    <col min="7" max="7" width="17.9619047619048" customWidth="1"/>
  </cols>
  <sheetData>
    <row r="1" ht="16" customHeight="1" spans="1:8">
      <c r="A1" s="34" t="s">
        <v>0</v>
      </c>
      <c r="B1" s="35" t="s">
        <v>10</v>
      </c>
      <c r="C1" s="35" t="s">
        <v>11</v>
      </c>
      <c r="D1" s="35" t="s">
        <v>12</v>
      </c>
      <c r="E1" s="35" t="s">
        <v>13</v>
      </c>
      <c r="F1" s="35" t="s">
        <v>3</v>
      </c>
      <c r="G1" s="35" t="s">
        <v>5</v>
      </c>
      <c r="H1" s="35" t="s">
        <v>33</v>
      </c>
    </row>
    <row r="2" ht="138.55" customHeight="1" spans="1:8">
      <c r="A2" s="25"/>
      <c r="B2" s="95"/>
      <c r="C2" s="70"/>
      <c r="D2" s="17"/>
      <c r="E2" s="17"/>
      <c r="F2" s="18"/>
      <c r="G2" s="18">
        <f>SUM(D2*F2)</f>
        <v>0</v>
      </c>
      <c r="H2" s="17"/>
    </row>
    <row r="3" ht="23.25" spans="1:8">
      <c r="A3" s="99" t="s">
        <v>4</v>
      </c>
      <c r="B3" s="100"/>
      <c r="C3" s="101"/>
      <c r="D3" s="102">
        <f>SUM(D2)</f>
        <v>0</v>
      </c>
      <c r="E3" s="103"/>
      <c r="F3" s="84" t="s">
        <v>32</v>
      </c>
      <c r="G3" s="104">
        <f>G2*11%</f>
        <v>0</v>
      </c>
      <c r="H3" s="105"/>
    </row>
    <row r="4" ht="23.25" spans="1:8">
      <c r="A4" s="80" t="s">
        <v>5</v>
      </c>
      <c r="B4" s="58"/>
      <c r="C4" s="81"/>
      <c r="D4" s="106"/>
      <c r="E4" s="107">
        <f>SUM(G2:G3)</f>
        <v>0</v>
      </c>
      <c r="F4" s="107"/>
      <c r="G4" s="107"/>
      <c r="H4" s="107"/>
    </row>
    <row r="5" ht="168" customHeight="1" spans="1:8">
      <c r="A5" s="53"/>
      <c r="B5" s="108"/>
      <c r="C5" s="108"/>
      <c r="D5" s="109"/>
      <c r="E5" s="110"/>
      <c r="F5" s="18"/>
      <c r="G5" s="18">
        <f>SUM(D5*F5)</f>
        <v>0</v>
      </c>
      <c r="H5" s="111"/>
    </row>
    <row r="6" ht="23.25" spans="1:8">
      <c r="A6" s="99" t="s">
        <v>4</v>
      </c>
      <c r="B6" s="100"/>
      <c r="C6" s="101"/>
      <c r="D6" s="106">
        <f>SUM(D5)</f>
        <v>0</v>
      </c>
      <c r="E6" s="83"/>
      <c r="F6" s="84" t="s">
        <v>32</v>
      </c>
      <c r="G6" s="104">
        <f>G5*11%</f>
        <v>0</v>
      </c>
      <c r="H6" s="105"/>
    </row>
    <row r="7" ht="23.25" spans="1:8">
      <c r="A7" s="80" t="s">
        <v>5</v>
      </c>
      <c r="B7" s="58"/>
      <c r="C7" s="81"/>
      <c r="D7" s="106"/>
      <c r="E7" s="83">
        <f>SUM(G5:G6)</f>
        <v>0</v>
      </c>
      <c r="F7" s="83"/>
      <c r="G7" s="83"/>
      <c r="H7" s="83"/>
    </row>
    <row r="8" ht="168" customHeight="1" spans="1:8">
      <c r="A8" s="53"/>
      <c r="B8" s="108"/>
      <c r="C8" s="108"/>
      <c r="D8" s="109"/>
      <c r="E8" s="110"/>
      <c r="F8" s="18"/>
      <c r="G8" s="18">
        <f>SUM(D8*F8)</f>
        <v>0</v>
      </c>
      <c r="H8" s="111"/>
    </row>
    <row r="9" ht="23.25" spans="1:8">
      <c r="A9" s="99" t="s">
        <v>4</v>
      </c>
      <c r="B9" s="100"/>
      <c r="C9" s="101"/>
      <c r="D9" s="106"/>
      <c r="E9" s="83"/>
      <c r="F9" s="84" t="s">
        <v>32</v>
      </c>
      <c r="G9" s="104">
        <f>G8*11%</f>
        <v>0</v>
      </c>
      <c r="H9" s="105"/>
    </row>
    <row r="10" ht="23.25" spans="1:8">
      <c r="A10" s="80" t="s">
        <v>5</v>
      </c>
      <c r="B10" s="58"/>
      <c r="C10" s="81"/>
      <c r="D10" s="106"/>
      <c r="E10" s="83">
        <f>SUM(G8:G9)</f>
        <v>0</v>
      </c>
      <c r="F10" s="83"/>
      <c r="G10" s="83"/>
      <c r="H10" s="83"/>
    </row>
    <row r="11" ht="168" customHeight="1" spans="1:8">
      <c r="A11" s="112"/>
      <c r="B11" s="108"/>
      <c r="C11" s="108"/>
      <c r="D11" s="109"/>
      <c r="E11" s="110"/>
      <c r="F11" s="18"/>
      <c r="G11" s="18">
        <f>SUM(D11*F11)</f>
        <v>0</v>
      </c>
      <c r="H11" s="111"/>
    </row>
    <row r="12" ht="23.25" spans="1:8">
      <c r="A12" s="99" t="s">
        <v>4</v>
      </c>
      <c r="B12" s="100"/>
      <c r="C12" s="101"/>
      <c r="D12" s="106"/>
      <c r="E12" s="83"/>
      <c r="F12" s="84" t="s">
        <v>32</v>
      </c>
      <c r="G12" s="104">
        <f>G11*11%</f>
        <v>0</v>
      </c>
      <c r="H12" s="105"/>
    </row>
    <row r="13" ht="23.25" spans="1:8">
      <c r="A13" s="80" t="s">
        <v>5</v>
      </c>
      <c r="B13" s="58"/>
      <c r="C13" s="81"/>
      <c r="D13" s="106"/>
      <c r="E13" s="83">
        <f>SUM(G11:G12)</f>
        <v>0</v>
      </c>
      <c r="F13" s="83"/>
      <c r="G13" s="83"/>
      <c r="H13" s="83"/>
    </row>
    <row r="14" ht="168" customHeight="1" spans="1:8">
      <c r="A14" s="112"/>
      <c r="B14" s="108"/>
      <c r="C14" s="108"/>
      <c r="D14" s="109"/>
      <c r="E14" s="110"/>
      <c r="F14" s="18"/>
      <c r="G14" s="18"/>
      <c r="H14" s="111"/>
    </row>
    <row r="15" ht="23.25" spans="1:8">
      <c r="A15" s="99" t="s">
        <v>4</v>
      </c>
      <c r="B15" s="100"/>
      <c r="C15" s="101"/>
      <c r="D15" s="106"/>
      <c r="E15" s="83"/>
      <c r="F15" s="84" t="s">
        <v>32</v>
      </c>
      <c r="G15" s="104">
        <f>G14*11%</f>
        <v>0</v>
      </c>
      <c r="H15" s="105"/>
    </row>
    <row r="16" ht="23.25" spans="1:8">
      <c r="A16" s="80" t="s">
        <v>5</v>
      </c>
      <c r="B16" s="58"/>
      <c r="C16" s="81"/>
      <c r="D16" s="106"/>
      <c r="E16" s="83">
        <f>SUM(G14:G15)</f>
        <v>0</v>
      </c>
      <c r="F16" s="83"/>
      <c r="G16" s="83"/>
      <c r="H16" s="83"/>
    </row>
    <row r="17" ht="26" customHeight="1" spans="1:8">
      <c r="A17" s="89" t="s">
        <v>9</v>
      </c>
      <c r="B17" s="90"/>
      <c r="C17" s="90"/>
      <c r="D17" s="91"/>
      <c r="E17" s="113">
        <f>E4+E7+E10+E13+E16</f>
        <v>0</v>
      </c>
      <c r="F17" s="114"/>
      <c r="G17" s="114"/>
      <c r="H17" s="115"/>
    </row>
  </sheetData>
  <mergeCells count="17">
    <mergeCell ref="A3:C3"/>
    <mergeCell ref="A4:C4"/>
    <mergeCell ref="E4:H4"/>
    <mergeCell ref="A6:C6"/>
    <mergeCell ref="A7:C7"/>
    <mergeCell ref="E7:H7"/>
    <mergeCell ref="A9:C9"/>
    <mergeCell ref="A10:C10"/>
    <mergeCell ref="E10:H10"/>
    <mergeCell ref="A12:C12"/>
    <mergeCell ref="A13:C13"/>
    <mergeCell ref="E13:H13"/>
    <mergeCell ref="A15:C15"/>
    <mergeCell ref="A16:C16"/>
    <mergeCell ref="E16:H16"/>
    <mergeCell ref="A17:D17"/>
    <mergeCell ref="E17:H1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97" zoomScaleNormal="97" workbookViewId="0">
      <pane ySplit="1" topLeftCell="A2" activePane="bottomLeft" state="frozen"/>
      <selection/>
      <selection pane="bottomLeft" activeCell="D6" sqref="D6"/>
    </sheetView>
  </sheetViews>
  <sheetFormatPr defaultColWidth="9.14285714285714" defaultRowHeight="15" outlineLevelRow="3" outlineLevelCol="6"/>
  <cols>
    <col min="1" max="1" width="12.8571428571429" customWidth="1"/>
    <col min="2" max="2" width="12.2857142857143" customWidth="1"/>
    <col min="3" max="3" width="21.8571428571429" customWidth="1"/>
    <col min="4" max="4" width="11.6285714285714" customWidth="1"/>
    <col min="5" max="5" width="15.752380952381" customWidth="1"/>
    <col min="6" max="6" width="45.5047619047619" customWidth="1"/>
    <col min="7" max="7" width="17.9619047619048" customWidth="1"/>
  </cols>
  <sheetData>
    <row r="1" ht="16" customHeight="1" spans="1:7">
      <c r="A1" s="34" t="s">
        <v>0</v>
      </c>
      <c r="B1" s="35" t="s">
        <v>10</v>
      </c>
      <c r="C1" s="35" t="s">
        <v>11</v>
      </c>
      <c r="D1" s="35" t="s">
        <v>24</v>
      </c>
      <c r="E1" s="35" t="s">
        <v>3</v>
      </c>
      <c r="F1" s="35" t="s">
        <v>13</v>
      </c>
      <c r="G1" s="35" t="s">
        <v>5</v>
      </c>
    </row>
    <row r="2" ht="158" customHeight="1" spans="1:7">
      <c r="A2" s="25"/>
      <c r="B2" s="95"/>
      <c r="C2" s="7"/>
      <c r="D2" s="49"/>
      <c r="E2" s="18"/>
      <c r="F2" s="17"/>
      <c r="G2" s="18">
        <f>SUM(D2*E2)</f>
        <v>0</v>
      </c>
    </row>
    <row r="3" ht="155.75" customHeight="1" spans="1:7">
      <c r="A3" s="25"/>
      <c r="B3" s="95"/>
      <c r="C3" s="7"/>
      <c r="D3" s="49"/>
      <c r="E3" s="18"/>
      <c r="F3" s="17"/>
      <c r="G3" s="18">
        <f>SUM(D3*E3)</f>
        <v>0</v>
      </c>
    </row>
    <row r="4" ht="23" customHeight="1" spans="1:7">
      <c r="A4" s="96" t="s">
        <v>34</v>
      </c>
      <c r="B4" s="97"/>
      <c r="C4" s="97"/>
      <c r="D4" s="97"/>
      <c r="E4" s="97"/>
      <c r="F4" s="98">
        <f>SUM(G2:G3)</f>
        <v>0</v>
      </c>
      <c r="G4" s="98"/>
    </row>
  </sheetData>
  <mergeCells count="2">
    <mergeCell ref="A4:E4"/>
    <mergeCell ref="F4:G4"/>
  </mergeCells>
  <pageMargins left="0.75" right="0.75" top="1" bottom="1" header="0.5" footer="0.5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opLeftCell="A2" workbookViewId="0">
      <selection activeCell="E7" sqref="E7:G7"/>
    </sheetView>
  </sheetViews>
  <sheetFormatPr defaultColWidth="9.14285714285714" defaultRowHeight="15" outlineLevelRow="7" outlineLevelCol="6"/>
  <cols>
    <col min="1" max="1" width="13.4" customWidth="1"/>
    <col min="2" max="2" width="18.1333333333333" customWidth="1"/>
    <col min="3" max="4" width="18.5714285714286" customWidth="1"/>
    <col min="5" max="5" width="28.4285714285714" customWidth="1"/>
    <col min="6" max="7" width="17.9619047619048" customWidth="1"/>
  </cols>
  <sheetData>
    <row r="1" ht="16" customHeight="1" spans="1:7">
      <c r="A1" s="34" t="s">
        <v>0</v>
      </c>
      <c r="B1" s="35" t="s">
        <v>10</v>
      </c>
      <c r="C1" s="35" t="s">
        <v>11</v>
      </c>
      <c r="D1" s="35" t="s">
        <v>24</v>
      </c>
      <c r="E1" s="35" t="s">
        <v>13</v>
      </c>
      <c r="F1" s="35" t="s">
        <v>3</v>
      </c>
      <c r="G1" s="35" t="s">
        <v>5</v>
      </c>
    </row>
    <row r="2" ht="168" customHeight="1" spans="1:7">
      <c r="A2" s="77"/>
      <c r="B2" s="78"/>
      <c r="C2" s="26"/>
      <c r="D2" s="27"/>
      <c r="E2" s="17"/>
      <c r="F2" s="79"/>
      <c r="G2" s="18">
        <f>SUM(D2*F2)</f>
        <v>0</v>
      </c>
    </row>
    <row r="3" ht="23.25" spans="1:7">
      <c r="A3" s="80" t="s">
        <v>7</v>
      </c>
      <c r="B3" s="58"/>
      <c r="C3" s="81"/>
      <c r="D3" s="82">
        <f>SUM(D2)</f>
        <v>0</v>
      </c>
      <c r="E3" s="83"/>
      <c r="F3" s="83" t="s">
        <v>32</v>
      </c>
      <c r="G3" s="84">
        <f>G2*11%</f>
        <v>0</v>
      </c>
    </row>
    <row r="4" ht="23.25" spans="1:7">
      <c r="A4" s="80" t="s">
        <v>5</v>
      </c>
      <c r="B4" s="58"/>
      <c r="C4" s="58"/>
      <c r="D4" s="58"/>
      <c r="E4" s="85">
        <f>SUM(G2:G3)</f>
        <v>0</v>
      </c>
      <c r="F4" s="86"/>
      <c r="G4" s="87"/>
    </row>
    <row r="5" ht="168" customHeight="1" spans="1:7">
      <c r="A5" s="77"/>
      <c r="B5" s="78"/>
      <c r="C5" s="26"/>
      <c r="D5" s="27"/>
      <c r="E5" s="17"/>
      <c r="F5" s="79"/>
      <c r="G5" s="18"/>
    </row>
    <row r="6" ht="23.25" spans="1:7">
      <c r="A6" s="80"/>
      <c r="B6" s="58"/>
      <c r="C6" s="81"/>
      <c r="D6" s="88"/>
      <c r="E6" s="83"/>
      <c r="F6" s="83"/>
      <c r="G6" s="84"/>
    </row>
    <row r="7" ht="23.25" spans="1:7">
      <c r="A7" s="80" t="s">
        <v>5</v>
      </c>
      <c r="B7" s="58"/>
      <c r="C7" s="58"/>
      <c r="D7" s="58"/>
      <c r="E7" s="85">
        <f>SUM(G5:G6)</f>
        <v>0</v>
      </c>
      <c r="F7" s="86"/>
      <c r="G7" s="87"/>
    </row>
    <row r="8" ht="26" customHeight="1" spans="1:7">
      <c r="A8" s="89" t="s">
        <v>9</v>
      </c>
      <c r="B8" s="90"/>
      <c r="C8" s="90"/>
      <c r="D8" s="91"/>
      <c r="E8" s="92">
        <f>E4+E7</f>
        <v>0</v>
      </c>
      <c r="F8" s="93"/>
      <c r="G8" s="94"/>
    </row>
  </sheetData>
  <mergeCells count="8">
    <mergeCell ref="A3:C3"/>
    <mergeCell ref="A4:D4"/>
    <mergeCell ref="E4:G4"/>
    <mergeCell ref="A6:C6"/>
    <mergeCell ref="A7:D7"/>
    <mergeCell ref="E7:G7"/>
    <mergeCell ref="A8:D8"/>
    <mergeCell ref="E8:G8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="89" zoomScaleNormal="89" workbookViewId="0">
      <selection activeCell="D3" sqref="D3:F3"/>
    </sheetView>
  </sheetViews>
  <sheetFormatPr defaultColWidth="9.14285714285714" defaultRowHeight="15" outlineLevelCol="5"/>
  <cols>
    <col min="1" max="1" width="12.4380952380952" style="11" customWidth="1"/>
    <col min="2" max="2" width="17.3333333333333" customWidth="1"/>
    <col min="3" max="3" width="23.0190476190476" customWidth="1"/>
    <col min="4" max="4" width="59.9619047619048" customWidth="1"/>
    <col min="5" max="5" width="29.0666666666667" customWidth="1"/>
    <col min="6" max="6" width="12.9238095238095" customWidth="1"/>
  </cols>
  <sheetData>
    <row r="1" ht="16" customHeight="1" spans="1:6">
      <c r="A1" s="12" t="s">
        <v>0</v>
      </c>
      <c r="B1" s="13" t="s">
        <v>10</v>
      </c>
      <c r="C1" s="13" t="s">
        <v>11</v>
      </c>
      <c r="D1" s="13" t="s">
        <v>13</v>
      </c>
      <c r="E1" s="13" t="s">
        <v>5</v>
      </c>
      <c r="F1" s="13" t="s">
        <v>33</v>
      </c>
    </row>
    <row r="2" ht="321" customHeight="1" spans="1:6">
      <c r="A2" s="68"/>
      <c r="B2" s="69"/>
      <c r="C2" s="70"/>
      <c r="D2" s="17"/>
      <c r="E2" s="18"/>
      <c r="F2" s="17"/>
    </row>
    <row r="3" ht="34" customHeight="1" spans="1:6">
      <c r="A3" s="71" t="s">
        <v>5</v>
      </c>
      <c r="B3" s="72"/>
      <c r="C3" s="73"/>
      <c r="D3" s="74">
        <f>SUM(E2:E2)</f>
        <v>0</v>
      </c>
      <c r="E3" s="75"/>
      <c r="F3" s="76"/>
    </row>
    <row r="4" ht="58" customHeight="1"/>
    <row r="5" ht="58" customHeight="1"/>
    <row r="6" ht="58" customHeight="1"/>
    <row r="7" ht="58" customHeight="1"/>
    <row r="8" ht="58" customHeight="1"/>
    <row r="9" ht="58" customHeight="1"/>
    <row r="10" ht="58" customHeight="1"/>
    <row r="11" ht="58" customHeight="1"/>
    <row r="12" ht="58" customHeight="1"/>
    <row r="13" ht="58" customHeight="1"/>
  </sheetData>
  <mergeCells count="2">
    <mergeCell ref="A3:C3"/>
    <mergeCell ref="D3:F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90" zoomScaleNormal="90" topLeftCell="A9" workbookViewId="0">
      <selection activeCell="E12" sqref="E12:G12"/>
    </sheetView>
  </sheetViews>
  <sheetFormatPr defaultColWidth="9.14285714285714" defaultRowHeight="15" outlineLevelCol="6"/>
  <cols>
    <col min="1" max="1" width="13.4" customWidth="1"/>
    <col min="2" max="2" width="11.1619047619048" customWidth="1"/>
    <col min="3" max="3" width="18.5714285714286" customWidth="1"/>
    <col min="4" max="4" width="15.8761904761905" customWidth="1"/>
    <col min="5" max="5" width="45.5047619047619" customWidth="1"/>
    <col min="6" max="7" width="17.9619047619048" customWidth="1"/>
  </cols>
  <sheetData>
    <row r="1" ht="16" customHeight="1" spans="1:7">
      <c r="A1" s="34" t="s">
        <v>0</v>
      </c>
      <c r="B1" s="35" t="s">
        <v>10</v>
      </c>
      <c r="C1" s="35" t="s">
        <v>11</v>
      </c>
      <c r="D1" s="35" t="s">
        <v>24</v>
      </c>
      <c r="E1" s="35" t="s">
        <v>13</v>
      </c>
      <c r="F1" s="35" t="s">
        <v>3</v>
      </c>
      <c r="G1" s="35" t="s">
        <v>5</v>
      </c>
    </row>
    <row r="2" ht="42" customHeight="1" spans="1:7">
      <c r="A2" s="36"/>
      <c r="B2" s="37"/>
      <c r="C2" s="38"/>
      <c r="D2" s="39"/>
      <c r="E2" s="40"/>
      <c r="F2" s="41"/>
      <c r="G2" s="41"/>
    </row>
    <row r="3" ht="42" customHeight="1" spans="1:7">
      <c r="A3" s="42"/>
      <c r="B3" s="43"/>
      <c r="C3" s="38"/>
      <c r="D3" s="39"/>
      <c r="E3" s="44"/>
      <c r="F3" s="41"/>
      <c r="G3" s="41"/>
    </row>
    <row r="4" ht="42" customHeight="1" spans="1:7">
      <c r="A4" s="42"/>
      <c r="B4" s="43"/>
      <c r="C4" s="38"/>
      <c r="D4" s="39"/>
      <c r="E4" s="44"/>
      <c r="F4" s="41"/>
      <c r="G4" s="41"/>
    </row>
    <row r="5" ht="42" customHeight="1" spans="1:7">
      <c r="A5" s="42"/>
      <c r="B5" s="43"/>
      <c r="C5" s="45"/>
      <c r="D5" s="39"/>
      <c r="E5" s="46"/>
      <c r="F5" s="41"/>
      <c r="G5" s="41"/>
    </row>
    <row r="6" ht="19" customHeight="1" spans="1:7">
      <c r="A6" s="47"/>
      <c r="B6" s="47"/>
      <c r="C6" s="47"/>
      <c r="D6" s="48"/>
      <c r="E6" s="49"/>
      <c r="F6" s="50"/>
      <c r="G6" s="50"/>
    </row>
    <row r="7" ht="19" customHeight="1" spans="1:7">
      <c r="A7" s="51"/>
      <c r="B7" s="51"/>
      <c r="C7" s="51"/>
      <c r="D7" s="48"/>
      <c r="E7" s="49"/>
      <c r="F7" s="50"/>
      <c r="G7" s="52"/>
    </row>
    <row r="8" ht="84" customHeight="1" spans="1:7">
      <c r="A8" s="53"/>
      <c r="B8" s="54"/>
      <c r="C8" s="45"/>
      <c r="D8" s="39"/>
      <c r="E8" s="44"/>
      <c r="F8" s="41"/>
      <c r="G8" s="55"/>
    </row>
    <row r="9" ht="84" customHeight="1" spans="1:7">
      <c r="A9" s="53"/>
      <c r="B9" s="54"/>
      <c r="C9" s="56"/>
      <c r="D9" s="39"/>
      <c r="E9" s="46"/>
      <c r="F9" s="41"/>
      <c r="G9" s="57"/>
    </row>
    <row r="10" ht="19" customHeight="1" spans="1:7">
      <c r="A10" s="47"/>
      <c r="B10" s="47"/>
      <c r="C10" s="47"/>
      <c r="D10" s="48"/>
      <c r="E10" s="46"/>
      <c r="F10" s="50"/>
      <c r="G10" s="50"/>
    </row>
    <row r="11" ht="19" customHeight="1" spans="1:7">
      <c r="A11" s="51"/>
      <c r="B11" s="51"/>
      <c r="C11" s="51"/>
      <c r="D11" s="58"/>
      <c r="E11" s="59"/>
      <c r="F11" s="60"/>
      <c r="G11" s="61"/>
    </row>
    <row r="12" ht="27" customHeight="1" spans="1:7">
      <c r="A12" s="62" t="s">
        <v>9</v>
      </c>
      <c r="B12" s="63"/>
      <c r="C12" s="63"/>
      <c r="D12" s="64"/>
      <c r="E12" s="65">
        <f>SUM(G7+G11)</f>
        <v>0</v>
      </c>
      <c r="F12" s="66"/>
      <c r="G12" s="67"/>
    </row>
  </sheetData>
  <mergeCells count="14">
    <mergeCell ref="A6:C6"/>
    <mergeCell ref="A7:C7"/>
    <mergeCell ref="A10:C10"/>
    <mergeCell ref="A11:C11"/>
    <mergeCell ref="A12:D12"/>
    <mergeCell ref="E12:G12"/>
    <mergeCell ref="A2:A5"/>
    <mergeCell ref="A8:A9"/>
    <mergeCell ref="B2:B5"/>
    <mergeCell ref="B8:B9"/>
    <mergeCell ref="E2:E5"/>
    <mergeCell ref="E8:E9"/>
    <mergeCell ref="G2:G5"/>
    <mergeCell ref="G8:G9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85" zoomScaleNormal="85" workbookViewId="0">
      <pane ySplit="1" topLeftCell="A2" activePane="bottomLeft" state="frozen"/>
      <selection/>
      <selection pane="bottomLeft" activeCell="G4" sqref="G4"/>
    </sheetView>
  </sheetViews>
  <sheetFormatPr defaultColWidth="9.14285714285714" defaultRowHeight="15" outlineLevelRow="2" outlineLevelCol="6"/>
  <cols>
    <col min="1" max="1" width="13.4" customWidth="1"/>
    <col min="2" max="2" width="21.0095238095238" customWidth="1"/>
    <col min="3" max="3" width="16.5809523809524" customWidth="1"/>
    <col min="4" max="4" width="45.5047619047619" customWidth="1"/>
    <col min="5" max="6" width="17.9619047619048" customWidth="1"/>
    <col min="7" max="7" width="11.247619047619" customWidth="1"/>
  </cols>
  <sheetData>
    <row r="1" ht="16" customHeight="1" spans="1:7">
      <c r="A1" s="12" t="s">
        <v>0</v>
      </c>
      <c r="B1" s="13" t="s">
        <v>11</v>
      </c>
      <c r="C1" s="13" t="s">
        <v>24</v>
      </c>
      <c r="D1" s="13" t="s">
        <v>13</v>
      </c>
      <c r="E1" s="13" t="s">
        <v>3</v>
      </c>
      <c r="F1" s="13" t="s">
        <v>5</v>
      </c>
      <c r="G1" s="13" t="s">
        <v>33</v>
      </c>
    </row>
    <row r="2" ht="324.4" customHeight="1" spans="1:7">
      <c r="A2" s="25"/>
      <c r="B2" s="26"/>
      <c r="C2" s="27"/>
      <c r="D2" s="17"/>
      <c r="E2" s="18"/>
      <c r="F2" s="18">
        <f>C2*E2</f>
        <v>0</v>
      </c>
      <c r="G2" s="28"/>
    </row>
    <row r="3" ht="23.25" spans="1:7">
      <c r="A3" s="29" t="s">
        <v>5</v>
      </c>
      <c r="B3" s="30"/>
      <c r="C3" s="30"/>
      <c r="D3" s="31">
        <f>SUM(F2)</f>
        <v>0</v>
      </c>
      <c r="E3" s="32"/>
      <c r="F3" s="32"/>
      <c r="G3" s="33"/>
    </row>
  </sheetData>
  <mergeCells count="2">
    <mergeCell ref="A3:C3"/>
    <mergeCell ref="D3:G3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="85" zoomScaleNormal="85" workbookViewId="0">
      <selection activeCell="E4" sqref="E4"/>
    </sheetView>
  </sheetViews>
  <sheetFormatPr defaultColWidth="9.14285714285714" defaultRowHeight="15" outlineLevelCol="6"/>
  <cols>
    <col min="1" max="1" width="14.952380952381" style="11" customWidth="1"/>
    <col min="2" max="2" width="23.0190476190476" customWidth="1"/>
    <col min="3" max="3" width="7.72380952380952" customWidth="1"/>
    <col min="4" max="4" width="52.6571428571429" customWidth="1"/>
    <col min="5" max="5" width="20" customWidth="1"/>
    <col min="6" max="6" width="29.0666666666667" customWidth="1"/>
    <col min="7" max="7" width="21.5047619047619" customWidth="1"/>
  </cols>
  <sheetData>
    <row r="1" ht="16" customHeight="1" spans="1:7">
      <c r="A1" s="12" t="s">
        <v>0</v>
      </c>
      <c r="B1" s="13" t="s">
        <v>11</v>
      </c>
      <c r="C1" s="13" t="s">
        <v>24</v>
      </c>
      <c r="D1" s="13" t="s">
        <v>13</v>
      </c>
      <c r="E1" s="13" t="s">
        <v>25</v>
      </c>
      <c r="F1" s="13" t="s">
        <v>5</v>
      </c>
      <c r="G1" s="13" t="s">
        <v>33</v>
      </c>
    </row>
    <row r="2" ht="177" customHeight="1" spans="1:7">
      <c r="A2" s="14"/>
      <c r="B2" s="15"/>
      <c r="C2" s="16"/>
      <c r="D2" s="17"/>
      <c r="E2" s="18"/>
      <c r="F2" s="18"/>
      <c r="G2" s="18"/>
    </row>
    <row r="3" ht="34" customHeight="1" spans="1:7">
      <c r="A3" s="19" t="s">
        <v>5</v>
      </c>
      <c r="B3" s="20"/>
      <c r="C3" s="20"/>
      <c r="D3" s="21"/>
      <c r="E3" s="22">
        <f>SUM(F2)</f>
        <v>0</v>
      </c>
      <c r="F3" s="23"/>
      <c r="G3" s="24"/>
    </row>
    <row r="4" ht="58" customHeight="1"/>
    <row r="5" ht="58" customHeight="1"/>
    <row r="6" ht="58" customHeight="1"/>
    <row r="7" ht="58" customHeight="1"/>
    <row r="8" ht="58" customHeight="1"/>
    <row r="9" ht="58" customHeight="1"/>
    <row r="10" ht="58" customHeight="1"/>
    <row r="11" ht="58" customHeight="1"/>
    <row r="12" ht="58" customHeight="1"/>
    <row r="13" ht="58" customHeight="1"/>
  </sheetData>
  <mergeCells count="2">
    <mergeCell ref="A3:D3"/>
    <mergeCell ref="E3:G3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C5" sqref="C5"/>
    </sheetView>
  </sheetViews>
  <sheetFormatPr defaultColWidth="9.14285714285714" defaultRowHeight="15" outlineLevelCol="2"/>
  <cols>
    <col min="1" max="1" width="3.57142857142857" customWidth="1"/>
    <col min="2" max="2" width="27.7142857142857" customWidth="1"/>
    <col min="3" max="3" width="14.4285714285714" customWidth="1"/>
    <col min="6" max="6" width="21.4285714285714" customWidth="1"/>
    <col min="7" max="7" width="20.2857142857143" customWidth="1"/>
  </cols>
  <sheetData>
    <row r="1" spans="1:3">
      <c r="A1" s="1" t="s">
        <v>35</v>
      </c>
      <c r="B1" s="2" t="s">
        <v>36</v>
      </c>
      <c r="C1" s="3" t="s">
        <v>5</v>
      </c>
    </row>
    <row r="2" spans="1:3">
      <c r="A2" s="4">
        <v>1</v>
      </c>
      <c r="B2" s="4" t="s">
        <v>37</v>
      </c>
      <c r="C2" s="5">
        <f>'BUK BUNGA (Groceries)'!F275</f>
        <v>0</v>
      </c>
    </row>
    <row r="3" spans="1:3">
      <c r="A3" s="4">
        <v>2</v>
      </c>
      <c r="B3" s="4" t="s">
        <v>38</v>
      </c>
      <c r="C3" s="5">
        <f>'WARUNG EKA (Drinks, Etc)'!G118</f>
        <v>0</v>
      </c>
    </row>
    <row r="4" spans="1:3">
      <c r="A4" s="4">
        <v>3</v>
      </c>
      <c r="B4" s="4" t="s">
        <v>39</v>
      </c>
      <c r="C4" s="5">
        <f>'DEWATA COCONUT (Coconut)'!E10</f>
        <v>0</v>
      </c>
    </row>
    <row r="5" spans="1:3">
      <c r="A5" s="4">
        <v>4</v>
      </c>
      <c r="B5" s="4" t="s">
        <v>40</v>
      </c>
      <c r="C5" s="5">
        <f>'SEDANA JAYA'!F37</f>
        <v>769100</v>
      </c>
    </row>
    <row r="6" spans="1:3">
      <c r="A6" s="4">
        <v>5</v>
      </c>
      <c r="B6" s="4" t="s">
        <v>41</v>
      </c>
      <c r="C6" s="5">
        <f>'PNB (Alcohol)'!H7</f>
        <v>0</v>
      </c>
    </row>
    <row r="7" spans="1:3">
      <c r="A7" s="4">
        <v>6</v>
      </c>
      <c r="B7" s="6" t="s">
        <v>42</v>
      </c>
      <c r="C7" s="5">
        <f>'DSP (Alcohol)'!F16</f>
        <v>0</v>
      </c>
    </row>
    <row r="8" customFormat="1" spans="1:3">
      <c r="A8" s="4">
        <v>7</v>
      </c>
      <c r="B8" s="6" t="s">
        <v>43</v>
      </c>
      <c r="C8" s="5">
        <f>'DSP ARYA BIMA (Alcohol)'!E3</f>
        <v>0</v>
      </c>
    </row>
    <row r="9" spans="1:3">
      <c r="A9" s="4">
        <v>8</v>
      </c>
      <c r="B9" s="4" t="s">
        <v>44</v>
      </c>
      <c r="C9" s="5">
        <f>'SELERA OR STIR UP (Syrup)'!F9</f>
        <v>0</v>
      </c>
    </row>
    <row r="10" spans="1:3">
      <c r="A10" s="4">
        <v>9</v>
      </c>
      <c r="B10" s="4" t="s">
        <v>45</v>
      </c>
      <c r="C10" s="5">
        <f>'DW BALI (Alcohol)'!E4</f>
        <v>0</v>
      </c>
    </row>
    <row r="11" spans="1:3">
      <c r="A11" s="4">
        <v>10</v>
      </c>
      <c r="B11" s="4" t="s">
        <v>46</v>
      </c>
      <c r="C11" s="5">
        <f>'DDB (Alcohol)'!E14</f>
        <v>0</v>
      </c>
    </row>
    <row r="12" spans="1:3">
      <c r="A12" s="4">
        <v>11</v>
      </c>
      <c r="B12" s="4" t="s">
        <v>47</v>
      </c>
      <c r="C12" s="5">
        <f>'NANO DEWATA (Alcohol)'!E14</f>
        <v>0</v>
      </c>
    </row>
    <row r="13" spans="1:3">
      <c r="A13" s="4">
        <v>12</v>
      </c>
      <c r="B13" s="4" t="s">
        <v>48</v>
      </c>
      <c r="C13" s="5">
        <f>'BALI PERMATA JAYA (Corona Beer)'!E17</f>
        <v>0</v>
      </c>
    </row>
    <row r="14" spans="1:3">
      <c r="A14" s="4">
        <v>13</v>
      </c>
      <c r="B14" s="4" t="s">
        <v>49</v>
      </c>
      <c r="C14" s="7">
        <f>'BLACK COFFEE ROASTERS (Coffee)'!F4</f>
        <v>0</v>
      </c>
    </row>
    <row r="15" spans="1:3">
      <c r="A15" s="4">
        <v>14</v>
      </c>
      <c r="B15" s="4" t="s">
        <v>50</v>
      </c>
      <c r="C15" s="5">
        <f>'PT. PRASIDA LANTUR MAJU (Wine)'!E8</f>
        <v>0</v>
      </c>
    </row>
    <row r="16" spans="1:3">
      <c r="A16" s="4">
        <v>15</v>
      </c>
      <c r="B16" s="6" t="s">
        <v>51</v>
      </c>
      <c r="C16" s="8">
        <f>'PT LOVINA BEACH BREWERY'!D3</f>
        <v>0</v>
      </c>
    </row>
    <row r="17" spans="1:3">
      <c r="A17" s="4">
        <v>16</v>
      </c>
      <c r="B17" s="4" t="s">
        <v>52</v>
      </c>
      <c r="C17" s="5">
        <f>'CHAI CHITAI (Tea Leaf,etc)'!E12</f>
        <v>0</v>
      </c>
    </row>
    <row r="18" spans="1:3">
      <c r="A18" s="4">
        <v>17</v>
      </c>
      <c r="B18" s="4" t="s">
        <v>53</v>
      </c>
      <c r="C18" s="5">
        <f>'MULIA JAYA (Passion Fruit)'!D3</f>
        <v>0</v>
      </c>
    </row>
    <row r="19" spans="1:3">
      <c r="A19" s="4">
        <v>18</v>
      </c>
      <c r="B19" s="4" t="s">
        <v>54</v>
      </c>
      <c r="C19" s="5">
        <f>'Dewata Kencana Distribusi (Vdka'!E3</f>
        <v>0</v>
      </c>
    </row>
    <row r="20" spans="1:3">
      <c r="A20" s="9" t="s">
        <v>5</v>
      </c>
      <c r="B20" s="9"/>
      <c r="C20" s="10">
        <f>SUM(C2:C13)</f>
        <v>769100</v>
      </c>
    </row>
  </sheetData>
  <mergeCells count="1">
    <mergeCell ref="A20:B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BUK BUNGA (Groceries)</vt:lpstr>
      <vt:lpstr>WARUNG EKA (Drinks, Etc)</vt:lpstr>
      <vt:lpstr>DEWATA COCONUT (Coconut)</vt:lpstr>
      <vt:lpstr>SEDANA JAYA</vt:lpstr>
      <vt:lpstr>PNB (Alcohol)</vt:lpstr>
      <vt:lpstr>DSP (Alcohol)</vt:lpstr>
      <vt:lpstr>DSP ARYA BIMA (Alcohol)</vt:lpstr>
      <vt:lpstr>SELERA OR STIR UP (Syrup)</vt:lpstr>
      <vt:lpstr>DW BALI (Alcohol)</vt:lpstr>
      <vt:lpstr>DDB (Alcohol)</vt:lpstr>
      <vt:lpstr>NANO DEWATA (Alcohol)</vt:lpstr>
      <vt:lpstr>BALI PERMATA JAYA (Corona Beer)</vt:lpstr>
      <vt:lpstr>BLACK COFFEE ROASTERS (Coffee)</vt:lpstr>
      <vt:lpstr>PT. PRASIDA LANTUR MAJU (Wine)</vt:lpstr>
      <vt:lpstr>PT LOVINA BEACH BREWERY</vt:lpstr>
      <vt:lpstr>CHAI CHITAI (Tea Leaf,etc)</vt:lpstr>
      <vt:lpstr>MULIA JAYA (Passion Fruit)</vt:lpstr>
      <vt:lpstr>Dewata Kencana Distribusi (Vdka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2025-01-20T05:46:00Z</dcterms:created>
  <dcterms:modified xsi:type="dcterms:W3CDTF">2025-12-02T09:57:19Z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715B000284CE4E42ACE0B30D6DA64657_13</vt:lpwstr>
  </property>
  <property fmtid="{D5CDD505-2E9C-101B-9397-08002B2CF9AE}" pid="3" name="KSOProductBuildVer">
    <vt:lpwstr>1033-12.2.0.23155</vt:lpwstr>
  </property>
  <property fmtid="{D5CDD505-2E9C-101B-9397-08002B2CF9AE}" pid="4" name="KSOReadingLayout">
    <vt:bool>true</vt:bool>
  </property>
</Properties>
</file>