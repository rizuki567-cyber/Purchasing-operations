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00" windowHeight="17020"/>
  </bookViews>
  <sheets>
    <sheet name="BUK BUNGA (Groceries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<sst xmlns="http://schemas.openxmlformats.org/spreadsheetml/2006/main" count="896" uniqueCount="216">
  <si>
    <t>KITCHEN</t>
  </si>
  <si>
    <t>BAR</t>
  </si>
  <si>
    <t>DATE</t>
  </si>
  <si>
    <t>ITEM</t>
  </si>
  <si>
    <t>QYT</t>
  </si>
  <si>
    <t>PRICE</t>
  </si>
  <si>
    <t>SUBTOTAL</t>
  </si>
  <si>
    <t>TOTAL</t>
  </si>
  <si>
    <t>OUTSTANDING CHECK</t>
  </si>
  <si>
    <t>SUB TOTAL</t>
  </si>
  <si>
    <t>SPAGHETTI LA FONTE</t>
  </si>
  <si>
    <t>V</t>
  </si>
  <si>
    <t>LEMON</t>
  </si>
  <si>
    <t>BBQ SAUCE</t>
  </si>
  <si>
    <t>HONEY PINEAPPLE</t>
  </si>
  <si>
    <t>TOMATO KETCHUP</t>
  </si>
  <si>
    <t>LUMAJANG ORANGE</t>
  </si>
  <si>
    <t>CHILI SAUCE</t>
  </si>
  <si>
    <t>COMBINED TOTAL</t>
  </si>
  <si>
    <t>STRAWBERRY (250)</t>
  </si>
  <si>
    <t>BLACK OLIVE</t>
  </si>
  <si>
    <t>CHILI</t>
  </si>
  <si>
    <t>SMALL KARA (200)</t>
  </si>
  <si>
    <t>LIME</t>
  </si>
  <si>
    <t>OIL 18 L</t>
  </si>
  <si>
    <t>HALF PAYMENT (50%)</t>
  </si>
  <si>
    <t>HONEY</t>
  </si>
  <si>
    <t>OAT MEAL S</t>
  </si>
  <si>
    <t>FRESH MILK</t>
  </si>
  <si>
    <t>OAT MEAL M</t>
  </si>
  <si>
    <t>SOY MILK</t>
  </si>
  <si>
    <t>BACON (250)</t>
  </si>
  <si>
    <t>WATERMELON</t>
  </si>
  <si>
    <t>BABY CUCUMBER</t>
  </si>
  <si>
    <t>TEH BOTOL TETRA PACK 250 ML</t>
  </si>
  <si>
    <t>SPINACH</t>
  </si>
  <si>
    <t>CREAM CHEESE</t>
  </si>
  <si>
    <t>MILAC WHIPPING CREAM</t>
  </si>
  <si>
    <t>FRESH MILK (DIAMOND)</t>
  </si>
  <si>
    <t>MINT</t>
  </si>
  <si>
    <t>RED LOLLO ROSSA</t>
  </si>
  <si>
    <t>BROWN SUGAR</t>
  </si>
  <si>
    <t>MANGO</t>
  </si>
  <si>
    <t>DOUBLE ZERO</t>
  </si>
  <si>
    <t>SUNKIST</t>
  </si>
  <si>
    <t>CANNED PEELED TOMATO</t>
  </si>
  <si>
    <t>SEMOLINA</t>
  </si>
  <si>
    <t>FRENCH FRIES</t>
  </si>
  <si>
    <t>MOZARELLA</t>
  </si>
  <si>
    <t>GORGONZOLA</t>
  </si>
  <si>
    <t>PARSLEY</t>
  </si>
  <si>
    <t>CHERRY RED TOMATO</t>
  </si>
  <si>
    <t>OATSIDE</t>
  </si>
  <si>
    <t>CHERRY YELLOW TOMATO</t>
  </si>
  <si>
    <t>LYCHEE CAN</t>
  </si>
  <si>
    <t>EGGPLANT</t>
  </si>
  <si>
    <t>CHERRY</t>
  </si>
  <si>
    <t>TOMATO</t>
  </si>
  <si>
    <t>KINTAMANI ORANGE</t>
  </si>
  <si>
    <t>ICEBERG</t>
  </si>
  <si>
    <t>MUSTARD</t>
  </si>
  <si>
    <t>OAT MILK</t>
  </si>
  <si>
    <t>ALMOND MILK</t>
  </si>
  <si>
    <t>BIG RED CHILI</t>
  </si>
  <si>
    <t>SMALL RED CHILI</t>
  </si>
  <si>
    <t>MIX BERRY</t>
  </si>
  <si>
    <t>IMPORTED LEMON</t>
  </si>
  <si>
    <t>LADY FINGER</t>
  </si>
  <si>
    <t>POTATO</t>
  </si>
  <si>
    <t>BANANA</t>
  </si>
  <si>
    <t>CELERY</t>
  </si>
  <si>
    <t>ANCHOVY</t>
  </si>
  <si>
    <t>DRAGON FRUIT</t>
  </si>
  <si>
    <t>GREEN PEAS</t>
  </si>
  <si>
    <t>KEWPIE MAYONNAISE</t>
  </si>
  <si>
    <t>PINEAPPLE</t>
  </si>
  <si>
    <t>SAUSAGE</t>
  </si>
  <si>
    <t>COCONUT CREAM KARA (200)</t>
  </si>
  <si>
    <t>SARIWANGI</t>
  </si>
  <si>
    <t>PARMESAN BLOCK</t>
  </si>
  <si>
    <t>GREEN MUSTARD</t>
  </si>
  <si>
    <t>FETA CHEESE</t>
  </si>
  <si>
    <t>YOGHURT</t>
  </si>
  <si>
    <t>PEANUT BUTTER</t>
  </si>
  <si>
    <t>SOUR CREAM</t>
  </si>
  <si>
    <t>PORTABLE GAS</t>
  </si>
  <si>
    <t>PANDAN LEAF</t>
  </si>
  <si>
    <t>VINEGAR (DIXI)</t>
  </si>
  <si>
    <t>HYDRO COCO 500ML</t>
  </si>
  <si>
    <t>TABASCO</t>
  </si>
  <si>
    <t>CURRY POWDER</t>
  </si>
  <si>
    <t>OREGANO</t>
  </si>
  <si>
    <t>CAUSTIC SODA</t>
  </si>
  <si>
    <t>CUCUMBER</t>
  </si>
  <si>
    <t>CAKRA FLOUR</t>
  </si>
  <si>
    <t>SALAD OIL</t>
  </si>
  <si>
    <t>WHOLE WHEAT FLOUR</t>
  </si>
  <si>
    <t>SUGAR</t>
  </si>
  <si>
    <t>BEETROOT</t>
  </si>
  <si>
    <t>OLIVE OIL</t>
  </si>
  <si>
    <t>HAM</t>
  </si>
  <si>
    <t>ROMA KELAPA</t>
  </si>
  <si>
    <t>CHOCO CHIP</t>
  </si>
  <si>
    <t>GREEN APPLE</t>
  </si>
  <si>
    <t>CHOCOLATE POWDER</t>
  </si>
  <si>
    <t>DARK CHOCOLATE</t>
  </si>
  <si>
    <t>PEELED PEANUT</t>
  </si>
  <si>
    <t>EGG</t>
  </si>
  <si>
    <t>CHILI FLAKES</t>
  </si>
  <si>
    <t>OIL PALMELO 5L</t>
  </si>
  <si>
    <t>KEWPIE SESAME SAUCE 1L</t>
  </si>
  <si>
    <t>CARROT</t>
  </si>
  <si>
    <t>BANGKOK SAUCE INDOFOOD 335ML</t>
  </si>
  <si>
    <t>SAUSAGE (250)</t>
  </si>
  <si>
    <t>FRESH MILK (GREEN FIELD)</t>
  </si>
  <si>
    <t>ORANGE</t>
  </si>
  <si>
    <t>PARMESAN GRATED</t>
  </si>
  <si>
    <t>TRASH BAG</t>
  </si>
  <si>
    <t>DISHWASHING WIRE</t>
  </si>
  <si>
    <t>DISHWASHING SPONGE</t>
  </si>
  <si>
    <t>AMANDA BUTTER</t>
  </si>
  <si>
    <t>CITRIC ACID</t>
  </si>
  <si>
    <t>AVOCADO</t>
  </si>
  <si>
    <t>COCO</t>
  </si>
  <si>
    <t>VANILLA (KOEPOE-KOEPOE) 60ML</t>
  </si>
  <si>
    <t>KG PLASTIC</t>
  </si>
  <si>
    <t>MUSHROOM BUTTON</t>
  </si>
  <si>
    <t>GREEN PEPPER</t>
  </si>
  <si>
    <t>RED PEPPER</t>
  </si>
  <si>
    <t>YELLOW PEPPER</t>
  </si>
  <si>
    <t>SHALLOT</t>
  </si>
  <si>
    <t>GARLIC</t>
  </si>
  <si>
    <t>COCONUT FLAKES</t>
  </si>
  <si>
    <t>SWEET POTATO</t>
  </si>
  <si>
    <t>BABY ROMAINE</t>
  </si>
  <si>
    <t>ROCKET ARAGULA</t>
  </si>
  <si>
    <t>GREEN LETTUCE</t>
  </si>
  <si>
    <t>BASIL</t>
  </si>
  <si>
    <t>STRAWBERRY</t>
  </si>
  <si>
    <t>CHOCOLATE POWDER (165)</t>
  </si>
  <si>
    <t>CASHEW NUT</t>
  </si>
  <si>
    <t>GINGER</t>
  </si>
  <si>
    <t>BAKED BEAN</t>
  </si>
  <si>
    <t>PENNE</t>
  </si>
  <si>
    <t>BAKING PAPER</t>
  </si>
  <si>
    <t>ZUCCHINI</t>
  </si>
  <si>
    <t>SHIMEJI</t>
  </si>
  <si>
    <t>CORIANDER</t>
  </si>
  <si>
    <t>YELLOW CHEDDAR</t>
  </si>
  <si>
    <t>MAIZENA FLOUR</t>
  </si>
  <si>
    <t>CINNAMON STICK</t>
  </si>
  <si>
    <t>EDAMAME</t>
  </si>
  <si>
    <t>BRIE CHEESE</t>
  </si>
  <si>
    <t>BALSAMIC VINEGAR</t>
  </si>
  <si>
    <t>ROMAINE LETTUCE</t>
  </si>
  <si>
    <t>SORROWED SEEDS</t>
  </si>
  <si>
    <t>BAKING SODA</t>
  </si>
  <si>
    <t>ONION</t>
  </si>
  <si>
    <t>QUAKER OATMEAL</t>
  </si>
  <si>
    <t>TOTOLE</t>
  </si>
  <si>
    <t>SKIPPY PEANUT BUTTER</t>
  </si>
  <si>
    <t>ACID CITRUN (KOEPOE-KOEPOE)</t>
  </si>
  <si>
    <t>ASPARAGUS</t>
  </si>
  <si>
    <t>QUAIL EGG</t>
  </si>
  <si>
    <t>ARAGULA</t>
  </si>
  <si>
    <t>PIPPING BAG</t>
  </si>
  <si>
    <t>CAPERS</t>
  </si>
  <si>
    <t>JALAPENO</t>
  </si>
  <si>
    <t>MOZARELLA CHEESE</t>
  </si>
  <si>
    <t>ROMAINE</t>
  </si>
  <si>
    <t>TOTOLE (400)</t>
  </si>
  <si>
    <t>DOLPIN SALT</t>
  </si>
  <si>
    <t>YELLOW MUSTARD</t>
  </si>
  <si>
    <t>COCOA POWDER (165)</t>
  </si>
  <si>
    <t>BACON (1KG)</t>
  </si>
  <si>
    <t>ROSEMARY</t>
  </si>
  <si>
    <t>BLACK PEPPER WHOLE</t>
  </si>
  <si>
    <t>SESAME DRESSING</t>
  </si>
  <si>
    <t>LOCAL LEMON</t>
  </si>
  <si>
    <t>GREEN PEAR</t>
  </si>
  <si>
    <t>BLACK SESAME</t>
  </si>
  <si>
    <t>OIL 18 L (SOVIA)</t>
  </si>
  <si>
    <t>ENGLISH SPINACH</t>
  </si>
  <si>
    <t>BACON</t>
  </si>
  <si>
    <t>VAN HOUTEN CHOCOLATE POWDER</t>
  </si>
  <si>
    <t>MOZARELLA BLOCK</t>
  </si>
  <si>
    <t>CHEDDAR CHEESE SLICE</t>
  </si>
  <si>
    <t>PUMPKIN SEED</t>
  </si>
  <si>
    <t>WHITE PEAR</t>
  </si>
  <si>
    <t>ENGLLISH SPINACH</t>
  </si>
  <si>
    <t>RED CHERRY</t>
  </si>
  <si>
    <t>NUTELLA</t>
  </si>
  <si>
    <t>GRAND TOTAL</t>
  </si>
  <si>
    <t>GREEN LOLLO ROSSO</t>
  </si>
  <si>
    <t>AGAR-AGAR</t>
  </si>
  <si>
    <t>OIL</t>
  </si>
  <si>
    <t>OAT MEAL 800 GR</t>
  </si>
  <si>
    <t>CASHEW NUT 1 KG</t>
  </si>
  <si>
    <t>COCONUT FLAKES 500 GR</t>
  </si>
  <si>
    <t>OIL BIMOLI 5 L</t>
  </si>
  <si>
    <t>BAKING POWDER</t>
  </si>
  <si>
    <t>RED RICE</t>
  </si>
  <si>
    <t>LOLLO ROSSO</t>
  </si>
  <si>
    <t>PAPING BAG</t>
  </si>
  <si>
    <t>YEAST</t>
  </si>
  <si>
    <t>FISH KETCHUP</t>
  </si>
  <si>
    <t>GREEN BEAN</t>
  </si>
  <si>
    <t>ACID CITRUN</t>
  </si>
  <si>
    <t>BACON 1KG</t>
  </si>
  <si>
    <t>HAM 1KG</t>
  </si>
  <si>
    <t>SESAME WHITE SEED</t>
  </si>
  <si>
    <t>OIL (KITA 5L)</t>
  </si>
  <si>
    <t>SEGITIGA FLOUR</t>
  </si>
  <si>
    <t>LEEK</t>
  </si>
  <si>
    <t>MAESTRO MAYONNAISE</t>
  </si>
  <si>
    <t>BEANS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</si>
</sst>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</numFmts>
  <fonts count="28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/>
      <name val="Cambria"/>
      <charset val="134"/>
    </font>
    <font>
      <sz val="12"/>
      <color theme="1"/>
      <name val="Cambria"/>
      <charset val="134"/>
    </font>
    <font>
      <sz val="11"/>
      <color theme="0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9" borderId="12" applyNumberFormat="0" applyAlignment="0" applyProtection="0">
      <alignment vertical="center"/>
    </xf>
    <xf numFmtId="0" fontId="19" fillId="9" borderId="11" applyNumberFormat="0" applyAlignment="0" applyProtection="0">
      <alignment vertical="center"/>
    </xf>
    <xf numFmtId="0" fontId="20" fillId="10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1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vertical="center" wrapText="1"/>
    </xf>
    <xf numFmtId="176" fontId="2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0" fillId="0" borderId="1" xfId="0" applyNumberFormat="1" applyFill="1" applyBorder="1" applyAlignment="1">
      <alignment horizontal="center" vertical="center"/>
    </xf>
    <xf numFmtId="177" fontId="0" fillId="3" borderId="3" xfId="0" applyNumberFormat="1" applyFill="1" applyBorder="1" applyAlignment="1">
      <alignment vertical="center"/>
    </xf>
    <xf numFmtId="176" fontId="1" fillId="0" borderId="6" xfId="0" applyNumberFormat="1" applyFont="1" applyFill="1" applyBorder="1" applyAlignment="1">
      <alignment horizontal="center" vertical="center"/>
    </xf>
    <xf numFmtId="176" fontId="1" fillId="0" borderId="7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77" fontId="0" fillId="3" borderId="1" xfId="0" applyNumberFormat="1" applyFill="1" applyBorder="1" applyAlignment="1">
      <alignment vertical="center"/>
    </xf>
    <xf numFmtId="177" fontId="0" fillId="0" borderId="4" xfId="0" applyNumberFormat="1" applyFill="1" applyBorder="1" applyAlignment="1">
      <alignment horizontal="center" vertical="center"/>
    </xf>
    <xf numFmtId="177" fontId="0" fillId="0" borderId="4" xfId="0" applyNumberFormat="1" applyFill="1" applyBorder="1" applyAlignment="1">
      <alignment horizontal="center" vertical="center" wrapText="1"/>
    </xf>
    <xf numFmtId="177" fontId="0" fillId="0" borderId="6" xfId="0" applyNumberFormat="1" applyFill="1" applyBorder="1" applyAlignment="1">
      <alignment horizontal="center" vertical="center"/>
    </xf>
    <xf numFmtId="177" fontId="0" fillId="0" borderId="6" xfId="0" applyNumberFormat="1" applyFill="1" applyBorder="1" applyAlignment="1">
      <alignment horizontal="center" vertical="center" wrapText="1"/>
    </xf>
    <xf numFmtId="177" fontId="0" fillId="0" borderId="0" xfId="0" applyNumberFormat="1" applyFill="1" applyAlignment="1">
      <alignment vertical="center"/>
    </xf>
    <xf numFmtId="177" fontId="0" fillId="0" borderId="7" xfId="0" applyNumberFormat="1" applyFill="1" applyBorder="1" applyAlignment="1">
      <alignment horizontal="center" vertical="center"/>
    </xf>
    <xf numFmtId="177" fontId="0" fillId="0" borderId="7" xfId="0" applyNumberForma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6" fontId="1" fillId="3" borderId="6" xfId="0" applyNumberFormat="1" applyFont="1" applyFill="1" applyBorder="1" applyAlignment="1">
      <alignment horizontal="center" vertical="center"/>
    </xf>
    <xf numFmtId="177" fontId="0" fillId="0" borderId="1" xfId="0" applyNumberFormat="1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177" fontId="6" fillId="0" borderId="1" xfId="0" applyNumberFormat="1" applyFont="1" applyFill="1" applyBorder="1" applyAlignment="1">
      <alignment vertical="center"/>
    </xf>
    <xf numFmtId="176" fontId="1" fillId="3" borderId="7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77" fontId="0" fillId="3" borderId="4" xfId="0" applyNumberFormat="1" applyFill="1" applyBorder="1" applyAlignment="1">
      <alignment horizontal="center" vertical="center"/>
    </xf>
    <xf numFmtId="177" fontId="0" fillId="3" borderId="4" xfId="0" applyNumberFormat="1" applyFill="1" applyBorder="1" applyAlignment="1">
      <alignment horizontal="center" vertical="center" wrapText="1"/>
    </xf>
    <xf numFmtId="177" fontId="0" fillId="3" borderId="6" xfId="0" applyNumberFormat="1" applyFill="1" applyBorder="1" applyAlignment="1">
      <alignment horizontal="center" vertical="center"/>
    </xf>
    <xf numFmtId="177" fontId="0" fillId="3" borderId="6" xfId="0" applyNumberFormat="1" applyFill="1" applyBorder="1" applyAlignment="1">
      <alignment horizontal="center" vertical="center" wrapText="1"/>
    </xf>
    <xf numFmtId="177" fontId="0" fillId="3" borderId="7" xfId="0" applyNumberFormat="1" applyFill="1" applyBorder="1" applyAlignment="1">
      <alignment horizontal="center" vertical="center"/>
    </xf>
    <xf numFmtId="177" fontId="0" fillId="3" borderId="7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176" fontId="1" fillId="3" borderId="6" xfId="0" applyNumberFormat="1" applyFont="1" applyFill="1" applyBorder="1" applyAlignment="1">
      <alignment horizontal="center" vertical="center"/>
    </xf>
    <xf numFmtId="176" fontId="1" fillId="3" borderId="7" xfId="0" applyNumberFormat="1" applyFont="1" applyFill="1" applyBorder="1" applyAlignment="1">
      <alignment horizontal="center" vertical="center"/>
    </xf>
    <xf numFmtId="177" fontId="0" fillId="3" borderId="4" xfId="0" applyNumberFormat="1" applyFill="1" applyBorder="1" applyAlignment="1">
      <alignment horizontal="center" vertical="center"/>
    </xf>
    <xf numFmtId="177" fontId="0" fillId="3" borderId="6" xfId="0" applyNumberFormat="1" applyFill="1" applyBorder="1" applyAlignment="1">
      <alignment horizontal="center" vertical="center"/>
    </xf>
    <xf numFmtId="177" fontId="0" fillId="3" borderId="7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/>
    </xf>
    <xf numFmtId="176" fontId="0" fillId="2" borderId="5" xfId="0" applyNumberFormat="1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176" fontId="0" fillId="2" borderId="3" xfId="0" applyNumberFormat="1" applyFill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177" fontId="8" fillId="3" borderId="3" xfId="0" applyNumberFormat="1" applyFont="1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76" fontId="1" fillId="0" borderId="4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177" fontId="8" fillId="3" borderId="1" xfId="0" applyNumberFormat="1" applyFont="1" applyFill="1" applyBorder="1" applyAlignment="1">
      <alignment vertical="center"/>
    </xf>
    <xf numFmtId="176" fontId="1" fillId="0" borderId="6" xfId="0" applyNumberFormat="1" applyFont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0" fontId="0" fillId="0" borderId="5" xfId="0" applyBorder="1">
      <alignment vertical="center"/>
    </xf>
    <xf numFmtId="176" fontId="1" fillId="0" borderId="6" xfId="0" applyNumberFormat="1" applyFont="1" applyFill="1" applyBorder="1" applyAlignment="1">
      <alignment horizontal="center" vertical="center"/>
    </xf>
    <xf numFmtId="176" fontId="1" fillId="0" borderId="7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6" xfId="0" applyNumberFormat="1" applyFill="1" applyBorder="1" applyAlignment="1">
      <alignment horizontal="center" vertical="center"/>
    </xf>
    <xf numFmtId="177" fontId="0" fillId="0" borderId="6" xfId="0" applyNumberFormat="1" applyFill="1" applyBorder="1" applyAlignment="1">
      <alignment horizontal="center" vertical="center" wrapText="1"/>
    </xf>
    <xf numFmtId="177" fontId="0" fillId="0" borderId="7" xfId="0" applyNumberFormat="1" applyFill="1" applyBorder="1" applyAlignment="1">
      <alignment horizontal="center" vertical="center"/>
    </xf>
    <xf numFmtId="177" fontId="0" fillId="0" borderId="7" xfId="0" applyNumberFormat="1" applyFill="1" applyBorder="1" applyAlignment="1">
      <alignment horizontal="center" vertical="center" wrapText="1"/>
    </xf>
    <xf numFmtId="177" fontId="0" fillId="0" borderId="4" xfId="0" applyNumberFormat="1" applyFill="1" applyBorder="1" applyAlignment="1">
      <alignment horizontal="center" vertical="center"/>
    </xf>
    <xf numFmtId="177" fontId="0" fillId="0" borderId="4" xfId="0" applyNumberFormat="1" applyFill="1" applyBorder="1" applyAlignment="1">
      <alignment horizontal="center" vertical="center" wrapText="1"/>
    </xf>
    <xf numFmtId="177" fontId="0" fillId="0" borderId="1" xfId="0" applyNumberForma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 wrapText="1"/>
    </xf>
    <xf numFmtId="177" fontId="0" fillId="0" borderId="7" xfId="0" applyNumberFormat="1" applyFill="1" applyBorder="1" applyAlignment="1">
      <alignment vertical="center"/>
    </xf>
    <xf numFmtId="0" fontId="0" fillId="0" borderId="7" xfId="0" applyNumberFormat="1" applyFill="1" applyBorder="1" applyAlignment="1">
      <alignment horizontal="center" vertical="center"/>
    </xf>
    <xf numFmtId="177" fontId="0" fillId="3" borderId="7" xfId="0" applyNumberFormat="1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center" vertical="center"/>
    </xf>
    <xf numFmtId="177" fontId="8" fillId="3" borderId="7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83"/>
  <sheetViews>
    <sheetView tabSelected="1" zoomScale="76" zoomScaleNormal="76" topLeftCell="F1" workbookViewId="0">
      <pane ySplit="2" topLeftCell="A3" activePane="bottomLeft" state="frozen"/>
      <selection/>
      <selection pane="bottomLeft" activeCell="I19" sqref="I19"/>
    </sheetView>
  </sheetViews>
  <sheetFormatPr defaultColWidth="9.140625" defaultRowHeight="17.6"/>
  <cols>
    <col min="1" max="1" width="24.765625" style="2" customWidth="1"/>
    <col min="2" max="2" width="34.3125" style="3" customWidth="1"/>
    <col min="3" max="3" width="10.7890625" style="4" customWidth="1"/>
    <col min="4" max="4" width="12.140625" style="1" customWidth="1"/>
    <col min="5" max="5" width="15.5703125" style="1" customWidth="1"/>
    <col min="6" max="6" width="15.796875" style="5" customWidth="1"/>
    <col min="7" max="7" width="21.40625" style="6" customWidth="1"/>
    <col min="8" max="8" width="9.2421875" style="1" customWidth="1"/>
    <col min="9" max="9" width="20.6875" style="1" customWidth="1"/>
    <col min="10" max="10" width="14.1875" style="1" customWidth="1"/>
    <col min="11" max="11" width="9.140625" style="1"/>
    <col min="12" max="12" width="12.9375" style="1" customWidth="1"/>
    <col min="13" max="13" width="33.9375" style="1" customWidth="1"/>
    <col min="14" max="14" width="6.5" style="1" customWidth="1"/>
    <col min="15" max="15" width="11.375" style="1" customWidth="1"/>
    <col min="16" max="16" width="11.5625" style="1" customWidth="1"/>
    <col min="17" max="17" width="14.1875" style="1" customWidth="1"/>
    <col min="18" max="18" width="21.8125" style="1" customWidth="1"/>
    <col min="19" max="16384" width="9.140625" style="1"/>
  </cols>
  <sheetData>
    <row r="1" spans="7:12">
      <c r="G1" s="17" t="s">
        <v>0</v>
      </c>
      <c r="L1" s="29" t="s">
        <v>1</v>
      </c>
    </row>
    <row r="2" s="1" customFormat="1" ht="22" customHeight="1" spans="1:18">
      <c r="A2" s="7" t="s">
        <v>2</v>
      </c>
      <c r="B2" s="8" t="s">
        <v>3</v>
      </c>
      <c r="C2" s="9" t="s">
        <v>4</v>
      </c>
      <c r="D2" s="10" t="s">
        <v>5</v>
      </c>
      <c r="E2" s="18" t="s">
        <v>6</v>
      </c>
      <c r="F2" s="19" t="s">
        <v>7</v>
      </c>
      <c r="G2" s="20" t="s">
        <v>8</v>
      </c>
      <c r="L2" s="30" t="s">
        <v>2</v>
      </c>
      <c r="M2" s="19" t="s">
        <v>3</v>
      </c>
      <c r="N2" s="9" t="s">
        <v>4</v>
      </c>
      <c r="O2" s="19" t="s">
        <v>5</v>
      </c>
      <c r="P2" s="19" t="s">
        <v>9</v>
      </c>
      <c r="Q2" s="44" t="s">
        <v>7</v>
      </c>
      <c r="R2" s="44" t="s">
        <v>8</v>
      </c>
    </row>
    <row r="3" s="1" customFormat="1" ht="16.8" spans="1:18">
      <c r="A3" s="11">
        <v>46025</v>
      </c>
      <c r="B3" s="12" t="s">
        <v>10</v>
      </c>
      <c r="C3" s="13">
        <v>5</v>
      </c>
      <c r="D3" s="14">
        <v>25000</v>
      </c>
      <c r="E3" s="21">
        <f t="shared" ref="E3:E12" si="0">D3*C3</f>
        <v>125000</v>
      </c>
      <c r="F3" s="22">
        <f>SUM(E3:E25)</f>
        <v>4776000</v>
      </c>
      <c r="G3" s="23" t="s">
        <v>11</v>
      </c>
      <c r="L3" s="31">
        <v>46025</v>
      </c>
      <c r="M3" s="43" t="s">
        <v>12</v>
      </c>
      <c r="N3" s="13">
        <v>1.15</v>
      </c>
      <c r="O3" s="21">
        <v>70000</v>
      </c>
      <c r="P3" s="21">
        <v>81000</v>
      </c>
      <c r="Q3" s="45">
        <f>SUM(P3:P12)</f>
        <v>880000</v>
      </c>
      <c r="R3" s="46" t="s">
        <v>11</v>
      </c>
    </row>
    <row r="4" s="1" customFormat="1" ht="16.8" spans="1:18">
      <c r="A4" s="15"/>
      <c r="B4" s="12" t="s">
        <v>13</v>
      </c>
      <c r="C4" s="13">
        <v>7</v>
      </c>
      <c r="D4" s="14">
        <v>40000</v>
      </c>
      <c r="E4" s="21">
        <f t="shared" si="0"/>
        <v>280000</v>
      </c>
      <c r="F4" s="24"/>
      <c r="G4" s="25"/>
      <c r="I4" s="32" t="s">
        <v>0</v>
      </c>
      <c r="J4" s="33" t="s">
        <v>1</v>
      </c>
      <c r="L4" s="34"/>
      <c r="M4" s="43" t="s">
        <v>14</v>
      </c>
      <c r="N4" s="13">
        <v>5</v>
      </c>
      <c r="O4" s="21">
        <v>10000</v>
      </c>
      <c r="P4" s="21">
        <f t="shared" ref="P4:P11" si="1">SUM(N4*O4)</f>
        <v>50000</v>
      </c>
      <c r="Q4" s="47"/>
      <c r="R4" s="48"/>
    </row>
    <row r="5" s="1" customFormat="1" ht="16.8" spans="1:18">
      <c r="A5" s="15"/>
      <c r="B5" s="12" t="s">
        <v>15</v>
      </c>
      <c r="C5" s="13">
        <v>3</v>
      </c>
      <c r="D5" s="14">
        <v>25000</v>
      </c>
      <c r="E5" s="21">
        <f t="shared" si="0"/>
        <v>75000</v>
      </c>
      <c r="F5" s="24"/>
      <c r="G5" s="25"/>
      <c r="I5" s="35">
        <f>F483</f>
        <v>61119000</v>
      </c>
      <c r="J5" s="35">
        <f>Q341</f>
        <v>22634000</v>
      </c>
      <c r="L5" s="34"/>
      <c r="M5" s="43" t="s">
        <v>16</v>
      </c>
      <c r="N5" s="13">
        <v>5</v>
      </c>
      <c r="O5" s="21">
        <v>20000</v>
      </c>
      <c r="P5" s="21">
        <f t="shared" si="1"/>
        <v>100000</v>
      </c>
      <c r="Q5" s="47"/>
      <c r="R5" s="48"/>
    </row>
    <row r="6" s="1" customFormat="1" ht="16.8" spans="1:18">
      <c r="A6" s="15"/>
      <c r="B6" s="12" t="s">
        <v>17</v>
      </c>
      <c r="C6" s="13">
        <v>3</v>
      </c>
      <c r="D6" s="14">
        <v>30000</v>
      </c>
      <c r="E6" s="21">
        <f t="shared" si="0"/>
        <v>90000</v>
      </c>
      <c r="F6" s="24"/>
      <c r="G6" s="25"/>
      <c r="I6" s="36" t="s">
        <v>18</v>
      </c>
      <c r="J6" s="36"/>
      <c r="L6" s="34"/>
      <c r="M6" s="43" t="s">
        <v>19</v>
      </c>
      <c r="N6" s="13">
        <v>1.25</v>
      </c>
      <c r="O6" s="21">
        <v>95000</v>
      </c>
      <c r="P6" s="21">
        <v>119000</v>
      </c>
      <c r="Q6" s="47"/>
      <c r="R6" s="48"/>
    </row>
    <row r="7" s="1" customFormat="1" ht="37.2" spans="1:18">
      <c r="A7" s="15"/>
      <c r="B7" s="12" t="s">
        <v>20</v>
      </c>
      <c r="C7" s="13">
        <v>1</v>
      </c>
      <c r="D7" s="14">
        <v>75000</v>
      </c>
      <c r="E7" s="21">
        <f t="shared" si="0"/>
        <v>75000</v>
      </c>
      <c r="F7" s="24"/>
      <c r="G7" s="25"/>
      <c r="I7" s="37">
        <f>SUM(I5:J5)</f>
        <v>83753000</v>
      </c>
      <c r="J7" s="38"/>
      <c r="L7" s="34"/>
      <c r="M7" s="43" t="s">
        <v>21</v>
      </c>
      <c r="N7" s="13">
        <v>0.2</v>
      </c>
      <c r="O7" s="21">
        <v>60000</v>
      </c>
      <c r="P7" s="21">
        <f t="shared" si="1"/>
        <v>12000</v>
      </c>
      <c r="Q7" s="47"/>
      <c r="R7" s="48"/>
    </row>
    <row r="8" s="1" customFormat="1" ht="16.8" spans="1:18">
      <c r="A8" s="15"/>
      <c r="B8" s="12" t="s">
        <v>22</v>
      </c>
      <c r="C8" s="13">
        <v>1</v>
      </c>
      <c r="D8" s="14">
        <v>230000</v>
      </c>
      <c r="E8" s="21">
        <f t="shared" si="0"/>
        <v>230000</v>
      </c>
      <c r="F8" s="24"/>
      <c r="G8" s="25"/>
      <c r="L8" s="34"/>
      <c r="M8" s="43" t="s">
        <v>23</v>
      </c>
      <c r="N8" s="13">
        <v>1</v>
      </c>
      <c r="O8" s="21">
        <v>30000</v>
      </c>
      <c r="P8" s="21">
        <f t="shared" si="1"/>
        <v>30000</v>
      </c>
      <c r="Q8" s="47"/>
      <c r="R8" s="48"/>
    </row>
    <row r="9" s="1" customFormat="1" ht="16.8" spans="1:18">
      <c r="A9" s="15"/>
      <c r="B9" s="12" t="s">
        <v>24</v>
      </c>
      <c r="C9" s="13">
        <v>1</v>
      </c>
      <c r="D9" s="14">
        <v>395000</v>
      </c>
      <c r="E9" s="21">
        <f t="shared" si="0"/>
        <v>395000</v>
      </c>
      <c r="F9" s="24"/>
      <c r="G9" s="25"/>
      <c r="I9" s="39" t="s">
        <v>25</v>
      </c>
      <c r="L9" s="34"/>
      <c r="M9" s="43" t="s">
        <v>26</v>
      </c>
      <c r="N9" s="13">
        <v>2</v>
      </c>
      <c r="O9" s="21">
        <v>35000</v>
      </c>
      <c r="P9" s="21">
        <f t="shared" si="1"/>
        <v>70000</v>
      </c>
      <c r="Q9" s="47"/>
      <c r="R9" s="48"/>
    </row>
    <row r="10" s="1" customFormat="1" ht="16.8" spans="1:18">
      <c r="A10" s="15"/>
      <c r="B10" s="12" t="s">
        <v>27</v>
      </c>
      <c r="C10" s="13">
        <v>2</v>
      </c>
      <c r="D10" s="14">
        <v>60000</v>
      </c>
      <c r="E10" s="21">
        <f t="shared" si="0"/>
        <v>120000</v>
      </c>
      <c r="F10" s="24"/>
      <c r="G10" s="25"/>
      <c r="I10" s="40">
        <f>I7/2</f>
        <v>41876500</v>
      </c>
      <c r="J10" s="26"/>
      <c r="L10" s="34"/>
      <c r="M10" s="43" t="s">
        <v>28</v>
      </c>
      <c r="N10" s="13">
        <v>10</v>
      </c>
      <c r="O10" s="21">
        <v>24000</v>
      </c>
      <c r="P10" s="21">
        <f t="shared" si="1"/>
        <v>240000</v>
      </c>
      <c r="Q10" s="47"/>
      <c r="R10" s="48"/>
    </row>
    <row r="11" s="1" customFormat="1" ht="16.8" spans="1:18">
      <c r="A11" s="15"/>
      <c r="B11" s="12" t="s">
        <v>29</v>
      </c>
      <c r="C11" s="13">
        <v>1</v>
      </c>
      <c r="D11" s="14">
        <v>70000</v>
      </c>
      <c r="E11" s="21">
        <f t="shared" si="0"/>
        <v>70000</v>
      </c>
      <c r="F11" s="24"/>
      <c r="G11" s="25"/>
      <c r="L11" s="34"/>
      <c r="M11" s="43" t="s">
        <v>30</v>
      </c>
      <c r="N11" s="13">
        <v>2</v>
      </c>
      <c r="O11" s="21">
        <v>45000</v>
      </c>
      <c r="P11" s="21">
        <f t="shared" si="1"/>
        <v>90000</v>
      </c>
      <c r="Q11" s="47"/>
      <c r="R11" s="48"/>
    </row>
    <row r="12" s="1" customFormat="1" ht="16.8" spans="1:18">
      <c r="A12" s="15"/>
      <c r="B12" s="12" t="s">
        <v>31</v>
      </c>
      <c r="C12" s="13">
        <v>12</v>
      </c>
      <c r="D12" s="14">
        <v>45000</v>
      </c>
      <c r="E12" s="21">
        <f t="shared" si="0"/>
        <v>540000</v>
      </c>
      <c r="F12" s="24"/>
      <c r="G12" s="25"/>
      <c r="L12" s="41"/>
      <c r="M12" s="43" t="s">
        <v>32</v>
      </c>
      <c r="N12" s="13">
        <v>5.845</v>
      </c>
      <c r="O12" s="21">
        <v>15000</v>
      </c>
      <c r="P12" s="21">
        <v>88000</v>
      </c>
      <c r="Q12" s="49"/>
      <c r="R12" s="50"/>
    </row>
    <row r="13" s="1" customFormat="1" spans="1:18">
      <c r="A13" s="15"/>
      <c r="B13" s="12" t="s">
        <v>33</v>
      </c>
      <c r="C13" s="13">
        <v>1.055</v>
      </c>
      <c r="D13" s="14">
        <v>65000</v>
      </c>
      <c r="E13" s="21">
        <v>69000</v>
      </c>
      <c r="F13" s="24"/>
      <c r="G13" s="25"/>
      <c r="H13" s="26"/>
      <c r="L13" s="42">
        <v>46025</v>
      </c>
      <c r="M13" s="43" t="s">
        <v>34</v>
      </c>
      <c r="N13" s="13">
        <v>4</v>
      </c>
      <c r="O13" s="21">
        <v>108000</v>
      </c>
      <c r="P13" s="21">
        <f t="shared" ref="P13:P18" si="2">SUM(N13*O13)</f>
        <v>432000</v>
      </c>
      <c r="Q13" s="21">
        <f>SUM(P13)</f>
        <v>432000</v>
      </c>
      <c r="R13" s="21">
        <f>SUM(Q13)</f>
        <v>432000</v>
      </c>
    </row>
    <row r="14" s="1" customFormat="1" ht="16.8" spans="1:18">
      <c r="A14" s="15"/>
      <c r="B14" s="12" t="s">
        <v>35</v>
      </c>
      <c r="C14" s="13">
        <v>0.5</v>
      </c>
      <c r="D14" s="14">
        <v>80000</v>
      </c>
      <c r="E14" s="21">
        <f t="shared" ref="E14:E44" si="3">D14*C14</f>
        <v>40000</v>
      </c>
      <c r="F14" s="24"/>
      <c r="G14" s="25"/>
      <c r="L14" s="31">
        <v>46026</v>
      </c>
      <c r="M14" s="43" t="s">
        <v>12</v>
      </c>
      <c r="N14" s="13">
        <v>2.13</v>
      </c>
      <c r="O14" s="21">
        <v>70000</v>
      </c>
      <c r="P14" s="21">
        <v>149000</v>
      </c>
      <c r="Q14" s="45">
        <f>SUM(P14:P19)</f>
        <v>468000</v>
      </c>
      <c r="R14" s="45" t="s">
        <v>11</v>
      </c>
    </row>
    <row r="15" s="1" customFormat="1" ht="16.8" spans="1:18">
      <c r="A15" s="15"/>
      <c r="B15" s="12" t="s">
        <v>36</v>
      </c>
      <c r="C15" s="13">
        <v>2</v>
      </c>
      <c r="D15" s="14">
        <v>170000</v>
      </c>
      <c r="E15" s="21">
        <f t="shared" si="3"/>
        <v>340000</v>
      </c>
      <c r="F15" s="24"/>
      <c r="G15" s="25"/>
      <c r="L15" s="34"/>
      <c r="M15" s="43" t="s">
        <v>16</v>
      </c>
      <c r="N15" s="13">
        <v>5</v>
      </c>
      <c r="O15" s="21">
        <v>20000</v>
      </c>
      <c r="P15" s="21">
        <f t="shared" si="2"/>
        <v>100000</v>
      </c>
      <c r="Q15" s="47"/>
      <c r="R15" s="47"/>
    </row>
    <row r="16" s="1" customFormat="1" ht="16.8" spans="1:18">
      <c r="A16" s="15"/>
      <c r="B16" s="12" t="s">
        <v>37</v>
      </c>
      <c r="C16" s="13">
        <v>4</v>
      </c>
      <c r="D16" s="14">
        <v>90000</v>
      </c>
      <c r="E16" s="21">
        <f t="shared" si="3"/>
        <v>360000</v>
      </c>
      <c r="F16" s="24"/>
      <c r="G16" s="25"/>
      <c r="L16" s="34"/>
      <c r="M16" s="43" t="s">
        <v>28</v>
      </c>
      <c r="N16" s="13">
        <v>4</v>
      </c>
      <c r="O16" s="21">
        <v>24000</v>
      </c>
      <c r="P16" s="21">
        <f t="shared" si="2"/>
        <v>96000</v>
      </c>
      <c r="Q16" s="47"/>
      <c r="R16" s="47"/>
    </row>
    <row r="17" s="1" customFormat="1" ht="16.8" spans="1:18">
      <c r="A17" s="15"/>
      <c r="B17" s="12" t="s">
        <v>38</v>
      </c>
      <c r="C17" s="13">
        <v>4</v>
      </c>
      <c r="D17" s="14">
        <v>22000</v>
      </c>
      <c r="E17" s="21">
        <f t="shared" si="3"/>
        <v>88000</v>
      </c>
      <c r="F17" s="24"/>
      <c r="G17" s="25"/>
      <c r="L17" s="34"/>
      <c r="M17" s="43" t="s">
        <v>39</v>
      </c>
      <c r="N17" s="13">
        <v>0.3</v>
      </c>
      <c r="O17" s="21">
        <v>80000</v>
      </c>
      <c r="P17" s="21">
        <f t="shared" si="2"/>
        <v>24000</v>
      </c>
      <c r="Q17" s="47"/>
      <c r="R17" s="47"/>
    </row>
    <row r="18" s="1" customFormat="1" ht="16.8" spans="1:18">
      <c r="A18" s="15"/>
      <c r="B18" s="12" t="s">
        <v>40</v>
      </c>
      <c r="C18" s="13">
        <v>0.3</v>
      </c>
      <c r="D18" s="14">
        <v>80000</v>
      </c>
      <c r="E18" s="21">
        <f t="shared" si="3"/>
        <v>24000</v>
      </c>
      <c r="F18" s="24"/>
      <c r="G18" s="25"/>
      <c r="L18" s="34"/>
      <c r="M18" s="43" t="s">
        <v>23</v>
      </c>
      <c r="N18" s="13">
        <v>0.5</v>
      </c>
      <c r="O18" s="21">
        <v>30000</v>
      </c>
      <c r="P18" s="21">
        <f t="shared" si="2"/>
        <v>15000</v>
      </c>
      <c r="Q18" s="47"/>
      <c r="R18" s="47"/>
    </row>
    <row r="19" s="1" customFormat="1" ht="16.8" spans="1:18">
      <c r="A19" s="15"/>
      <c r="B19" s="12" t="s">
        <v>41</v>
      </c>
      <c r="C19" s="13">
        <v>1</v>
      </c>
      <c r="D19" s="14">
        <v>30000</v>
      </c>
      <c r="E19" s="21">
        <f t="shared" si="3"/>
        <v>30000</v>
      </c>
      <c r="F19" s="24"/>
      <c r="G19" s="25"/>
      <c r="L19" s="41"/>
      <c r="M19" s="43" t="s">
        <v>42</v>
      </c>
      <c r="N19" s="13">
        <v>2.2</v>
      </c>
      <c r="O19" s="21">
        <v>38000</v>
      </c>
      <c r="P19" s="21">
        <v>84000</v>
      </c>
      <c r="Q19" s="49"/>
      <c r="R19" s="49"/>
    </row>
    <row r="20" s="1" customFormat="1" ht="16.8" spans="1:18">
      <c r="A20" s="15"/>
      <c r="B20" s="12" t="s">
        <v>43</v>
      </c>
      <c r="C20" s="13">
        <v>2</v>
      </c>
      <c r="D20" s="14">
        <v>220000</v>
      </c>
      <c r="E20" s="21">
        <f t="shared" si="3"/>
        <v>440000</v>
      </c>
      <c r="F20" s="24"/>
      <c r="G20" s="25"/>
      <c r="L20" s="31">
        <v>46027</v>
      </c>
      <c r="M20" s="43" t="s">
        <v>44</v>
      </c>
      <c r="N20" s="13">
        <v>1.15</v>
      </c>
      <c r="O20" s="21">
        <v>38000</v>
      </c>
      <c r="P20" s="21">
        <v>44000</v>
      </c>
      <c r="Q20" s="45">
        <f>SUM(P20:P29)</f>
        <v>868000</v>
      </c>
      <c r="R20" s="45" t="s">
        <v>11</v>
      </c>
    </row>
    <row r="21" s="1" customFormat="1" ht="16.8" spans="1:18">
      <c r="A21" s="15"/>
      <c r="B21" s="12" t="s">
        <v>45</v>
      </c>
      <c r="C21" s="13">
        <v>2</v>
      </c>
      <c r="D21" s="14">
        <v>120000</v>
      </c>
      <c r="E21" s="21">
        <f t="shared" si="3"/>
        <v>240000</v>
      </c>
      <c r="F21" s="24"/>
      <c r="G21" s="25"/>
      <c r="L21" s="34"/>
      <c r="M21" s="43" t="s">
        <v>14</v>
      </c>
      <c r="N21" s="13">
        <v>8</v>
      </c>
      <c r="O21" s="21">
        <v>10000</v>
      </c>
      <c r="P21" s="21">
        <f t="shared" ref="P21:P36" si="4">SUM(N21*O21)</f>
        <v>80000</v>
      </c>
      <c r="Q21" s="47"/>
      <c r="R21" s="47"/>
    </row>
    <row r="22" s="1" customFormat="1" ht="16.8" spans="1:18">
      <c r="A22" s="15"/>
      <c r="B22" s="12" t="s">
        <v>46</v>
      </c>
      <c r="C22" s="13">
        <v>2</v>
      </c>
      <c r="D22" s="14">
        <v>55000</v>
      </c>
      <c r="E22" s="21">
        <f t="shared" si="3"/>
        <v>110000</v>
      </c>
      <c r="F22" s="24"/>
      <c r="G22" s="25"/>
      <c r="L22" s="34"/>
      <c r="M22" s="43" t="s">
        <v>12</v>
      </c>
      <c r="N22" s="13">
        <v>1.11</v>
      </c>
      <c r="O22" s="21">
        <v>70000</v>
      </c>
      <c r="P22" s="21">
        <v>78000</v>
      </c>
      <c r="Q22" s="47"/>
      <c r="R22" s="47"/>
    </row>
    <row r="23" s="1" customFormat="1" ht="16.8" spans="1:18">
      <c r="A23" s="15"/>
      <c r="B23" s="12" t="s">
        <v>47</v>
      </c>
      <c r="C23" s="13">
        <v>2</v>
      </c>
      <c r="D23" s="14">
        <v>90000</v>
      </c>
      <c r="E23" s="21">
        <f t="shared" si="3"/>
        <v>180000</v>
      </c>
      <c r="F23" s="24"/>
      <c r="G23" s="25"/>
      <c r="L23" s="34"/>
      <c r="M23" s="43" t="s">
        <v>16</v>
      </c>
      <c r="N23" s="13">
        <v>4</v>
      </c>
      <c r="O23" s="21">
        <v>20000</v>
      </c>
      <c r="P23" s="21">
        <f t="shared" si="4"/>
        <v>80000</v>
      </c>
      <c r="Q23" s="47"/>
      <c r="R23" s="47"/>
    </row>
    <row r="24" s="1" customFormat="1" ht="16.8" spans="1:18">
      <c r="A24" s="15"/>
      <c r="B24" s="12" t="s">
        <v>48</v>
      </c>
      <c r="C24" s="13">
        <v>2</v>
      </c>
      <c r="D24" s="14">
        <v>330000</v>
      </c>
      <c r="E24" s="21">
        <f t="shared" si="3"/>
        <v>660000</v>
      </c>
      <c r="F24" s="24"/>
      <c r="G24" s="25"/>
      <c r="L24" s="34"/>
      <c r="M24" s="43" t="s">
        <v>32</v>
      </c>
      <c r="N24" s="13">
        <v>9.39</v>
      </c>
      <c r="O24" s="21">
        <v>15000</v>
      </c>
      <c r="P24" s="21">
        <v>141000</v>
      </c>
      <c r="Q24" s="47"/>
      <c r="R24" s="47"/>
    </row>
    <row r="25" s="1" customFormat="1" ht="16.8" spans="1:18">
      <c r="A25" s="16"/>
      <c r="B25" s="12" t="s">
        <v>49</v>
      </c>
      <c r="C25" s="13">
        <v>1</v>
      </c>
      <c r="D25" s="14">
        <v>195000</v>
      </c>
      <c r="E25" s="21">
        <f t="shared" si="3"/>
        <v>195000</v>
      </c>
      <c r="F25" s="27"/>
      <c r="G25" s="28"/>
      <c r="L25" s="34"/>
      <c r="M25" s="43" t="s">
        <v>42</v>
      </c>
      <c r="N25" s="13">
        <v>1.12</v>
      </c>
      <c r="O25" s="21">
        <v>38000</v>
      </c>
      <c r="P25" s="21">
        <v>43000</v>
      </c>
      <c r="Q25" s="47"/>
      <c r="R25" s="47"/>
    </row>
    <row r="26" s="1" customFormat="1" ht="16.8" spans="1:18">
      <c r="A26" s="11">
        <v>46025</v>
      </c>
      <c r="B26" s="12" t="s">
        <v>50</v>
      </c>
      <c r="C26" s="13">
        <v>1</v>
      </c>
      <c r="D26" s="14">
        <v>80000</v>
      </c>
      <c r="E26" s="21">
        <f t="shared" si="3"/>
        <v>80000</v>
      </c>
      <c r="F26" s="22">
        <f>SUM(E26:E36)</f>
        <v>1221000</v>
      </c>
      <c r="G26" s="23" t="s">
        <v>11</v>
      </c>
      <c r="L26" s="34"/>
      <c r="M26" s="43" t="s">
        <v>28</v>
      </c>
      <c r="N26" s="13">
        <v>3</v>
      </c>
      <c r="O26" s="21">
        <v>24000</v>
      </c>
      <c r="P26" s="21">
        <f t="shared" si="4"/>
        <v>72000</v>
      </c>
      <c r="Q26" s="47"/>
      <c r="R26" s="47"/>
    </row>
    <row r="27" s="1" customFormat="1" ht="16.8" spans="1:18">
      <c r="A27" s="15"/>
      <c r="B27" s="12" t="s">
        <v>51</v>
      </c>
      <c r="C27" s="13">
        <v>0.5</v>
      </c>
      <c r="D27" s="14">
        <v>70000</v>
      </c>
      <c r="E27" s="21">
        <f t="shared" si="3"/>
        <v>35000</v>
      </c>
      <c r="F27" s="24"/>
      <c r="G27" s="25"/>
      <c r="L27" s="34"/>
      <c r="M27" s="43" t="s">
        <v>52</v>
      </c>
      <c r="N27" s="13">
        <v>3</v>
      </c>
      <c r="O27" s="21">
        <v>40000</v>
      </c>
      <c r="P27" s="21">
        <f t="shared" si="4"/>
        <v>120000</v>
      </c>
      <c r="Q27" s="47"/>
      <c r="R27" s="47"/>
    </row>
    <row r="28" s="1" customFormat="1" ht="16.8" spans="1:18">
      <c r="A28" s="15"/>
      <c r="B28" s="12" t="s">
        <v>53</v>
      </c>
      <c r="C28" s="13">
        <v>0.5</v>
      </c>
      <c r="D28" s="14">
        <v>80000</v>
      </c>
      <c r="E28" s="21">
        <f t="shared" si="3"/>
        <v>40000</v>
      </c>
      <c r="F28" s="24"/>
      <c r="G28" s="25"/>
      <c r="L28" s="34"/>
      <c r="M28" s="43" t="s">
        <v>54</v>
      </c>
      <c r="N28" s="13">
        <v>2</v>
      </c>
      <c r="O28" s="21">
        <v>35000</v>
      </c>
      <c r="P28" s="21">
        <f t="shared" si="4"/>
        <v>70000</v>
      </c>
      <c r="Q28" s="47"/>
      <c r="R28" s="47"/>
    </row>
    <row r="29" s="1" customFormat="1" ht="16.8" spans="1:18">
      <c r="A29" s="15"/>
      <c r="B29" s="12" t="s">
        <v>55</v>
      </c>
      <c r="C29" s="13">
        <v>1</v>
      </c>
      <c r="D29" s="14">
        <v>15000</v>
      </c>
      <c r="E29" s="21">
        <f t="shared" si="3"/>
        <v>15000</v>
      </c>
      <c r="F29" s="24"/>
      <c r="G29" s="25"/>
      <c r="L29" s="41"/>
      <c r="M29" s="43" t="s">
        <v>56</v>
      </c>
      <c r="N29" s="13">
        <v>2</v>
      </c>
      <c r="O29" s="21">
        <v>70000</v>
      </c>
      <c r="P29" s="21">
        <f t="shared" si="4"/>
        <v>140000</v>
      </c>
      <c r="Q29" s="49"/>
      <c r="R29" s="49"/>
    </row>
    <row r="30" s="1" customFormat="1" ht="16.8" spans="1:18">
      <c r="A30" s="15"/>
      <c r="B30" s="12" t="s">
        <v>57</v>
      </c>
      <c r="C30" s="13">
        <v>1</v>
      </c>
      <c r="D30" s="14">
        <v>15000</v>
      </c>
      <c r="E30" s="21">
        <f t="shared" si="3"/>
        <v>15000</v>
      </c>
      <c r="F30" s="24"/>
      <c r="G30" s="25"/>
      <c r="L30" s="31">
        <v>46028</v>
      </c>
      <c r="M30" s="43" t="s">
        <v>14</v>
      </c>
      <c r="N30" s="13">
        <v>8</v>
      </c>
      <c r="O30" s="21">
        <v>10000</v>
      </c>
      <c r="P30" s="21">
        <f t="shared" si="4"/>
        <v>80000</v>
      </c>
      <c r="Q30" s="45">
        <f>SUM(P30:P38)</f>
        <v>688000</v>
      </c>
      <c r="R30" s="45" t="s">
        <v>11</v>
      </c>
    </row>
    <row r="31" s="1" customFormat="1" ht="16.8" spans="1:18">
      <c r="A31" s="15"/>
      <c r="B31" s="12" t="s">
        <v>31</v>
      </c>
      <c r="C31" s="13">
        <v>1</v>
      </c>
      <c r="D31" s="14">
        <v>170000</v>
      </c>
      <c r="E31" s="21">
        <f t="shared" si="3"/>
        <v>170000</v>
      </c>
      <c r="F31" s="24"/>
      <c r="G31" s="25"/>
      <c r="L31" s="34"/>
      <c r="M31" s="43" t="s">
        <v>58</v>
      </c>
      <c r="N31" s="13">
        <v>4</v>
      </c>
      <c r="O31" s="21">
        <v>20000</v>
      </c>
      <c r="P31" s="21">
        <f t="shared" si="4"/>
        <v>80000</v>
      </c>
      <c r="Q31" s="47"/>
      <c r="R31" s="47"/>
    </row>
    <row r="32" s="1" customFormat="1" ht="16.8" spans="1:18">
      <c r="A32" s="15"/>
      <c r="B32" s="12" t="s">
        <v>59</v>
      </c>
      <c r="C32" s="13">
        <v>1</v>
      </c>
      <c r="D32" s="14">
        <v>60000</v>
      </c>
      <c r="E32" s="21">
        <f t="shared" si="3"/>
        <v>60000</v>
      </c>
      <c r="F32" s="24"/>
      <c r="G32" s="25"/>
      <c r="L32" s="34"/>
      <c r="M32" s="43" t="s">
        <v>12</v>
      </c>
      <c r="N32" s="13">
        <v>1</v>
      </c>
      <c r="O32" s="21">
        <v>70000</v>
      </c>
      <c r="P32" s="21">
        <f t="shared" si="4"/>
        <v>70000</v>
      </c>
      <c r="Q32" s="47"/>
      <c r="R32" s="47"/>
    </row>
    <row r="33" s="1" customFormat="1" ht="16.8" spans="1:18">
      <c r="A33" s="15"/>
      <c r="B33" s="12" t="s">
        <v>12</v>
      </c>
      <c r="C33" s="13">
        <v>1</v>
      </c>
      <c r="D33" s="14">
        <v>70000</v>
      </c>
      <c r="E33" s="21">
        <f t="shared" si="3"/>
        <v>70000</v>
      </c>
      <c r="F33" s="24"/>
      <c r="G33" s="25"/>
      <c r="L33" s="34"/>
      <c r="M33" s="43" t="s">
        <v>60</v>
      </c>
      <c r="N33" s="13">
        <v>0.3</v>
      </c>
      <c r="O33" s="21">
        <v>20000</v>
      </c>
      <c r="P33" s="21">
        <f t="shared" si="4"/>
        <v>6000</v>
      </c>
      <c r="Q33" s="47"/>
      <c r="R33" s="47"/>
    </row>
    <row r="34" s="1" customFormat="1" ht="16.8" spans="1:18">
      <c r="A34" s="15"/>
      <c r="B34" s="12" t="s">
        <v>37</v>
      </c>
      <c r="C34" s="13">
        <v>6</v>
      </c>
      <c r="D34" s="14">
        <v>90000</v>
      </c>
      <c r="E34" s="21">
        <f t="shared" si="3"/>
        <v>540000</v>
      </c>
      <c r="F34" s="24"/>
      <c r="G34" s="25"/>
      <c r="L34" s="34"/>
      <c r="M34" s="43" t="s">
        <v>28</v>
      </c>
      <c r="N34" s="13">
        <v>5</v>
      </c>
      <c r="O34" s="21">
        <v>24000</v>
      </c>
      <c r="P34" s="21">
        <f t="shared" si="4"/>
        <v>120000</v>
      </c>
      <c r="Q34" s="47"/>
      <c r="R34" s="47"/>
    </row>
    <row r="35" s="1" customFormat="1" ht="16.8" spans="1:18">
      <c r="A35" s="15"/>
      <c r="B35" s="12" t="s">
        <v>55</v>
      </c>
      <c r="C35" s="13">
        <v>2</v>
      </c>
      <c r="D35" s="14">
        <v>58000</v>
      </c>
      <c r="E35" s="21">
        <f t="shared" si="3"/>
        <v>116000</v>
      </c>
      <c r="F35" s="24"/>
      <c r="G35" s="25"/>
      <c r="L35" s="34"/>
      <c r="M35" s="43" t="s">
        <v>61</v>
      </c>
      <c r="N35" s="13">
        <v>2</v>
      </c>
      <c r="O35" s="21">
        <v>40000</v>
      </c>
      <c r="P35" s="21">
        <f t="shared" si="4"/>
        <v>80000</v>
      </c>
      <c r="Q35" s="47"/>
      <c r="R35" s="47"/>
    </row>
    <row r="36" s="1" customFormat="1" ht="16.8" spans="1:18">
      <c r="A36" s="16"/>
      <c r="B36" s="12" t="s">
        <v>13</v>
      </c>
      <c r="C36" s="13">
        <v>2</v>
      </c>
      <c r="D36" s="14">
        <v>40000</v>
      </c>
      <c r="E36" s="21">
        <f t="shared" si="3"/>
        <v>80000</v>
      </c>
      <c r="F36" s="27"/>
      <c r="G36" s="28"/>
      <c r="L36" s="34"/>
      <c r="M36" s="43" t="s">
        <v>62</v>
      </c>
      <c r="N36" s="13">
        <v>1</v>
      </c>
      <c r="O36" s="21">
        <v>49000</v>
      </c>
      <c r="P36" s="21">
        <f t="shared" si="4"/>
        <v>49000</v>
      </c>
      <c r="Q36" s="47"/>
      <c r="R36" s="47"/>
    </row>
    <row r="37" s="1" customFormat="1" ht="16.8" spans="1:18">
      <c r="A37" s="11">
        <v>46025</v>
      </c>
      <c r="B37" s="12" t="s">
        <v>63</v>
      </c>
      <c r="C37" s="13">
        <v>0.3</v>
      </c>
      <c r="D37" s="14">
        <v>50000</v>
      </c>
      <c r="E37" s="21">
        <f t="shared" si="3"/>
        <v>15000</v>
      </c>
      <c r="F37" s="22">
        <f>SUM(E37:E39)</f>
        <v>62000</v>
      </c>
      <c r="G37" s="23" t="s">
        <v>11</v>
      </c>
      <c r="L37" s="34"/>
      <c r="M37" s="43" t="s">
        <v>32</v>
      </c>
      <c r="N37" s="13">
        <v>4.88</v>
      </c>
      <c r="O37" s="21">
        <v>15000</v>
      </c>
      <c r="P37" s="21">
        <v>73000</v>
      </c>
      <c r="Q37" s="47"/>
      <c r="R37" s="47"/>
    </row>
    <row r="38" s="1" customFormat="1" ht="16.8" spans="1:18">
      <c r="A38" s="15"/>
      <c r="B38" s="12" t="s">
        <v>64</v>
      </c>
      <c r="C38" s="13">
        <v>0.2</v>
      </c>
      <c r="D38" s="14">
        <v>60000</v>
      </c>
      <c r="E38" s="21">
        <f t="shared" si="3"/>
        <v>12000</v>
      </c>
      <c r="F38" s="24"/>
      <c r="G38" s="25"/>
      <c r="L38" s="41"/>
      <c r="M38" s="43" t="s">
        <v>65</v>
      </c>
      <c r="N38" s="13">
        <v>1</v>
      </c>
      <c r="O38" s="21">
        <v>130000</v>
      </c>
      <c r="P38" s="21">
        <f t="shared" ref="P38:P41" si="5">SUM(N38*O38)</f>
        <v>130000</v>
      </c>
      <c r="Q38" s="49"/>
      <c r="R38" s="49"/>
    </row>
    <row r="39" s="1" customFormat="1" ht="16.8" spans="1:18">
      <c r="A39" s="16"/>
      <c r="B39" s="12" t="s">
        <v>66</v>
      </c>
      <c r="C39" s="13">
        <v>0.5</v>
      </c>
      <c r="D39" s="14">
        <v>70000</v>
      </c>
      <c r="E39" s="21">
        <f t="shared" si="3"/>
        <v>35000</v>
      </c>
      <c r="F39" s="27"/>
      <c r="G39" s="28"/>
      <c r="L39" s="31">
        <v>46029</v>
      </c>
      <c r="M39" s="43" t="s">
        <v>28</v>
      </c>
      <c r="N39" s="13">
        <v>6</v>
      </c>
      <c r="O39" s="21">
        <v>24000</v>
      </c>
      <c r="P39" s="21">
        <f t="shared" si="5"/>
        <v>144000</v>
      </c>
      <c r="Q39" s="45">
        <f>SUM(P39:P55)</f>
        <v>1020000</v>
      </c>
      <c r="R39" s="45" t="s">
        <v>11</v>
      </c>
    </row>
    <row r="40" s="1" customFormat="1" ht="16.8" spans="1:18">
      <c r="A40" s="11">
        <v>46026</v>
      </c>
      <c r="B40" s="12" t="s">
        <v>67</v>
      </c>
      <c r="C40" s="13">
        <v>2</v>
      </c>
      <c r="D40" s="14">
        <v>55000</v>
      </c>
      <c r="E40" s="21">
        <f t="shared" si="3"/>
        <v>110000</v>
      </c>
      <c r="F40" s="22">
        <f>SUM(E40:E58)</f>
        <v>2304000</v>
      </c>
      <c r="G40" s="23" t="s">
        <v>11</v>
      </c>
      <c r="L40" s="34"/>
      <c r="M40" s="43" t="s">
        <v>61</v>
      </c>
      <c r="N40" s="13">
        <v>1</v>
      </c>
      <c r="O40" s="21">
        <v>40000</v>
      </c>
      <c r="P40" s="21">
        <f t="shared" si="5"/>
        <v>40000</v>
      </c>
      <c r="Q40" s="47"/>
      <c r="R40" s="47"/>
    </row>
    <row r="41" s="1" customFormat="1" ht="16.8" spans="1:18">
      <c r="A41" s="15"/>
      <c r="B41" s="12" t="s">
        <v>68</v>
      </c>
      <c r="C41" s="13">
        <v>5</v>
      </c>
      <c r="D41" s="14">
        <v>25000</v>
      </c>
      <c r="E41" s="21">
        <f t="shared" si="3"/>
        <v>125000</v>
      </c>
      <c r="F41" s="24"/>
      <c r="G41" s="25"/>
      <c r="L41" s="34"/>
      <c r="M41" s="43" t="s">
        <v>62</v>
      </c>
      <c r="N41" s="13">
        <v>1</v>
      </c>
      <c r="O41" s="21">
        <v>49000</v>
      </c>
      <c r="P41" s="21">
        <f t="shared" si="5"/>
        <v>49000</v>
      </c>
      <c r="Q41" s="47"/>
      <c r="R41" s="47"/>
    </row>
    <row r="42" s="1" customFormat="1" ht="16.8" spans="1:18">
      <c r="A42" s="15"/>
      <c r="B42" s="12" t="s">
        <v>69</v>
      </c>
      <c r="C42" s="13">
        <v>18</v>
      </c>
      <c r="D42" s="14">
        <v>2000</v>
      </c>
      <c r="E42" s="21">
        <f t="shared" si="3"/>
        <v>36000</v>
      </c>
      <c r="F42" s="24"/>
      <c r="G42" s="25"/>
      <c r="L42" s="34"/>
      <c r="M42" s="43" t="s">
        <v>19</v>
      </c>
      <c r="N42" s="13">
        <v>0.75</v>
      </c>
      <c r="O42" s="21">
        <v>95000</v>
      </c>
      <c r="P42" s="21">
        <v>71000</v>
      </c>
      <c r="Q42" s="47"/>
      <c r="R42" s="47"/>
    </row>
    <row r="43" s="1" customFormat="1" ht="16.8" spans="1:18">
      <c r="A43" s="15"/>
      <c r="B43" s="12" t="s">
        <v>70</v>
      </c>
      <c r="C43" s="13">
        <v>0.1</v>
      </c>
      <c r="D43" s="14">
        <v>70000</v>
      </c>
      <c r="E43" s="21">
        <f t="shared" si="3"/>
        <v>7000</v>
      </c>
      <c r="F43" s="24"/>
      <c r="G43" s="25"/>
      <c r="L43" s="34"/>
      <c r="M43" s="43" t="s">
        <v>23</v>
      </c>
      <c r="N43" s="13">
        <v>0.5</v>
      </c>
      <c r="O43" s="21">
        <v>30000</v>
      </c>
      <c r="P43" s="21">
        <f t="shared" ref="P43:P49" si="6">SUM(N43*O43)</f>
        <v>15000</v>
      </c>
      <c r="Q43" s="47"/>
      <c r="R43" s="47"/>
    </row>
    <row r="44" s="1" customFormat="1" ht="16.8" spans="1:18">
      <c r="A44" s="15"/>
      <c r="B44" s="12" t="s">
        <v>71</v>
      </c>
      <c r="C44" s="13">
        <v>1</v>
      </c>
      <c r="D44" s="14">
        <v>220000</v>
      </c>
      <c r="E44" s="21">
        <f t="shared" si="3"/>
        <v>220000</v>
      </c>
      <c r="F44" s="24"/>
      <c r="G44" s="25"/>
      <c r="L44" s="34"/>
      <c r="M44" s="43" t="s">
        <v>12</v>
      </c>
      <c r="N44" s="13">
        <v>1.1</v>
      </c>
      <c r="O44" s="21">
        <v>70000</v>
      </c>
      <c r="P44" s="21">
        <f t="shared" si="6"/>
        <v>77000</v>
      </c>
      <c r="Q44" s="47"/>
      <c r="R44" s="47"/>
    </row>
    <row r="45" s="1" customFormat="1" ht="16.8" spans="1:18">
      <c r="A45" s="15"/>
      <c r="B45" s="12" t="s">
        <v>72</v>
      </c>
      <c r="C45" s="13">
        <v>1.26</v>
      </c>
      <c r="D45" s="14">
        <v>25000</v>
      </c>
      <c r="E45" s="21">
        <v>32000</v>
      </c>
      <c r="F45" s="24"/>
      <c r="G45" s="25"/>
      <c r="L45" s="34"/>
      <c r="M45" s="43" t="s">
        <v>32</v>
      </c>
      <c r="N45" s="13">
        <v>2.99</v>
      </c>
      <c r="O45" s="21">
        <v>15000</v>
      </c>
      <c r="P45" s="21">
        <v>45000</v>
      </c>
      <c r="Q45" s="47"/>
      <c r="R45" s="47"/>
    </row>
    <row r="46" s="1" customFormat="1" ht="16.8" spans="1:18">
      <c r="A46" s="15"/>
      <c r="B46" s="12" t="s">
        <v>73</v>
      </c>
      <c r="C46" s="13">
        <v>1</v>
      </c>
      <c r="D46" s="14">
        <v>70000</v>
      </c>
      <c r="E46" s="21">
        <f t="shared" ref="E46:E109" si="7">D46*C46</f>
        <v>70000</v>
      </c>
      <c r="F46" s="24"/>
      <c r="G46" s="25"/>
      <c r="L46" s="34"/>
      <c r="M46" s="43" t="s">
        <v>42</v>
      </c>
      <c r="N46" s="13">
        <v>1</v>
      </c>
      <c r="O46" s="21">
        <v>38000</v>
      </c>
      <c r="P46" s="21">
        <f t="shared" si="6"/>
        <v>38000</v>
      </c>
      <c r="Q46" s="47"/>
      <c r="R46" s="47"/>
    </row>
    <row r="47" s="1" customFormat="1" ht="16.8" spans="1:18">
      <c r="A47" s="15"/>
      <c r="B47" s="12" t="s">
        <v>74</v>
      </c>
      <c r="C47" s="13">
        <v>1</v>
      </c>
      <c r="D47" s="14">
        <v>100000</v>
      </c>
      <c r="E47" s="21">
        <f t="shared" si="7"/>
        <v>100000</v>
      </c>
      <c r="F47" s="24"/>
      <c r="G47" s="25"/>
      <c r="L47" s="34"/>
      <c r="M47" s="43" t="s">
        <v>75</v>
      </c>
      <c r="N47" s="13">
        <v>5</v>
      </c>
      <c r="O47" s="21">
        <v>10000</v>
      </c>
      <c r="P47" s="21">
        <f t="shared" si="6"/>
        <v>50000</v>
      </c>
      <c r="Q47" s="47"/>
      <c r="R47" s="47"/>
    </row>
    <row r="48" s="1" customFormat="1" ht="16.8" spans="1:18">
      <c r="A48" s="15"/>
      <c r="B48" s="12" t="s">
        <v>76</v>
      </c>
      <c r="C48" s="13">
        <v>3</v>
      </c>
      <c r="D48" s="14">
        <v>45000</v>
      </c>
      <c r="E48" s="21">
        <f t="shared" si="7"/>
        <v>135000</v>
      </c>
      <c r="F48" s="24"/>
      <c r="G48" s="25"/>
      <c r="L48" s="34"/>
      <c r="M48" s="43" t="s">
        <v>58</v>
      </c>
      <c r="N48" s="13">
        <v>3</v>
      </c>
      <c r="O48" s="21">
        <v>25000</v>
      </c>
      <c r="P48" s="21">
        <f t="shared" si="6"/>
        <v>75000</v>
      </c>
      <c r="Q48" s="47"/>
      <c r="R48" s="47"/>
    </row>
    <row r="49" s="1" customFormat="1" ht="16.8" spans="1:18">
      <c r="A49" s="15"/>
      <c r="B49" s="12" t="s">
        <v>77</v>
      </c>
      <c r="C49" s="13">
        <v>1</v>
      </c>
      <c r="D49" s="14">
        <v>230000</v>
      </c>
      <c r="E49" s="21">
        <f t="shared" si="7"/>
        <v>230000</v>
      </c>
      <c r="F49" s="24"/>
      <c r="G49" s="25"/>
      <c r="L49" s="34"/>
      <c r="M49" s="43" t="s">
        <v>78</v>
      </c>
      <c r="N49" s="13">
        <v>1</v>
      </c>
      <c r="O49" s="21">
        <v>25000</v>
      </c>
      <c r="P49" s="21">
        <f t="shared" si="6"/>
        <v>25000</v>
      </c>
      <c r="Q49" s="47"/>
      <c r="R49" s="47"/>
    </row>
    <row r="50" s="1" customFormat="1" ht="16.8" spans="1:18">
      <c r="A50" s="15"/>
      <c r="B50" s="12" t="s">
        <v>79</v>
      </c>
      <c r="C50" s="13">
        <v>1</v>
      </c>
      <c r="D50" s="14">
        <v>275000</v>
      </c>
      <c r="E50" s="21">
        <f t="shared" si="7"/>
        <v>275000</v>
      </c>
      <c r="F50" s="24"/>
      <c r="G50" s="25"/>
      <c r="L50" s="34"/>
      <c r="M50" s="43" t="s">
        <v>80</v>
      </c>
      <c r="N50" s="13">
        <v>0.3</v>
      </c>
      <c r="O50" s="21">
        <v>35000</v>
      </c>
      <c r="P50" s="21">
        <v>11000</v>
      </c>
      <c r="Q50" s="47"/>
      <c r="R50" s="47"/>
    </row>
    <row r="51" s="1" customFormat="1" ht="16.8" spans="1:18">
      <c r="A51" s="15"/>
      <c r="B51" s="12" t="s">
        <v>81</v>
      </c>
      <c r="C51" s="13">
        <v>2</v>
      </c>
      <c r="D51" s="14">
        <v>90000</v>
      </c>
      <c r="E51" s="21">
        <f t="shared" si="7"/>
        <v>180000</v>
      </c>
      <c r="F51" s="24"/>
      <c r="G51" s="25"/>
      <c r="L51" s="34"/>
      <c r="M51" s="43" t="s">
        <v>82</v>
      </c>
      <c r="N51" s="13">
        <v>1</v>
      </c>
      <c r="O51" s="21">
        <v>90000</v>
      </c>
      <c r="P51" s="21">
        <f t="shared" ref="P51:P56" si="8">SUM(N51*O51)</f>
        <v>90000</v>
      </c>
      <c r="Q51" s="47"/>
      <c r="R51" s="47"/>
    </row>
    <row r="52" s="1" customFormat="1" ht="16.8" spans="1:18">
      <c r="A52" s="15"/>
      <c r="B52" s="12" t="s">
        <v>38</v>
      </c>
      <c r="C52" s="13">
        <v>2</v>
      </c>
      <c r="D52" s="14">
        <v>22000</v>
      </c>
      <c r="E52" s="21">
        <f t="shared" si="7"/>
        <v>44000</v>
      </c>
      <c r="F52" s="24"/>
      <c r="G52" s="25"/>
      <c r="L52" s="34"/>
      <c r="M52" s="43" t="s">
        <v>83</v>
      </c>
      <c r="N52" s="13">
        <v>2</v>
      </c>
      <c r="O52" s="21">
        <v>75000</v>
      </c>
      <c r="P52" s="21">
        <f t="shared" si="8"/>
        <v>150000</v>
      </c>
      <c r="Q52" s="47"/>
      <c r="R52" s="47"/>
    </row>
    <row r="53" s="1" customFormat="1" ht="16.8" spans="1:18">
      <c r="A53" s="15"/>
      <c r="B53" s="12" t="s">
        <v>84</v>
      </c>
      <c r="C53" s="13">
        <v>2</v>
      </c>
      <c r="D53" s="14">
        <v>170000</v>
      </c>
      <c r="E53" s="21">
        <f t="shared" si="7"/>
        <v>340000</v>
      </c>
      <c r="F53" s="24"/>
      <c r="G53" s="25"/>
      <c r="L53" s="34"/>
      <c r="M53" s="43" t="s">
        <v>62</v>
      </c>
      <c r="N53" s="13">
        <v>2</v>
      </c>
      <c r="O53" s="21">
        <v>49000</v>
      </c>
      <c r="P53" s="21">
        <f t="shared" si="8"/>
        <v>98000</v>
      </c>
      <c r="Q53" s="47"/>
      <c r="R53" s="47"/>
    </row>
    <row r="54" s="1" customFormat="1" ht="16.8" spans="1:18">
      <c r="A54" s="15"/>
      <c r="B54" s="12" t="s">
        <v>85</v>
      </c>
      <c r="C54" s="13">
        <v>2</v>
      </c>
      <c r="D54" s="14">
        <v>30000</v>
      </c>
      <c r="E54" s="21">
        <f t="shared" si="7"/>
        <v>60000</v>
      </c>
      <c r="F54" s="24"/>
      <c r="G54" s="25"/>
      <c r="L54" s="34"/>
      <c r="M54" s="43" t="s">
        <v>86</v>
      </c>
      <c r="N54" s="13">
        <v>0.1</v>
      </c>
      <c r="O54" s="21">
        <v>20000</v>
      </c>
      <c r="P54" s="21">
        <f t="shared" si="8"/>
        <v>2000</v>
      </c>
      <c r="Q54" s="47"/>
      <c r="R54" s="47"/>
    </row>
    <row r="55" s="1" customFormat="1" ht="16.8" spans="1:18">
      <c r="A55" s="15"/>
      <c r="B55" s="12" t="s">
        <v>87</v>
      </c>
      <c r="C55" s="13">
        <v>2</v>
      </c>
      <c r="D55" s="14">
        <v>20000</v>
      </c>
      <c r="E55" s="21">
        <f t="shared" si="7"/>
        <v>40000</v>
      </c>
      <c r="F55" s="24"/>
      <c r="G55" s="25"/>
      <c r="L55" s="41"/>
      <c r="M55" s="43" t="s">
        <v>88</v>
      </c>
      <c r="N55" s="13">
        <v>2</v>
      </c>
      <c r="O55" s="21">
        <v>20000</v>
      </c>
      <c r="P55" s="21">
        <f t="shared" si="8"/>
        <v>40000</v>
      </c>
      <c r="Q55" s="49"/>
      <c r="R55" s="49"/>
    </row>
    <row r="56" s="1" customFormat="1" ht="16.8" spans="1:18">
      <c r="A56" s="15"/>
      <c r="B56" s="12" t="s">
        <v>89</v>
      </c>
      <c r="C56" s="13">
        <v>2</v>
      </c>
      <c r="D56" s="14">
        <v>75000</v>
      </c>
      <c r="E56" s="21">
        <f t="shared" si="7"/>
        <v>150000</v>
      </c>
      <c r="F56" s="24"/>
      <c r="G56" s="25"/>
      <c r="L56" s="31">
        <v>46030</v>
      </c>
      <c r="M56" s="43" t="s">
        <v>14</v>
      </c>
      <c r="N56" s="13">
        <v>5</v>
      </c>
      <c r="O56" s="21">
        <v>10000</v>
      </c>
      <c r="P56" s="21">
        <f t="shared" si="8"/>
        <v>50000</v>
      </c>
      <c r="Q56" s="45">
        <f>SUM(P56:P65)</f>
        <v>823000</v>
      </c>
      <c r="R56" s="45" t="s">
        <v>11</v>
      </c>
    </row>
    <row r="57" s="1" customFormat="1" ht="16.8" spans="1:18">
      <c r="A57" s="15"/>
      <c r="B57" s="12" t="s">
        <v>90</v>
      </c>
      <c r="C57" s="13">
        <v>2</v>
      </c>
      <c r="D57" s="14">
        <v>30000</v>
      </c>
      <c r="E57" s="21">
        <f t="shared" si="7"/>
        <v>60000</v>
      </c>
      <c r="F57" s="24"/>
      <c r="G57" s="25"/>
      <c r="L57" s="34"/>
      <c r="M57" s="43" t="s">
        <v>12</v>
      </c>
      <c r="N57" s="13">
        <v>1.08</v>
      </c>
      <c r="O57" s="21">
        <v>55000</v>
      </c>
      <c r="P57" s="21">
        <v>59000</v>
      </c>
      <c r="Q57" s="47"/>
      <c r="R57" s="47"/>
    </row>
    <row r="58" s="1" customFormat="1" ht="16.8" spans="1:18">
      <c r="A58" s="16"/>
      <c r="B58" s="12" t="s">
        <v>91</v>
      </c>
      <c r="C58" s="13">
        <v>3</v>
      </c>
      <c r="D58" s="14">
        <v>30000</v>
      </c>
      <c r="E58" s="21">
        <f t="shared" si="7"/>
        <v>90000</v>
      </c>
      <c r="F58" s="27"/>
      <c r="G58" s="28"/>
      <c r="L58" s="34"/>
      <c r="M58" s="43" t="s">
        <v>32</v>
      </c>
      <c r="N58" s="13">
        <v>7.28</v>
      </c>
      <c r="O58" s="21">
        <v>15000</v>
      </c>
      <c r="P58" s="21">
        <v>109000</v>
      </c>
      <c r="Q58" s="47"/>
      <c r="R58" s="47"/>
    </row>
    <row r="59" s="1" customFormat="1" ht="16.8" spans="1:18">
      <c r="A59" s="11">
        <v>46027</v>
      </c>
      <c r="B59" s="12" t="s">
        <v>92</v>
      </c>
      <c r="C59" s="13">
        <v>1</v>
      </c>
      <c r="D59" s="14">
        <v>30000</v>
      </c>
      <c r="E59" s="21">
        <f t="shared" si="7"/>
        <v>30000</v>
      </c>
      <c r="F59" s="22">
        <f>SUM(E59:E77)</f>
        <v>2521000</v>
      </c>
      <c r="G59" s="23" t="s">
        <v>11</v>
      </c>
      <c r="L59" s="34"/>
      <c r="M59" s="43" t="s">
        <v>93</v>
      </c>
      <c r="N59" s="13">
        <v>1</v>
      </c>
      <c r="O59" s="21">
        <v>12000</v>
      </c>
      <c r="P59" s="21">
        <f t="shared" ref="P59:P69" si="9">SUM(N59*O59)</f>
        <v>12000</v>
      </c>
      <c r="Q59" s="47"/>
      <c r="R59" s="47"/>
    </row>
    <row r="60" s="1" customFormat="1" ht="16.8" spans="1:18">
      <c r="A60" s="15"/>
      <c r="B60" s="12" t="s">
        <v>94</v>
      </c>
      <c r="C60" s="13">
        <v>5</v>
      </c>
      <c r="D60" s="14">
        <v>15000</v>
      </c>
      <c r="E60" s="21">
        <f t="shared" si="7"/>
        <v>75000</v>
      </c>
      <c r="F60" s="24"/>
      <c r="G60" s="25"/>
      <c r="L60" s="34"/>
      <c r="M60" s="43" t="s">
        <v>23</v>
      </c>
      <c r="N60" s="13">
        <v>0.5</v>
      </c>
      <c r="O60" s="21">
        <v>30000</v>
      </c>
      <c r="P60" s="21">
        <f t="shared" si="9"/>
        <v>15000</v>
      </c>
      <c r="Q60" s="47"/>
      <c r="R60" s="47"/>
    </row>
    <row r="61" s="1" customFormat="1" ht="16.8" spans="1:18">
      <c r="A61" s="15"/>
      <c r="B61" s="12" t="s">
        <v>95</v>
      </c>
      <c r="C61" s="13">
        <v>1</v>
      </c>
      <c r="D61" s="14">
        <v>210000</v>
      </c>
      <c r="E61" s="21">
        <f t="shared" si="7"/>
        <v>210000</v>
      </c>
      <c r="F61" s="24"/>
      <c r="G61" s="25"/>
      <c r="L61" s="34"/>
      <c r="M61" s="43" t="s">
        <v>28</v>
      </c>
      <c r="N61" s="13">
        <v>8</v>
      </c>
      <c r="O61" s="21">
        <v>24000</v>
      </c>
      <c r="P61" s="21">
        <f t="shared" si="9"/>
        <v>192000</v>
      </c>
      <c r="Q61" s="47"/>
      <c r="R61" s="47"/>
    </row>
    <row r="62" s="1" customFormat="1" ht="16.8" spans="1:18">
      <c r="A62" s="15"/>
      <c r="B62" s="12" t="s">
        <v>96</v>
      </c>
      <c r="C62" s="13">
        <v>2</v>
      </c>
      <c r="D62" s="14">
        <v>70000</v>
      </c>
      <c r="E62" s="21">
        <f t="shared" si="7"/>
        <v>140000</v>
      </c>
      <c r="F62" s="24"/>
      <c r="G62" s="25"/>
      <c r="L62" s="34"/>
      <c r="M62" s="43" t="s">
        <v>61</v>
      </c>
      <c r="N62" s="13">
        <v>3</v>
      </c>
      <c r="O62" s="21">
        <v>40000</v>
      </c>
      <c r="P62" s="21">
        <f t="shared" si="9"/>
        <v>120000</v>
      </c>
      <c r="Q62" s="47"/>
      <c r="R62" s="47"/>
    </row>
    <row r="63" s="1" customFormat="1" ht="16.8" spans="1:18">
      <c r="A63" s="15"/>
      <c r="B63" s="12" t="s">
        <v>97</v>
      </c>
      <c r="C63" s="13">
        <v>2</v>
      </c>
      <c r="D63" s="14">
        <v>20000</v>
      </c>
      <c r="E63" s="21">
        <f t="shared" si="7"/>
        <v>40000</v>
      </c>
      <c r="F63" s="24"/>
      <c r="G63" s="25"/>
      <c r="L63" s="34"/>
      <c r="M63" s="43" t="s">
        <v>97</v>
      </c>
      <c r="N63" s="13">
        <v>4</v>
      </c>
      <c r="O63" s="21">
        <v>20000</v>
      </c>
      <c r="P63" s="21">
        <f t="shared" si="9"/>
        <v>80000</v>
      </c>
      <c r="Q63" s="47"/>
      <c r="R63" s="47"/>
    </row>
    <row r="64" s="1" customFormat="1" ht="16.8" spans="1:18">
      <c r="A64" s="15"/>
      <c r="B64" s="12" t="s">
        <v>13</v>
      </c>
      <c r="C64" s="13">
        <v>3</v>
      </c>
      <c r="D64" s="14">
        <v>40000</v>
      </c>
      <c r="E64" s="21">
        <f t="shared" si="7"/>
        <v>120000</v>
      </c>
      <c r="F64" s="24"/>
      <c r="G64" s="25"/>
      <c r="L64" s="34"/>
      <c r="M64" s="43" t="s">
        <v>98</v>
      </c>
      <c r="N64" s="13">
        <v>2</v>
      </c>
      <c r="O64" s="21">
        <v>45000</v>
      </c>
      <c r="P64" s="21">
        <f t="shared" si="9"/>
        <v>90000</v>
      </c>
      <c r="Q64" s="47"/>
      <c r="R64" s="47"/>
    </row>
    <row r="65" s="1" customFormat="1" ht="16.8" spans="1:18">
      <c r="A65" s="15"/>
      <c r="B65" s="12" t="s">
        <v>99</v>
      </c>
      <c r="C65" s="13">
        <v>1</v>
      </c>
      <c r="D65" s="14">
        <v>360000</v>
      </c>
      <c r="E65" s="21">
        <f t="shared" si="7"/>
        <v>360000</v>
      </c>
      <c r="F65" s="24"/>
      <c r="G65" s="25"/>
      <c r="L65" s="41"/>
      <c r="M65" s="43" t="s">
        <v>28</v>
      </c>
      <c r="N65" s="13">
        <v>4</v>
      </c>
      <c r="O65" s="21">
        <v>24000</v>
      </c>
      <c r="P65" s="21">
        <f t="shared" si="9"/>
        <v>96000</v>
      </c>
      <c r="Q65" s="49"/>
      <c r="R65" s="49"/>
    </row>
    <row r="66" s="1" customFormat="1" ht="16.8" spans="1:18">
      <c r="A66" s="15"/>
      <c r="B66" s="12" t="s">
        <v>100</v>
      </c>
      <c r="C66" s="13">
        <v>2</v>
      </c>
      <c r="D66" s="14">
        <v>170000</v>
      </c>
      <c r="E66" s="21">
        <f t="shared" si="7"/>
        <v>340000</v>
      </c>
      <c r="F66" s="24"/>
      <c r="G66" s="25"/>
      <c r="L66" s="31">
        <v>46031</v>
      </c>
      <c r="M66" s="43" t="s">
        <v>14</v>
      </c>
      <c r="N66" s="13">
        <v>6</v>
      </c>
      <c r="O66" s="21">
        <v>10000</v>
      </c>
      <c r="P66" s="21">
        <f t="shared" si="9"/>
        <v>60000</v>
      </c>
      <c r="Q66" s="45">
        <f>SUM(P66:P75)</f>
        <v>784000</v>
      </c>
      <c r="R66" s="45" t="s">
        <v>11</v>
      </c>
    </row>
    <row r="67" s="1" customFormat="1" ht="16.8" spans="1:18">
      <c r="A67" s="15"/>
      <c r="B67" s="12" t="s">
        <v>37</v>
      </c>
      <c r="C67" s="13">
        <v>3</v>
      </c>
      <c r="D67" s="14">
        <v>90000</v>
      </c>
      <c r="E67" s="21">
        <f t="shared" si="7"/>
        <v>270000</v>
      </c>
      <c r="F67" s="24"/>
      <c r="G67" s="25"/>
      <c r="L67" s="34"/>
      <c r="M67" s="43" t="s">
        <v>16</v>
      </c>
      <c r="N67" s="13">
        <v>3</v>
      </c>
      <c r="O67" s="21">
        <v>20000</v>
      </c>
      <c r="P67" s="21">
        <f t="shared" si="9"/>
        <v>60000</v>
      </c>
      <c r="Q67" s="47"/>
      <c r="R67" s="47"/>
    </row>
    <row r="68" s="1" customFormat="1" ht="16.8" spans="1:18">
      <c r="A68" s="15"/>
      <c r="B68" s="12" t="s">
        <v>38</v>
      </c>
      <c r="C68" s="13">
        <v>3</v>
      </c>
      <c r="D68" s="14">
        <v>22000</v>
      </c>
      <c r="E68" s="21">
        <f t="shared" si="7"/>
        <v>66000</v>
      </c>
      <c r="F68" s="24"/>
      <c r="G68" s="25"/>
      <c r="L68" s="34"/>
      <c r="M68" s="43" t="s">
        <v>12</v>
      </c>
      <c r="N68" s="13">
        <v>1</v>
      </c>
      <c r="O68" s="21">
        <v>70000</v>
      </c>
      <c r="P68" s="21">
        <f t="shared" si="9"/>
        <v>70000</v>
      </c>
      <c r="Q68" s="47"/>
      <c r="R68" s="47"/>
    </row>
    <row r="69" s="1" customFormat="1" ht="16.8" spans="1:18">
      <c r="A69" s="15"/>
      <c r="B69" s="12" t="s">
        <v>35</v>
      </c>
      <c r="C69" s="13">
        <v>0.5</v>
      </c>
      <c r="D69" s="14">
        <v>60000</v>
      </c>
      <c r="E69" s="21">
        <f t="shared" si="7"/>
        <v>30000</v>
      </c>
      <c r="F69" s="24"/>
      <c r="G69" s="25"/>
      <c r="L69" s="34"/>
      <c r="M69" s="43" t="s">
        <v>42</v>
      </c>
      <c r="N69" s="13">
        <v>1.1</v>
      </c>
      <c r="O69" s="21">
        <v>40000</v>
      </c>
      <c r="P69" s="21">
        <f t="shared" si="9"/>
        <v>44000</v>
      </c>
      <c r="Q69" s="47"/>
      <c r="R69" s="47"/>
    </row>
    <row r="70" s="1" customFormat="1" ht="16.8" spans="1:18">
      <c r="A70" s="15"/>
      <c r="B70" s="12" t="s">
        <v>101</v>
      </c>
      <c r="C70" s="13">
        <v>2</v>
      </c>
      <c r="D70" s="14">
        <v>15000</v>
      </c>
      <c r="E70" s="21">
        <f t="shared" si="7"/>
        <v>30000</v>
      </c>
      <c r="F70" s="24"/>
      <c r="G70" s="25"/>
      <c r="L70" s="34"/>
      <c r="M70" s="43" t="s">
        <v>93</v>
      </c>
      <c r="N70" s="13">
        <v>1.14</v>
      </c>
      <c r="O70" s="21">
        <v>15000</v>
      </c>
      <c r="P70" s="21">
        <v>17000</v>
      </c>
      <c r="Q70" s="47"/>
      <c r="R70" s="47"/>
    </row>
    <row r="71" s="1" customFormat="1" ht="16.8" spans="1:18">
      <c r="A71" s="15"/>
      <c r="B71" s="12" t="s">
        <v>102</v>
      </c>
      <c r="C71" s="13">
        <v>2</v>
      </c>
      <c r="D71" s="14">
        <v>30000</v>
      </c>
      <c r="E71" s="21">
        <f t="shared" si="7"/>
        <v>60000</v>
      </c>
      <c r="F71" s="24"/>
      <c r="G71" s="25"/>
      <c r="L71" s="34"/>
      <c r="M71" s="43" t="s">
        <v>103</v>
      </c>
      <c r="N71" s="13">
        <v>1</v>
      </c>
      <c r="O71" s="21">
        <v>48000</v>
      </c>
      <c r="P71" s="21">
        <f t="shared" ref="P71:P73" si="10">SUM(N71*O71)</f>
        <v>48000</v>
      </c>
      <c r="Q71" s="47"/>
      <c r="R71" s="47"/>
    </row>
    <row r="72" s="1" customFormat="1" ht="16.8" spans="1:18">
      <c r="A72" s="15"/>
      <c r="B72" s="12" t="s">
        <v>104</v>
      </c>
      <c r="C72" s="13">
        <v>1</v>
      </c>
      <c r="D72" s="14">
        <v>50000</v>
      </c>
      <c r="E72" s="21">
        <f t="shared" si="7"/>
        <v>50000</v>
      </c>
      <c r="F72" s="24"/>
      <c r="G72" s="25"/>
      <c r="L72" s="34"/>
      <c r="M72" s="43" t="s">
        <v>28</v>
      </c>
      <c r="N72" s="13">
        <v>8</v>
      </c>
      <c r="O72" s="21">
        <v>24000</v>
      </c>
      <c r="P72" s="21">
        <f t="shared" si="10"/>
        <v>192000</v>
      </c>
      <c r="Q72" s="47"/>
      <c r="R72" s="47"/>
    </row>
    <row r="73" s="1" customFormat="1" ht="16.8" spans="1:18">
      <c r="A73" s="15"/>
      <c r="B73" s="12" t="s">
        <v>45</v>
      </c>
      <c r="C73" s="13">
        <v>4</v>
      </c>
      <c r="D73" s="14">
        <v>35000</v>
      </c>
      <c r="E73" s="21">
        <f t="shared" si="7"/>
        <v>140000</v>
      </c>
      <c r="F73" s="24"/>
      <c r="G73" s="25"/>
      <c r="L73" s="34"/>
      <c r="M73" s="43" t="s">
        <v>62</v>
      </c>
      <c r="N73" s="13">
        <v>2</v>
      </c>
      <c r="O73" s="21">
        <v>49000</v>
      </c>
      <c r="P73" s="21">
        <f t="shared" si="10"/>
        <v>98000</v>
      </c>
      <c r="Q73" s="47"/>
      <c r="R73" s="47"/>
    </row>
    <row r="74" s="1" customFormat="1" ht="16.8" spans="1:18">
      <c r="A74" s="15"/>
      <c r="B74" s="12" t="s">
        <v>105</v>
      </c>
      <c r="C74" s="13">
        <v>2</v>
      </c>
      <c r="D74" s="14">
        <v>70000</v>
      </c>
      <c r="E74" s="21">
        <f t="shared" si="7"/>
        <v>140000</v>
      </c>
      <c r="F74" s="24"/>
      <c r="G74" s="25"/>
      <c r="L74" s="34"/>
      <c r="M74" s="43" t="s">
        <v>32</v>
      </c>
      <c r="N74" s="13">
        <v>4.365</v>
      </c>
      <c r="O74" s="21">
        <v>15000</v>
      </c>
      <c r="P74" s="21">
        <v>65000</v>
      </c>
      <c r="Q74" s="47"/>
      <c r="R74" s="47"/>
    </row>
    <row r="75" s="1" customFormat="1" ht="16.8" spans="1:18">
      <c r="A75" s="15"/>
      <c r="B75" s="12" t="s">
        <v>36</v>
      </c>
      <c r="C75" s="13">
        <v>2</v>
      </c>
      <c r="D75" s="14">
        <v>170000</v>
      </c>
      <c r="E75" s="21">
        <f t="shared" si="7"/>
        <v>340000</v>
      </c>
      <c r="F75" s="24"/>
      <c r="G75" s="25"/>
      <c r="H75" s="1"/>
      <c r="L75" s="41"/>
      <c r="M75" s="43" t="s">
        <v>80</v>
      </c>
      <c r="N75" s="13">
        <v>2</v>
      </c>
      <c r="O75" s="21">
        <v>65000</v>
      </c>
      <c r="P75" s="21">
        <f t="shared" ref="P75:P78" si="11">SUM(N75*O75)</f>
        <v>130000</v>
      </c>
      <c r="Q75" s="49"/>
      <c r="R75" s="49"/>
    </row>
    <row r="76" s="1" customFormat="1" ht="16.8" spans="1:18">
      <c r="A76" s="15"/>
      <c r="B76" s="12" t="s">
        <v>106</v>
      </c>
      <c r="C76" s="13">
        <v>1</v>
      </c>
      <c r="D76" s="14">
        <v>50000</v>
      </c>
      <c r="E76" s="21">
        <f t="shared" si="7"/>
        <v>50000</v>
      </c>
      <c r="F76" s="24"/>
      <c r="G76" s="25"/>
      <c r="L76" s="31">
        <v>46032</v>
      </c>
      <c r="M76" s="43" t="s">
        <v>16</v>
      </c>
      <c r="N76" s="13">
        <v>6</v>
      </c>
      <c r="O76" s="21">
        <v>20000</v>
      </c>
      <c r="P76" s="21">
        <f t="shared" si="11"/>
        <v>120000</v>
      </c>
      <c r="Q76" s="45">
        <f>SUM(P76:P86)</f>
        <v>628000</v>
      </c>
      <c r="R76" s="45" t="s">
        <v>11</v>
      </c>
    </row>
    <row r="77" s="1" customFormat="1" ht="16.8" spans="1:18">
      <c r="A77" s="16"/>
      <c r="B77" s="12" t="s">
        <v>57</v>
      </c>
      <c r="C77" s="13">
        <v>2</v>
      </c>
      <c r="D77" s="14">
        <v>15000</v>
      </c>
      <c r="E77" s="21">
        <f t="shared" si="7"/>
        <v>30000</v>
      </c>
      <c r="F77" s="27"/>
      <c r="G77" s="28"/>
      <c r="L77" s="34"/>
      <c r="M77" s="43" t="s">
        <v>66</v>
      </c>
      <c r="N77" s="13">
        <v>3</v>
      </c>
      <c r="O77" s="21">
        <v>70000</v>
      </c>
      <c r="P77" s="21">
        <f t="shared" si="11"/>
        <v>210000</v>
      </c>
      <c r="Q77" s="47"/>
      <c r="R77" s="47"/>
    </row>
    <row r="78" s="1" customFormat="1" ht="16.8" spans="1:18">
      <c r="A78" s="11">
        <v>46028</v>
      </c>
      <c r="B78" s="12" t="s">
        <v>107</v>
      </c>
      <c r="C78" s="13">
        <v>5</v>
      </c>
      <c r="D78" s="14">
        <v>58000</v>
      </c>
      <c r="E78" s="21">
        <f t="shared" si="7"/>
        <v>290000</v>
      </c>
      <c r="F78" s="22">
        <f>SUM(E78:E95)</f>
        <v>2498000</v>
      </c>
      <c r="G78" s="23" t="s">
        <v>11</v>
      </c>
      <c r="L78" s="34"/>
      <c r="M78" s="43" t="s">
        <v>103</v>
      </c>
      <c r="N78" s="13">
        <v>2</v>
      </c>
      <c r="O78" s="21">
        <v>48000</v>
      </c>
      <c r="P78" s="21">
        <f t="shared" si="11"/>
        <v>96000</v>
      </c>
      <c r="Q78" s="47"/>
      <c r="R78" s="47"/>
    </row>
    <row r="79" s="1" customFormat="1" ht="16.8" spans="1:18">
      <c r="A79" s="15"/>
      <c r="B79" s="12" t="s">
        <v>108</v>
      </c>
      <c r="C79" s="13">
        <v>2</v>
      </c>
      <c r="D79" s="14">
        <v>30000</v>
      </c>
      <c r="E79" s="21">
        <f t="shared" si="7"/>
        <v>60000</v>
      </c>
      <c r="F79" s="24"/>
      <c r="G79" s="25"/>
      <c r="L79" s="34"/>
      <c r="M79" s="43" t="s">
        <v>80</v>
      </c>
      <c r="N79" s="13">
        <v>0.5</v>
      </c>
      <c r="O79" s="21">
        <v>15000</v>
      </c>
      <c r="P79" s="21">
        <v>8000</v>
      </c>
      <c r="Q79" s="47"/>
      <c r="R79" s="47"/>
    </row>
    <row r="80" s="1" customFormat="1" ht="16.8" spans="1:18">
      <c r="A80" s="15"/>
      <c r="B80" s="12" t="s">
        <v>109</v>
      </c>
      <c r="C80" s="13">
        <v>1</v>
      </c>
      <c r="D80" s="14">
        <v>100000</v>
      </c>
      <c r="E80" s="21">
        <f t="shared" si="7"/>
        <v>100000</v>
      </c>
      <c r="F80" s="24"/>
      <c r="G80" s="25"/>
      <c r="L80" s="34"/>
      <c r="M80" s="43" t="s">
        <v>23</v>
      </c>
      <c r="N80" s="13">
        <v>0.5</v>
      </c>
      <c r="O80" s="21">
        <v>25000</v>
      </c>
      <c r="P80" s="21">
        <v>13000</v>
      </c>
      <c r="Q80" s="47"/>
      <c r="R80" s="47"/>
    </row>
    <row r="81" s="1" customFormat="1" ht="16.8" spans="1:18">
      <c r="A81" s="15"/>
      <c r="B81" s="12" t="s">
        <v>45</v>
      </c>
      <c r="C81" s="13">
        <v>10</v>
      </c>
      <c r="D81" s="14">
        <v>35000</v>
      </c>
      <c r="E81" s="21">
        <f t="shared" si="7"/>
        <v>350000</v>
      </c>
      <c r="F81" s="24"/>
      <c r="G81" s="25"/>
      <c r="L81" s="34"/>
      <c r="M81" s="43" t="s">
        <v>93</v>
      </c>
      <c r="N81" s="13">
        <v>0.7</v>
      </c>
      <c r="O81" s="21">
        <v>15000</v>
      </c>
      <c r="P81" s="21">
        <v>11000</v>
      </c>
      <c r="Q81" s="47"/>
      <c r="R81" s="47"/>
    </row>
    <row r="82" s="1" customFormat="1" ht="16.8" spans="1:18">
      <c r="A82" s="15"/>
      <c r="B82" s="12" t="s">
        <v>110</v>
      </c>
      <c r="C82" s="13">
        <v>2</v>
      </c>
      <c r="D82" s="14">
        <v>120000</v>
      </c>
      <c r="E82" s="21">
        <f t="shared" si="7"/>
        <v>240000</v>
      </c>
      <c r="F82" s="24"/>
      <c r="G82" s="25"/>
      <c r="L82" s="34"/>
      <c r="M82" s="43" t="s">
        <v>111</v>
      </c>
      <c r="N82" s="51">
        <v>0.5</v>
      </c>
      <c r="O82" s="21">
        <v>30000</v>
      </c>
      <c r="P82" s="21">
        <f t="shared" ref="P82:P85" si="12">SUM(N82*O82)</f>
        <v>15000</v>
      </c>
      <c r="Q82" s="47"/>
      <c r="R82" s="47"/>
    </row>
    <row r="83" s="1" customFormat="1" ht="16.8" spans="1:18">
      <c r="A83" s="15"/>
      <c r="B83" s="12" t="s">
        <v>112</v>
      </c>
      <c r="C83" s="13">
        <v>2</v>
      </c>
      <c r="D83" s="14">
        <v>20000</v>
      </c>
      <c r="E83" s="21">
        <f t="shared" si="7"/>
        <v>40000</v>
      </c>
      <c r="F83" s="24"/>
      <c r="G83" s="25"/>
      <c r="L83" s="34"/>
      <c r="M83" s="43" t="s">
        <v>61</v>
      </c>
      <c r="N83" s="51">
        <v>1</v>
      </c>
      <c r="O83" s="21">
        <v>40000</v>
      </c>
      <c r="P83" s="21">
        <f t="shared" si="12"/>
        <v>40000</v>
      </c>
      <c r="Q83" s="47"/>
      <c r="R83" s="47"/>
    </row>
    <row r="84" s="1" customFormat="1" ht="16.8" spans="1:18">
      <c r="A84" s="15"/>
      <c r="B84" s="12" t="s">
        <v>113</v>
      </c>
      <c r="C84" s="13">
        <v>3</v>
      </c>
      <c r="D84" s="14">
        <v>45000</v>
      </c>
      <c r="E84" s="21">
        <f t="shared" si="7"/>
        <v>135000</v>
      </c>
      <c r="F84" s="24"/>
      <c r="G84" s="25"/>
      <c r="L84" s="34"/>
      <c r="M84" s="43" t="s">
        <v>62</v>
      </c>
      <c r="N84" s="51">
        <v>1</v>
      </c>
      <c r="O84" s="21">
        <v>49000</v>
      </c>
      <c r="P84" s="21">
        <f t="shared" si="12"/>
        <v>49000</v>
      </c>
      <c r="Q84" s="47"/>
      <c r="R84" s="47"/>
    </row>
    <row r="85" s="1" customFormat="1" ht="16.8" spans="1:18">
      <c r="A85" s="15"/>
      <c r="B85" s="12" t="s">
        <v>35</v>
      </c>
      <c r="C85" s="13">
        <v>0.3</v>
      </c>
      <c r="D85" s="14">
        <v>80000</v>
      </c>
      <c r="E85" s="21">
        <f t="shared" si="7"/>
        <v>24000</v>
      </c>
      <c r="F85" s="24"/>
      <c r="G85" s="25"/>
      <c r="L85" s="34"/>
      <c r="M85" s="43" t="s">
        <v>114</v>
      </c>
      <c r="N85" s="51">
        <v>2</v>
      </c>
      <c r="O85" s="21">
        <v>24000</v>
      </c>
      <c r="P85" s="21">
        <f t="shared" si="12"/>
        <v>48000</v>
      </c>
      <c r="Q85" s="47"/>
      <c r="R85" s="47"/>
    </row>
    <row r="86" s="1" customFormat="1" ht="16.8" spans="1:18">
      <c r="A86" s="15"/>
      <c r="B86" s="12" t="s">
        <v>43</v>
      </c>
      <c r="C86" s="13">
        <v>1</v>
      </c>
      <c r="D86" s="14">
        <v>220000</v>
      </c>
      <c r="E86" s="21">
        <f t="shared" si="7"/>
        <v>220000</v>
      </c>
      <c r="F86" s="24"/>
      <c r="G86" s="25"/>
      <c r="L86" s="41"/>
      <c r="M86" s="43" t="s">
        <v>35</v>
      </c>
      <c r="N86" s="51">
        <v>0.5</v>
      </c>
      <c r="O86" s="21">
        <v>35000</v>
      </c>
      <c r="P86" s="21">
        <v>18000</v>
      </c>
      <c r="Q86" s="49"/>
      <c r="R86" s="49"/>
    </row>
    <row r="87" s="1" customFormat="1" ht="16.8" spans="1:18">
      <c r="A87" s="15"/>
      <c r="B87" s="12" t="s">
        <v>48</v>
      </c>
      <c r="C87" s="13">
        <v>1</v>
      </c>
      <c r="D87" s="14">
        <v>330000</v>
      </c>
      <c r="E87" s="21">
        <f t="shared" si="7"/>
        <v>330000</v>
      </c>
      <c r="F87" s="24"/>
      <c r="G87" s="25"/>
      <c r="L87" s="31">
        <v>46033</v>
      </c>
      <c r="M87" s="43" t="s">
        <v>115</v>
      </c>
      <c r="N87" s="51">
        <v>6</v>
      </c>
      <c r="O87" s="21">
        <v>20000</v>
      </c>
      <c r="P87" s="21">
        <f t="shared" ref="P87:P91" si="13">O87*N87</f>
        <v>120000</v>
      </c>
      <c r="Q87" s="45">
        <f>SUM(P87:P101)</f>
        <v>978000</v>
      </c>
      <c r="R87" s="45" t="s">
        <v>11</v>
      </c>
    </row>
    <row r="88" s="1" customFormat="1" ht="16.8" spans="1:18">
      <c r="A88" s="15"/>
      <c r="B88" s="12" t="s">
        <v>38</v>
      </c>
      <c r="C88" s="13">
        <v>2</v>
      </c>
      <c r="D88" s="14">
        <v>22000</v>
      </c>
      <c r="E88" s="21">
        <f t="shared" si="7"/>
        <v>44000</v>
      </c>
      <c r="F88" s="24"/>
      <c r="G88" s="25"/>
      <c r="L88" s="34"/>
      <c r="M88" s="43" t="s">
        <v>66</v>
      </c>
      <c r="N88" s="51">
        <v>3</v>
      </c>
      <c r="O88" s="21">
        <v>70000</v>
      </c>
      <c r="P88" s="21">
        <f t="shared" si="13"/>
        <v>210000</v>
      </c>
      <c r="Q88" s="47"/>
      <c r="R88" s="47"/>
    </row>
    <row r="89" s="1" customFormat="1" ht="16.8" spans="1:18">
      <c r="A89" s="15"/>
      <c r="B89" s="12" t="s">
        <v>37</v>
      </c>
      <c r="C89" s="13">
        <v>2</v>
      </c>
      <c r="D89" s="14">
        <v>90000</v>
      </c>
      <c r="E89" s="21">
        <f t="shared" si="7"/>
        <v>180000</v>
      </c>
      <c r="F89" s="24"/>
      <c r="G89" s="25"/>
      <c r="L89" s="34"/>
      <c r="M89" s="43" t="s">
        <v>103</v>
      </c>
      <c r="N89" s="51">
        <v>1</v>
      </c>
      <c r="O89" s="21">
        <v>48000</v>
      </c>
      <c r="P89" s="21">
        <f t="shared" si="13"/>
        <v>48000</v>
      </c>
      <c r="Q89" s="47"/>
      <c r="R89" s="47"/>
    </row>
    <row r="90" s="1" customFormat="1" ht="16.8" spans="1:18">
      <c r="A90" s="15"/>
      <c r="B90" s="12" t="s">
        <v>116</v>
      </c>
      <c r="C90" s="13">
        <v>1</v>
      </c>
      <c r="D90" s="14">
        <v>270000</v>
      </c>
      <c r="E90" s="21">
        <f t="shared" si="7"/>
        <v>270000</v>
      </c>
      <c r="F90" s="24"/>
      <c r="G90" s="25"/>
      <c r="L90" s="34"/>
      <c r="M90" s="43" t="s">
        <v>80</v>
      </c>
      <c r="N90" s="51">
        <v>0.3</v>
      </c>
      <c r="O90" s="21">
        <v>20000</v>
      </c>
      <c r="P90" s="21">
        <f t="shared" si="13"/>
        <v>6000</v>
      </c>
      <c r="Q90" s="47"/>
      <c r="R90" s="47"/>
    </row>
    <row r="91" s="1" customFormat="1" ht="16.8" spans="1:18">
      <c r="A91" s="15"/>
      <c r="B91" s="12" t="s">
        <v>117</v>
      </c>
      <c r="C91" s="13">
        <v>5</v>
      </c>
      <c r="D91" s="14">
        <v>20000</v>
      </c>
      <c r="E91" s="21">
        <f t="shared" si="7"/>
        <v>100000</v>
      </c>
      <c r="F91" s="24"/>
      <c r="G91" s="25"/>
      <c r="L91" s="34"/>
      <c r="M91" s="43" t="s">
        <v>23</v>
      </c>
      <c r="N91" s="51">
        <v>0.5</v>
      </c>
      <c r="O91" s="21">
        <v>30000</v>
      </c>
      <c r="P91" s="21">
        <f t="shared" si="13"/>
        <v>15000</v>
      </c>
      <c r="Q91" s="47"/>
      <c r="R91" s="47"/>
    </row>
    <row r="92" s="1" customFormat="1" ht="16.8" spans="1:18">
      <c r="A92" s="15"/>
      <c r="B92" s="12" t="s">
        <v>118</v>
      </c>
      <c r="C92" s="13">
        <v>5</v>
      </c>
      <c r="D92" s="14">
        <v>5000</v>
      </c>
      <c r="E92" s="21">
        <f t="shared" si="7"/>
        <v>25000</v>
      </c>
      <c r="F92" s="24"/>
      <c r="G92" s="25"/>
      <c r="L92" s="34"/>
      <c r="M92" s="43" t="s">
        <v>93</v>
      </c>
      <c r="N92" s="51">
        <v>0.59</v>
      </c>
      <c r="O92" s="21">
        <v>15000</v>
      </c>
      <c r="P92" s="21">
        <v>9000</v>
      </c>
      <c r="Q92" s="47"/>
      <c r="R92" s="47"/>
    </row>
    <row r="93" s="1" customFormat="1" ht="16.8" spans="1:18">
      <c r="A93" s="15"/>
      <c r="B93" s="12" t="s">
        <v>119</v>
      </c>
      <c r="C93" s="13">
        <v>5</v>
      </c>
      <c r="D93" s="14">
        <v>5000</v>
      </c>
      <c r="E93" s="21">
        <f t="shared" si="7"/>
        <v>25000</v>
      </c>
      <c r="F93" s="24"/>
      <c r="G93" s="25"/>
      <c r="L93" s="34"/>
      <c r="M93" s="43" t="s">
        <v>111</v>
      </c>
      <c r="N93" s="51">
        <v>0.5</v>
      </c>
      <c r="O93" s="21">
        <v>30000</v>
      </c>
      <c r="P93" s="21">
        <f t="shared" ref="P93:P96" si="14">O93*N93</f>
        <v>15000</v>
      </c>
      <c r="Q93" s="47"/>
      <c r="R93" s="47"/>
    </row>
    <row r="94" s="1" customFormat="1" ht="16.8" spans="1:18">
      <c r="A94" s="15"/>
      <c r="B94" s="12" t="s">
        <v>120</v>
      </c>
      <c r="C94" s="13">
        <v>2</v>
      </c>
      <c r="D94" s="14">
        <v>25000</v>
      </c>
      <c r="E94" s="21">
        <f t="shared" si="7"/>
        <v>50000</v>
      </c>
      <c r="F94" s="24"/>
      <c r="G94" s="25"/>
      <c r="L94" s="34"/>
      <c r="M94" s="43" t="s">
        <v>75</v>
      </c>
      <c r="N94" s="51">
        <v>5</v>
      </c>
      <c r="O94" s="21">
        <v>10000</v>
      </c>
      <c r="P94" s="21">
        <f t="shared" si="14"/>
        <v>50000</v>
      </c>
      <c r="Q94" s="47"/>
      <c r="R94" s="47"/>
    </row>
    <row r="95" s="1" customFormat="1" ht="16.8" spans="1:18">
      <c r="A95" s="16"/>
      <c r="B95" s="12" t="s">
        <v>121</v>
      </c>
      <c r="C95" s="13">
        <v>3</v>
      </c>
      <c r="D95" s="14">
        <v>5000</v>
      </c>
      <c r="E95" s="21">
        <f t="shared" si="7"/>
        <v>15000</v>
      </c>
      <c r="F95" s="27"/>
      <c r="G95" s="28"/>
      <c r="L95" s="34"/>
      <c r="M95" s="43" t="s">
        <v>122</v>
      </c>
      <c r="N95" s="51">
        <v>1.32</v>
      </c>
      <c r="O95" s="21">
        <v>40000</v>
      </c>
      <c r="P95" s="21">
        <v>53000</v>
      </c>
      <c r="Q95" s="47"/>
      <c r="R95" s="47"/>
    </row>
    <row r="96" s="1" customFormat="1" ht="16.8" spans="1:18">
      <c r="A96" s="11">
        <v>46029</v>
      </c>
      <c r="B96" s="12" t="s">
        <v>79</v>
      </c>
      <c r="C96" s="13">
        <v>1</v>
      </c>
      <c r="D96" s="14">
        <v>275000</v>
      </c>
      <c r="E96" s="21">
        <f t="shared" si="7"/>
        <v>275000</v>
      </c>
      <c r="F96" s="22">
        <f>SUM(E96:E107)</f>
        <v>1765000</v>
      </c>
      <c r="G96" s="23" t="s">
        <v>11</v>
      </c>
      <c r="L96" s="34"/>
      <c r="M96" s="43" t="s">
        <v>69</v>
      </c>
      <c r="N96" s="51">
        <v>15</v>
      </c>
      <c r="O96" s="21">
        <v>2000</v>
      </c>
      <c r="P96" s="21">
        <f t="shared" si="14"/>
        <v>30000</v>
      </c>
      <c r="Q96" s="47"/>
      <c r="R96" s="47"/>
    </row>
    <row r="97" s="1" customFormat="1" ht="16.8" spans="1:18">
      <c r="A97" s="15"/>
      <c r="B97" s="12" t="s">
        <v>38</v>
      </c>
      <c r="C97" s="13">
        <v>2</v>
      </c>
      <c r="D97" s="14">
        <v>22000</v>
      </c>
      <c r="E97" s="21">
        <f t="shared" si="7"/>
        <v>44000</v>
      </c>
      <c r="F97" s="24"/>
      <c r="G97" s="25"/>
      <c r="L97" s="34"/>
      <c r="M97" s="43" t="s">
        <v>35</v>
      </c>
      <c r="N97" s="51">
        <v>0.3</v>
      </c>
      <c r="O97" s="21">
        <v>35000</v>
      </c>
      <c r="P97" s="21">
        <v>11000</v>
      </c>
      <c r="Q97" s="47"/>
      <c r="R97" s="47"/>
    </row>
    <row r="98" s="1" customFormat="1" ht="16.8" spans="1:18">
      <c r="A98" s="15"/>
      <c r="B98" s="12" t="s">
        <v>66</v>
      </c>
      <c r="C98" s="13">
        <v>1</v>
      </c>
      <c r="D98" s="14">
        <v>70000</v>
      </c>
      <c r="E98" s="21">
        <f t="shared" si="7"/>
        <v>70000</v>
      </c>
      <c r="F98" s="24"/>
      <c r="G98" s="25"/>
      <c r="L98" s="34"/>
      <c r="M98" s="43" t="s">
        <v>61</v>
      </c>
      <c r="N98" s="51">
        <v>3</v>
      </c>
      <c r="O98" s="21">
        <v>40000</v>
      </c>
      <c r="P98" s="21">
        <f t="shared" ref="P98:P105" si="15">O98*N98</f>
        <v>120000</v>
      </c>
      <c r="Q98" s="47"/>
      <c r="R98" s="47"/>
    </row>
    <row r="99" s="1" customFormat="1" ht="16.8" spans="1:18">
      <c r="A99" s="15"/>
      <c r="B99" s="12" t="s">
        <v>120</v>
      </c>
      <c r="C99" s="13">
        <v>2</v>
      </c>
      <c r="D99" s="14">
        <v>25000</v>
      </c>
      <c r="E99" s="21">
        <f t="shared" si="7"/>
        <v>50000</v>
      </c>
      <c r="F99" s="24"/>
      <c r="G99" s="25"/>
      <c r="L99" s="34"/>
      <c r="M99" s="43" t="s">
        <v>62</v>
      </c>
      <c r="N99" s="51">
        <v>3</v>
      </c>
      <c r="O99" s="21">
        <v>49000</v>
      </c>
      <c r="P99" s="21">
        <f t="shared" si="15"/>
        <v>147000</v>
      </c>
      <c r="Q99" s="47"/>
      <c r="R99" s="47"/>
    </row>
    <row r="100" s="1" customFormat="1" ht="16.8" spans="1:18">
      <c r="A100" s="15"/>
      <c r="B100" s="12" t="s">
        <v>48</v>
      </c>
      <c r="C100" s="13">
        <v>1</v>
      </c>
      <c r="D100" s="14">
        <v>330000</v>
      </c>
      <c r="E100" s="21">
        <f t="shared" si="7"/>
        <v>330000</v>
      </c>
      <c r="F100" s="24"/>
      <c r="G100" s="25"/>
      <c r="L100" s="34"/>
      <c r="M100" s="43" t="s">
        <v>28</v>
      </c>
      <c r="N100" s="51">
        <v>3</v>
      </c>
      <c r="O100" s="21">
        <v>24000</v>
      </c>
      <c r="P100" s="21">
        <f t="shared" si="15"/>
        <v>72000</v>
      </c>
      <c r="Q100" s="47"/>
      <c r="R100" s="47"/>
    </row>
    <row r="101" s="1" customFormat="1" ht="16.8" spans="1:18">
      <c r="A101" s="15"/>
      <c r="B101" s="12" t="s">
        <v>22</v>
      </c>
      <c r="C101" s="13">
        <v>1</v>
      </c>
      <c r="D101" s="14">
        <v>230000</v>
      </c>
      <c r="E101" s="21">
        <f t="shared" si="7"/>
        <v>230000</v>
      </c>
      <c r="F101" s="24"/>
      <c r="G101" s="25"/>
      <c r="L101" s="41"/>
      <c r="M101" s="43" t="s">
        <v>123</v>
      </c>
      <c r="N101" s="51">
        <v>4</v>
      </c>
      <c r="O101" s="21">
        <v>18000</v>
      </c>
      <c r="P101" s="21">
        <f t="shared" si="15"/>
        <v>72000</v>
      </c>
      <c r="Q101" s="49"/>
      <c r="R101" s="49"/>
    </row>
    <row r="102" s="1" customFormat="1" ht="16.8" spans="1:18">
      <c r="A102" s="15"/>
      <c r="B102" s="12" t="s">
        <v>124</v>
      </c>
      <c r="C102" s="13">
        <v>2</v>
      </c>
      <c r="D102" s="14">
        <v>15000</v>
      </c>
      <c r="E102" s="21">
        <f t="shared" si="7"/>
        <v>30000</v>
      </c>
      <c r="F102" s="24"/>
      <c r="G102" s="25"/>
      <c r="L102" s="31">
        <v>46034</v>
      </c>
      <c r="M102" s="43" t="s">
        <v>75</v>
      </c>
      <c r="N102" s="51">
        <v>5</v>
      </c>
      <c r="O102" s="21">
        <v>10000</v>
      </c>
      <c r="P102" s="21">
        <f t="shared" si="15"/>
        <v>50000</v>
      </c>
      <c r="Q102" s="45">
        <f>SUM(P102:P110)</f>
        <v>359000</v>
      </c>
      <c r="R102" s="45" t="s">
        <v>11</v>
      </c>
    </row>
    <row r="103" s="1" customFormat="1" ht="16.8" spans="1:18">
      <c r="A103" s="15"/>
      <c r="B103" s="12" t="s">
        <v>45</v>
      </c>
      <c r="C103" s="13">
        <v>2</v>
      </c>
      <c r="D103" s="14">
        <v>120000</v>
      </c>
      <c r="E103" s="21">
        <f t="shared" si="7"/>
        <v>240000</v>
      </c>
      <c r="F103" s="24"/>
      <c r="G103" s="25"/>
      <c r="L103" s="34"/>
      <c r="M103" s="43" t="s">
        <v>115</v>
      </c>
      <c r="N103" s="51">
        <v>3</v>
      </c>
      <c r="O103" s="21">
        <v>20000</v>
      </c>
      <c r="P103" s="21">
        <f t="shared" si="15"/>
        <v>60000</v>
      </c>
      <c r="Q103" s="47"/>
      <c r="R103" s="47"/>
    </row>
    <row r="104" s="1" customFormat="1" ht="16.8" spans="1:18">
      <c r="A104" s="15"/>
      <c r="B104" s="12" t="s">
        <v>99</v>
      </c>
      <c r="C104" s="13">
        <v>1</v>
      </c>
      <c r="D104" s="14">
        <v>360000</v>
      </c>
      <c r="E104" s="21">
        <f t="shared" si="7"/>
        <v>360000</v>
      </c>
      <c r="F104" s="24"/>
      <c r="G104" s="25"/>
      <c r="L104" s="34"/>
      <c r="M104" s="43" t="s">
        <v>12</v>
      </c>
      <c r="N104" s="51">
        <v>1</v>
      </c>
      <c r="O104" s="21">
        <v>70000</v>
      </c>
      <c r="P104" s="21">
        <f t="shared" si="15"/>
        <v>70000</v>
      </c>
      <c r="Q104" s="47"/>
      <c r="R104" s="47"/>
    </row>
    <row r="105" s="1" customFormat="1" ht="16.8" spans="1:18">
      <c r="A105" s="15"/>
      <c r="B105" s="12" t="s">
        <v>125</v>
      </c>
      <c r="C105" s="13">
        <v>2</v>
      </c>
      <c r="D105" s="14">
        <v>20000</v>
      </c>
      <c r="E105" s="21">
        <f t="shared" si="7"/>
        <v>40000</v>
      </c>
      <c r="F105" s="24"/>
      <c r="G105" s="25"/>
      <c r="L105" s="34"/>
      <c r="M105" s="43" t="s">
        <v>39</v>
      </c>
      <c r="N105" s="51">
        <v>0.3</v>
      </c>
      <c r="O105" s="21">
        <v>80000</v>
      </c>
      <c r="P105" s="21">
        <f t="shared" si="15"/>
        <v>24000</v>
      </c>
      <c r="Q105" s="47"/>
      <c r="R105" s="47"/>
    </row>
    <row r="106" s="1" customFormat="1" ht="16.8" spans="1:18">
      <c r="A106" s="15"/>
      <c r="B106" s="12" t="s">
        <v>122</v>
      </c>
      <c r="C106" s="13">
        <v>1.2</v>
      </c>
      <c r="D106" s="14">
        <v>40000</v>
      </c>
      <c r="E106" s="21">
        <f t="shared" si="7"/>
        <v>48000</v>
      </c>
      <c r="F106" s="24"/>
      <c r="G106" s="25"/>
      <c r="L106" s="34"/>
      <c r="M106" s="43" t="s">
        <v>42</v>
      </c>
      <c r="N106" s="51">
        <v>1.08</v>
      </c>
      <c r="O106" s="21">
        <v>40000</v>
      </c>
      <c r="P106" s="21">
        <v>43000</v>
      </c>
      <c r="Q106" s="47"/>
      <c r="R106" s="47"/>
    </row>
    <row r="107" s="1" customFormat="1" ht="16.8" spans="1:18">
      <c r="A107" s="16"/>
      <c r="B107" s="12" t="s">
        <v>126</v>
      </c>
      <c r="C107" s="13">
        <v>1</v>
      </c>
      <c r="D107" s="14">
        <v>48000</v>
      </c>
      <c r="E107" s="21">
        <f t="shared" si="7"/>
        <v>48000</v>
      </c>
      <c r="F107" s="27"/>
      <c r="G107" s="28"/>
      <c r="L107" s="34"/>
      <c r="M107" s="43" t="s">
        <v>23</v>
      </c>
      <c r="N107" s="51">
        <v>0.3</v>
      </c>
      <c r="O107" s="21">
        <v>30000</v>
      </c>
      <c r="P107" s="21">
        <f t="shared" ref="P107:P114" si="16">O107*N107</f>
        <v>9000</v>
      </c>
      <c r="Q107" s="47"/>
      <c r="R107" s="47"/>
    </row>
    <row r="108" s="1" customFormat="1" ht="16.8" spans="1:18">
      <c r="A108" s="11">
        <v>46030</v>
      </c>
      <c r="B108" s="12" t="s">
        <v>37</v>
      </c>
      <c r="C108" s="13">
        <v>7</v>
      </c>
      <c r="D108" s="14">
        <v>90000</v>
      </c>
      <c r="E108" s="21">
        <f t="shared" si="7"/>
        <v>630000</v>
      </c>
      <c r="F108" s="22">
        <f>SUM(E108:E128)</f>
        <v>1783000</v>
      </c>
      <c r="G108" s="23" t="s">
        <v>11</v>
      </c>
      <c r="L108" s="34"/>
      <c r="M108" s="43" t="s">
        <v>80</v>
      </c>
      <c r="N108" s="51">
        <v>0.3</v>
      </c>
      <c r="O108" s="21">
        <v>20000</v>
      </c>
      <c r="P108" s="21">
        <f t="shared" si="16"/>
        <v>6000</v>
      </c>
      <c r="Q108" s="47"/>
      <c r="R108" s="47"/>
    </row>
    <row r="109" s="1" customFormat="1" ht="16.8" spans="1:18">
      <c r="A109" s="15"/>
      <c r="B109" s="12" t="s">
        <v>38</v>
      </c>
      <c r="C109" s="13">
        <v>2</v>
      </c>
      <c r="D109" s="14">
        <v>22000</v>
      </c>
      <c r="E109" s="21">
        <f t="shared" si="7"/>
        <v>44000</v>
      </c>
      <c r="F109" s="24"/>
      <c r="G109" s="25"/>
      <c r="L109" s="34"/>
      <c r="M109" s="43" t="s">
        <v>62</v>
      </c>
      <c r="N109" s="51">
        <v>1</v>
      </c>
      <c r="O109" s="21">
        <v>49000</v>
      </c>
      <c r="P109" s="21">
        <f t="shared" si="16"/>
        <v>49000</v>
      </c>
      <c r="Q109" s="47"/>
      <c r="R109" s="47"/>
    </row>
    <row r="110" s="1" customFormat="1" ht="16.8" spans="1:18">
      <c r="A110" s="15"/>
      <c r="B110" s="12" t="s">
        <v>31</v>
      </c>
      <c r="C110" s="13">
        <v>2</v>
      </c>
      <c r="D110" s="14">
        <v>170000</v>
      </c>
      <c r="E110" s="21">
        <f t="shared" ref="E110:E120" si="17">D110*C110</f>
        <v>340000</v>
      </c>
      <c r="F110" s="24"/>
      <c r="G110" s="25"/>
      <c r="L110" s="41"/>
      <c r="M110" s="43" t="s">
        <v>114</v>
      </c>
      <c r="N110" s="51">
        <v>2</v>
      </c>
      <c r="O110" s="21">
        <v>24000</v>
      </c>
      <c r="P110" s="21">
        <f t="shared" si="16"/>
        <v>48000</v>
      </c>
      <c r="Q110" s="49"/>
      <c r="R110" s="49"/>
    </row>
    <row r="111" s="1" customFormat="1" ht="16.8" spans="1:18">
      <c r="A111" s="15"/>
      <c r="B111" s="12" t="s">
        <v>70</v>
      </c>
      <c r="C111" s="13">
        <v>0.05</v>
      </c>
      <c r="D111" s="14">
        <v>70000</v>
      </c>
      <c r="E111" s="21">
        <v>4000</v>
      </c>
      <c r="F111" s="24"/>
      <c r="G111" s="25"/>
      <c r="L111" s="31">
        <v>46035</v>
      </c>
      <c r="M111" s="43" t="s">
        <v>75</v>
      </c>
      <c r="N111" s="51">
        <v>10</v>
      </c>
      <c r="O111" s="21">
        <v>10000</v>
      </c>
      <c r="P111" s="21">
        <f t="shared" si="16"/>
        <v>100000</v>
      </c>
      <c r="Q111" s="45">
        <f>SUM(P111:P123)</f>
        <v>859000</v>
      </c>
      <c r="R111" s="45" t="s">
        <v>11</v>
      </c>
    </row>
    <row r="112" s="1" customFormat="1" ht="16.8" spans="1:18">
      <c r="A112" s="15"/>
      <c r="B112" s="12" t="s">
        <v>50</v>
      </c>
      <c r="C112" s="13">
        <v>0.1</v>
      </c>
      <c r="D112" s="14">
        <v>60000</v>
      </c>
      <c r="E112" s="21">
        <f t="shared" si="17"/>
        <v>6000</v>
      </c>
      <c r="F112" s="24"/>
      <c r="G112" s="25"/>
      <c r="L112" s="34"/>
      <c r="M112" s="43" t="s">
        <v>58</v>
      </c>
      <c r="N112" s="51">
        <v>4</v>
      </c>
      <c r="O112" s="21">
        <v>20000</v>
      </c>
      <c r="P112" s="21">
        <f t="shared" si="16"/>
        <v>80000</v>
      </c>
      <c r="Q112" s="47"/>
      <c r="R112" s="47"/>
    </row>
    <row r="113" s="1" customFormat="1" ht="16.8" spans="1:18">
      <c r="A113" s="15"/>
      <c r="B113" s="12" t="s">
        <v>127</v>
      </c>
      <c r="C113" s="13">
        <v>1</v>
      </c>
      <c r="D113" s="14">
        <v>60000</v>
      </c>
      <c r="E113" s="21">
        <f t="shared" si="17"/>
        <v>60000</v>
      </c>
      <c r="F113" s="24"/>
      <c r="G113" s="25"/>
      <c r="L113" s="34"/>
      <c r="M113" s="43" t="s">
        <v>66</v>
      </c>
      <c r="N113" s="51">
        <v>1</v>
      </c>
      <c r="O113" s="21">
        <v>70000</v>
      </c>
      <c r="P113" s="21">
        <f t="shared" si="16"/>
        <v>70000</v>
      </c>
      <c r="Q113" s="47"/>
      <c r="R113" s="47"/>
    </row>
    <row r="114" s="1" customFormat="1" ht="16.8" spans="1:18">
      <c r="A114" s="15"/>
      <c r="B114" s="12" t="s">
        <v>128</v>
      </c>
      <c r="C114" s="13">
        <v>0.5</v>
      </c>
      <c r="D114" s="14">
        <v>60000</v>
      </c>
      <c r="E114" s="21">
        <f t="shared" si="17"/>
        <v>30000</v>
      </c>
      <c r="F114" s="24"/>
      <c r="G114" s="25"/>
      <c r="L114" s="34"/>
      <c r="M114" s="43" t="s">
        <v>39</v>
      </c>
      <c r="N114" s="51">
        <v>0.3</v>
      </c>
      <c r="O114" s="21">
        <v>80000</v>
      </c>
      <c r="P114" s="21">
        <f t="shared" si="16"/>
        <v>24000</v>
      </c>
      <c r="Q114" s="47"/>
      <c r="R114" s="47"/>
    </row>
    <row r="115" s="1" customFormat="1" ht="16.8" spans="1:18">
      <c r="A115" s="15"/>
      <c r="B115" s="12" t="s">
        <v>129</v>
      </c>
      <c r="C115" s="13">
        <v>0.5</v>
      </c>
      <c r="D115" s="14">
        <v>70000</v>
      </c>
      <c r="E115" s="21">
        <f t="shared" si="17"/>
        <v>35000</v>
      </c>
      <c r="F115" s="24"/>
      <c r="G115" s="25"/>
      <c r="L115" s="34"/>
      <c r="M115" s="43" t="s">
        <v>42</v>
      </c>
      <c r="N115" s="51">
        <v>1.27</v>
      </c>
      <c r="O115" s="21">
        <v>40000</v>
      </c>
      <c r="P115" s="21">
        <v>51000</v>
      </c>
      <c r="Q115" s="47"/>
      <c r="R115" s="47"/>
    </row>
    <row r="116" s="1" customFormat="1" ht="16.8" spans="1:18">
      <c r="A116" s="15"/>
      <c r="B116" s="12" t="s">
        <v>93</v>
      </c>
      <c r="C116" s="13">
        <v>1</v>
      </c>
      <c r="D116" s="14">
        <v>15000</v>
      </c>
      <c r="E116" s="21">
        <f t="shared" si="17"/>
        <v>15000</v>
      </c>
      <c r="F116" s="24"/>
      <c r="G116" s="25"/>
      <c r="L116" s="34"/>
      <c r="M116" s="43" t="s">
        <v>23</v>
      </c>
      <c r="N116" s="51">
        <v>0.3</v>
      </c>
      <c r="O116" s="21">
        <v>30000</v>
      </c>
      <c r="P116" s="21">
        <f t="shared" ref="P116:P125" si="18">O116*N116</f>
        <v>9000</v>
      </c>
      <c r="Q116" s="47"/>
      <c r="R116" s="47"/>
    </row>
    <row r="117" s="1" customFormat="1" ht="16.8" spans="1:18">
      <c r="A117" s="15"/>
      <c r="B117" s="12" t="s">
        <v>72</v>
      </c>
      <c r="C117" s="13">
        <v>1.24</v>
      </c>
      <c r="D117" s="14">
        <v>25000</v>
      </c>
      <c r="E117" s="21">
        <f t="shared" si="17"/>
        <v>31000</v>
      </c>
      <c r="F117" s="24"/>
      <c r="G117" s="25"/>
      <c r="L117" s="34"/>
      <c r="M117" s="43" t="s">
        <v>80</v>
      </c>
      <c r="N117" s="51">
        <v>0.3</v>
      </c>
      <c r="O117" s="21">
        <v>20000</v>
      </c>
      <c r="P117" s="21">
        <f t="shared" si="18"/>
        <v>6000</v>
      </c>
      <c r="Q117" s="47"/>
      <c r="R117" s="47"/>
    </row>
    <row r="118" s="1" customFormat="1" ht="16.8" spans="1:18">
      <c r="A118" s="15"/>
      <c r="B118" s="12" t="s">
        <v>21</v>
      </c>
      <c r="C118" s="13">
        <v>0.2</v>
      </c>
      <c r="D118" s="14">
        <v>50000</v>
      </c>
      <c r="E118" s="21">
        <f t="shared" si="17"/>
        <v>10000</v>
      </c>
      <c r="F118" s="24"/>
      <c r="G118" s="25"/>
      <c r="L118" s="34"/>
      <c r="M118" s="43" t="s">
        <v>62</v>
      </c>
      <c r="N118" s="51">
        <v>1</v>
      </c>
      <c r="O118" s="21">
        <v>49000</v>
      </c>
      <c r="P118" s="21">
        <f t="shared" si="18"/>
        <v>49000</v>
      </c>
      <c r="Q118" s="47"/>
      <c r="R118" s="47"/>
    </row>
    <row r="119" s="1" customFormat="1" ht="16.8" spans="1:18">
      <c r="A119" s="15"/>
      <c r="B119" s="12" t="s">
        <v>130</v>
      </c>
      <c r="C119" s="13">
        <v>0.2</v>
      </c>
      <c r="D119" s="14">
        <v>70000</v>
      </c>
      <c r="E119" s="21">
        <f t="shared" si="17"/>
        <v>14000</v>
      </c>
      <c r="F119" s="24"/>
      <c r="G119" s="25"/>
      <c r="L119" s="34"/>
      <c r="M119" s="43" t="s">
        <v>28</v>
      </c>
      <c r="N119" s="51">
        <v>8</v>
      </c>
      <c r="O119" s="21">
        <v>24000</v>
      </c>
      <c r="P119" s="21">
        <f t="shared" si="18"/>
        <v>192000</v>
      </c>
      <c r="Q119" s="47"/>
      <c r="R119" s="47"/>
    </row>
    <row r="120" s="1" customFormat="1" ht="16.8" spans="1:18">
      <c r="A120" s="15"/>
      <c r="B120" s="12" t="s">
        <v>131</v>
      </c>
      <c r="C120" s="13">
        <v>0.2</v>
      </c>
      <c r="D120" s="14">
        <v>55000</v>
      </c>
      <c r="E120" s="21">
        <f t="shared" si="17"/>
        <v>11000</v>
      </c>
      <c r="F120" s="24"/>
      <c r="G120" s="25"/>
      <c r="L120" s="34"/>
      <c r="M120" s="43" t="s">
        <v>61</v>
      </c>
      <c r="N120" s="51">
        <v>2</v>
      </c>
      <c r="O120" s="21">
        <v>40000</v>
      </c>
      <c r="P120" s="21">
        <f t="shared" si="18"/>
        <v>80000</v>
      </c>
      <c r="Q120" s="47"/>
      <c r="R120" s="47"/>
    </row>
    <row r="121" s="1" customFormat="1" ht="16.8" spans="1:18">
      <c r="A121" s="15"/>
      <c r="B121" s="12" t="s">
        <v>57</v>
      </c>
      <c r="C121" s="13">
        <v>1.5</v>
      </c>
      <c r="D121" s="14">
        <v>15000</v>
      </c>
      <c r="E121" s="21">
        <v>23000</v>
      </c>
      <c r="F121" s="24"/>
      <c r="G121" s="25"/>
      <c r="L121" s="34"/>
      <c r="M121" s="43" t="s">
        <v>69</v>
      </c>
      <c r="N121" s="51">
        <v>19</v>
      </c>
      <c r="O121" s="21">
        <v>2000</v>
      </c>
      <c r="P121" s="21">
        <f t="shared" si="18"/>
        <v>38000</v>
      </c>
      <c r="Q121" s="47"/>
      <c r="R121" s="47"/>
    </row>
    <row r="122" s="1" customFormat="1" ht="16.8" spans="1:18">
      <c r="A122" s="15"/>
      <c r="B122" s="12" t="s">
        <v>132</v>
      </c>
      <c r="C122" s="13">
        <v>1</v>
      </c>
      <c r="D122" s="14">
        <v>70000</v>
      </c>
      <c r="E122" s="21">
        <f t="shared" ref="E122:E133" si="19">D122*C122</f>
        <v>70000</v>
      </c>
      <c r="F122" s="24"/>
      <c r="G122" s="25"/>
      <c r="L122" s="34"/>
      <c r="M122" s="43" t="s">
        <v>82</v>
      </c>
      <c r="N122" s="51">
        <v>1</v>
      </c>
      <c r="O122" s="21">
        <v>90000</v>
      </c>
      <c r="P122" s="21">
        <f t="shared" si="18"/>
        <v>90000</v>
      </c>
      <c r="Q122" s="47"/>
      <c r="R122" s="47"/>
    </row>
    <row r="123" s="1" customFormat="1" ht="16.8" spans="1:18">
      <c r="A123" s="15"/>
      <c r="B123" s="12" t="s">
        <v>68</v>
      </c>
      <c r="C123" s="13">
        <v>5</v>
      </c>
      <c r="D123" s="14">
        <v>25000</v>
      </c>
      <c r="E123" s="21">
        <f t="shared" si="19"/>
        <v>125000</v>
      </c>
      <c r="F123" s="24"/>
      <c r="G123" s="25"/>
      <c r="L123" s="41"/>
      <c r="M123" s="43" t="s">
        <v>26</v>
      </c>
      <c r="N123" s="51">
        <v>2</v>
      </c>
      <c r="O123" s="21">
        <v>35000</v>
      </c>
      <c r="P123" s="21">
        <f t="shared" si="18"/>
        <v>70000</v>
      </c>
      <c r="Q123" s="49"/>
      <c r="R123" s="49"/>
    </row>
    <row r="124" s="1" customFormat="1" ht="16.8" spans="1:18">
      <c r="A124" s="15"/>
      <c r="B124" s="12" t="s">
        <v>133</v>
      </c>
      <c r="C124" s="13">
        <v>5</v>
      </c>
      <c r="D124" s="14">
        <v>12000</v>
      </c>
      <c r="E124" s="21">
        <f t="shared" si="19"/>
        <v>60000</v>
      </c>
      <c r="F124" s="24"/>
      <c r="G124" s="25"/>
      <c r="L124" s="31">
        <v>46036</v>
      </c>
      <c r="M124" s="43" t="s">
        <v>75</v>
      </c>
      <c r="N124" s="51">
        <v>10</v>
      </c>
      <c r="O124" s="21">
        <v>10000</v>
      </c>
      <c r="P124" s="21">
        <f t="shared" si="18"/>
        <v>100000</v>
      </c>
      <c r="Q124" s="45">
        <f>SUM(P124:P139)</f>
        <v>1105000</v>
      </c>
      <c r="R124" s="45" t="s">
        <v>11</v>
      </c>
    </row>
    <row r="125" s="1" customFormat="1" ht="16.8" spans="1:18">
      <c r="A125" s="15"/>
      <c r="B125" s="12" t="s">
        <v>69</v>
      </c>
      <c r="C125" s="13">
        <v>15</v>
      </c>
      <c r="D125" s="14">
        <v>2000</v>
      </c>
      <c r="E125" s="21">
        <f t="shared" si="19"/>
        <v>30000</v>
      </c>
      <c r="F125" s="24"/>
      <c r="G125" s="25"/>
      <c r="L125" s="34"/>
      <c r="M125" s="43" t="s">
        <v>16</v>
      </c>
      <c r="N125" s="51">
        <v>4</v>
      </c>
      <c r="O125" s="21">
        <v>20000</v>
      </c>
      <c r="P125" s="21">
        <f t="shared" si="18"/>
        <v>80000</v>
      </c>
      <c r="Q125" s="47"/>
      <c r="R125" s="47"/>
    </row>
    <row r="126" s="1" customFormat="1" ht="16.8" spans="1:18">
      <c r="A126" s="15"/>
      <c r="B126" s="12" t="s">
        <v>84</v>
      </c>
      <c r="C126" s="13">
        <v>1</v>
      </c>
      <c r="D126" s="14">
        <v>170000</v>
      </c>
      <c r="E126" s="21">
        <f t="shared" si="19"/>
        <v>170000</v>
      </c>
      <c r="F126" s="24"/>
      <c r="G126" s="25"/>
      <c r="L126" s="34"/>
      <c r="M126" s="43" t="s">
        <v>66</v>
      </c>
      <c r="N126" s="51">
        <v>2.18</v>
      </c>
      <c r="O126" s="21">
        <v>70000</v>
      </c>
      <c r="P126" s="21">
        <v>153000</v>
      </c>
      <c r="Q126" s="47"/>
      <c r="R126" s="47"/>
    </row>
    <row r="127" s="1" customFormat="1" ht="16.8" spans="1:18">
      <c r="A127" s="15"/>
      <c r="B127" s="12" t="s">
        <v>51</v>
      </c>
      <c r="C127" s="13">
        <v>0.5</v>
      </c>
      <c r="D127" s="14">
        <v>70000</v>
      </c>
      <c r="E127" s="21">
        <f t="shared" si="19"/>
        <v>35000</v>
      </c>
      <c r="F127" s="24"/>
      <c r="G127" s="25"/>
      <c r="L127" s="34"/>
      <c r="M127" s="43" t="s">
        <v>103</v>
      </c>
      <c r="N127" s="51">
        <v>3</v>
      </c>
      <c r="O127" s="21">
        <v>48000</v>
      </c>
      <c r="P127" s="21">
        <f t="shared" ref="P127:P131" si="20">O127*N127</f>
        <v>144000</v>
      </c>
      <c r="Q127" s="47"/>
      <c r="R127" s="47"/>
    </row>
    <row r="128" s="1" customFormat="1" ht="16.8" spans="1:18">
      <c r="A128" s="16"/>
      <c r="B128" s="12" t="s">
        <v>53</v>
      </c>
      <c r="C128" s="13">
        <v>0.5</v>
      </c>
      <c r="D128" s="14">
        <v>80000</v>
      </c>
      <c r="E128" s="21">
        <f t="shared" si="19"/>
        <v>40000</v>
      </c>
      <c r="F128" s="27"/>
      <c r="G128" s="28"/>
      <c r="L128" s="34"/>
      <c r="M128" s="43" t="s">
        <v>44</v>
      </c>
      <c r="N128" s="51">
        <v>1</v>
      </c>
      <c r="O128" s="21">
        <v>38000</v>
      </c>
      <c r="P128" s="21">
        <f t="shared" si="20"/>
        <v>38000</v>
      </c>
      <c r="Q128" s="47"/>
      <c r="R128" s="47"/>
    </row>
    <row r="129" s="1" customFormat="1" ht="16.8" spans="1:18">
      <c r="A129" s="11">
        <v>46030</v>
      </c>
      <c r="B129" s="12" t="s">
        <v>59</v>
      </c>
      <c r="C129" s="13">
        <v>0.5</v>
      </c>
      <c r="D129" s="14">
        <v>60000</v>
      </c>
      <c r="E129" s="21">
        <f t="shared" si="19"/>
        <v>30000</v>
      </c>
      <c r="F129" s="22">
        <f>SUM(E129:E140)</f>
        <v>429000</v>
      </c>
      <c r="G129" s="23" t="s">
        <v>11</v>
      </c>
      <c r="L129" s="34"/>
      <c r="M129" s="43" t="s">
        <v>39</v>
      </c>
      <c r="N129" s="51">
        <v>0.3</v>
      </c>
      <c r="O129" s="21">
        <v>80000</v>
      </c>
      <c r="P129" s="21">
        <f t="shared" si="20"/>
        <v>24000</v>
      </c>
      <c r="Q129" s="47"/>
      <c r="R129" s="47"/>
    </row>
    <row r="130" s="1" customFormat="1" ht="16.8" spans="1:18">
      <c r="A130" s="15"/>
      <c r="B130" s="12" t="s">
        <v>134</v>
      </c>
      <c r="C130" s="13">
        <v>0.5</v>
      </c>
      <c r="D130" s="14">
        <v>60000</v>
      </c>
      <c r="E130" s="21">
        <f t="shared" si="19"/>
        <v>30000</v>
      </c>
      <c r="F130" s="24"/>
      <c r="G130" s="25"/>
      <c r="L130" s="34"/>
      <c r="M130" s="43" t="s">
        <v>23</v>
      </c>
      <c r="N130" s="51">
        <v>0.3</v>
      </c>
      <c r="O130" s="21">
        <v>30000</v>
      </c>
      <c r="P130" s="21">
        <f t="shared" si="20"/>
        <v>9000</v>
      </c>
      <c r="Q130" s="47"/>
      <c r="R130" s="47"/>
    </row>
    <row r="131" s="1" customFormat="1" ht="16.8" spans="1:18">
      <c r="A131" s="15"/>
      <c r="B131" s="12" t="s">
        <v>135</v>
      </c>
      <c r="C131" s="13">
        <v>0.2</v>
      </c>
      <c r="D131" s="14">
        <v>80000</v>
      </c>
      <c r="E131" s="21">
        <f t="shared" si="19"/>
        <v>16000</v>
      </c>
      <c r="F131" s="24"/>
      <c r="G131" s="25"/>
      <c r="L131" s="34"/>
      <c r="M131" s="43" t="s">
        <v>80</v>
      </c>
      <c r="N131" s="51">
        <v>0.5</v>
      </c>
      <c r="O131" s="21">
        <v>20000</v>
      </c>
      <c r="P131" s="21">
        <f t="shared" si="20"/>
        <v>10000</v>
      </c>
      <c r="Q131" s="47"/>
      <c r="R131" s="47"/>
    </row>
    <row r="132" s="1" customFormat="1" ht="16.8" spans="1:18">
      <c r="A132" s="15"/>
      <c r="B132" s="12" t="s">
        <v>40</v>
      </c>
      <c r="C132" s="13">
        <v>0.3</v>
      </c>
      <c r="D132" s="14">
        <v>80000</v>
      </c>
      <c r="E132" s="21">
        <f t="shared" si="19"/>
        <v>24000</v>
      </c>
      <c r="F132" s="24"/>
      <c r="G132" s="25"/>
      <c r="L132" s="34"/>
      <c r="M132" s="43" t="s">
        <v>32</v>
      </c>
      <c r="N132" s="51">
        <v>6.97</v>
      </c>
      <c r="O132" s="21">
        <v>15000</v>
      </c>
      <c r="P132" s="21">
        <v>105000</v>
      </c>
      <c r="Q132" s="47"/>
      <c r="R132" s="47"/>
    </row>
    <row r="133" s="1" customFormat="1" ht="16.8" spans="1:18">
      <c r="A133" s="15"/>
      <c r="B133" s="12" t="s">
        <v>136</v>
      </c>
      <c r="C133" s="13">
        <v>0.4</v>
      </c>
      <c r="D133" s="14">
        <v>40000</v>
      </c>
      <c r="E133" s="21">
        <f t="shared" si="19"/>
        <v>16000</v>
      </c>
      <c r="F133" s="24"/>
      <c r="G133" s="25"/>
      <c r="L133" s="34"/>
      <c r="M133" s="43" t="s">
        <v>137</v>
      </c>
      <c r="N133" s="51">
        <v>0.3</v>
      </c>
      <c r="O133" s="21">
        <v>80000</v>
      </c>
      <c r="P133" s="21">
        <f t="shared" ref="P133:P144" si="21">O133*N133</f>
        <v>24000</v>
      </c>
      <c r="Q133" s="47"/>
      <c r="R133" s="47"/>
    </row>
    <row r="134" s="1" customFormat="1" ht="16.8" spans="1:18">
      <c r="A134" s="15"/>
      <c r="B134" s="12" t="s">
        <v>138</v>
      </c>
      <c r="C134" s="13">
        <v>0.3</v>
      </c>
      <c r="D134" s="14">
        <v>95000</v>
      </c>
      <c r="E134" s="21">
        <v>29000</v>
      </c>
      <c r="F134" s="24"/>
      <c r="G134" s="25"/>
      <c r="L134" s="34"/>
      <c r="M134" s="43" t="s">
        <v>111</v>
      </c>
      <c r="N134" s="51">
        <v>1</v>
      </c>
      <c r="O134" s="21">
        <v>30000</v>
      </c>
      <c r="P134" s="21">
        <f t="shared" si="21"/>
        <v>30000</v>
      </c>
      <c r="Q134" s="47"/>
      <c r="R134" s="47"/>
    </row>
    <row r="135" s="1" customFormat="1" ht="16.8" spans="1:18">
      <c r="A135" s="15"/>
      <c r="B135" s="12" t="s">
        <v>42</v>
      </c>
      <c r="C135" s="13">
        <v>1.12</v>
      </c>
      <c r="D135" s="14">
        <v>40000</v>
      </c>
      <c r="E135" s="21">
        <f t="shared" ref="E135:E170" si="22">D135*C135</f>
        <v>44800</v>
      </c>
      <c r="F135" s="24"/>
      <c r="G135" s="25"/>
      <c r="L135" s="34"/>
      <c r="M135" s="43" t="s">
        <v>19</v>
      </c>
      <c r="N135" s="51">
        <v>1</v>
      </c>
      <c r="O135" s="21">
        <v>95000</v>
      </c>
      <c r="P135" s="21">
        <f t="shared" si="21"/>
        <v>95000</v>
      </c>
      <c r="Q135" s="47"/>
      <c r="R135" s="47"/>
    </row>
    <row r="136" s="1" customFormat="1" ht="16.8" spans="1:18">
      <c r="A136" s="15"/>
      <c r="B136" s="12" t="s">
        <v>122</v>
      </c>
      <c r="C136" s="13">
        <v>1.08</v>
      </c>
      <c r="D136" s="14">
        <v>40000</v>
      </c>
      <c r="E136" s="21">
        <f t="shared" si="22"/>
        <v>43200</v>
      </c>
      <c r="F136" s="24"/>
      <c r="G136" s="25"/>
      <c r="L136" s="34"/>
      <c r="M136" s="43" t="s">
        <v>93</v>
      </c>
      <c r="N136" s="51">
        <v>2</v>
      </c>
      <c r="O136" s="21">
        <v>12000</v>
      </c>
      <c r="P136" s="21">
        <f t="shared" si="21"/>
        <v>24000</v>
      </c>
      <c r="Q136" s="47"/>
      <c r="R136" s="47"/>
    </row>
    <row r="137" s="1" customFormat="1" ht="16.8" spans="1:18">
      <c r="A137" s="15"/>
      <c r="B137" s="12" t="s">
        <v>75</v>
      </c>
      <c r="C137" s="13">
        <v>4</v>
      </c>
      <c r="D137" s="14">
        <v>10000</v>
      </c>
      <c r="E137" s="21">
        <f t="shared" si="22"/>
        <v>40000</v>
      </c>
      <c r="F137" s="24"/>
      <c r="G137" s="25"/>
      <c r="L137" s="34"/>
      <c r="M137" s="43" t="s">
        <v>62</v>
      </c>
      <c r="N137" s="51">
        <v>1</v>
      </c>
      <c r="O137" s="21">
        <v>49000</v>
      </c>
      <c r="P137" s="21">
        <f t="shared" si="21"/>
        <v>49000</v>
      </c>
      <c r="Q137" s="47"/>
      <c r="R137" s="47"/>
    </row>
    <row r="138" s="1" customFormat="1" ht="16.8" spans="1:18">
      <c r="A138" s="15"/>
      <c r="B138" s="12" t="s">
        <v>12</v>
      </c>
      <c r="C138" s="13">
        <v>1</v>
      </c>
      <c r="D138" s="14">
        <v>70000</v>
      </c>
      <c r="E138" s="21">
        <f t="shared" si="22"/>
        <v>70000</v>
      </c>
      <c r="F138" s="24"/>
      <c r="G138" s="25"/>
      <c r="L138" s="34"/>
      <c r="M138" s="43" t="s">
        <v>114</v>
      </c>
      <c r="N138" s="51">
        <v>5</v>
      </c>
      <c r="O138" s="21">
        <v>24000</v>
      </c>
      <c r="P138" s="21">
        <f t="shared" si="21"/>
        <v>120000</v>
      </c>
      <c r="Q138" s="47"/>
      <c r="R138" s="47"/>
    </row>
    <row r="139" s="1" customFormat="1" ht="16.8" spans="1:18">
      <c r="A139" s="15"/>
      <c r="B139" s="12" t="s">
        <v>44</v>
      </c>
      <c r="C139" s="13">
        <v>1</v>
      </c>
      <c r="D139" s="14">
        <v>38000</v>
      </c>
      <c r="E139" s="21">
        <f t="shared" si="22"/>
        <v>38000</v>
      </c>
      <c r="F139" s="24"/>
      <c r="G139" s="25"/>
      <c r="L139" s="41"/>
      <c r="M139" s="43" t="s">
        <v>139</v>
      </c>
      <c r="N139" s="51">
        <v>2</v>
      </c>
      <c r="O139" s="21">
        <v>50000</v>
      </c>
      <c r="P139" s="21">
        <f t="shared" si="21"/>
        <v>100000</v>
      </c>
      <c r="Q139" s="49"/>
      <c r="R139" s="49"/>
    </row>
    <row r="140" s="1" customFormat="1" ht="16.8" spans="1:18">
      <c r="A140" s="16"/>
      <c r="B140" s="12" t="s">
        <v>126</v>
      </c>
      <c r="C140" s="13">
        <v>1</v>
      </c>
      <c r="D140" s="14">
        <v>48000</v>
      </c>
      <c r="E140" s="21">
        <f t="shared" si="22"/>
        <v>48000</v>
      </c>
      <c r="F140" s="27"/>
      <c r="G140" s="28"/>
      <c r="L140" s="31">
        <v>46037</v>
      </c>
      <c r="M140" s="43" t="s">
        <v>14</v>
      </c>
      <c r="N140" s="51">
        <v>8</v>
      </c>
      <c r="O140" s="21">
        <v>10000</v>
      </c>
      <c r="P140" s="21">
        <f t="shared" si="21"/>
        <v>80000</v>
      </c>
      <c r="Q140" s="45">
        <f>SUM(P140:P151)</f>
        <v>798000</v>
      </c>
      <c r="R140" s="45" t="s">
        <v>11</v>
      </c>
    </row>
    <row r="141" s="1" customFormat="1" ht="16.8" spans="1:18">
      <c r="A141" s="11">
        <v>46031</v>
      </c>
      <c r="B141" s="12" t="s">
        <v>68</v>
      </c>
      <c r="C141" s="13">
        <v>10</v>
      </c>
      <c r="D141" s="14">
        <v>25000</v>
      </c>
      <c r="E141" s="21">
        <f t="shared" si="22"/>
        <v>250000</v>
      </c>
      <c r="F141" s="22">
        <f>SUM(E141:E162)</f>
        <v>2078000</v>
      </c>
      <c r="G141" s="23" t="s">
        <v>11</v>
      </c>
      <c r="L141" s="34"/>
      <c r="M141" s="43" t="s">
        <v>44</v>
      </c>
      <c r="N141" s="51">
        <v>1</v>
      </c>
      <c r="O141" s="21">
        <v>38000</v>
      </c>
      <c r="P141" s="21">
        <f t="shared" si="21"/>
        <v>38000</v>
      </c>
      <c r="Q141" s="47"/>
      <c r="R141" s="47"/>
    </row>
    <row r="142" s="1" customFormat="1" ht="16.8" spans="1:18">
      <c r="A142" s="15"/>
      <c r="B142" s="12" t="s">
        <v>97</v>
      </c>
      <c r="C142" s="13">
        <v>2</v>
      </c>
      <c r="D142" s="14">
        <v>20000</v>
      </c>
      <c r="E142" s="21">
        <f t="shared" si="22"/>
        <v>40000</v>
      </c>
      <c r="F142" s="24"/>
      <c r="G142" s="25"/>
      <c r="L142" s="34"/>
      <c r="M142" s="43" t="s">
        <v>66</v>
      </c>
      <c r="N142" s="51">
        <v>2</v>
      </c>
      <c r="O142" s="21">
        <v>70000</v>
      </c>
      <c r="P142" s="21">
        <f t="shared" si="21"/>
        <v>140000</v>
      </c>
      <c r="Q142" s="47"/>
      <c r="R142" s="47"/>
    </row>
    <row r="143" s="1" customFormat="1" ht="16.8" spans="1:18">
      <c r="A143" s="15"/>
      <c r="B143" s="12" t="s">
        <v>140</v>
      </c>
      <c r="C143" s="13">
        <v>1</v>
      </c>
      <c r="D143" s="14">
        <v>160000</v>
      </c>
      <c r="E143" s="21">
        <f t="shared" si="22"/>
        <v>160000</v>
      </c>
      <c r="F143" s="24"/>
      <c r="G143" s="25"/>
      <c r="L143" s="34"/>
      <c r="M143" s="43" t="s">
        <v>16</v>
      </c>
      <c r="N143" s="51">
        <v>2</v>
      </c>
      <c r="O143" s="21">
        <v>20000</v>
      </c>
      <c r="P143" s="21">
        <f t="shared" si="21"/>
        <v>40000</v>
      </c>
      <c r="Q143" s="47"/>
      <c r="R143" s="47"/>
    </row>
    <row r="144" s="1" customFormat="1" ht="16.8" spans="1:18">
      <c r="A144" s="15"/>
      <c r="B144" s="12" t="s">
        <v>41</v>
      </c>
      <c r="C144" s="13">
        <v>1</v>
      </c>
      <c r="D144" s="14">
        <v>30000</v>
      </c>
      <c r="E144" s="21">
        <f t="shared" si="22"/>
        <v>30000</v>
      </c>
      <c r="F144" s="24"/>
      <c r="G144" s="25"/>
      <c r="L144" s="34"/>
      <c r="M144" s="43" t="s">
        <v>42</v>
      </c>
      <c r="N144" s="51">
        <v>1.2</v>
      </c>
      <c r="O144" s="21">
        <v>40000</v>
      </c>
      <c r="P144" s="21">
        <f t="shared" si="21"/>
        <v>48000</v>
      </c>
      <c r="Q144" s="47"/>
      <c r="R144" s="47"/>
    </row>
    <row r="145" s="1" customFormat="1" ht="16.8" spans="1:18">
      <c r="A145" s="15"/>
      <c r="B145" s="12" t="s">
        <v>24</v>
      </c>
      <c r="C145" s="13">
        <v>1</v>
      </c>
      <c r="D145" s="14">
        <v>400000</v>
      </c>
      <c r="E145" s="21">
        <f t="shared" si="22"/>
        <v>400000</v>
      </c>
      <c r="F145" s="24"/>
      <c r="G145" s="25"/>
      <c r="L145" s="34"/>
      <c r="M145" s="43" t="s">
        <v>141</v>
      </c>
      <c r="N145" s="51">
        <v>0.5</v>
      </c>
      <c r="O145" s="21">
        <v>35000</v>
      </c>
      <c r="P145" s="21">
        <v>18000</v>
      </c>
      <c r="Q145" s="47"/>
      <c r="R145" s="47"/>
    </row>
    <row r="146" s="1" customFormat="1" ht="16.8" spans="1:18">
      <c r="A146" s="15"/>
      <c r="B146" s="12" t="s">
        <v>87</v>
      </c>
      <c r="C146" s="13">
        <v>2</v>
      </c>
      <c r="D146" s="14">
        <v>20000</v>
      </c>
      <c r="E146" s="21">
        <f t="shared" si="22"/>
        <v>40000</v>
      </c>
      <c r="F146" s="24"/>
      <c r="G146" s="25"/>
      <c r="L146" s="34"/>
      <c r="M146" s="43" t="s">
        <v>19</v>
      </c>
      <c r="N146" s="51">
        <v>0.5</v>
      </c>
      <c r="O146" s="21">
        <v>95000</v>
      </c>
      <c r="P146" s="21">
        <v>48000</v>
      </c>
      <c r="Q146" s="47"/>
      <c r="R146" s="47"/>
    </row>
    <row r="147" s="1" customFormat="1" ht="16.8" spans="1:18">
      <c r="A147" s="15"/>
      <c r="B147" s="12" t="s">
        <v>142</v>
      </c>
      <c r="C147" s="13">
        <v>3</v>
      </c>
      <c r="D147" s="14">
        <v>30000</v>
      </c>
      <c r="E147" s="21">
        <f t="shared" si="22"/>
        <v>90000</v>
      </c>
      <c r="F147" s="24"/>
      <c r="G147" s="25"/>
      <c r="L147" s="34"/>
      <c r="M147" s="43" t="s">
        <v>80</v>
      </c>
      <c r="N147" s="51">
        <v>0.5</v>
      </c>
      <c r="O147" s="21">
        <v>20000</v>
      </c>
      <c r="P147" s="21">
        <f t="shared" ref="P147:P157" si="23">O147*N147</f>
        <v>10000</v>
      </c>
      <c r="Q147" s="47"/>
      <c r="R147" s="47"/>
    </row>
    <row r="148" s="1" customFormat="1" ht="16.8" spans="1:18">
      <c r="A148" s="15"/>
      <c r="B148" s="12" t="s">
        <v>99</v>
      </c>
      <c r="C148" s="13">
        <v>1</v>
      </c>
      <c r="D148" s="14">
        <v>360000</v>
      </c>
      <c r="E148" s="21">
        <f t="shared" si="22"/>
        <v>360000</v>
      </c>
      <c r="F148" s="24"/>
      <c r="G148" s="25"/>
      <c r="L148" s="34"/>
      <c r="M148" s="43" t="s">
        <v>23</v>
      </c>
      <c r="N148" s="51">
        <v>0.5</v>
      </c>
      <c r="O148" s="21">
        <v>30000</v>
      </c>
      <c r="P148" s="21">
        <f t="shared" si="23"/>
        <v>15000</v>
      </c>
      <c r="Q148" s="47"/>
      <c r="R148" s="47"/>
    </row>
    <row r="149" s="1" customFormat="1" ht="16.8" spans="1:18">
      <c r="A149" s="15"/>
      <c r="B149" s="12" t="s">
        <v>26</v>
      </c>
      <c r="C149" s="13">
        <v>2</v>
      </c>
      <c r="D149" s="14">
        <v>35000</v>
      </c>
      <c r="E149" s="21">
        <f t="shared" si="22"/>
        <v>70000</v>
      </c>
      <c r="F149" s="24"/>
      <c r="G149" s="25"/>
      <c r="L149" s="34"/>
      <c r="M149" s="43" t="s">
        <v>114</v>
      </c>
      <c r="N149" s="51">
        <v>8</v>
      </c>
      <c r="O149" s="21">
        <v>24000</v>
      </c>
      <c r="P149" s="21">
        <f t="shared" si="23"/>
        <v>192000</v>
      </c>
      <c r="Q149" s="47"/>
      <c r="R149" s="47"/>
    </row>
    <row r="150" s="1" customFormat="1" ht="16.8" spans="1:18">
      <c r="A150" s="15"/>
      <c r="B150" s="12" t="s">
        <v>143</v>
      </c>
      <c r="C150" s="13">
        <v>3</v>
      </c>
      <c r="D150" s="14">
        <v>25000</v>
      </c>
      <c r="E150" s="21">
        <f t="shared" si="22"/>
        <v>75000</v>
      </c>
      <c r="F150" s="24"/>
      <c r="G150" s="25"/>
      <c r="L150" s="34"/>
      <c r="M150" s="43" t="s">
        <v>52</v>
      </c>
      <c r="N150" s="51">
        <v>3</v>
      </c>
      <c r="O150" s="21">
        <v>40000</v>
      </c>
      <c r="P150" s="21">
        <f t="shared" si="23"/>
        <v>120000</v>
      </c>
      <c r="Q150" s="47"/>
      <c r="R150" s="47"/>
    </row>
    <row r="151" s="1" customFormat="1" ht="16.8" spans="1:18">
      <c r="A151" s="15"/>
      <c r="B151" s="12" t="s">
        <v>144</v>
      </c>
      <c r="C151" s="13">
        <v>2</v>
      </c>
      <c r="D151" s="14">
        <v>40000</v>
      </c>
      <c r="E151" s="21">
        <f t="shared" si="22"/>
        <v>80000</v>
      </c>
      <c r="F151" s="24"/>
      <c r="G151" s="25"/>
      <c r="L151" s="41"/>
      <c r="M151" s="43" t="s">
        <v>62</v>
      </c>
      <c r="N151" s="51">
        <v>1</v>
      </c>
      <c r="O151" s="21">
        <v>49000</v>
      </c>
      <c r="P151" s="21">
        <f t="shared" si="23"/>
        <v>49000</v>
      </c>
      <c r="Q151" s="49"/>
      <c r="R151" s="49"/>
    </row>
    <row r="152" s="1" customFormat="1" ht="16.8" spans="1:18">
      <c r="A152" s="15"/>
      <c r="B152" s="12" t="s">
        <v>69</v>
      </c>
      <c r="C152" s="13">
        <v>30</v>
      </c>
      <c r="D152" s="14">
        <v>2000</v>
      </c>
      <c r="E152" s="21">
        <f t="shared" si="22"/>
        <v>60000</v>
      </c>
      <c r="F152" s="24"/>
      <c r="G152" s="25"/>
      <c r="L152" s="11">
        <v>46038</v>
      </c>
      <c r="M152" s="12" t="s">
        <v>75</v>
      </c>
      <c r="N152" s="13">
        <v>6</v>
      </c>
      <c r="O152" s="14">
        <v>10000</v>
      </c>
      <c r="P152" s="21">
        <f t="shared" si="23"/>
        <v>60000</v>
      </c>
      <c r="Q152" s="22">
        <f>SUM(P152:P164)</f>
        <v>738000</v>
      </c>
      <c r="R152" s="22" t="s">
        <v>11</v>
      </c>
    </row>
    <row r="153" s="1" customFormat="1" ht="16.8" spans="1:18">
      <c r="A153" s="15"/>
      <c r="B153" s="12" t="s">
        <v>100</v>
      </c>
      <c r="C153" s="13">
        <v>1</v>
      </c>
      <c r="D153" s="14">
        <v>170000</v>
      </c>
      <c r="E153" s="21">
        <f t="shared" si="22"/>
        <v>170000</v>
      </c>
      <c r="F153" s="24"/>
      <c r="G153" s="25"/>
      <c r="L153" s="15"/>
      <c r="M153" s="12" t="s">
        <v>115</v>
      </c>
      <c r="N153" s="13">
        <v>5</v>
      </c>
      <c r="O153" s="14">
        <v>20000</v>
      </c>
      <c r="P153" s="21">
        <f t="shared" si="23"/>
        <v>100000</v>
      </c>
      <c r="Q153" s="24"/>
      <c r="R153" s="24"/>
    </row>
    <row r="154" s="1" customFormat="1" ht="16.8" spans="1:18">
      <c r="A154" s="15"/>
      <c r="B154" s="12" t="s">
        <v>145</v>
      </c>
      <c r="C154" s="13">
        <v>1</v>
      </c>
      <c r="D154" s="14">
        <v>40000</v>
      </c>
      <c r="E154" s="21">
        <f t="shared" si="22"/>
        <v>40000</v>
      </c>
      <c r="F154" s="24"/>
      <c r="G154" s="25"/>
      <c r="L154" s="15"/>
      <c r="M154" s="12" t="s">
        <v>12</v>
      </c>
      <c r="N154" s="13">
        <v>3</v>
      </c>
      <c r="O154" s="14">
        <v>70000</v>
      </c>
      <c r="P154" s="21">
        <f t="shared" si="23"/>
        <v>210000</v>
      </c>
      <c r="Q154" s="24"/>
      <c r="R154" s="24"/>
    </row>
    <row r="155" s="1" customFormat="1" ht="16.8" spans="1:18">
      <c r="A155" s="15"/>
      <c r="B155" s="12" t="s">
        <v>146</v>
      </c>
      <c r="C155" s="13">
        <v>3</v>
      </c>
      <c r="D155" s="14">
        <v>20000</v>
      </c>
      <c r="E155" s="21">
        <f t="shared" si="22"/>
        <v>60000</v>
      </c>
      <c r="F155" s="24"/>
      <c r="G155" s="25"/>
      <c r="L155" s="15"/>
      <c r="M155" s="12" t="s">
        <v>93</v>
      </c>
      <c r="N155" s="13">
        <v>1</v>
      </c>
      <c r="O155" s="14">
        <v>15000</v>
      </c>
      <c r="P155" s="21">
        <f t="shared" si="23"/>
        <v>15000</v>
      </c>
      <c r="Q155" s="24"/>
      <c r="R155" s="24"/>
    </row>
    <row r="156" s="1" customFormat="1" ht="16.8" spans="1:18">
      <c r="A156" s="15"/>
      <c r="B156" s="12" t="s">
        <v>55</v>
      </c>
      <c r="C156" s="13">
        <v>1</v>
      </c>
      <c r="D156" s="14">
        <v>15000</v>
      </c>
      <c r="E156" s="21">
        <f t="shared" si="22"/>
        <v>15000</v>
      </c>
      <c r="F156" s="24"/>
      <c r="G156" s="25"/>
      <c r="L156" s="15"/>
      <c r="M156" s="12" t="s">
        <v>103</v>
      </c>
      <c r="N156" s="13">
        <v>1</v>
      </c>
      <c r="O156" s="14">
        <v>48000</v>
      </c>
      <c r="P156" s="21">
        <f t="shared" si="23"/>
        <v>48000</v>
      </c>
      <c r="Q156" s="24"/>
      <c r="R156" s="24"/>
    </row>
    <row r="157" s="1" customFormat="1" ht="16.8" spans="1:18">
      <c r="A157" s="15"/>
      <c r="B157" s="12" t="s">
        <v>147</v>
      </c>
      <c r="C157" s="13">
        <v>0.1</v>
      </c>
      <c r="D157" s="14">
        <v>80000</v>
      </c>
      <c r="E157" s="21">
        <f t="shared" si="22"/>
        <v>8000</v>
      </c>
      <c r="F157" s="24"/>
      <c r="G157" s="25"/>
      <c r="L157" s="15"/>
      <c r="M157" s="12" t="s">
        <v>42</v>
      </c>
      <c r="N157" s="13">
        <v>1.1</v>
      </c>
      <c r="O157" s="14">
        <v>40000</v>
      </c>
      <c r="P157" s="21">
        <f t="shared" si="23"/>
        <v>44000</v>
      </c>
      <c r="Q157" s="24"/>
      <c r="R157" s="24"/>
    </row>
    <row r="158" s="1" customFormat="1" ht="16.8" spans="1:18">
      <c r="A158" s="15"/>
      <c r="B158" s="12" t="s">
        <v>50</v>
      </c>
      <c r="C158" s="13">
        <v>0.1</v>
      </c>
      <c r="D158" s="14">
        <v>60000</v>
      </c>
      <c r="E158" s="21">
        <f t="shared" si="22"/>
        <v>6000</v>
      </c>
      <c r="F158" s="24"/>
      <c r="G158" s="25"/>
      <c r="L158" s="15"/>
      <c r="M158" s="12" t="s">
        <v>32</v>
      </c>
      <c r="N158" s="13">
        <v>3.225</v>
      </c>
      <c r="O158" s="14">
        <v>15000</v>
      </c>
      <c r="P158" s="21">
        <v>48000</v>
      </c>
      <c r="Q158" s="24"/>
      <c r="R158" s="24"/>
    </row>
    <row r="159" s="1" customFormat="1" ht="16.8" spans="1:18">
      <c r="A159" s="15"/>
      <c r="B159" s="12" t="s">
        <v>63</v>
      </c>
      <c r="C159" s="13">
        <v>0.3</v>
      </c>
      <c r="D159" s="14">
        <v>50000</v>
      </c>
      <c r="E159" s="21">
        <f t="shared" si="22"/>
        <v>15000</v>
      </c>
      <c r="F159" s="24"/>
      <c r="G159" s="25"/>
      <c r="L159" s="15"/>
      <c r="M159" s="12" t="s">
        <v>69</v>
      </c>
      <c r="N159" s="13">
        <v>1</v>
      </c>
      <c r="O159" s="14">
        <v>34000</v>
      </c>
      <c r="P159" s="21">
        <f t="shared" ref="P159:P168" si="24">O159*N159</f>
        <v>34000</v>
      </c>
      <c r="Q159" s="24"/>
      <c r="R159" s="24"/>
    </row>
    <row r="160" s="1" customFormat="1" ht="16.8" spans="1:18">
      <c r="A160" s="15"/>
      <c r="B160" s="12" t="s">
        <v>130</v>
      </c>
      <c r="C160" s="13">
        <v>0.5</v>
      </c>
      <c r="D160" s="14">
        <v>70000</v>
      </c>
      <c r="E160" s="21">
        <f t="shared" si="22"/>
        <v>35000</v>
      </c>
      <c r="F160" s="24"/>
      <c r="G160" s="25"/>
      <c r="H160" s="1"/>
      <c r="L160" s="15"/>
      <c r="M160" s="12" t="s">
        <v>80</v>
      </c>
      <c r="N160" s="13">
        <v>0.3</v>
      </c>
      <c r="O160" s="14">
        <v>20000</v>
      </c>
      <c r="P160" s="21">
        <f t="shared" si="24"/>
        <v>6000</v>
      </c>
      <c r="Q160" s="24"/>
      <c r="R160" s="24"/>
    </row>
    <row r="161" s="1" customFormat="1" ht="16.8" spans="1:18">
      <c r="A161" s="15"/>
      <c r="B161" s="12" t="s">
        <v>57</v>
      </c>
      <c r="C161" s="13">
        <v>2</v>
      </c>
      <c r="D161" s="14">
        <v>15000</v>
      </c>
      <c r="E161" s="21">
        <f t="shared" si="22"/>
        <v>30000</v>
      </c>
      <c r="F161" s="24"/>
      <c r="G161" s="25"/>
      <c r="H161" s="1"/>
      <c r="L161" s="15"/>
      <c r="M161" s="12" t="s">
        <v>23</v>
      </c>
      <c r="N161" s="13">
        <v>0.3</v>
      </c>
      <c r="O161" s="14">
        <v>30000</v>
      </c>
      <c r="P161" s="21">
        <f t="shared" si="24"/>
        <v>9000</v>
      </c>
      <c r="Q161" s="24"/>
      <c r="R161" s="24"/>
    </row>
    <row r="162" s="1" customFormat="1" ht="16.8" spans="1:18">
      <c r="A162" s="16"/>
      <c r="B162" s="12" t="s">
        <v>38</v>
      </c>
      <c r="C162" s="13">
        <v>2</v>
      </c>
      <c r="D162" s="14">
        <v>22000</v>
      </c>
      <c r="E162" s="21">
        <f t="shared" si="22"/>
        <v>44000</v>
      </c>
      <c r="F162" s="27"/>
      <c r="G162" s="28"/>
      <c r="L162" s="15"/>
      <c r="M162" s="12" t="s">
        <v>62</v>
      </c>
      <c r="N162" s="13">
        <v>1</v>
      </c>
      <c r="O162" s="14">
        <v>49000</v>
      </c>
      <c r="P162" s="21">
        <f t="shared" si="24"/>
        <v>49000</v>
      </c>
      <c r="Q162" s="24"/>
      <c r="R162" s="24"/>
    </row>
    <row r="163" s="1" customFormat="1" ht="16.8" spans="1:18">
      <c r="A163" s="11">
        <v>46031</v>
      </c>
      <c r="B163" s="12" t="s">
        <v>36</v>
      </c>
      <c r="C163" s="13">
        <v>1</v>
      </c>
      <c r="D163" s="14">
        <v>170000</v>
      </c>
      <c r="E163" s="21">
        <f t="shared" si="22"/>
        <v>170000</v>
      </c>
      <c r="F163" s="22">
        <f>SUM(E163:E184)</f>
        <v>2339000</v>
      </c>
      <c r="G163" s="23" t="s">
        <v>11</v>
      </c>
      <c r="L163" s="15"/>
      <c r="M163" s="12" t="s">
        <v>114</v>
      </c>
      <c r="N163" s="13">
        <v>4</v>
      </c>
      <c r="O163" s="14">
        <v>24000</v>
      </c>
      <c r="P163" s="21">
        <f t="shared" si="24"/>
        <v>96000</v>
      </c>
      <c r="Q163" s="24"/>
      <c r="R163" s="24"/>
    </row>
    <row r="164" s="1" customFormat="1" ht="16.8" spans="1:18">
      <c r="A164" s="15"/>
      <c r="B164" s="12" t="s">
        <v>81</v>
      </c>
      <c r="C164" s="13">
        <v>2</v>
      </c>
      <c r="D164" s="14">
        <v>90000</v>
      </c>
      <c r="E164" s="21">
        <f t="shared" si="22"/>
        <v>180000</v>
      </c>
      <c r="F164" s="24"/>
      <c r="G164" s="25"/>
      <c r="L164" s="16"/>
      <c r="M164" s="12" t="s">
        <v>97</v>
      </c>
      <c r="N164" s="13">
        <v>1</v>
      </c>
      <c r="O164" s="14">
        <v>19000</v>
      </c>
      <c r="P164" s="21">
        <f t="shared" si="24"/>
        <v>19000</v>
      </c>
      <c r="Q164" s="27"/>
      <c r="R164" s="27"/>
    </row>
    <row r="165" s="1" customFormat="1" ht="16.8" spans="1:18">
      <c r="A165" s="15"/>
      <c r="B165" s="12" t="s">
        <v>148</v>
      </c>
      <c r="C165" s="13">
        <v>10</v>
      </c>
      <c r="D165" s="14">
        <v>15000</v>
      </c>
      <c r="E165" s="21">
        <f t="shared" si="22"/>
        <v>150000</v>
      </c>
      <c r="F165" s="24"/>
      <c r="G165" s="25"/>
      <c r="L165" s="31">
        <v>46039</v>
      </c>
      <c r="M165" s="43" t="s">
        <v>14</v>
      </c>
      <c r="N165" s="51">
        <v>10</v>
      </c>
      <c r="O165" s="21">
        <v>10000</v>
      </c>
      <c r="P165" s="21">
        <f t="shared" si="24"/>
        <v>100000</v>
      </c>
      <c r="Q165" s="45">
        <f>SUM(P165:P180)</f>
        <v>907000</v>
      </c>
      <c r="R165" s="45" t="s">
        <v>11</v>
      </c>
    </row>
    <row r="166" s="1" customFormat="1" ht="16.8" spans="1:18">
      <c r="A166" s="15"/>
      <c r="B166" s="12" t="s">
        <v>116</v>
      </c>
      <c r="C166" s="13">
        <v>1</v>
      </c>
      <c r="D166" s="14">
        <v>270000</v>
      </c>
      <c r="E166" s="21">
        <f t="shared" si="22"/>
        <v>270000</v>
      </c>
      <c r="F166" s="24"/>
      <c r="G166" s="25"/>
      <c r="L166" s="34"/>
      <c r="M166" s="43" t="s">
        <v>66</v>
      </c>
      <c r="N166" s="51">
        <v>2</v>
      </c>
      <c r="O166" s="21">
        <v>70000</v>
      </c>
      <c r="P166" s="21">
        <f t="shared" si="24"/>
        <v>140000</v>
      </c>
      <c r="Q166" s="47"/>
      <c r="R166" s="47"/>
    </row>
    <row r="167" s="1" customFormat="1" ht="16.8" spans="1:18">
      <c r="A167" s="15"/>
      <c r="B167" s="12" t="s">
        <v>94</v>
      </c>
      <c r="C167" s="13">
        <v>2</v>
      </c>
      <c r="D167" s="14">
        <v>15000</v>
      </c>
      <c r="E167" s="21">
        <f t="shared" si="22"/>
        <v>30000</v>
      </c>
      <c r="F167" s="24"/>
      <c r="G167" s="25"/>
      <c r="L167" s="34"/>
      <c r="M167" s="43" t="s">
        <v>16</v>
      </c>
      <c r="N167" s="51">
        <v>3</v>
      </c>
      <c r="O167" s="21">
        <v>20000</v>
      </c>
      <c r="P167" s="21">
        <f t="shared" si="24"/>
        <v>60000</v>
      </c>
      <c r="Q167" s="47"/>
      <c r="R167" s="47"/>
    </row>
    <row r="168" s="1" customFormat="1" ht="16.8" spans="1:18">
      <c r="A168" s="15"/>
      <c r="B168" s="12" t="s">
        <v>43</v>
      </c>
      <c r="C168" s="13">
        <v>1</v>
      </c>
      <c r="D168" s="14">
        <v>220000</v>
      </c>
      <c r="E168" s="21">
        <f t="shared" si="22"/>
        <v>220000</v>
      </c>
      <c r="F168" s="24"/>
      <c r="G168" s="25"/>
      <c r="L168" s="34"/>
      <c r="M168" s="43" t="s">
        <v>80</v>
      </c>
      <c r="N168" s="51">
        <v>0.5</v>
      </c>
      <c r="O168" s="21">
        <v>20000</v>
      </c>
      <c r="P168" s="21">
        <f t="shared" si="24"/>
        <v>10000</v>
      </c>
      <c r="Q168" s="47"/>
      <c r="R168" s="47"/>
    </row>
    <row r="169" s="1" customFormat="1" ht="16.8" spans="1:18">
      <c r="A169" s="15"/>
      <c r="B169" s="12" t="s">
        <v>149</v>
      </c>
      <c r="C169" s="13">
        <v>1</v>
      </c>
      <c r="D169" s="14">
        <v>30000</v>
      </c>
      <c r="E169" s="21">
        <f t="shared" si="22"/>
        <v>30000</v>
      </c>
      <c r="F169" s="24"/>
      <c r="G169" s="25"/>
      <c r="L169" s="34"/>
      <c r="M169" s="43" t="s">
        <v>32</v>
      </c>
      <c r="N169" s="51">
        <v>3.595</v>
      </c>
      <c r="O169" s="21">
        <v>15000</v>
      </c>
      <c r="P169" s="21">
        <v>54000</v>
      </c>
      <c r="Q169" s="47"/>
      <c r="R169" s="47"/>
    </row>
    <row r="170" s="1" customFormat="1" ht="16.8" spans="1:18">
      <c r="A170" s="15"/>
      <c r="B170" s="12" t="s">
        <v>48</v>
      </c>
      <c r="C170" s="13">
        <v>1</v>
      </c>
      <c r="D170" s="14">
        <v>330000</v>
      </c>
      <c r="E170" s="21">
        <f t="shared" si="22"/>
        <v>330000</v>
      </c>
      <c r="F170" s="24"/>
      <c r="G170" s="25"/>
      <c r="L170" s="34"/>
      <c r="M170" s="43" t="s">
        <v>93</v>
      </c>
      <c r="N170" s="51">
        <v>2</v>
      </c>
      <c r="O170" s="21">
        <v>15000</v>
      </c>
      <c r="P170" s="21">
        <f t="shared" ref="P170:P184" si="25">O170*N170</f>
        <v>30000</v>
      </c>
      <c r="Q170" s="47"/>
      <c r="R170" s="47"/>
    </row>
    <row r="171" s="1" customFormat="1" ht="16.8" spans="1:18">
      <c r="A171" s="15"/>
      <c r="B171" s="12" t="s">
        <v>138</v>
      </c>
      <c r="C171" s="13">
        <v>0.3</v>
      </c>
      <c r="D171" s="14">
        <v>95000</v>
      </c>
      <c r="E171" s="21">
        <v>29000</v>
      </c>
      <c r="F171" s="24"/>
      <c r="G171" s="25"/>
      <c r="L171" s="34"/>
      <c r="M171" s="43" t="s">
        <v>42</v>
      </c>
      <c r="N171" s="51">
        <v>1</v>
      </c>
      <c r="O171" s="21">
        <v>40000</v>
      </c>
      <c r="P171" s="21">
        <f t="shared" si="25"/>
        <v>40000</v>
      </c>
      <c r="Q171" s="47"/>
      <c r="R171" s="47"/>
    </row>
    <row r="172" s="1" customFormat="1" ht="16.8" spans="1:18">
      <c r="A172" s="15"/>
      <c r="B172" s="12" t="s">
        <v>51</v>
      </c>
      <c r="C172" s="13">
        <v>1</v>
      </c>
      <c r="D172" s="14">
        <v>70000</v>
      </c>
      <c r="E172" s="21">
        <f t="shared" ref="E172:E178" si="26">D172*C172</f>
        <v>70000</v>
      </c>
      <c r="F172" s="24"/>
      <c r="G172" s="25"/>
      <c r="L172" s="34"/>
      <c r="M172" s="43" t="s">
        <v>150</v>
      </c>
      <c r="N172" s="51">
        <v>0.2</v>
      </c>
      <c r="O172" s="21">
        <v>150000</v>
      </c>
      <c r="P172" s="21">
        <f t="shared" si="25"/>
        <v>30000</v>
      </c>
      <c r="Q172" s="47"/>
      <c r="R172" s="47"/>
    </row>
    <row r="173" s="1" customFormat="1" ht="16.8" spans="1:18">
      <c r="A173" s="15"/>
      <c r="B173" s="12" t="s">
        <v>53</v>
      </c>
      <c r="C173" s="13">
        <v>1</v>
      </c>
      <c r="D173" s="14">
        <v>80000</v>
      </c>
      <c r="E173" s="21">
        <f t="shared" si="26"/>
        <v>80000</v>
      </c>
      <c r="F173" s="24"/>
      <c r="G173" s="25"/>
      <c r="L173" s="34"/>
      <c r="M173" s="43" t="s">
        <v>21</v>
      </c>
      <c r="N173" s="51">
        <v>0.2</v>
      </c>
      <c r="O173" s="21">
        <v>50000</v>
      </c>
      <c r="P173" s="21">
        <f t="shared" si="25"/>
        <v>10000</v>
      </c>
      <c r="Q173" s="47"/>
      <c r="R173" s="47"/>
    </row>
    <row r="174" s="1" customFormat="1" ht="16.8" spans="1:18">
      <c r="A174" s="15"/>
      <c r="B174" s="12" t="s">
        <v>59</v>
      </c>
      <c r="C174" s="13">
        <v>0.7</v>
      </c>
      <c r="D174" s="14">
        <v>50000</v>
      </c>
      <c r="E174" s="21">
        <f t="shared" si="26"/>
        <v>35000</v>
      </c>
      <c r="F174" s="24"/>
      <c r="G174" s="25"/>
      <c r="L174" s="34"/>
      <c r="M174" s="43" t="s">
        <v>23</v>
      </c>
      <c r="N174" s="51">
        <v>0.5</v>
      </c>
      <c r="O174" s="21">
        <v>30000</v>
      </c>
      <c r="P174" s="21">
        <f t="shared" si="25"/>
        <v>15000</v>
      </c>
      <c r="Q174" s="47"/>
      <c r="R174" s="47"/>
    </row>
    <row r="175" s="1" customFormat="1" ht="16.8" spans="1:18">
      <c r="A175" s="15"/>
      <c r="B175" s="12" t="s">
        <v>23</v>
      </c>
      <c r="C175" s="13">
        <v>0.3</v>
      </c>
      <c r="D175" s="14">
        <v>30000</v>
      </c>
      <c r="E175" s="21">
        <f t="shared" si="26"/>
        <v>9000</v>
      </c>
      <c r="F175" s="24"/>
      <c r="G175" s="25"/>
      <c r="L175" s="34"/>
      <c r="M175" s="43" t="s">
        <v>114</v>
      </c>
      <c r="N175" s="51">
        <v>6</v>
      </c>
      <c r="O175" s="21">
        <v>24000</v>
      </c>
      <c r="P175" s="21">
        <f t="shared" si="25"/>
        <v>144000</v>
      </c>
      <c r="Q175" s="47"/>
      <c r="R175" s="47"/>
    </row>
    <row r="176" s="1" customFormat="1" ht="16.8" spans="1:18">
      <c r="A176" s="15"/>
      <c r="B176" s="12" t="s">
        <v>65</v>
      </c>
      <c r="C176" s="13">
        <v>1</v>
      </c>
      <c r="D176" s="14">
        <v>130000</v>
      </c>
      <c r="E176" s="21">
        <f t="shared" si="26"/>
        <v>130000</v>
      </c>
      <c r="F176" s="24"/>
      <c r="G176" s="25"/>
      <c r="L176" s="34"/>
      <c r="M176" s="43" t="s">
        <v>61</v>
      </c>
      <c r="N176" s="51">
        <v>2</v>
      </c>
      <c r="O176" s="21">
        <v>40000</v>
      </c>
      <c r="P176" s="21">
        <f t="shared" si="25"/>
        <v>80000</v>
      </c>
      <c r="Q176" s="47"/>
      <c r="R176" s="47"/>
    </row>
    <row r="177" s="1" customFormat="1" ht="16.8" spans="1:18">
      <c r="A177" s="15"/>
      <c r="B177" s="12" t="s">
        <v>12</v>
      </c>
      <c r="C177" s="13">
        <v>1</v>
      </c>
      <c r="D177" s="14">
        <v>70000</v>
      </c>
      <c r="E177" s="21">
        <f t="shared" si="26"/>
        <v>70000</v>
      </c>
      <c r="F177" s="24"/>
      <c r="G177" s="25"/>
      <c r="L177" s="34"/>
      <c r="M177" s="43" t="s">
        <v>62</v>
      </c>
      <c r="N177" s="51">
        <v>1</v>
      </c>
      <c r="O177" s="21">
        <v>49000</v>
      </c>
      <c r="P177" s="21">
        <f t="shared" si="25"/>
        <v>49000</v>
      </c>
      <c r="Q177" s="47"/>
      <c r="R177" s="47"/>
    </row>
    <row r="178" s="1" customFormat="1" ht="16.8" spans="1:18">
      <c r="A178" s="15"/>
      <c r="B178" s="12" t="s">
        <v>122</v>
      </c>
      <c r="C178" s="13">
        <v>2</v>
      </c>
      <c r="D178" s="14">
        <v>40000</v>
      </c>
      <c r="E178" s="21">
        <f t="shared" si="26"/>
        <v>80000</v>
      </c>
      <c r="F178" s="24"/>
      <c r="G178" s="25"/>
      <c r="L178" s="34"/>
      <c r="M178" s="43" t="s">
        <v>97</v>
      </c>
      <c r="N178" s="51">
        <v>4</v>
      </c>
      <c r="O178" s="21">
        <v>20000</v>
      </c>
      <c r="P178" s="21">
        <f t="shared" si="25"/>
        <v>80000</v>
      </c>
      <c r="Q178" s="47"/>
      <c r="R178" s="47"/>
    </row>
    <row r="179" s="1" customFormat="1" ht="16.8" spans="1:18">
      <c r="A179" s="15"/>
      <c r="B179" s="12" t="s">
        <v>32</v>
      </c>
      <c r="C179" s="13">
        <v>8.34</v>
      </c>
      <c r="D179" s="14">
        <v>15000</v>
      </c>
      <c r="E179" s="21">
        <v>125000</v>
      </c>
      <c r="F179" s="24"/>
      <c r="G179" s="25"/>
      <c r="L179" s="34"/>
      <c r="M179" s="43" t="s">
        <v>41</v>
      </c>
      <c r="N179" s="51">
        <v>1</v>
      </c>
      <c r="O179" s="21">
        <v>45000</v>
      </c>
      <c r="P179" s="21">
        <f t="shared" si="25"/>
        <v>45000</v>
      </c>
      <c r="Q179" s="47"/>
      <c r="R179" s="47"/>
    </row>
    <row r="180" s="1" customFormat="1" ht="16.8" spans="1:18">
      <c r="A180" s="15"/>
      <c r="B180" s="12" t="s">
        <v>42</v>
      </c>
      <c r="C180" s="13">
        <v>2.07</v>
      </c>
      <c r="D180" s="14">
        <v>40000</v>
      </c>
      <c r="E180" s="21">
        <v>83000</v>
      </c>
      <c r="F180" s="24"/>
      <c r="G180" s="25"/>
      <c r="L180" s="41"/>
      <c r="M180" s="43" t="s">
        <v>121</v>
      </c>
      <c r="N180" s="51">
        <v>4</v>
      </c>
      <c r="O180" s="21">
        <v>5000</v>
      </c>
      <c r="P180" s="21">
        <f t="shared" si="25"/>
        <v>20000</v>
      </c>
      <c r="Q180" s="49"/>
      <c r="R180" s="49"/>
    </row>
    <row r="181" s="1" customFormat="1" ht="16.8" spans="1:18">
      <c r="A181" s="15"/>
      <c r="B181" s="12" t="s">
        <v>151</v>
      </c>
      <c r="C181" s="13">
        <v>1</v>
      </c>
      <c r="D181" s="14">
        <v>30000</v>
      </c>
      <c r="E181" s="21">
        <f t="shared" ref="E181:E185" si="27">D181*C181</f>
        <v>30000</v>
      </c>
      <c r="F181" s="24"/>
      <c r="G181" s="25"/>
      <c r="L181" s="31">
        <v>46040</v>
      </c>
      <c r="M181" s="43" t="s">
        <v>75</v>
      </c>
      <c r="N181" s="51">
        <v>8</v>
      </c>
      <c r="O181" s="21">
        <v>10000</v>
      </c>
      <c r="P181" s="21">
        <f t="shared" si="25"/>
        <v>80000</v>
      </c>
      <c r="Q181" s="45">
        <f>SUM(P181:P193)</f>
        <v>875000</v>
      </c>
      <c r="R181" s="45" t="s">
        <v>11</v>
      </c>
    </row>
    <row r="182" s="1" customFormat="1" ht="16.8" spans="1:18">
      <c r="A182" s="15"/>
      <c r="B182" s="12" t="s">
        <v>39</v>
      </c>
      <c r="C182" s="13">
        <v>0.1</v>
      </c>
      <c r="D182" s="14">
        <v>80000</v>
      </c>
      <c r="E182" s="21">
        <f t="shared" si="27"/>
        <v>8000</v>
      </c>
      <c r="F182" s="24"/>
      <c r="G182" s="25"/>
      <c r="L182" s="34"/>
      <c r="M182" s="43" t="s">
        <v>66</v>
      </c>
      <c r="N182" s="51">
        <v>2.1</v>
      </c>
      <c r="O182" s="21">
        <v>70000</v>
      </c>
      <c r="P182" s="21">
        <f t="shared" si="25"/>
        <v>147000</v>
      </c>
      <c r="Q182" s="47"/>
      <c r="R182" s="47"/>
    </row>
    <row r="183" s="1" customFormat="1" ht="16.8" spans="1:18">
      <c r="A183" s="15"/>
      <c r="B183" s="12" t="s">
        <v>75</v>
      </c>
      <c r="C183" s="13">
        <v>2</v>
      </c>
      <c r="D183" s="14">
        <v>10000</v>
      </c>
      <c r="E183" s="21">
        <f t="shared" si="27"/>
        <v>20000</v>
      </c>
      <c r="F183" s="24"/>
      <c r="G183" s="25"/>
      <c r="L183" s="34"/>
      <c r="M183" s="43" t="s">
        <v>58</v>
      </c>
      <c r="N183" s="51">
        <v>4</v>
      </c>
      <c r="O183" s="21">
        <v>20000</v>
      </c>
      <c r="P183" s="21">
        <f t="shared" si="25"/>
        <v>80000</v>
      </c>
      <c r="Q183" s="47"/>
      <c r="R183" s="47"/>
    </row>
    <row r="184" s="1" customFormat="1" ht="16.8" spans="1:18">
      <c r="A184" s="16"/>
      <c r="B184" s="12" t="s">
        <v>152</v>
      </c>
      <c r="C184" s="13">
        <v>2</v>
      </c>
      <c r="D184" s="14">
        <v>95000</v>
      </c>
      <c r="E184" s="21">
        <f t="shared" si="27"/>
        <v>190000</v>
      </c>
      <c r="F184" s="27"/>
      <c r="G184" s="28"/>
      <c r="L184" s="34"/>
      <c r="M184" s="43" t="s">
        <v>80</v>
      </c>
      <c r="N184" s="51">
        <v>0.3</v>
      </c>
      <c r="O184" s="21">
        <v>20000</v>
      </c>
      <c r="P184" s="21">
        <f t="shared" si="25"/>
        <v>6000</v>
      </c>
      <c r="Q184" s="47"/>
      <c r="R184" s="47"/>
    </row>
    <row r="185" s="1" customFormat="1" ht="16.8" spans="1:18">
      <c r="A185" s="11">
        <v>46031</v>
      </c>
      <c r="B185" s="12" t="s">
        <v>49</v>
      </c>
      <c r="C185" s="13">
        <v>2</v>
      </c>
      <c r="D185" s="14">
        <v>195000</v>
      </c>
      <c r="E185" s="21">
        <f t="shared" si="27"/>
        <v>390000</v>
      </c>
      <c r="F185" s="22">
        <f>SUM(E185:E189)</f>
        <v>685000</v>
      </c>
      <c r="G185" s="23" t="s">
        <v>11</v>
      </c>
      <c r="L185" s="34"/>
      <c r="M185" s="43" t="s">
        <v>93</v>
      </c>
      <c r="N185" s="51">
        <v>1.1</v>
      </c>
      <c r="O185" s="21">
        <v>15000</v>
      </c>
      <c r="P185" s="21">
        <v>17000</v>
      </c>
      <c r="Q185" s="47"/>
      <c r="R185" s="47"/>
    </row>
    <row r="186" s="1" customFormat="1" ht="16.8" spans="1:18">
      <c r="A186" s="15"/>
      <c r="B186" s="12" t="s">
        <v>72</v>
      </c>
      <c r="C186" s="13">
        <v>3.18</v>
      </c>
      <c r="D186" s="14">
        <v>25000</v>
      </c>
      <c r="E186" s="21">
        <v>80000</v>
      </c>
      <c r="F186" s="24"/>
      <c r="G186" s="25"/>
      <c r="L186" s="34"/>
      <c r="M186" s="43" t="s">
        <v>103</v>
      </c>
      <c r="N186" s="51">
        <v>1</v>
      </c>
      <c r="O186" s="21">
        <v>48000</v>
      </c>
      <c r="P186" s="21">
        <f t="shared" ref="P186:P199" si="28">O186*N186</f>
        <v>48000</v>
      </c>
      <c r="Q186" s="47"/>
      <c r="R186" s="47"/>
    </row>
    <row r="187" s="1" customFormat="1" ht="16.8" spans="1:18">
      <c r="A187" s="15"/>
      <c r="B187" s="12" t="s">
        <v>47</v>
      </c>
      <c r="C187" s="13">
        <v>1</v>
      </c>
      <c r="D187" s="14">
        <v>90000</v>
      </c>
      <c r="E187" s="21">
        <f t="shared" ref="E187:E191" si="29">D187*C187</f>
        <v>90000</v>
      </c>
      <c r="F187" s="24"/>
      <c r="G187" s="25"/>
      <c r="L187" s="34"/>
      <c r="M187" s="43" t="s">
        <v>32</v>
      </c>
      <c r="N187" s="51">
        <v>6.14</v>
      </c>
      <c r="O187" s="21">
        <v>15000</v>
      </c>
      <c r="P187" s="21">
        <v>92000</v>
      </c>
      <c r="Q187" s="47"/>
      <c r="R187" s="47"/>
    </row>
    <row r="188" s="1" customFormat="1" ht="16.8" spans="1:18">
      <c r="A188" s="15"/>
      <c r="B188" s="12" t="s">
        <v>153</v>
      </c>
      <c r="C188" s="13">
        <v>1</v>
      </c>
      <c r="D188" s="14">
        <v>85000</v>
      </c>
      <c r="E188" s="21">
        <f t="shared" si="29"/>
        <v>85000</v>
      </c>
      <c r="F188" s="24"/>
      <c r="G188" s="25"/>
      <c r="L188" s="34"/>
      <c r="M188" s="43" t="s">
        <v>23</v>
      </c>
      <c r="N188" s="51">
        <v>0.5</v>
      </c>
      <c r="O188" s="21">
        <v>30000</v>
      </c>
      <c r="P188" s="21">
        <f t="shared" si="28"/>
        <v>15000</v>
      </c>
      <c r="Q188" s="47"/>
      <c r="R188" s="47"/>
    </row>
    <row r="189" s="1" customFormat="1" ht="16.8" spans="1:18">
      <c r="A189" s="16"/>
      <c r="B189" s="12" t="s">
        <v>154</v>
      </c>
      <c r="C189" s="13">
        <v>1</v>
      </c>
      <c r="D189" s="14">
        <v>40000</v>
      </c>
      <c r="E189" s="21">
        <f t="shared" si="29"/>
        <v>40000</v>
      </c>
      <c r="F189" s="27"/>
      <c r="G189" s="28"/>
      <c r="L189" s="34"/>
      <c r="M189" s="43" t="s">
        <v>19</v>
      </c>
      <c r="N189" s="51">
        <v>0.5</v>
      </c>
      <c r="O189" s="21">
        <v>95000</v>
      </c>
      <c r="P189" s="21">
        <v>48000</v>
      </c>
      <c r="Q189" s="47"/>
      <c r="R189" s="47"/>
    </row>
    <row r="190" s="1" customFormat="1" ht="16.8" spans="1:18">
      <c r="A190" s="11">
        <v>46032</v>
      </c>
      <c r="B190" s="12" t="s">
        <v>130</v>
      </c>
      <c r="C190" s="13">
        <v>0.3</v>
      </c>
      <c r="D190" s="14">
        <v>70000</v>
      </c>
      <c r="E190" s="21">
        <f t="shared" si="29"/>
        <v>21000</v>
      </c>
      <c r="F190" s="22">
        <f>SUM(E190:E209)</f>
        <v>694000</v>
      </c>
      <c r="G190" s="23" t="s">
        <v>11</v>
      </c>
      <c r="L190" s="34"/>
      <c r="M190" s="43" t="s">
        <v>114</v>
      </c>
      <c r="N190" s="51">
        <v>6</v>
      </c>
      <c r="O190" s="21">
        <v>24000</v>
      </c>
      <c r="P190" s="21">
        <f t="shared" si="28"/>
        <v>144000</v>
      </c>
      <c r="Q190" s="47"/>
      <c r="R190" s="47"/>
    </row>
    <row r="191" s="1" customFormat="1" ht="16.8" spans="1:18">
      <c r="A191" s="15"/>
      <c r="B191" s="12" t="s">
        <v>50</v>
      </c>
      <c r="C191" s="13">
        <v>0.2</v>
      </c>
      <c r="D191" s="14">
        <v>60000</v>
      </c>
      <c r="E191" s="21">
        <f t="shared" si="29"/>
        <v>12000</v>
      </c>
      <c r="F191" s="24"/>
      <c r="G191" s="25"/>
      <c r="L191" s="34"/>
      <c r="M191" s="43" t="s">
        <v>61</v>
      </c>
      <c r="N191" s="51">
        <v>1</v>
      </c>
      <c r="O191" s="21">
        <v>40000</v>
      </c>
      <c r="P191" s="21">
        <f t="shared" si="28"/>
        <v>40000</v>
      </c>
      <c r="Q191" s="47"/>
      <c r="R191" s="47"/>
    </row>
    <row r="192" s="1" customFormat="1" ht="16.8" spans="1:18">
      <c r="A192" s="15"/>
      <c r="B192" s="12" t="s">
        <v>147</v>
      </c>
      <c r="C192" s="13">
        <v>0.07</v>
      </c>
      <c r="D192" s="14">
        <v>70000</v>
      </c>
      <c r="E192" s="21">
        <v>5000</v>
      </c>
      <c r="F192" s="24"/>
      <c r="G192" s="25"/>
      <c r="L192" s="34"/>
      <c r="M192" s="43" t="s">
        <v>62</v>
      </c>
      <c r="N192" s="51">
        <v>2</v>
      </c>
      <c r="O192" s="21">
        <v>49000</v>
      </c>
      <c r="P192" s="21">
        <f t="shared" si="28"/>
        <v>98000</v>
      </c>
      <c r="Q192" s="47"/>
      <c r="R192" s="47"/>
    </row>
    <row r="193" s="1" customFormat="1" ht="16.8" spans="1:18">
      <c r="A193" s="15"/>
      <c r="B193" s="12" t="s">
        <v>94</v>
      </c>
      <c r="C193" s="13">
        <v>3</v>
      </c>
      <c r="D193" s="14">
        <v>15000</v>
      </c>
      <c r="E193" s="21">
        <f t="shared" ref="E193:E204" si="30">D193*C193</f>
        <v>45000</v>
      </c>
      <c r="F193" s="24"/>
      <c r="G193" s="25"/>
      <c r="L193" s="41"/>
      <c r="M193" s="43" t="s">
        <v>111</v>
      </c>
      <c r="N193" s="51">
        <v>2</v>
      </c>
      <c r="O193" s="21">
        <v>30000</v>
      </c>
      <c r="P193" s="21">
        <f t="shared" si="28"/>
        <v>60000</v>
      </c>
      <c r="Q193" s="49"/>
      <c r="R193" s="49"/>
    </row>
    <row r="194" s="1" customFormat="1" ht="16.8" spans="1:18">
      <c r="A194" s="15"/>
      <c r="B194" s="12" t="s">
        <v>149</v>
      </c>
      <c r="C194" s="13">
        <v>1</v>
      </c>
      <c r="D194" s="14">
        <v>30000</v>
      </c>
      <c r="E194" s="21">
        <f t="shared" si="30"/>
        <v>30000</v>
      </c>
      <c r="F194" s="24"/>
      <c r="G194" s="25"/>
      <c r="L194" s="31">
        <v>46041</v>
      </c>
      <c r="M194" s="43" t="s">
        <v>75</v>
      </c>
      <c r="N194" s="51">
        <v>10</v>
      </c>
      <c r="O194" s="21">
        <v>10000</v>
      </c>
      <c r="P194" s="21">
        <f t="shared" si="28"/>
        <v>100000</v>
      </c>
      <c r="Q194" s="45">
        <f>SUM(P194:P207)</f>
        <v>855000</v>
      </c>
      <c r="R194" s="45" t="s">
        <v>11</v>
      </c>
    </row>
    <row r="195" s="1" customFormat="1" ht="16.8" spans="1:18">
      <c r="A195" s="15"/>
      <c r="B195" s="12" t="s">
        <v>137</v>
      </c>
      <c r="C195" s="13">
        <v>0.1</v>
      </c>
      <c r="D195" s="14">
        <v>80000</v>
      </c>
      <c r="E195" s="21">
        <f t="shared" si="30"/>
        <v>8000</v>
      </c>
      <c r="F195" s="24"/>
      <c r="G195" s="25"/>
      <c r="L195" s="34"/>
      <c r="M195" s="43" t="s">
        <v>58</v>
      </c>
      <c r="N195" s="51">
        <v>4</v>
      </c>
      <c r="O195" s="21">
        <v>20000</v>
      </c>
      <c r="P195" s="21">
        <f t="shared" si="28"/>
        <v>80000</v>
      </c>
      <c r="Q195" s="47"/>
      <c r="R195" s="47"/>
    </row>
    <row r="196" s="1" customFormat="1" ht="16.8" spans="1:18">
      <c r="A196" s="15"/>
      <c r="B196" s="12" t="s">
        <v>66</v>
      </c>
      <c r="C196" s="13">
        <v>1</v>
      </c>
      <c r="D196" s="14">
        <v>70000</v>
      </c>
      <c r="E196" s="21">
        <f t="shared" si="30"/>
        <v>70000</v>
      </c>
      <c r="F196" s="24"/>
      <c r="G196" s="25"/>
      <c r="L196" s="34"/>
      <c r="M196" s="43" t="s">
        <v>66</v>
      </c>
      <c r="N196" s="51">
        <v>2.1</v>
      </c>
      <c r="O196" s="21">
        <v>70000</v>
      </c>
      <c r="P196" s="21">
        <f t="shared" si="28"/>
        <v>147000</v>
      </c>
      <c r="Q196" s="47"/>
      <c r="R196" s="47"/>
    </row>
    <row r="197" s="1" customFormat="1" ht="16.8" spans="1:18">
      <c r="A197" s="15"/>
      <c r="B197" s="12" t="s">
        <v>126</v>
      </c>
      <c r="C197" s="13">
        <v>1</v>
      </c>
      <c r="D197" s="14">
        <v>48000</v>
      </c>
      <c r="E197" s="21">
        <f t="shared" si="30"/>
        <v>48000</v>
      </c>
      <c r="F197" s="24"/>
      <c r="G197" s="25"/>
      <c r="L197" s="34"/>
      <c r="M197" s="43" t="s">
        <v>42</v>
      </c>
      <c r="N197" s="51">
        <v>1</v>
      </c>
      <c r="O197" s="21">
        <v>40000</v>
      </c>
      <c r="P197" s="21">
        <f t="shared" si="28"/>
        <v>40000</v>
      </c>
      <c r="Q197" s="47"/>
      <c r="R197" s="47"/>
    </row>
    <row r="198" s="1" customFormat="1" ht="16.8" spans="1:18">
      <c r="A198" s="15"/>
      <c r="B198" s="12" t="s">
        <v>51</v>
      </c>
      <c r="C198" s="13">
        <v>0.7</v>
      </c>
      <c r="D198" s="14">
        <v>70000</v>
      </c>
      <c r="E198" s="21">
        <f t="shared" si="30"/>
        <v>49000</v>
      </c>
      <c r="F198" s="24"/>
      <c r="G198" s="25"/>
      <c r="L198" s="34"/>
      <c r="M198" s="43" t="s">
        <v>103</v>
      </c>
      <c r="N198" s="51">
        <v>1</v>
      </c>
      <c r="O198" s="21">
        <v>48000</v>
      </c>
      <c r="P198" s="21">
        <f t="shared" si="28"/>
        <v>48000</v>
      </c>
      <c r="Q198" s="47"/>
      <c r="R198" s="47"/>
    </row>
    <row r="199" s="1" customFormat="1" ht="16.8" spans="1:18">
      <c r="A199" s="15"/>
      <c r="B199" s="12" t="s">
        <v>53</v>
      </c>
      <c r="C199" s="13">
        <v>0.6</v>
      </c>
      <c r="D199" s="14">
        <v>80000</v>
      </c>
      <c r="E199" s="21">
        <f t="shared" si="30"/>
        <v>48000</v>
      </c>
      <c r="F199" s="24"/>
      <c r="G199" s="25"/>
      <c r="L199" s="34"/>
      <c r="M199" s="43" t="s">
        <v>80</v>
      </c>
      <c r="N199" s="51">
        <v>0.5</v>
      </c>
      <c r="O199" s="21">
        <v>20000</v>
      </c>
      <c r="P199" s="21">
        <f t="shared" si="28"/>
        <v>10000</v>
      </c>
      <c r="Q199" s="47"/>
      <c r="R199" s="47"/>
    </row>
    <row r="200" s="1" customFormat="1" ht="16.8" spans="1:18">
      <c r="A200" s="15"/>
      <c r="B200" s="12" t="s">
        <v>59</v>
      </c>
      <c r="C200" s="13">
        <v>0.5</v>
      </c>
      <c r="D200" s="14">
        <v>60000</v>
      </c>
      <c r="E200" s="21">
        <f t="shared" si="30"/>
        <v>30000</v>
      </c>
      <c r="F200" s="24"/>
      <c r="G200" s="25"/>
      <c r="L200" s="34"/>
      <c r="M200" s="43" t="s">
        <v>32</v>
      </c>
      <c r="N200" s="51">
        <v>3.3</v>
      </c>
      <c r="O200" s="21">
        <v>15000</v>
      </c>
      <c r="P200" s="21">
        <v>50000</v>
      </c>
      <c r="Q200" s="47"/>
      <c r="R200" s="47"/>
    </row>
    <row r="201" s="1" customFormat="1" ht="16.8" spans="1:18">
      <c r="A201" s="15"/>
      <c r="B201" s="12" t="s">
        <v>134</v>
      </c>
      <c r="C201" s="13">
        <v>0.7</v>
      </c>
      <c r="D201" s="14">
        <v>60000</v>
      </c>
      <c r="E201" s="21">
        <f t="shared" si="30"/>
        <v>42000</v>
      </c>
      <c r="F201" s="24"/>
      <c r="G201" s="25"/>
      <c r="L201" s="34"/>
      <c r="M201" s="43" t="s">
        <v>28</v>
      </c>
      <c r="N201" s="51">
        <v>5</v>
      </c>
      <c r="O201" s="21">
        <v>24000</v>
      </c>
      <c r="P201" s="21">
        <f t="shared" ref="P201:P214" si="31">O201*N201</f>
        <v>120000</v>
      </c>
      <c r="Q201" s="47"/>
      <c r="R201" s="47"/>
    </row>
    <row r="202" s="1" customFormat="1" ht="16.8" spans="1:18">
      <c r="A202" s="15"/>
      <c r="B202" s="12" t="s">
        <v>136</v>
      </c>
      <c r="C202" s="13">
        <v>0.3</v>
      </c>
      <c r="D202" s="14">
        <v>30000</v>
      </c>
      <c r="E202" s="21">
        <f t="shared" si="30"/>
        <v>9000</v>
      </c>
      <c r="F202" s="24"/>
      <c r="G202" s="25"/>
      <c r="L202" s="34"/>
      <c r="M202" s="43" t="s">
        <v>61</v>
      </c>
      <c r="N202" s="51">
        <v>1</v>
      </c>
      <c r="O202" s="21">
        <v>40000</v>
      </c>
      <c r="P202" s="21">
        <f t="shared" si="31"/>
        <v>40000</v>
      </c>
      <c r="Q202" s="47"/>
      <c r="R202" s="47"/>
    </row>
    <row r="203" s="1" customFormat="1" ht="16.8" spans="1:18">
      <c r="A203" s="15"/>
      <c r="B203" s="12" t="s">
        <v>40</v>
      </c>
      <c r="C203" s="13">
        <v>0.3</v>
      </c>
      <c r="D203" s="14">
        <v>70000</v>
      </c>
      <c r="E203" s="21">
        <f t="shared" si="30"/>
        <v>21000</v>
      </c>
      <c r="F203" s="24"/>
      <c r="G203" s="25"/>
      <c r="L203" s="34"/>
      <c r="M203" s="43" t="s">
        <v>54</v>
      </c>
      <c r="N203" s="51">
        <v>2</v>
      </c>
      <c r="O203" s="21">
        <v>35000</v>
      </c>
      <c r="P203" s="21">
        <f t="shared" si="31"/>
        <v>70000</v>
      </c>
      <c r="Q203" s="47"/>
      <c r="R203" s="47"/>
    </row>
    <row r="204" s="1" customFormat="1" ht="16.8" spans="1:18">
      <c r="A204" s="15"/>
      <c r="B204" s="12" t="s">
        <v>138</v>
      </c>
      <c r="C204" s="13">
        <v>0.2</v>
      </c>
      <c r="D204" s="14">
        <v>95000</v>
      </c>
      <c r="E204" s="21">
        <f t="shared" si="30"/>
        <v>19000</v>
      </c>
      <c r="F204" s="24"/>
      <c r="G204" s="25"/>
      <c r="L204" s="34"/>
      <c r="M204" s="43" t="s">
        <v>155</v>
      </c>
      <c r="N204" s="51">
        <v>1</v>
      </c>
      <c r="O204" s="21">
        <v>95000</v>
      </c>
      <c r="P204" s="21">
        <f t="shared" si="31"/>
        <v>95000</v>
      </c>
      <c r="Q204" s="47"/>
      <c r="R204" s="47"/>
    </row>
    <row r="205" s="1" customFormat="1" ht="16.8" spans="1:18">
      <c r="A205" s="15"/>
      <c r="B205" s="12" t="s">
        <v>42</v>
      </c>
      <c r="C205" s="13">
        <v>1.31</v>
      </c>
      <c r="D205" s="14">
        <v>40000</v>
      </c>
      <c r="E205" s="21">
        <v>52000</v>
      </c>
      <c r="F205" s="24"/>
      <c r="G205" s="25"/>
      <c r="L205" s="34"/>
      <c r="M205" s="43" t="s">
        <v>23</v>
      </c>
      <c r="N205" s="51">
        <v>0.5</v>
      </c>
      <c r="O205" s="21">
        <v>30000</v>
      </c>
      <c r="P205" s="21">
        <f t="shared" si="31"/>
        <v>15000</v>
      </c>
      <c r="Q205" s="47"/>
      <c r="R205" s="47"/>
    </row>
    <row r="206" s="1" customFormat="1" ht="16.8" spans="1:18">
      <c r="A206" s="15"/>
      <c r="B206" s="12" t="s">
        <v>44</v>
      </c>
      <c r="C206" s="13">
        <v>1</v>
      </c>
      <c r="D206" s="14">
        <v>38000</v>
      </c>
      <c r="E206" s="21">
        <f t="shared" ref="E206:E229" si="32">D206*C206</f>
        <v>38000</v>
      </c>
      <c r="F206" s="24"/>
      <c r="G206" s="25"/>
      <c r="L206" s="34"/>
      <c r="M206" s="43" t="s">
        <v>78</v>
      </c>
      <c r="N206" s="51">
        <v>1</v>
      </c>
      <c r="O206" s="21">
        <v>25000</v>
      </c>
      <c r="P206" s="21">
        <f t="shared" si="31"/>
        <v>25000</v>
      </c>
      <c r="Q206" s="47"/>
      <c r="R206" s="47"/>
    </row>
    <row r="207" s="1" customFormat="1" ht="16.8" spans="1:18">
      <c r="A207" s="15"/>
      <c r="B207" s="12" t="s">
        <v>122</v>
      </c>
      <c r="C207" s="13">
        <v>1</v>
      </c>
      <c r="D207" s="14">
        <v>40000</v>
      </c>
      <c r="E207" s="21">
        <f t="shared" si="32"/>
        <v>40000</v>
      </c>
      <c r="F207" s="24"/>
      <c r="G207" s="25"/>
      <c r="L207" s="41"/>
      <c r="M207" s="43" t="s">
        <v>156</v>
      </c>
      <c r="N207" s="51">
        <v>1</v>
      </c>
      <c r="O207" s="21">
        <v>15000</v>
      </c>
      <c r="P207" s="21">
        <f t="shared" si="31"/>
        <v>15000</v>
      </c>
      <c r="Q207" s="49"/>
      <c r="R207" s="49"/>
    </row>
    <row r="208" s="1" customFormat="1" ht="16.8" spans="1:18">
      <c r="A208" s="15"/>
      <c r="B208" s="12" t="s">
        <v>103</v>
      </c>
      <c r="C208" s="13">
        <v>1</v>
      </c>
      <c r="D208" s="14">
        <v>48000</v>
      </c>
      <c r="E208" s="21">
        <f t="shared" si="32"/>
        <v>48000</v>
      </c>
      <c r="F208" s="24"/>
      <c r="G208" s="25"/>
      <c r="L208" s="31">
        <v>46042</v>
      </c>
      <c r="M208" s="43" t="s">
        <v>58</v>
      </c>
      <c r="N208" s="51">
        <v>4</v>
      </c>
      <c r="O208" s="21">
        <v>20000</v>
      </c>
      <c r="P208" s="21">
        <f t="shared" si="31"/>
        <v>80000</v>
      </c>
      <c r="Q208" s="45">
        <f>SUM(P208:P223)</f>
        <v>1110000</v>
      </c>
      <c r="R208" s="45" t="s">
        <v>11</v>
      </c>
    </row>
    <row r="209" s="1" customFormat="1" ht="16.8" spans="1:18">
      <c r="A209" s="15"/>
      <c r="B209" s="12" t="s">
        <v>72</v>
      </c>
      <c r="C209" s="13">
        <v>2.36</v>
      </c>
      <c r="D209" s="14">
        <v>25000</v>
      </c>
      <c r="E209" s="21">
        <f t="shared" si="32"/>
        <v>59000</v>
      </c>
      <c r="F209" s="24"/>
      <c r="G209" s="25"/>
      <c r="L209" s="34"/>
      <c r="M209" s="43" t="s">
        <v>66</v>
      </c>
      <c r="N209" s="51">
        <v>2</v>
      </c>
      <c r="O209" s="21">
        <v>70000</v>
      </c>
      <c r="P209" s="21">
        <f t="shared" si="31"/>
        <v>140000</v>
      </c>
      <c r="Q209" s="47"/>
      <c r="R209" s="47"/>
    </row>
    <row r="210" s="1" customFormat="1" ht="16.8" spans="1:18">
      <c r="A210" s="11">
        <v>46032</v>
      </c>
      <c r="B210" s="12" t="s">
        <v>107</v>
      </c>
      <c r="C210" s="13">
        <v>5</v>
      </c>
      <c r="D210" s="14">
        <v>58000</v>
      </c>
      <c r="E210" s="21">
        <f t="shared" si="32"/>
        <v>290000</v>
      </c>
      <c r="F210" s="22">
        <f>SUM(E210:E230)</f>
        <v>3275000</v>
      </c>
      <c r="G210" s="23" t="s">
        <v>11</v>
      </c>
      <c r="L210" s="34"/>
      <c r="M210" s="43" t="s">
        <v>14</v>
      </c>
      <c r="N210" s="51">
        <v>6</v>
      </c>
      <c r="O210" s="21">
        <v>10000</v>
      </c>
      <c r="P210" s="21">
        <f t="shared" si="31"/>
        <v>60000</v>
      </c>
      <c r="Q210" s="47"/>
      <c r="R210" s="47"/>
    </row>
    <row r="211" s="1" customFormat="1" ht="16.8" spans="1:18">
      <c r="A211" s="15"/>
      <c r="B211" s="12" t="s">
        <v>69</v>
      </c>
      <c r="C211" s="13">
        <v>34</v>
      </c>
      <c r="D211" s="14">
        <v>2000</v>
      </c>
      <c r="E211" s="21">
        <f t="shared" si="32"/>
        <v>68000</v>
      </c>
      <c r="F211" s="24"/>
      <c r="G211" s="25"/>
      <c r="L211" s="34"/>
      <c r="M211" s="43" t="s">
        <v>93</v>
      </c>
      <c r="N211" s="51">
        <v>1</v>
      </c>
      <c r="O211" s="21">
        <v>15000</v>
      </c>
      <c r="P211" s="21">
        <f t="shared" si="31"/>
        <v>15000</v>
      </c>
      <c r="Q211" s="47"/>
      <c r="R211" s="47"/>
    </row>
    <row r="212" s="1" customFormat="1" ht="16.8" spans="1:18">
      <c r="A212" s="15"/>
      <c r="B212" s="12" t="s">
        <v>68</v>
      </c>
      <c r="C212" s="13">
        <v>10</v>
      </c>
      <c r="D212" s="14">
        <v>25000</v>
      </c>
      <c r="E212" s="21">
        <f t="shared" si="32"/>
        <v>250000</v>
      </c>
      <c r="F212" s="24"/>
      <c r="G212" s="25"/>
      <c r="L212" s="34"/>
      <c r="M212" s="43" t="s">
        <v>111</v>
      </c>
      <c r="N212" s="51">
        <v>1</v>
      </c>
      <c r="O212" s="21">
        <v>30000</v>
      </c>
      <c r="P212" s="21">
        <f t="shared" si="31"/>
        <v>30000</v>
      </c>
      <c r="Q212" s="47"/>
      <c r="R212" s="47"/>
    </row>
    <row r="213" s="1" customFormat="1" ht="16.8" spans="1:18">
      <c r="A213" s="15"/>
      <c r="B213" s="12" t="s">
        <v>157</v>
      </c>
      <c r="C213" s="13">
        <v>2</v>
      </c>
      <c r="D213" s="14">
        <v>40000</v>
      </c>
      <c r="E213" s="21">
        <f t="shared" si="32"/>
        <v>80000</v>
      </c>
      <c r="F213" s="24"/>
      <c r="G213" s="25"/>
      <c r="L213" s="34"/>
      <c r="M213" s="43" t="s">
        <v>80</v>
      </c>
      <c r="N213" s="51">
        <v>0.5</v>
      </c>
      <c r="O213" s="21">
        <v>20000</v>
      </c>
      <c r="P213" s="21">
        <f t="shared" si="31"/>
        <v>10000</v>
      </c>
      <c r="Q213" s="47"/>
      <c r="R213" s="47"/>
    </row>
    <row r="214" s="1" customFormat="1" ht="16.8" spans="1:18">
      <c r="A214" s="15"/>
      <c r="B214" s="12" t="s">
        <v>45</v>
      </c>
      <c r="C214" s="13">
        <v>4</v>
      </c>
      <c r="D214" s="14">
        <v>120000</v>
      </c>
      <c r="E214" s="21">
        <f t="shared" si="32"/>
        <v>480000</v>
      </c>
      <c r="F214" s="24"/>
      <c r="G214" s="25"/>
      <c r="L214" s="34"/>
      <c r="M214" s="43" t="s">
        <v>23</v>
      </c>
      <c r="N214" s="51">
        <v>0.5</v>
      </c>
      <c r="O214" s="21">
        <v>30000</v>
      </c>
      <c r="P214" s="21">
        <f t="shared" si="31"/>
        <v>15000</v>
      </c>
      <c r="Q214" s="47"/>
      <c r="R214" s="47"/>
    </row>
    <row r="215" s="1" customFormat="1" ht="16.8" spans="1:18">
      <c r="A215" s="15"/>
      <c r="B215" s="12" t="s">
        <v>158</v>
      </c>
      <c r="C215" s="13">
        <v>3</v>
      </c>
      <c r="D215" s="14">
        <v>60000</v>
      </c>
      <c r="E215" s="21">
        <f t="shared" si="32"/>
        <v>180000</v>
      </c>
      <c r="F215" s="24"/>
      <c r="G215" s="25"/>
      <c r="L215" s="34"/>
      <c r="M215" s="43" t="s">
        <v>141</v>
      </c>
      <c r="N215" s="51">
        <v>0.5</v>
      </c>
      <c r="O215" s="21">
        <v>35000</v>
      </c>
      <c r="P215" s="21">
        <v>18000</v>
      </c>
      <c r="Q215" s="47"/>
      <c r="R215" s="47"/>
    </row>
    <row r="216" s="1" customFormat="1" ht="16.8" spans="1:18">
      <c r="A216" s="15"/>
      <c r="B216" s="12" t="s">
        <v>159</v>
      </c>
      <c r="C216" s="13">
        <v>2</v>
      </c>
      <c r="D216" s="14">
        <v>60000</v>
      </c>
      <c r="E216" s="21">
        <f t="shared" si="32"/>
        <v>120000</v>
      </c>
      <c r="F216" s="24"/>
      <c r="G216" s="25"/>
      <c r="L216" s="34"/>
      <c r="M216" s="43" t="s">
        <v>103</v>
      </c>
      <c r="N216" s="51">
        <v>1</v>
      </c>
      <c r="O216" s="21">
        <v>48000</v>
      </c>
      <c r="P216" s="21">
        <f t="shared" ref="P216:P228" si="33">O216*N216</f>
        <v>48000</v>
      </c>
      <c r="Q216" s="47"/>
      <c r="R216" s="47"/>
    </row>
    <row r="217" s="1" customFormat="1" ht="16.8" spans="1:18">
      <c r="A217" s="15"/>
      <c r="B217" s="12" t="s">
        <v>13</v>
      </c>
      <c r="C217" s="13">
        <v>3</v>
      </c>
      <c r="D217" s="14">
        <v>40000</v>
      </c>
      <c r="E217" s="21">
        <f t="shared" si="32"/>
        <v>120000</v>
      </c>
      <c r="F217" s="24"/>
      <c r="G217" s="25"/>
      <c r="L217" s="34"/>
      <c r="M217" s="43" t="s">
        <v>32</v>
      </c>
      <c r="N217" s="51">
        <v>7.665</v>
      </c>
      <c r="O217" s="21">
        <v>15000</v>
      </c>
      <c r="P217" s="21">
        <v>115000</v>
      </c>
      <c r="Q217" s="47"/>
      <c r="R217" s="47"/>
    </row>
    <row r="218" s="1" customFormat="1" ht="16.8" spans="1:18">
      <c r="A218" s="15"/>
      <c r="B218" s="12" t="s">
        <v>36</v>
      </c>
      <c r="C218" s="13">
        <v>1</v>
      </c>
      <c r="D218" s="14">
        <v>170000</v>
      </c>
      <c r="E218" s="21">
        <f t="shared" si="32"/>
        <v>170000</v>
      </c>
      <c r="F218" s="24"/>
      <c r="G218" s="25"/>
      <c r="L218" s="34"/>
      <c r="M218" s="43" t="s">
        <v>19</v>
      </c>
      <c r="N218" s="51">
        <v>0.75</v>
      </c>
      <c r="O218" s="21">
        <v>100000</v>
      </c>
      <c r="P218" s="21">
        <f t="shared" si="33"/>
        <v>75000</v>
      </c>
      <c r="Q218" s="47"/>
      <c r="R218" s="47"/>
    </row>
    <row r="219" s="1" customFormat="1" ht="16.8" spans="1:18">
      <c r="A219" s="15"/>
      <c r="B219" s="12" t="s">
        <v>38</v>
      </c>
      <c r="C219" s="13">
        <v>5</v>
      </c>
      <c r="D219" s="14">
        <v>22000</v>
      </c>
      <c r="E219" s="21">
        <f t="shared" si="32"/>
        <v>110000</v>
      </c>
      <c r="F219" s="24"/>
      <c r="G219" s="25"/>
      <c r="L219" s="34"/>
      <c r="M219" s="43" t="s">
        <v>28</v>
      </c>
      <c r="N219" s="51">
        <v>4</v>
      </c>
      <c r="O219" s="21">
        <v>24000</v>
      </c>
      <c r="P219" s="21">
        <f t="shared" si="33"/>
        <v>96000</v>
      </c>
      <c r="Q219" s="47"/>
      <c r="R219" s="47"/>
    </row>
    <row r="220" s="1" customFormat="1" ht="16.8" spans="1:18">
      <c r="A220" s="15"/>
      <c r="B220" s="12" t="s">
        <v>37</v>
      </c>
      <c r="C220" s="13">
        <v>3</v>
      </c>
      <c r="D220" s="14">
        <v>90000</v>
      </c>
      <c r="E220" s="21">
        <f t="shared" si="32"/>
        <v>270000</v>
      </c>
      <c r="F220" s="24"/>
      <c r="G220" s="25"/>
      <c r="L220" s="34"/>
      <c r="M220" s="43" t="s">
        <v>62</v>
      </c>
      <c r="N220" s="51">
        <v>2</v>
      </c>
      <c r="O220" s="21">
        <v>49000</v>
      </c>
      <c r="P220" s="21">
        <f t="shared" si="33"/>
        <v>98000</v>
      </c>
      <c r="Q220" s="47"/>
      <c r="R220" s="47"/>
    </row>
    <row r="221" s="1" customFormat="1" ht="16.8" spans="1:18">
      <c r="A221" s="15"/>
      <c r="B221" s="12" t="s">
        <v>116</v>
      </c>
      <c r="C221" s="13">
        <v>1</v>
      </c>
      <c r="D221" s="14">
        <v>270000</v>
      </c>
      <c r="E221" s="21">
        <f t="shared" si="32"/>
        <v>270000</v>
      </c>
      <c r="F221" s="24"/>
      <c r="G221" s="25"/>
      <c r="L221" s="34"/>
      <c r="M221" s="43" t="s">
        <v>61</v>
      </c>
      <c r="N221" s="51">
        <v>2</v>
      </c>
      <c r="O221" s="21">
        <v>40000</v>
      </c>
      <c r="P221" s="21">
        <f t="shared" si="33"/>
        <v>80000</v>
      </c>
      <c r="Q221" s="47"/>
      <c r="R221" s="47"/>
    </row>
    <row r="222" s="1" customFormat="1" ht="16.8" spans="1:18">
      <c r="A222" s="15"/>
      <c r="B222" s="12" t="s">
        <v>120</v>
      </c>
      <c r="C222" s="13">
        <v>2</v>
      </c>
      <c r="D222" s="14">
        <v>25000</v>
      </c>
      <c r="E222" s="21">
        <f t="shared" si="32"/>
        <v>50000</v>
      </c>
      <c r="F222" s="24"/>
      <c r="G222" s="25"/>
      <c r="L222" s="34"/>
      <c r="M222" s="43" t="s">
        <v>160</v>
      </c>
      <c r="N222" s="51">
        <v>1</v>
      </c>
      <c r="O222" s="21">
        <v>80000</v>
      </c>
      <c r="P222" s="21">
        <f t="shared" si="33"/>
        <v>80000</v>
      </c>
      <c r="Q222" s="47"/>
      <c r="R222" s="47"/>
    </row>
    <row r="223" s="1" customFormat="1" ht="16.8" spans="1:18">
      <c r="A223" s="15"/>
      <c r="B223" s="12" t="s">
        <v>36</v>
      </c>
      <c r="C223" s="13">
        <v>1</v>
      </c>
      <c r="D223" s="14">
        <v>170000</v>
      </c>
      <c r="E223" s="21">
        <f t="shared" si="32"/>
        <v>170000</v>
      </c>
      <c r="F223" s="24"/>
      <c r="G223" s="25"/>
      <c r="L223" s="41"/>
      <c r="M223" s="43" t="s">
        <v>161</v>
      </c>
      <c r="N223" s="51">
        <v>10</v>
      </c>
      <c r="O223" s="21">
        <v>15000</v>
      </c>
      <c r="P223" s="21">
        <f t="shared" si="33"/>
        <v>150000</v>
      </c>
      <c r="Q223" s="49"/>
      <c r="R223" s="49"/>
    </row>
    <row r="224" s="1" customFormat="1" ht="16.8" spans="1:18">
      <c r="A224" s="15"/>
      <c r="B224" s="12" t="s">
        <v>31</v>
      </c>
      <c r="C224" s="13">
        <v>2</v>
      </c>
      <c r="D224" s="14">
        <v>170000</v>
      </c>
      <c r="E224" s="21">
        <f t="shared" si="32"/>
        <v>340000</v>
      </c>
      <c r="F224" s="24"/>
      <c r="G224" s="25"/>
      <c r="L224" s="31">
        <v>46043</v>
      </c>
      <c r="M224" s="43" t="s">
        <v>58</v>
      </c>
      <c r="N224" s="51">
        <v>3</v>
      </c>
      <c r="O224" s="21">
        <v>20000</v>
      </c>
      <c r="P224" s="21">
        <f t="shared" si="33"/>
        <v>60000</v>
      </c>
      <c r="Q224" s="45">
        <f>SUM(P224:P233)</f>
        <v>709000</v>
      </c>
      <c r="R224" s="45" t="s">
        <v>11</v>
      </c>
    </row>
    <row r="225" s="1" customFormat="1" ht="16.8" spans="1:18">
      <c r="A225" s="15"/>
      <c r="B225" s="12" t="s">
        <v>127</v>
      </c>
      <c r="C225" s="13">
        <v>1</v>
      </c>
      <c r="D225" s="14">
        <v>60000</v>
      </c>
      <c r="E225" s="21">
        <f t="shared" si="32"/>
        <v>60000</v>
      </c>
      <c r="F225" s="24"/>
      <c r="G225" s="25"/>
      <c r="L225" s="34"/>
      <c r="M225" s="43" t="s">
        <v>66</v>
      </c>
      <c r="N225" s="51">
        <v>2</v>
      </c>
      <c r="O225" s="21">
        <v>70000</v>
      </c>
      <c r="P225" s="21">
        <f t="shared" si="33"/>
        <v>140000</v>
      </c>
      <c r="Q225" s="47"/>
      <c r="R225" s="47"/>
    </row>
    <row r="226" s="1" customFormat="1" ht="16.8" spans="1:18">
      <c r="A226" s="15"/>
      <c r="B226" s="12" t="s">
        <v>128</v>
      </c>
      <c r="C226" s="13">
        <v>0.5</v>
      </c>
      <c r="D226" s="14">
        <v>70000</v>
      </c>
      <c r="E226" s="21">
        <f t="shared" si="32"/>
        <v>35000</v>
      </c>
      <c r="F226" s="24"/>
      <c r="G226" s="25"/>
      <c r="L226" s="34"/>
      <c r="M226" s="43" t="s">
        <v>14</v>
      </c>
      <c r="N226" s="51">
        <v>6</v>
      </c>
      <c r="O226" s="21">
        <v>10000</v>
      </c>
      <c r="P226" s="21">
        <f t="shared" si="33"/>
        <v>60000</v>
      </c>
      <c r="Q226" s="47"/>
      <c r="R226" s="47"/>
    </row>
    <row r="227" s="1" customFormat="1" ht="16.8" spans="1:18">
      <c r="A227" s="15"/>
      <c r="B227" s="12" t="s">
        <v>111</v>
      </c>
      <c r="C227" s="13">
        <v>1</v>
      </c>
      <c r="D227" s="14">
        <v>30000</v>
      </c>
      <c r="E227" s="21">
        <f t="shared" si="32"/>
        <v>30000</v>
      </c>
      <c r="F227" s="24"/>
      <c r="G227" s="25"/>
      <c r="L227" s="34"/>
      <c r="M227" s="43" t="s">
        <v>80</v>
      </c>
      <c r="N227" s="51">
        <v>0.3</v>
      </c>
      <c r="O227" s="21">
        <v>20000</v>
      </c>
      <c r="P227" s="21">
        <f t="shared" si="33"/>
        <v>6000</v>
      </c>
      <c r="Q227" s="47"/>
      <c r="R227" s="47"/>
    </row>
    <row r="228" s="1" customFormat="1" ht="16.8" spans="1:18">
      <c r="A228" s="15"/>
      <c r="B228" s="12" t="s">
        <v>57</v>
      </c>
      <c r="C228" s="13">
        <v>1</v>
      </c>
      <c r="D228" s="14">
        <v>15000</v>
      </c>
      <c r="E228" s="21">
        <f t="shared" si="32"/>
        <v>15000</v>
      </c>
      <c r="F228" s="24"/>
      <c r="G228" s="25"/>
      <c r="L228" s="34"/>
      <c r="M228" s="43" t="s">
        <v>23</v>
      </c>
      <c r="N228" s="51">
        <v>0.5</v>
      </c>
      <c r="O228" s="21">
        <v>30000</v>
      </c>
      <c r="P228" s="21">
        <f t="shared" si="33"/>
        <v>15000</v>
      </c>
      <c r="Q228" s="47"/>
      <c r="R228" s="47"/>
    </row>
    <row r="229" s="1" customFormat="1" ht="16.8" spans="1:18">
      <c r="A229" s="15"/>
      <c r="B229" s="12" t="s">
        <v>162</v>
      </c>
      <c r="C229" s="13">
        <v>1</v>
      </c>
      <c r="D229" s="14">
        <v>150000</v>
      </c>
      <c r="E229" s="21">
        <f t="shared" si="32"/>
        <v>150000</v>
      </c>
      <c r="F229" s="24"/>
      <c r="G229" s="25"/>
      <c r="L229" s="34"/>
      <c r="M229" s="43" t="s">
        <v>141</v>
      </c>
      <c r="N229" s="51">
        <v>0.5</v>
      </c>
      <c r="O229" s="21">
        <v>35000</v>
      </c>
      <c r="P229" s="21">
        <v>18000</v>
      </c>
      <c r="Q229" s="47"/>
      <c r="R229" s="47"/>
    </row>
    <row r="230" s="1" customFormat="1" ht="16.8" spans="1:18">
      <c r="A230" s="16"/>
      <c r="B230" s="12" t="s">
        <v>131</v>
      </c>
      <c r="C230" s="13">
        <v>0.3</v>
      </c>
      <c r="D230" s="14">
        <v>55000</v>
      </c>
      <c r="E230" s="21">
        <v>17000</v>
      </c>
      <c r="F230" s="27"/>
      <c r="G230" s="28"/>
      <c r="L230" s="34"/>
      <c r="M230" s="43" t="s">
        <v>103</v>
      </c>
      <c r="N230" s="51">
        <v>1</v>
      </c>
      <c r="O230" s="21">
        <v>48000</v>
      </c>
      <c r="P230" s="21">
        <f t="shared" ref="P230:P240" si="34">O230*N230</f>
        <v>48000</v>
      </c>
      <c r="Q230" s="47"/>
      <c r="R230" s="47"/>
    </row>
    <row r="231" s="1" customFormat="1" ht="16.8" spans="1:18">
      <c r="A231" s="11">
        <v>46032</v>
      </c>
      <c r="B231" s="12" t="s">
        <v>163</v>
      </c>
      <c r="C231" s="13">
        <v>30</v>
      </c>
      <c r="D231" s="14">
        <v>1000</v>
      </c>
      <c r="E231" s="21">
        <f t="shared" ref="E231:E277" si="35">D231*C231</f>
        <v>30000</v>
      </c>
      <c r="F231" s="22">
        <f>SUM(E231:E233)</f>
        <v>99000</v>
      </c>
      <c r="G231" s="23" t="s">
        <v>11</v>
      </c>
      <c r="L231" s="34"/>
      <c r="M231" s="43" t="s">
        <v>19</v>
      </c>
      <c r="N231" s="51">
        <v>0.75</v>
      </c>
      <c r="O231" s="21">
        <v>95000</v>
      </c>
      <c r="P231" s="21">
        <v>71000</v>
      </c>
      <c r="Q231" s="47"/>
      <c r="R231" s="47"/>
    </row>
    <row r="232" s="1" customFormat="1" ht="16.8" spans="1:18">
      <c r="A232" s="15"/>
      <c r="B232" s="12" t="s">
        <v>164</v>
      </c>
      <c r="C232" s="13">
        <v>0.3</v>
      </c>
      <c r="D232" s="14">
        <v>80000</v>
      </c>
      <c r="E232" s="21">
        <f t="shared" si="35"/>
        <v>24000</v>
      </c>
      <c r="F232" s="24"/>
      <c r="G232" s="25"/>
      <c r="L232" s="34"/>
      <c r="M232" s="43" t="s">
        <v>28</v>
      </c>
      <c r="N232" s="51">
        <v>4</v>
      </c>
      <c r="O232" s="21">
        <v>24000</v>
      </c>
      <c r="P232" s="21">
        <f t="shared" si="34"/>
        <v>96000</v>
      </c>
      <c r="Q232" s="47"/>
      <c r="R232" s="47"/>
    </row>
    <row r="233" s="1" customFormat="1" ht="16.8" spans="1:18">
      <c r="A233" s="16"/>
      <c r="B233" s="12" t="s">
        <v>165</v>
      </c>
      <c r="C233" s="13">
        <v>1</v>
      </c>
      <c r="D233" s="14">
        <v>45000</v>
      </c>
      <c r="E233" s="21">
        <f t="shared" si="35"/>
        <v>45000</v>
      </c>
      <c r="F233" s="27"/>
      <c r="G233" s="28"/>
      <c r="L233" s="41"/>
      <c r="M233" s="43" t="s">
        <v>156</v>
      </c>
      <c r="N233" s="51">
        <v>13</v>
      </c>
      <c r="O233" s="21">
        <v>15000</v>
      </c>
      <c r="P233" s="21">
        <f t="shared" si="34"/>
        <v>195000</v>
      </c>
      <c r="Q233" s="49"/>
      <c r="R233" s="49"/>
    </row>
    <row r="234" s="1" customFormat="1" ht="16.8" spans="1:18">
      <c r="A234" s="11">
        <v>46033</v>
      </c>
      <c r="B234" s="12" t="s">
        <v>43</v>
      </c>
      <c r="C234" s="13">
        <v>1</v>
      </c>
      <c r="D234" s="14">
        <v>220000</v>
      </c>
      <c r="E234" s="21">
        <f t="shared" si="35"/>
        <v>220000</v>
      </c>
      <c r="F234" s="22">
        <f>SUM(E234:E246)</f>
        <v>2113000</v>
      </c>
      <c r="G234" s="23" t="s">
        <v>11</v>
      </c>
      <c r="L234" s="31">
        <v>46044</v>
      </c>
      <c r="M234" s="43" t="s">
        <v>14</v>
      </c>
      <c r="N234" s="51">
        <v>8</v>
      </c>
      <c r="O234" s="21">
        <v>10000</v>
      </c>
      <c r="P234" s="21">
        <f t="shared" si="34"/>
        <v>80000</v>
      </c>
      <c r="Q234" s="45">
        <f>SUM(P234:P246)</f>
        <v>1042000</v>
      </c>
      <c r="R234" s="45" t="s">
        <v>11</v>
      </c>
    </row>
    <row r="235" s="1" customFormat="1" ht="16.8" spans="1:18">
      <c r="A235" s="15"/>
      <c r="B235" s="12" t="s">
        <v>69</v>
      </c>
      <c r="C235" s="13">
        <v>16</v>
      </c>
      <c r="D235" s="14">
        <v>2000</v>
      </c>
      <c r="E235" s="21">
        <f t="shared" si="35"/>
        <v>32000</v>
      </c>
      <c r="F235" s="24"/>
      <c r="G235" s="25"/>
      <c r="L235" s="34"/>
      <c r="M235" s="43" t="s">
        <v>44</v>
      </c>
      <c r="N235" s="51">
        <v>1</v>
      </c>
      <c r="O235" s="21">
        <v>38000</v>
      </c>
      <c r="P235" s="21">
        <f t="shared" si="34"/>
        <v>38000</v>
      </c>
      <c r="Q235" s="47"/>
      <c r="R235" s="47"/>
    </row>
    <row r="236" s="1" customFormat="1" ht="16.8" spans="1:18">
      <c r="A236" s="15"/>
      <c r="B236" s="12" t="s">
        <v>77</v>
      </c>
      <c r="C236" s="13">
        <v>1</v>
      </c>
      <c r="D236" s="14">
        <v>230000</v>
      </c>
      <c r="E236" s="21">
        <f t="shared" si="35"/>
        <v>230000</v>
      </c>
      <c r="F236" s="24"/>
      <c r="G236" s="25"/>
      <c r="L236" s="34"/>
      <c r="M236" s="43" t="s">
        <v>66</v>
      </c>
      <c r="N236" s="51">
        <v>2</v>
      </c>
      <c r="O236" s="21">
        <v>70000</v>
      </c>
      <c r="P236" s="21">
        <f t="shared" si="34"/>
        <v>140000</v>
      </c>
      <c r="Q236" s="47"/>
      <c r="R236" s="47"/>
    </row>
    <row r="237" s="1" customFormat="1" ht="16.8" spans="1:18">
      <c r="A237" s="15"/>
      <c r="B237" s="12" t="s">
        <v>20</v>
      </c>
      <c r="C237" s="13">
        <v>2</v>
      </c>
      <c r="D237" s="14">
        <v>75000</v>
      </c>
      <c r="E237" s="21">
        <f t="shared" si="35"/>
        <v>150000</v>
      </c>
      <c r="F237" s="24"/>
      <c r="G237" s="25"/>
      <c r="L237" s="34"/>
      <c r="M237" s="43" t="s">
        <v>58</v>
      </c>
      <c r="N237" s="51">
        <v>3</v>
      </c>
      <c r="O237" s="21">
        <v>20000</v>
      </c>
      <c r="P237" s="21">
        <f t="shared" si="34"/>
        <v>60000</v>
      </c>
      <c r="Q237" s="47"/>
      <c r="R237" s="47"/>
    </row>
    <row r="238" s="1" customFormat="1" ht="16.8" spans="1:18">
      <c r="A238" s="15"/>
      <c r="B238" s="12" t="s">
        <v>166</v>
      </c>
      <c r="C238" s="13">
        <v>2</v>
      </c>
      <c r="D238" s="14">
        <v>95000</v>
      </c>
      <c r="E238" s="21">
        <f t="shared" si="35"/>
        <v>190000</v>
      </c>
      <c r="F238" s="24"/>
      <c r="G238" s="25"/>
      <c r="L238" s="34"/>
      <c r="M238" s="43" t="s">
        <v>42</v>
      </c>
      <c r="N238" s="51">
        <v>2</v>
      </c>
      <c r="O238" s="21">
        <v>40000</v>
      </c>
      <c r="P238" s="21">
        <f t="shared" si="34"/>
        <v>80000</v>
      </c>
      <c r="Q238" s="47"/>
      <c r="R238" s="47"/>
    </row>
    <row r="239" s="1" customFormat="1" ht="16.8" spans="1:18">
      <c r="A239" s="15"/>
      <c r="B239" s="12" t="s">
        <v>37</v>
      </c>
      <c r="C239" s="13">
        <v>3</v>
      </c>
      <c r="D239" s="14">
        <v>90000</v>
      </c>
      <c r="E239" s="21">
        <f t="shared" si="35"/>
        <v>270000</v>
      </c>
      <c r="F239" s="24"/>
      <c r="G239" s="25"/>
      <c r="L239" s="34"/>
      <c r="M239" s="43" t="s">
        <v>98</v>
      </c>
      <c r="N239" s="51">
        <v>1</v>
      </c>
      <c r="O239" s="21">
        <v>45000</v>
      </c>
      <c r="P239" s="21">
        <f t="shared" si="34"/>
        <v>45000</v>
      </c>
      <c r="Q239" s="47"/>
      <c r="R239" s="47"/>
    </row>
    <row r="240" s="1" customFormat="1" ht="16.8" spans="1:18">
      <c r="A240" s="15"/>
      <c r="B240" s="12" t="s">
        <v>38</v>
      </c>
      <c r="C240" s="13">
        <v>2</v>
      </c>
      <c r="D240" s="14">
        <v>22000</v>
      </c>
      <c r="E240" s="21">
        <f t="shared" si="35"/>
        <v>44000</v>
      </c>
      <c r="F240" s="24"/>
      <c r="G240" s="25"/>
      <c r="L240" s="34"/>
      <c r="M240" s="43" t="s">
        <v>80</v>
      </c>
      <c r="N240" s="51">
        <v>0.5</v>
      </c>
      <c r="O240" s="21">
        <v>20000</v>
      </c>
      <c r="P240" s="21">
        <f t="shared" si="34"/>
        <v>10000</v>
      </c>
      <c r="Q240" s="47"/>
      <c r="R240" s="47"/>
    </row>
    <row r="241" s="1" customFormat="1" ht="16.8" spans="1:18">
      <c r="A241" s="15"/>
      <c r="B241" s="12" t="s">
        <v>36</v>
      </c>
      <c r="C241" s="13">
        <v>1</v>
      </c>
      <c r="D241" s="14">
        <v>170000</v>
      </c>
      <c r="E241" s="21">
        <f t="shared" si="35"/>
        <v>170000</v>
      </c>
      <c r="F241" s="24"/>
      <c r="G241" s="25"/>
      <c r="L241" s="34"/>
      <c r="M241" s="43" t="s">
        <v>32</v>
      </c>
      <c r="N241" s="51">
        <v>5.985</v>
      </c>
      <c r="O241" s="21">
        <v>15000</v>
      </c>
      <c r="P241" s="21">
        <v>90000</v>
      </c>
      <c r="Q241" s="47"/>
      <c r="R241" s="47"/>
    </row>
    <row r="242" s="1" customFormat="1" ht="16.8" spans="1:18">
      <c r="A242" s="15"/>
      <c r="B242" s="12" t="s">
        <v>79</v>
      </c>
      <c r="C242" s="13">
        <v>1</v>
      </c>
      <c r="D242" s="14">
        <v>270000</v>
      </c>
      <c r="E242" s="21">
        <f t="shared" si="35"/>
        <v>270000</v>
      </c>
      <c r="F242" s="24"/>
      <c r="G242" s="25"/>
      <c r="L242" s="34"/>
      <c r="M242" s="43" t="s">
        <v>19</v>
      </c>
      <c r="N242" s="51">
        <v>0.5</v>
      </c>
      <c r="O242" s="21">
        <v>95000</v>
      </c>
      <c r="P242" s="21">
        <v>48000</v>
      </c>
      <c r="Q242" s="47"/>
      <c r="R242" s="47"/>
    </row>
    <row r="243" s="1" customFormat="1" ht="16.8" spans="1:18">
      <c r="A243" s="15"/>
      <c r="B243" s="12" t="s">
        <v>84</v>
      </c>
      <c r="C243" s="13">
        <v>2</v>
      </c>
      <c r="D243" s="14">
        <v>170000</v>
      </c>
      <c r="E243" s="21">
        <f t="shared" si="35"/>
        <v>340000</v>
      </c>
      <c r="F243" s="24"/>
      <c r="G243" s="25"/>
      <c r="L243" s="34"/>
      <c r="M243" s="43" t="s">
        <v>114</v>
      </c>
      <c r="N243" s="51">
        <v>8</v>
      </c>
      <c r="O243" s="21">
        <v>24000</v>
      </c>
      <c r="P243" s="21">
        <f t="shared" ref="P243:P249" si="36">O243*N243</f>
        <v>192000</v>
      </c>
      <c r="Q243" s="47"/>
      <c r="R243" s="47"/>
    </row>
    <row r="244" s="1" customFormat="1" ht="16.8" spans="1:18">
      <c r="A244" s="15"/>
      <c r="B244" s="12" t="s">
        <v>113</v>
      </c>
      <c r="C244" s="13">
        <v>2</v>
      </c>
      <c r="D244" s="14">
        <v>45000</v>
      </c>
      <c r="E244" s="21">
        <f t="shared" si="35"/>
        <v>90000</v>
      </c>
      <c r="F244" s="24"/>
      <c r="G244" s="25"/>
      <c r="L244" s="34"/>
      <c r="M244" s="43" t="s">
        <v>62</v>
      </c>
      <c r="N244" s="51">
        <v>3</v>
      </c>
      <c r="O244" s="21">
        <v>49000</v>
      </c>
      <c r="P244" s="21">
        <f t="shared" si="36"/>
        <v>147000</v>
      </c>
      <c r="Q244" s="47"/>
      <c r="R244" s="47"/>
    </row>
    <row r="245" s="1" customFormat="1" ht="16.8" spans="1:18">
      <c r="A245" s="15"/>
      <c r="B245" s="12" t="s">
        <v>33</v>
      </c>
      <c r="C245" s="13">
        <v>0.5</v>
      </c>
      <c r="D245" s="14">
        <v>70000</v>
      </c>
      <c r="E245" s="21">
        <f t="shared" si="35"/>
        <v>35000</v>
      </c>
      <c r="F245" s="24"/>
      <c r="G245" s="25"/>
      <c r="L245" s="34"/>
      <c r="M245" s="43" t="s">
        <v>52</v>
      </c>
      <c r="N245" s="51">
        <v>2</v>
      </c>
      <c r="O245" s="21">
        <v>40000</v>
      </c>
      <c r="P245" s="21">
        <f t="shared" si="36"/>
        <v>80000</v>
      </c>
      <c r="Q245" s="47"/>
      <c r="R245" s="47"/>
    </row>
    <row r="246" s="1" customFormat="1" ht="16.8" spans="1:18">
      <c r="A246" s="16"/>
      <c r="B246" s="12" t="s">
        <v>167</v>
      </c>
      <c r="C246" s="13">
        <v>0.72</v>
      </c>
      <c r="D246" s="14">
        <v>100000</v>
      </c>
      <c r="E246" s="21">
        <f t="shared" si="35"/>
        <v>72000</v>
      </c>
      <c r="F246" s="27"/>
      <c r="G246" s="28"/>
      <c r="L246" s="41"/>
      <c r="M246" s="43" t="s">
        <v>69</v>
      </c>
      <c r="N246" s="51">
        <v>16</v>
      </c>
      <c r="O246" s="21">
        <v>2000</v>
      </c>
      <c r="P246" s="21">
        <f t="shared" si="36"/>
        <v>32000</v>
      </c>
      <c r="Q246" s="49"/>
      <c r="R246" s="49"/>
    </row>
    <row r="247" s="1" customFormat="1" ht="16.8" spans="1:18">
      <c r="A247" s="11">
        <v>46034</v>
      </c>
      <c r="B247" s="12" t="s">
        <v>94</v>
      </c>
      <c r="C247" s="13">
        <v>3</v>
      </c>
      <c r="D247" s="14">
        <v>15000</v>
      </c>
      <c r="E247" s="21">
        <f t="shared" si="35"/>
        <v>45000</v>
      </c>
      <c r="F247" s="22">
        <f>SUM(E247:E267)</f>
        <v>2365000</v>
      </c>
      <c r="G247" s="23" t="s">
        <v>11</v>
      </c>
      <c r="L247" s="31">
        <v>46045</v>
      </c>
      <c r="M247" s="43" t="s">
        <v>14</v>
      </c>
      <c r="N247" s="51">
        <v>10</v>
      </c>
      <c r="O247" s="21">
        <v>10000</v>
      </c>
      <c r="P247" s="21">
        <f t="shared" si="36"/>
        <v>100000</v>
      </c>
      <c r="Q247" s="45">
        <f>SUM(P247:P258)</f>
        <v>798000</v>
      </c>
      <c r="R247" s="45" t="s">
        <v>11</v>
      </c>
    </row>
    <row r="248" s="1" customFormat="1" ht="16.8" spans="1:18">
      <c r="A248" s="15"/>
      <c r="B248" s="12" t="s">
        <v>168</v>
      </c>
      <c r="C248" s="13">
        <v>1</v>
      </c>
      <c r="D248" s="14">
        <v>330000</v>
      </c>
      <c r="E248" s="21">
        <f t="shared" si="35"/>
        <v>330000</v>
      </c>
      <c r="F248" s="24"/>
      <c r="G248" s="25"/>
      <c r="L248" s="34"/>
      <c r="M248" s="43" t="s">
        <v>58</v>
      </c>
      <c r="N248" s="51">
        <v>4</v>
      </c>
      <c r="O248" s="21">
        <v>20000</v>
      </c>
      <c r="P248" s="21">
        <f t="shared" si="36"/>
        <v>80000</v>
      </c>
      <c r="Q248" s="47"/>
      <c r="R248" s="47"/>
    </row>
    <row r="249" s="1" customFormat="1" ht="16.8" spans="1:18">
      <c r="A249" s="15"/>
      <c r="B249" s="12" t="s">
        <v>169</v>
      </c>
      <c r="C249" s="13">
        <v>1</v>
      </c>
      <c r="D249" s="14">
        <v>40000</v>
      </c>
      <c r="E249" s="21">
        <f t="shared" si="35"/>
        <v>40000</v>
      </c>
      <c r="F249" s="24"/>
      <c r="G249" s="25"/>
      <c r="L249" s="34"/>
      <c r="M249" s="43" t="s">
        <v>66</v>
      </c>
      <c r="N249" s="51">
        <v>1</v>
      </c>
      <c r="O249" s="21">
        <v>70000</v>
      </c>
      <c r="P249" s="21">
        <f t="shared" si="36"/>
        <v>70000</v>
      </c>
      <c r="Q249" s="47"/>
      <c r="R249" s="47"/>
    </row>
    <row r="250" s="1" customFormat="1" ht="16.8" spans="1:18">
      <c r="A250" s="15"/>
      <c r="B250" s="12" t="s">
        <v>81</v>
      </c>
      <c r="C250" s="13">
        <v>2</v>
      </c>
      <c r="D250" s="14">
        <v>90000</v>
      </c>
      <c r="E250" s="21">
        <f t="shared" si="35"/>
        <v>180000</v>
      </c>
      <c r="F250" s="24"/>
      <c r="G250" s="25"/>
      <c r="L250" s="34"/>
      <c r="M250" s="43" t="s">
        <v>32</v>
      </c>
      <c r="N250" s="51">
        <v>3.775</v>
      </c>
      <c r="O250" s="21">
        <v>15000</v>
      </c>
      <c r="P250" s="21">
        <v>57000</v>
      </c>
      <c r="Q250" s="47"/>
      <c r="R250" s="47"/>
    </row>
    <row r="251" s="1" customFormat="1" ht="16.8" spans="1:18">
      <c r="A251" s="15"/>
      <c r="B251" s="12" t="s">
        <v>38</v>
      </c>
      <c r="C251" s="13">
        <v>2</v>
      </c>
      <c r="D251" s="14">
        <v>22000</v>
      </c>
      <c r="E251" s="21">
        <f t="shared" si="35"/>
        <v>44000</v>
      </c>
      <c r="F251" s="24"/>
      <c r="G251" s="25"/>
      <c r="L251" s="34"/>
      <c r="M251" s="43" t="s">
        <v>42</v>
      </c>
      <c r="N251" s="51">
        <v>1</v>
      </c>
      <c r="O251" s="21">
        <v>40000</v>
      </c>
      <c r="P251" s="21">
        <f t="shared" ref="P251:P253" si="37">O251*N251</f>
        <v>40000</v>
      </c>
      <c r="Q251" s="47"/>
      <c r="R251" s="47"/>
    </row>
    <row r="252" s="1" customFormat="1" ht="16.8" spans="1:18">
      <c r="A252" s="15"/>
      <c r="B252" s="12" t="s">
        <v>37</v>
      </c>
      <c r="C252" s="13">
        <v>2</v>
      </c>
      <c r="D252" s="14">
        <v>90000</v>
      </c>
      <c r="E252" s="21">
        <f t="shared" si="35"/>
        <v>180000</v>
      </c>
      <c r="F252" s="24"/>
      <c r="G252" s="25"/>
      <c r="L252" s="34"/>
      <c r="M252" s="43" t="s">
        <v>111</v>
      </c>
      <c r="N252" s="51">
        <v>1</v>
      </c>
      <c r="O252" s="21">
        <v>30000</v>
      </c>
      <c r="P252" s="21">
        <f t="shared" si="37"/>
        <v>30000</v>
      </c>
      <c r="Q252" s="47"/>
      <c r="R252" s="47"/>
    </row>
    <row r="253" s="1" customFormat="1" ht="16.8" spans="1:18">
      <c r="A253" s="15"/>
      <c r="B253" s="12" t="s">
        <v>84</v>
      </c>
      <c r="C253" s="13">
        <v>1</v>
      </c>
      <c r="D253" s="14">
        <v>170000</v>
      </c>
      <c r="E253" s="21">
        <f t="shared" si="35"/>
        <v>170000</v>
      </c>
      <c r="F253" s="24"/>
      <c r="G253" s="25"/>
      <c r="L253" s="34"/>
      <c r="M253" s="43" t="s">
        <v>93</v>
      </c>
      <c r="N253" s="51">
        <v>1</v>
      </c>
      <c r="O253" s="21">
        <v>15000</v>
      </c>
      <c r="P253" s="21">
        <f t="shared" si="37"/>
        <v>15000</v>
      </c>
      <c r="Q253" s="47"/>
      <c r="R253" s="47"/>
    </row>
    <row r="254" s="1" customFormat="1" ht="16.8" spans="1:18">
      <c r="A254" s="15"/>
      <c r="B254" s="12" t="s">
        <v>170</v>
      </c>
      <c r="C254" s="13">
        <v>3</v>
      </c>
      <c r="D254" s="14">
        <v>60000</v>
      </c>
      <c r="E254" s="21">
        <f t="shared" si="35"/>
        <v>180000</v>
      </c>
      <c r="F254" s="24"/>
      <c r="G254" s="25"/>
      <c r="L254" s="34"/>
      <c r="M254" s="43" t="s">
        <v>19</v>
      </c>
      <c r="N254" s="51">
        <v>0.75</v>
      </c>
      <c r="O254" s="21">
        <v>95000</v>
      </c>
      <c r="P254" s="21">
        <v>71000</v>
      </c>
      <c r="Q254" s="47"/>
      <c r="R254" s="47"/>
    </row>
    <row r="255" s="1" customFormat="1" ht="16.8" spans="1:18">
      <c r="A255" s="15"/>
      <c r="B255" s="12" t="s">
        <v>171</v>
      </c>
      <c r="C255" s="13">
        <v>3</v>
      </c>
      <c r="D255" s="14">
        <v>12000</v>
      </c>
      <c r="E255" s="21">
        <f t="shared" si="35"/>
        <v>36000</v>
      </c>
      <c r="F255" s="24"/>
      <c r="G255" s="25"/>
      <c r="L255" s="34"/>
      <c r="M255" s="43" t="s">
        <v>23</v>
      </c>
      <c r="N255" s="51">
        <v>0.5</v>
      </c>
      <c r="O255" s="21">
        <v>30000</v>
      </c>
      <c r="P255" s="21">
        <f t="shared" ref="P255:P283" si="38">O255*N255</f>
        <v>15000</v>
      </c>
      <c r="Q255" s="47"/>
      <c r="R255" s="47"/>
    </row>
    <row r="256" s="1" customFormat="1" ht="16.8" spans="1:18">
      <c r="A256" s="15"/>
      <c r="B256" s="12" t="s">
        <v>106</v>
      </c>
      <c r="C256" s="13">
        <v>1</v>
      </c>
      <c r="D256" s="14">
        <v>50000</v>
      </c>
      <c r="E256" s="21">
        <f t="shared" si="35"/>
        <v>50000</v>
      </c>
      <c r="F256" s="24"/>
      <c r="G256" s="25"/>
      <c r="L256" s="34"/>
      <c r="M256" s="43" t="s">
        <v>103</v>
      </c>
      <c r="N256" s="51">
        <v>1</v>
      </c>
      <c r="O256" s="21">
        <v>48000</v>
      </c>
      <c r="P256" s="21">
        <f t="shared" si="38"/>
        <v>48000</v>
      </c>
      <c r="Q256" s="47"/>
      <c r="R256" s="47"/>
    </row>
    <row r="257" s="1" customFormat="1" ht="16.8" spans="1:18">
      <c r="A257" s="15"/>
      <c r="B257" s="12" t="s">
        <v>15</v>
      </c>
      <c r="C257" s="13">
        <v>2</v>
      </c>
      <c r="D257" s="14">
        <v>20000</v>
      </c>
      <c r="E257" s="21">
        <f t="shared" si="35"/>
        <v>40000</v>
      </c>
      <c r="F257" s="24"/>
      <c r="G257" s="25"/>
      <c r="L257" s="34"/>
      <c r="M257" s="43" t="s">
        <v>28</v>
      </c>
      <c r="N257" s="51">
        <v>8</v>
      </c>
      <c r="O257" s="21">
        <v>24000</v>
      </c>
      <c r="P257" s="21">
        <f t="shared" si="38"/>
        <v>192000</v>
      </c>
      <c r="Q257" s="47"/>
      <c r="R257" s="47"/>
    </row>
    <row r="258" s="1" customFormat="1" ht="16.8" spans="1:18">
      <c r="A258" s="15"/>
      <c r="B258" s="12" t="s">
        <v>17</v>
      </c>
      <c r="C258" s="13">
        <v>2</v>
      </c>
      <c r="D258" s="14">
        <v>25000</v>
      </c>
      <c r="E258" s="21">
        <f t="shared" si="35"/>
        <v>50000</v>
      </c>
      <c r="F258" s="24"/>
      <c r="G258" s="25"/>
      <c r="L258" s="41"/>
      <c r="M258" s="43" t="s">
        <v>52</v>
      </c>
      <c r="N258" s="51">
        <v>2</v>
      </c>
      <c r="O258" s="21">
        <v>40000</v>
      </c>
      <c r="P258" s="21">
        <f t="shared" si="38"/>
        <v>80000</v>
      </c>
      <c r="Q258" s="49"/>
      <c r="R258" s="49"/>
    </row>
    <row r="259" s="1" customFormat="1" ht="16.8" spans="1:18">
      <c r="A259" s="15"/>
      <c r="B259" s="12" t="s">
        <v>13</v>
      </c>
      <c r="C259" s="13">
        <v>2</v>
      </c>
      <c r="D259" s="14">
        <v>40000</v>
      </c>
      <c r="E259" s="21">
        <f t="shared" si="35"/>
        <v>80000</v>
      </c>
      <c r="F259" s="24"/>
      <c r="G259" s="25"/>
      <c r="L259" s="31">
        <v>46046</v>
      </c>
      <c r="M259" s="43" t="s">
        <v>111</v>
      </c>
      <c r="N259" s="51">
        <v>1</v>
      </c>
      <c r="O259" s="21">
        <v>25000</v>
      </c>
      <c r="P259" s="21">
        <f t="shared" si="38"/>
        <v>25000</v>
      </c>
      <c r="Q259" s="45">
        <f>SUM(P259:P270)</f>
        <v>518000</v>
      </c>
      <c r="R259" s="45" t="s">
        <v>11</v>
      </c>
    </row>
    <row r="260" s="1" customFormat="1" ht="16.8" spans="1:18">
      <c r="A260" s="15"/>
      <c r="B260" s="12" t="s">
        <v>112</v>
      </c>
      <c r="C260" s="13">
        <v>2</v>
      </c>
      <c r="D260" s="14">
        <v>20000</v>
      </c>
      <c r="E260" s="21">
        <f t="shared" si="35"/>
        <v>40000</v>
      </c>
      <c r="F260" s="24"/>
      <c r="G260" s="25"/>
      <c r="L260" s="34"/>
      <c r="M260" s="43" t="s">
        <v>93</v>
      </c>
      <c r="N260" s="51">
        <v>1</v>
      </c>
      <c r="O260" s="21">
        <v>15000</v>
      </c>
      <c r="P260" s="21">
        <f t="shared" si="38"/>
        <v>15000</v>
      </c>
      <c r="Q260" s="47"/>
      <c r="R260" s="47"/>
    </row>
    <row r="261" s="1" customFormat="1" ht="16.8" spans="1:18">
      <c r="A261" s="15"/>
      <c r="B261" s="12" t="s">
        <v>172</v>
      </c>
      <c r="C261" s="13">
        <v>2</v>
      </c>
      <c r="D261" s="14">
        <v>60000</v>
      </c>
      <c r="E261" s="21">
        <f t="shared" si="35"/>
        <v>120000</v>
      </c>
      <c r="F261" s="24"/>
      <c r="G261" s="25"/>
      <c r="L261" s="34"/>
      <c r="M261" s="43" t="s">
        <v>58</v>
      </c>
      <c r="N261" s="51">
        <v>3</v>
      </c>
      <c r="O261" s="21">
        <v>20000</v>
      </c>
      <c r="P261" s="21">
        <f t="shared" si="38"/>
        <v>60000</v>
      </c>
      <c r="Q261" s="47"/>
      <c r="R261" s="47"/>
    </row>
    <row r="262" s="1" customFormat="1" ht="16.8" spans="1:18">
      <c r="A262" s="15"/>
      <c r="B262" s="12" t="s">
        <v>173</v>
      </c>
      <c r="C262" s="13">
        <v>1</v>
      </c>
      <c r="D262" s="14">
        <v>50000</v>
      </c>
      <c r="E262" s="21">
        <f t="shared" si="35"/>
        <v>50000</v>
      </c>
      <c r="F262" s="24"/>
      <c r="G262" s="25"/>
      <c r="L262" s="34"/>
      <c r="M262" s="43" t="s">
        <v>66</v>
      </c>
      <c r="N262" s="51">
        <v>1</v>
      </c>
      <c r="O262" s="21">
        <v>70000</v>
      </c>
      <c r="P262" s="21">
        <f t="shared" si="38"/>
        <v>70000</v>
      </c>
      <c r="Q262" s="47"/>
      <c r="R262" s="47"/>
    </row>
    <row r="263" s="1" customFormat="1" ht="16.8" spans="1:18">
      <c r="A263" s="15"/>
      <c r="B263" s="12" t="s">
        <v>102</v>
      </c>
      <c r="C263" s="13">
        <v>1</v>
      </c>
      <c r="D263" s="14">
        <v>30000</v>
      </c>
      <c r="E263" s="21">
        <f t="shared" si="35"/>
        <v>30000</v>
      </c>
      <c r="F263" s="24"/>
      <c r="G263" s="25"/>
      <c r="L263" s="34"/>
      <c r="M263" s="43" t="s">
        <v>103</v>
      </c>
      <c r="N263" s="51">
        <v>1</v>
      </c>
      <c r="O263" s="21">
        <v>48000</v>
      </c>
      <c r="P263" s="21">
        <f t="shared" si="38"/>
        <v>48000</v>
      </c>
      <c r="Q263" s="47"/>
      <c r="R263" s="47"/>
    </row>
    <row r="264" s="1" customFormat="1" ht="16.8" spans="1:18">
      <c r="A264" s="15"/>
      <c r="B264" s="12" t="s">
        <v>85</v>
      </c>
      <c r="C264" s="13">
        <v>3</v>
      </c>
      <c r="D264" s="14">
        <v>30000</v>
      </c>
      <c r="E264" s="21">
        <f t="shared" si="35"/>
        <v>90000</v>
      </c>
      <c r="F264" s="24"/>
      <c r="G264" s="25"/>
      <c r="L264" s="34"/>
      <c r="M264" s="43" t="s">
        <v>42</v>
      </c>
      <c r="N264" s="51">
        <v>1</v>
      </c>
      <c r="O264" s="21">
        <v>40000</v>
      </c>
      <c r="P264" s="21">
        <f t="shared" si="38"/>
        <v>40000</v>
      </c>
      <c r="Q264" s="47"/>
      <c r="R264" s="47"/>
    </row>
    <row r="265" s="1" customFormat="1" ht="16.8" spans="1:18">
      <c r="A265" s="15"/>
      <c r="B265" s="12" t="s">
        <v>113</v>
      </c>
      <c r="C265" s="13">
        <v>2</v>
      </c>
      <c r="D265" s="14">
        <v>45000</v>
      </c>
      <c r="E265" s="21">
        <f t="shared" si="35"/>
        <v>90000</v>
      </c>
      <c r="F265" s="24"/>
      <c r="G265" s="25"/>
      <c r="L265" s="34"/>
      <c r="M265" s="43" t="s">
        <v>39</v>
      </c>
      <c r="N265" s="51">
        <v>0.3</v>
      </c>
      <c r="O265" s="21">
        <v>80000</v>
      </c>
      <c r="P265" s="21">
        <f t="shared" si="38"/>
        <v>24000</v>
      </c>
      <c r="Q265" s="47"/>
      <c r="R265" s="47"/>
    </row>
    <row r="266" s="1" customFormat="1" ht="16.8" spans="1:18">
      <c r="A266" s="15"/>
      <c r="B266" s="12" t="s">
        <v>174</v>
      </c>
      <c r="C266" s="13">
        <v>2</v>
      </c>
      <c r="D266" s="14">
        <v>170000</v>
      </c>
      <c r="E266" s="21">
        <f t="shared" si="35"/>
        <v>340000</v>
      </c>
      <c r="F266" s="24"/>
      <c r="G266" s="25"/>
      <c r="L266" s="34"/>
      <c r="M266" s="43" t="s">
        <v>80</v>
      </c>
      <c r="N266" s="51">
        <v>0.3</v>
      </c>
      <c r="O266" s="21">
        <v>20000</v>
      </c>
      <c r="P266" s="21">
        <f t="shared" si="38"/>
        <v>6000</v>
      </c>
      <c r="Q266" s="47"/>
      <c r="R266" s="47"/>
    </row>
    <row r="267" s="1" customFormat="1" ht="16.8" spans="1:18">
      <c r="A267" s="16"/>
      <c r="B267" s="12" t="s">
        <v>47</v>
      </c>
      <c r="C267" s="13">
        <v>4</v>
      </c>
      <c r="D267" s="14">
        <v>45000</v>
      </c>
      <c r="E267" s="21">
        <f t="shared" si="35"/>
        <v>180000</v>
      </c>
      <c r="F267" s="27"/>
      <c r="G267" s="28"/>
      <c r="L267" s="34"/>
      <c r="M267" s="43" t="s">
        <v>175</v>
      </c>
      <c r="N267" s="51">
        <v>0.3</v>
      </c>
      <c r="O267" s="21">
        <v>150000</v>
      </c>
      <c r="P267" s="21">
        <f t="shared" si="38"/>
        <v>45000</v>
      </c>
      <c r="Q267" s="47"/>
      <c r="R267" s="47"/>
    </row>
    <row r="268" s="1" customFormat="1" ht="16.8" spans="1:18">
      <c r="A268" s="11">
        <v>46035</v>
      </c>
      <c r="B268" s="12" t="s">
        <v>37</v>
      </c>
      <c r="C268" s="13">
        <v>5</v>
      </c>
      <c r="D268" s="14">
        <v>95000</v>
      </c>
      <c r="E268" s="21">
        <f t="shared" si="35"/>
        <v>475000</v>
      </c>
      <c r="F268" s="22">
        <f>SUM(E268:E275)</f>
        <v>2178000</v>
      </c>
      <c r="G268" s="23" t="s">
        <v>11</v>
      </c>
      <c r="L268" s="34"/>
      <c r="M268" s="43" t="s">
        <v>114</v>
      </c>
      <c r="N268" s="51">
        <v>4</v>
      </c>
      <c r="O268" s="21">
        <v>24000</v>
      </c>
      <c r="P268" s="21">
        <f t="shared" si="38"/>
        <v>96000</v>
      </c>
      <c r="Q268" s="47"/>
      <c r="R268" s="47"/>
    </row>
    <row r="269" s="1" customFormat="1" ht="16.8" spans="1:18">
      <c r="A269" s="15"/>
      <c r="B269" s="12" t="s">
        <v>38</v>
      </c>
      <c r="C269" s="13">
        <v>4</v>
      </c>
      <c r="D269" s="14">
        <v>22000</v>
      </c>
      <c r="E269" s="21">
        <f t="shared" si="35"/>
        <v>88000</v>
      </c>
      <c r="F269" s="24"/>
      <c r="G269" s="25"/>
      <c r="L269" s="34"/>
      <c r="M269" s="43" t="s">
        <v>61</v>
      </c>
      <c r="N269" s="51">
        <v>1</v>
      </c>
      <c r="O269" s="21">
        <v>40000</v>
      </c>
      <c r="P269" s="21">
        <f t="shared" si="38"/>
        <v>40000</v>
      </c>
      <c r="Q269" s="47"/>
      <c r="R269" s="47"/>
    </row>
    <row r="270" s="1" customFormat="1" ht="16.8" spans="1:18">
      <c r="A270" s="15"/>
      <c r="B270" s="12" t="s">
        <v>95</v>
      </c>
      <c r="C270" s="13">
        <v>1</v>
      </c>
      <c r="D270" s="14">
        <v>210000</v>
      </c>
      <c r="E270" s="21">
        <f t="shared" si="35"/>
        <v>210000</v>
      </c>
      <c r="F270" s="24"/>
      <c r="G270" s="25"/>
      <c r="L270" s="41"/>
      <c r="M270" s="43" t="s">
        <v>62</v>
      </c>
      <c r="N270" s="51">
        <v>1</v>
      </c>
      <c r="O270" s="21">
        <v>49000</v>
      </c>
      <c r="P270" s="21">
        <f t="shared" si="38"/>
        <v>49000</v>
      </c>
      <c r="Q270" s="49"/>
      <c r="R270" s="49"/>
    </row>
    <row r="271" s="1" customFormat="1" ht="16.8" spans="1:18">
      <c r="A271" s="15"/>
      <c r="B271" s="12" t="s">
        <v>45</v>
      </c>
      <c r="C271" s="13">
        <v>6</v>
      </c>
      <c r="D271" s="14">
        <v>120000</v>
      </c>
      <c r="E271" s="21">
        <f t="shared" si="35"/>
        <v>720000</v>
      </c>
      <c r="F271" s="24"/>
      <c r="G271" s="25"/>
      <c r="L271" s="31">
        <v>46047</v>
      </c>
      <c r="M271" s="43" t="s">
        <v>14</v>
      </c>
      <c r="N271" s="51">
        <v>8</v>
      </c>
      <c r="O271" s="21">
        <v>10000</v>
      </c>
      <c r="P271" s="21">
        <f t="shared" si="38"/>
        <v>80000</v>
      </c>
      <c r="Q271" s="45">
        <f>SUM(P271:P276)</f>
        <v>454000</v>
      </c>
      <c r="R271" s="45" t="s">
        <v>11</v>
      </c>
    </row>
    <row r="272" s="1" customFormat="1" ht="16.8" spans="1:18">
      <c r="A272" s="15"/>
      <c r="B272" s="12" t="s">
        <v>101</v>
      </c>
      <c r="C272" s="13">
        <v>2</v>
      </c>
      <c r="D272" s="14">
        <v>15000</v>
      </c>
      <c r="E272" s="21">
        <f t="shared" si="35"/>
        <v>30000</v>
      </c>
      <c r="F272" s="24"/>
      <c r="G272" s="25"/>
      <c r="L272" s="34"/>
      <c r="M272" s="43" t="s">
        <v>66</v>
      </c>
      <c r="N272" s="51">
        <v>1</v>
      </c>
      <c r="O272" s="21">
        <v>70000</v>
      </c>
      <c r="P272" s="21">
        <f t="shared" si="38"/>
        <v>70000</v>
      </c>
      <c r="Q272" s="47"/>
      <c r="R272" s="47"/>
    </row>
    <row r="273" s="1" customFormat="1" ht="16.8" spans="1:18">
      <c r="A273" s="15"/>
      <c r="B273" s="12" t="s">
        <v>43</v>
      </c>
      <c r="C273" s="13">
        <v>1</v>
      </c>
      <c r="D273" s="14">
        <v>220000</v>
      </c>
      <c r="E273" s="21">
        <f t="shared" si="35"/>
        <v>220000</v>
      </c>
      <c r="F273" s="24"/>
      <c r="G273" s="25"/>
      <c r="L273" s="34"/>
      <c r="M273" s="43" t="s">
        <v>58</v>
      </c>
      <c r="N273" s="51">
        <v>2</v>
      </c>
      <c r="O273" s="21">
        <v>20000</v>
      </c>
      <c r="P273" s="21">
        <f t="shared" si="38"/>
        <v>40000</v>
      </c>
      <c r="Q273" s="47"/>
      <c r="R273" s="47"/>
    </row>
    <row r="274" s="1" customFormat="1" ht="16.8" spans="1:18">
      <c r="A274" s="15"/>
      <c r="B274" s="12" t="s">
        <v>12</v>
      </c>
      <c r="C274" s="13">
        <v>1.5</v>
      </c>
      <c r="D274" s="14">
        <v>70000</v>
      </c>
      <c r="E274" s="21">
        <f t="shared" si="35"/>
        <v>105000</v>
      </c>
      <c r="F274" s="24"/>
      <c r="G274" s="25"/>
      <c r="L274" s="34"/>
      <c r="M274" s="43" t="s">
        <v>69</v>
      </c>
      <c r="N274" s="51">
        <v>16</v>
      </c>
      <c r="O274" s="21">
        <v>2000</v>
      </c>
      <c r="P274" s="21">
        <f t="shared" si="38"/>
        <v>32000</v>
      </c>
      <c r="Q274" s="47"/>
      <c r="R274" s="47"/>
    </row>
    <row r="275" s="1" customFormat="1" ht="16.8" spans="1:18">
      <c r="A275" s="16"/>
      <c r="B275" s="12" t="s">
        <v>48</v>
      </c>
      <c r="C275" s="13">
        <v>1</v>
      </c>
      <c r="D275" s="14">
        <v>330000</v>
      </c>
      <c r="E275" s="21">
        <f t="shared" si="35"/>
        <v>330000</v>
      </c>
      <c r="F275" s="27"/>
      <c r="G275" s="28"/>
      <c r="L275" s="34"/>
      <c r="M275" s="43" t="s">
        <v>114</v>
      </c>
      <c r="N275" s="51">
        <v>8</v>
      </c>
      <c r="O275" s="21">
        <v>24000</v>
      </c>
      <c r="P275" s="21">
        <f t="shared" si="38"/>
        <v>192000</v>
      </c>
      <c r="Q275" s="47"/>
      <c r="R275" s="47"/>
    </row>
    <row r="276" s="1" customFormat="1" ht="16.8" spans="1:18">
      <c r="A276" s="11">
        <v>46035</v>
      </c>
      <c r="B276" s="12" t="s">
        <v>72</v>
      </c>
      <c r="C276" s="13">
        <v>2</v>
      </c>
      <c r="D276" s="14">
        <v>25000</v>
      </c>
      <c r="E276" s="21">
        <f t="shared" si="35"/>
        <v>50000</v>
      </c>
      <c r="F276" s="22">
        <f>SUM(E276:E278)</f>
        <v>128000</v>
      </c>
      <c r="G276" s="23" t="s">
        <v>11</v>
      </c>
      <c r="L276" s="41"/>
      <c r="M276" s="43" t="s">
        <v>61</v>
      </c>
      <c r="N276" s="51">
        <v>1</v>
      </c>
      <c r="O276" s="21">
        <v>40000</v>
      </c>
      <c r="P276" s="21">
        <f t="shared" si="38"/>
        <v>40000</v>
      </c>
      <c r="Q276" s="49"/>
      <c r="R276" s="49"/>
    </row>
    <row r="277" s="1" customFormat="1" ht="16.8" spans="1:18">
      <c r="A277" s="15"/>
      <c r="B277" s="12" t="s">
        <v>57</v>
      </c>
      <c r="C277" s="13">
        <v>2</v>
      </c>
      <c r="D277" s="14">
        <v>15000</v>
      </c>
      <c r="E277" s="21">
        <f t="shared" si="35"/>
        <v>30000</v>
      </c>
      <c r="F277" s="24"/>
      <c r="G277" s="25"/>
      <c r="L277" s="31">
        <v>46048</v>
      </c>
      <c r="M277" s="43" t="s">
        <v>14</v>
      </c>
      <c r="N277" s="51">
        <v>10</v>
      </c>
      <c r="O277" s="21">
        <v>10000</v>
      </c>
      <c r="P277" s="21">
        <f t="shared" si="38"/>
        <v>100000</v>
      </c>
      <c r="Q277" s="45">
        <f>SUM(P277:P287)</f>
        <v>588000</v>
      </c>
      <c r="R277" s="45" t="s">
        <v>11</v>
      </c>
    </row>
    <row r="278" s="1" customFormat="1" ht="16.8" spans="1:18">
      <c r="A278" s="16"/>
      <c r="B278" s="12" t="s">
        <v>138</v>
      </c>
      <c r="C278" s="13">
        <v>0.5</v>
      </c>
      <c r="D278" s="14">
        <v>95000</v>
      </c>
      <c r="E278" s="21">
        <v>48000</v>
      </c>
      <c r="F278" s="27"/>
      <c r="G278" s="28"/>
      <c r="L278" s="34"/>
      <c r="M278" s="43" t="s">
        <v>58</v>
      </c>
      <c r="N278" s="51">
        <v>4</v>
      </c>
      <c r="O278" s="21">
        <v>20000</v>
      </c>
      <c r="P278" s="21">
        <f t="shared" si="38"/>
        <v>80000</v>
      </c>
      <c r="Q278" s="47"/>
      <c r="R278" s="47"/>
    </row>
    <row r="279" s="1" customFormat="1" ht="16.8" spans="1:18">
      <c r="A279" s="11">
        <v>46036</v>
      </c>
      <c r="B279" s="12" t="s">
        <v>77</v>
      </c>
      <c r="C279" s="13">
        <v>1</v>
      </c>
      <c r="D279" s="14">
        <v>230000</v>
      </c>
      <c r="E279" s="21">
        <f t="shared" ref="E279:E285" si="39">D279*C279</f>
        <v>230000</v>
      </c>
      <c r="F279" s="22">
        <f>SUM(E279:E287)</f>
        <v>1030000</v>
      </c>
      <c r="G279" s="23" t="s">
        <v>11</v>
      </c>
      <c r="L279" s="34"/>
      <c r="M279" s="43" t="s">
        <v>66</v>
      </c>
      <c r="N279" s="51">
        <v>1</v>
      </c>
      <c r="O279" s="21">
        <v>70000</v>
      </c>
      <c r="P279" s="21">
        <f t="shared" si="38"/>
        <v>70000</v>
      </c>
      <c r="Q279" s="47"/>
      <c r="R279" s="47"/>
    </row>
    <row r="280" s="1" customFormat="1" ht="16.8" spans="1:18">
      <c r="A280" s="15"/>
      <c r="B280" s="12" t="s">
        <v>176</v>
      </c>
      <c r="C280" s="13">
        <v>0.3</v>
      </c>
      <c r="D280" s="14">
        <v>180000</v>
      </c>
      <c r="E280" s="21">
        <f t="shared" si="39"/>
        <v>54000</v>
      </c>
      <c r="F280" s="24"/>
      <c r="G280" s="25"/>
      <c r="L280" s="34"/>
      <c r="M280" s="43" t="s">
        <v>111</v>
      </c>
      <c r="N280" s="51">
        <v>1</v>
      </c>
      <c r="O280" s="21">
        <v>25000</v>
      </c>
      <c r="P280" s="21">
        <f t="shared" si="38"/>
        <v>25000</v>
      </c>
      <c r="Q280" s="47"/>
      <c r="R280" s="47"/>
    </row>
    <row r="281" s="1" customFormat="1" ht="16.8" spans="1:18">
      <c r="A281" s="15"/>
      <c r="B281" s="12" t="s">
        <v>177</v>
      </c>
      <c r="C281" s="13">
        <v>2</v>
      </c>
      <c r="D281" s="14">
        <v>130000</v>
      </c>
      <c r="E281" s="21">
        <f t="shared" si="39"/>
        <v>260000</v>
      </c>
      <c r="F281" s="24"/>
      <c r="G281" s="25"/>
      <c r="L281" s="34"/>
      <c r="M281" s="43" t="s">
        <v>93</v>
      </c>
      <c r="N281" s="51">
        <v>1</v>
      </c>
      <c r="O281" s="21">
        <v>15000</v>
      </c>
      <c r="P281" s="21">
        <f t="shared" si="38"/>
        <v>15000</v>
      </c>
      <c r="Q281" s="47"/>
      <c r="R281" s="47"/>
    </row>
    <row r="282" s="1" customFormat="1" ht="16.8" spans="1:18">
      <c r="A282" s="15"/>
      <c r="B282" s="12" t="s">
        <v>49</v>
      </c>
      <c r="C282" s="13">
        <v>1</v>
      </c>
      <c r="D282" s="14">
        <v>195000</v>
      </c>
      <c r="E282" s="21">
        <f t="shared" si="39"/>
        <v>195000</v>
      </c>
      <c r="F282" s="24"/>
      <c r="G282" s="25"/>
      <c r="L282" s="34"/>
      <c r="M282" s="43" t="s">
        <v>80</v>
      </c>
      <c r="N282" s="51">
        <v>0.3</v>
      </c>
      <c r="O282" s="21">
        <v>20000</v>
      </c>
      <c r="P282" s="21">
        <f t="shared" si="38"/>
        <v>6000</v>
      </c>
      <c r="Q282" s="47"/>
      <c r="R282" s="47"/>
    </row>
    <row r="283" s="1" customFormat="1" ht="16.8" spans="1:18">
      <c r="A283" s="15"/>
      <c r="B283" s="12" t="s">
        <v>178</v>
      </c>
      <c r="C283" s="13">
        <v>1</v>
      </c>
      <c r="D283" s="14">
        <v>35000</v>
      </c>
      <c r="E283" s="21">
        <f t="shared" si="39"/>
        <v>35000</v>
      </c>
      <c r="F283" s="24"/>
      <c r="G283" s="25"/>
      <c r="L283" s="34"/>
      <c r="M283" s="43" t="s">
        <v>103</v>
      </c>
      <c r="N283" s="51">
        <v>1</v>
      </c>
      <c r="O283" s="21">
        <v>48000</v>
      </c>
      <c r="P283" s="21">
        <f t="shared" si="38"/>
        <v>48000</v>
      </c>
      <c r="Q283" s="47"/>
      <c r="R283" s="47"/>
    </row>
    <row r="284" s="1" customFormat="1" ht="16.8" spans="1:18">
      <c r="A284" s="15"/>
      <c r="B284" s="12" t="s">
        <v>179</v>
      </c>
      <c r="C284" s="13">
        <v>1</v>
      </c>
      <c r="D284" s="14">
        <v>70000</v>
      </c>
      <c r="E284" s="21">
        <f t="shared" si="39"/>
        <v>70000</v>
      </c>
      <c r="F284" s="24"/>
      <c r="G284" s="25"/>
      <c r="L284" s="34"/>
      <c r="M284" s="43" t="s">
        <v>32</v>
      </c>
      <c r="N284" s="51">
        <v>3.41</v>
      </c>
      <c r="O284" s="21">
        <v>15000</v>
      </c>
      <c r="P284" s="21">
        <v>51000</v>
      </c>
      <c r="Q284" s="47"/>
      <c r="R284" s="47"/>
    </row>
    <row r="285" s="1" customFormat="1" ht="16.8" spans="1:18">
      <c r="A285" s="15"/>
      <c r="B285" s="12" t="s">
        <v>124</v>
      </c>
      <c r="C285" s="13">
        <v>4</v>
      </c>
      <c r="D285" s="14">
        <v>15000</v>
      </c>
      <c r="E285" s="21">
        <f t="shared" si="39"/>
        <v>60000</v>
      </c>
      <c r="F285" s="24"/>
      <c r="G285" s="25"/>
      <c r="L285" s="34"/>
      <c r="M285" s="43" t="s">
        <v>78</v>
      </c>
      <c r="N285" s="51">
        <v>1</v>
      </c>
      <c r="O285" s="21">
        <v>25000</v>
      </c>
      <c r="P285" s="21">
        <f t="shared" ref="P285:P288" si="40">O285*N285</f>
        <v>25000</v>
      </c>
      <c r="Q285" s="47"/>
      <c r="R285" s="47"/>
    </row>
    <row r="286" s="1" customFormat="1" ht="16.8" spans="1:18">
      <c r="A286" s="15"/>
      <c r="B286" s="12" t="s">
        <v>72</v>
      </c>
      <c r="C286" s="13">
        <v>3.05</v>
      </c>
      <c r="D286" s="14">
        <v>25000</v>
      </c>
      <c r="E286" s="21">
        <v>76000</v>
      </c>
      <c r="F286" s="24"/>
      <c r="G286" s="25"/>
      <c r="L286" s="34"/>
      <c r="M286" s="43" t="s">
        <v>61</v>
      </c>
      <c r="N286" s="51">
        <v>3</v>
      </c>
      <c r="O286" s="21">
        <v>40000</v>
      </c>
      <c r="P286" s="21">
        <f t="shared" si="40"/>
        <v>120000</v>
      </c>
      <c r="Q286" s="47"/>
      <c r="R286" s="47"/>
    </row>
    <row r="287" s="1" customFormat="1" ht="16.8" spans="1:18">
      <c r="A287" s="16"/>
      <c r="B287" s="12" t="s">
        <v>180</v>
      </c>
      <c r="C287" s="13">
        <v>0.5</v>
      </c>
      <c r="D287" s="14">
        <v>100000</v>
      </c>
      <c r="E287" s="21">
        <f t="shared" ref="E287:E350" si="41">D287*C287</f>
        <v>50000</v>
      </c>
      <c r="F287" s="27"/>
      <c r="G287" s="28"/>
      <c r="L287" s="41"/>
      <c r="M287" s="43" t="s">
        <v>19</v>
      </c>
      <c r="N287" s="51">
        <v>0.5</v>
      </c>
      <c r="O287" s="21">
        <v>95000</v>
      </c>
      <c r="P287" s="21">
        <v>48000</v>
      </c>
      <c r="Q287" s="49"/>
      <c r="R287" s="49"/>
    </row>
    <row r="288" s="1" customFormat="1" ht="16.8" spans="1:18">
      <c r="A288" s="11">
        <v>46037</v>
      </c>
      <c r="B288" s="12" t="s">
        <v>152</v>
      </c>
      <c r="C288" s="13">
        <v>1</v>
      </c>
      <c r="D288" s="14">
        <v>130000</v>
      </c>
      <c r="E288" s="21">
        <f t="shared" si="41"/>
        <v>130000</v>
      </c>
      <c r="F288" s="22">
        <f>SUM(E288:E298)</f>
        <v>2033000</v>
      </c>
      <c r="G288" s="23" t="s">
        <v>11</v>
      </c>
      <c r="L288" s="31">
        <v>46049</v>
      </c>
      <c r="M288" s="43" t="s">
        <v>122</v>
      </c>
      <c r="N288" s="51">
        <v>1</v>
      </c>
      <c r="O288" s="21">
        <v>38000</v>
      </c>
      <c r="P288" s="21">
        <f t="shared" si="40"/>
        <v>38000</v>
      </c>
      <c r="Q288" s="45">
        <f>SUM(P288:P299)</f>
        <v>752000</v>
      </c>
      <c r="R288" s="45" t="s">
        <v>11</v>
      </c>
    </row>
    <row r="289" s="1" customFormat="1" ht="16.8" spans="1:18">
      <c r="A289" s="15"/>
      <c r="B289" s="12" t="s">
        <v>181</v>
      </c>
      <c r="C289" s="13">
        <v>1</v>
      </c>
      <c r="D289" s="14">
        <v>400000</v>
      </c>
      <c r="E289" s="21">
        <f t="shared" si="41"/>
        <v>400000</v>
      </c>
      <c r="F289" s="24"/>
      <c r="G289" s="25"/>
      <c r="L289" s="34"/>
      <c r="M289" s="43" t="s">
        <v>182</v>
      </c>
      <c r="N289" s="51">
        <v>0.3</v>
      </c>
      <c r="O289" s="21">
        <v>35000</v>
      </c>
      <c r="P289" s="21">
        <v>11000</v>
      </c>
      <c r="Q289" s="47"/>
      <c r="R289" s="47"/>
    </row>
    <row r="290" s="1" customFormat="1" ht="16.8" spans="1:18">
      <c r="A290" s="15"/>
      <c r="B290" s="12" t="s">
        <v>84</v>
      </c>
      <c r="C290" s="13">
        <v>2</v>
      </c>
      <c r="D290" s="14">
        <v>170000</v>
      </c>
      <c r="E290" s="21">
        <f t="shared" si="41"/>
        <v>340000</v>
      </c>
      <c r="F290" s="24"/>
      <c r="G290" s="25"/>
      <c r="L290" s="34"/>
      <c r="M290" s="43" t="s">
        <v>80</v>
      </c>
      <c r="N290" s="51">
        <v>0.5</v>
      </c>
      <c r="O290" s="21">
        <v>20000</v>
      </c>
      <c r="P290" s="21">
        <f t="shared" ref="P290:P293" si="42">O290*N290</f>
        <v>10000</v>
      </c>
      <c r="Q290" s="47"/>
      <c r="R290" s="47"/>
    </row>
    <row r="291" s="1" customFormat="1" ht="16.8" spans="1:18">
      <c r="A291" s="15"/>
      <c r="B291" s="12" t="s">
        <v>66</v>
      </c>
      <c r="C291" s="13">
        <v>2</v>
      </c>
      <c r="D291" s="14">
        <v>70000</v>
      </c>
      <c r="E291" s="21">
        <f t="shared" si="41"/>
        <v>140000</v>
      </c>
      <c r="F291" s="24"/>
      <c r="G291" s="25"/>
      <c r="L291" s="34"/>
      <c r="M291" s="43" t="s">
        <v>66</v>
      </c>
      <c r="N291" s="51">
        <v>1</v>
      </c>
      <c r="O291" s="21">
        <v>70000</v>
      </c>
      <c r="P291" s="21">
        <f t="shared" si="42"/>
        <v>70000</v>
      </c>
      <c r="Q291" s="47"/>
      <c r="R291" s="47"/>
    </row>
    <row r="292" s="1" customFormat="1" ht="16.8" spans="1:18">
      <c r="A292" s="15"/>
      <c r="B292" s="12" t="s">
        <v>100</v>
      </c>
      <c r="C292" s="13">
        <v>2</v>
      </c>
      <c r="D292" s="14">
        <v>170000</v>
      </c>
      <c r="E292" s="21">
        <f t="shared" si="41"/>
        <v>340000</v>
      </c>
      <c r="F292" s="24"/>
      <c r="G292" s="25"/>
      <c r="L292" s="34"/>
      <c r="M292" s="43" t="s">
        <v>58</v>
      </c>
      <c r="N292" s="51">
        <v>3</v>
      </c>
      <c r="O292" s="21">
        <v>20000</v>
      </c>
      <c r="P292" s="21">
        <f t="shared" si="42"/>
        <v>60000</v>
      </c>
      <c r="Q292" s="47"/>
      <c r="R292" s="47"/>
    </row>
    <row r="293" s="1" customFormat="1" ht="16.8" spans="1:18">
      <c r="A293" s="15"/>
      <c r="B293" s="12" t="s">
        <v>183</v>
      </c>
      <c r="C293" s="13">
        <v>2</v>
      </c>
      <c r="D293" s="14">
        <v>170000</v>
      </c>
      <c r="E293" s="21">
        <f t="shared" si="41"/>
        <v>340000</v>
      </c>
      <c r="F293" s="24"/>
      <c r="G293" s="25"/>
      <c r="L293" s="34"/>
      <c r="M293" s="43" t="s">
        <v>23</v>
      </c>
      <c r="N293" s="51">
        <v>0.5</v>
      </c>
      <c r="O293" s="21">
        <v>30000</v>
      </c>
      <c r="P293" s="21">
        <f t="shared" si="42"/>
        <v>15000</v>
      </c>
      <c r="Q293" s="47"/>
      <c r="R293" s="47"/>
    </row>
    <row r="294" s="1" customFormat="1" ht="16.8" spans="1:18">
      <c r="A294" s="15"/>
      <c r="B294" s="12" t="s">
        <v>26</v>
      </c>
      <c r="C294" s="13">
        <v>2</v>
      </c>
      <c r="D294" s="14">
        <v>35000</v>
      </c>
      <c r="E294" s="21">
        <f t="shared" si="41"/>
        <v>70000</v>
      </c>
      <c r="F294" s="24"/>
      <c r="G294" s="25"/>
      <c r="L294" s="34"/>
      <c r="M294" s="43" t="s">
        <v>32</v>
      </c>
      <c r="N294" s="51">
        <v>3.375</v>
      </c>
      <c r="O294" s="21">
        <v>15000</v>
      </c>
      <c r="P294" s="21">
        <v>51000</v>
      </c>
      <c r="Q294" s="47"/>
      <c r="R294" s="47"/>
    </row>
    <row r="295" s="1" customFormat="1" ht="16.8" spans="1:18">
      <c r="A295" s="15"/>
      <c r="B295" s="12" t="s">
        <v>44</v>
      </c>
      <c r="C295" s="13">
        <v>1</v>
      </c>
      <c r="D295" s="14">
        <v>38000</v>
      </c>
      <c r="E295" s="21">
        <f t="shared" si="41"/>
        <v>38000</v>
      </c>
      <c r="F295" s="24"/>
      <c r="G295" s="25"/>
      <c r="L295" s="34"/>
      <c r="M295" s="43" t="s">
        <v>160</v>
      </c>
      <c r="N295" s="51">
        <v>1</v>
      </c>
      <c r="O295" s="21">
        <v>75000</v>
      </c>
      <c r="P295" s="21">
        <f t="shared" ref="P295:P308" si="43">O295*N295</f>
        <v>75000</v>
      </c>
      <c r="Q295" s="47"/>
      <c r="R295" s="47"/>
    </row>
    <row r="296" s="1" customFormat="1" ht="16.8" spans="1:18">
      <c r="A296" s="15"/>
      <c r="B296" s="12" t="s">
        <v>72</v>
      </c>
      <c r="C296" s="13">
        <v>3</v>
      </c>
      <c r="D296" s="14">
        <v>25000</v>
      </c>
      <c r="E296" s="21">
        <f t="shared" si="41"/>
        <v>75000</v>
      </c>
      <c r="F296" s="24"/>
      <c r="G296" s="25"/>
      <c r="L296" s="34"/>
      <c r="M296" s="43" t="s">
        <v>114</v>
      </c>
      <c r="N296" s="51">
        <v>6</v>
      </c>
      <c r="O296" s="21">
        <v>24000</v>
      </c>
      <c r="P296" s="21">
        <f t="shared" si="43"/>
        <v>144000</v>
      </c>
      <c r="Q296" s="47"/>
      <c r="R296" s="47"/>
    </row>
    <row r="297" s="1" customFormat="1" ht="16.8" spans="1:18">
      <c r="A297" s="15"/>
      <c r="B297" s="12" t="s">
        <v>69</v>
      </c>
      <c r="C297" s="13">
        <v>30</v>
      </c>
      <c r="D297" s="14">
        <v>2000</v>
      </c>
      <c r="E297" s="21">
        <f t="shared" si="41"/>
        <v>60000</v>
      </c>
      <c r="F297" s="24"/>
      <c r="G297" s="25"/>
      <c r="L297" s="34"/>
      <c r="M297" s="43" t="s">
        <v>62</v>
      </c>
      <c r="N297" s="51">
        <v>2</v>
      </c>
      <c r="O297" s="21">
        <v>49000</v>
      </c>
      <c r="P297" s="21">
        <f t="shared" si="43"/>
        <v>98000</v>
      </c>
      <c r="Q297" s="47"/>
      <c r="R297" s="47"/>
    </row>
    <row r="298" s="1" customFormat="1" ht="16.8" spans="1:18">
      <c r="A298" s="16"/>
      <c r="B298" s="12" t="s">
        <v>117</v>
      </c>
      <c r="C298" s="13">
        <v>5</v>
      </c>
      <c r="D298" s="14">
        <v>20000</v>
      </c>
      <c r="E298" s="21">
        <f t="shared" si="41"/>
        <v>100000</v>
      </c>
      <c r="F298" s="27"/>
      <c r="G298" s="28"/>
      <c r="L298" s="34"/>
      <c r="M298" s="43" t="s">
        <v>61</v>
      </c>
      <c r="N298" s="51">
        <v>2</v>
      </c>
      <c r="O298" s="21">
        <v>40000</v>
      </c>
      <c r="P298" s="21">
        <f t="shared" si="43"/>
        <v>80000</v>
      </c>
      <c r="Q298" s="47"/>
      <c r="R298" s="47"/>
    </row>
    <row r="299" s="1" customFormat="1" ht="16.8" spans="1:18">
      <c r="A299" s="11">
        <v>46038</v>
      </c>
      <c r="B299" s="12" t="s">
        <v>152</v>
      </c>
      <c r="C299" s="13">
        <v>1</v>
      </c>
      <c r="D299" s="14">
        <v>130000</v>
      </c>
      <c r="E299" s="21">
        <f t="shared" si="41"/>
        <v>130000</v>
      </c>
      <c r="F299" s="22">
        <f>SUM(E299:E309)</f>
        <v>2770000</v>
      </c>
      <c r="G299" s="23" t="s">
        <v>11</v>
      </c>
      <c r="L299" s="41"/>
      <c r="M299" s="43" t="s">
        <v>184</v>
      </c>
      <c r="N299" s="51">
        <v>2</v>
      </c>
      <c r="O299" s="21">
        <v>50000</v>
      </c>
      <c r="P299" s="21">
        <f t="shared" si="43"/>
        <v>100000</v>
      </c>
      <c r="Q299" s="49"/>
      <c r="R299" s="49"/>
    </row>
    <row r="300" s="1" customFormat="1" ht="16.8" spans="1:18">
      <c r="A300" s="15"/>
      <c r="B300" s="12" t="s">
        <v>49</v>
      </c>
      <c r="C300" s="13">
        <v>2</v>
      </c>
      <c r="D300" s="14">
        <v>195000</v>
      </c>
      <c r="E300" s="21">
        <f t="shared" si="41"/>
        <v>390000</v>
      </c>
      <c r="F300" s="24"/>
      <c r="G300" s="25"/>
      <c r="L300" s="31">
        <v>46050</v>
      </c>
      <c r="M300" s="43" t="s">
        <v>97</v>
      </c>
      <c r="N300" s="51">
        <v>4</v>
      </c>
      <c r="O300" s="21">
        <v>20000</v>
      </c>
      <c r="P300" s="21">
        <f t="shared" si="43"/>
        <v>80000</v>
      </c>
      <c r="Q300" s="45">
        <f>SUM(P300:P307)</f>
        <v>544000</v>
      </c>
      <c r="R300" s="45" t="s">
        <v>11</v>
      </c>
    </row>
    <row r="301" s="1" customFormat="1" ht="16.8" spans="1:18">
      <c r="A301" s="15"/>
      <c r="B301" s="12" t="s">
        <v>185</v>
      </c>
      <c r="C301" s="13">
        <v>2</v>
      </c>
      <c r="D301" s="14">
        <v>330000</v>
      </c>
      <c r="E301" s="21">
        <f t="shared" si="41"/>
        <v>660000</v>
      </c>
      <c r="F301" s="24"/>
      <c r="G301" s="25"/>
      <c r="L301" s="34"/>
      <c r="M301" s="43" t="s">
        <v>14</v>
      </c>
      <c r="N301" s="51">
        <v>8</v>
      </c>
      <c r="O301" s="21">
        <v>10000</v>
      </c>
      <c r="P301" s="21">
        <f t="shared" si="43"/>
        <v>80000</v>
      </c>
      <c r="Q301" s="47"/>
      <c r="R301" s="47"/>
    </row>
    <row r="302" s="1" customFormat="1" ht="16.8" spans="1:18">
      <c r="A302" s="15"/>
      <c r="B302" s="12" t="s">
        <v>43</v>
      </c>
      <c r="C302" s="13">
        <v>1</v>
      </c>
      <c r="D302" s="14">
        <v>220000</v>
      </c>
      <c r="E302" s="21">
        <f t="shared" si="41"/>
        <v>220000</v>
      </c>
      <c r="F302" s="24"/>
      <c r="G302" s="25"/>
      <c r="L302" s="34"/>
      <c r="M302" s="43" t="s">
        <v>12</v>
      </c>
      <c r="N302" s="51">
        <v>1</v>
      </c>
      <c r="O302" s="21">
        <v>70000</v>
      </c>
      <c r="P302" s="21">
        <f t="shared" si="43"/>
        <v>70000</v>
      </c>
      <c r="Q302" s="47"/>
      <c r="R302" s="47"/>
    </row>
    <row r="303" s="1" customFormat="1" ht="16.8" spans="1:18">
      <c r="A303" s="15"/>
      <c r="B303" s="12" t="s">
        <v>74</v>
      </c>
      <c r="C303" s="13">
        <v>1</v>
      </c>
      <c r="D303" s="14">
        <v>100000</v>
      </c>
      <c r="E303" s="21">
        <f t="shared" si="41"/>
        <v>100000</v>
      </c>
      <c r="F303" s="24"/>
      <c r="G303" s="25"/>
      <c r="L303" s="34"/>
      <c r="M303" s="43" t="s">
        <v>58</v>
      </c>
      <c r="N303" s="51">
        <v>3</v>
      </c>
      <c r="O303" s="21">
        <v>20000</v>
      </c>
      <c r="P303" s="21">
        <f t="shared" si="43"/>
        <v>60000</v>
      </c>
      <c r="Q303" s="47"/>
      <c r="R303" s="47"/>
    </row>
    <row r="304" s="1" customFormat="1" ht="16.8" spans="1:18">
      <c r="A304" s="15"/>
      <c r="B304" s="12" t="s">
        <v>125</v>
      </c>
      <c r="C304" s="13">
        <v>5</v>
      </c>
      <c r="D304" s="14">
        <v>20000</v>
      </c>
      <c r="E304" s="21">
        <f t="shared" si="41"/>
        <v>100000</v>
      </c>
      <c r="F304" s="24"/>
      <c r="G304" s="25"/>
      <c r="L304" s="34"/>
      <c r="M304" s="43" t="s">
        <v>111</v>
      </c>
      <c r="N304" s="51">
        <v>1</v>
      </c>
      <c r="O304" s="21">
        <v>30000</v>
      </c>
      <c r="P304" s="21">
        <f t="shared" si="43"/>
        <v>30000</v>
      </c>
      <c r="Q304" s="47"/>
      <c r="R304" s="47"/>
    </row>
    <row r="305" s="1" customFormat="1" ht="16.8" spans="1:18">
      <c r="A305" s="15"/>
      <c r="B305" s="12" t="s">
        <v>37</v>
      </c>
      <c r="C305" s="13">
        <v>5</v>
      </c>
      <c r="D305" s="14">
        <v>95000</v>
      </c>
      <c r="E305" s="21">
        <f t="shared" si="41"/>
        <v>475000</v>
      </c>
      <c r="F305" s="24"/>
      <c r="G305" s="25"/>
      <c r="L305" s="34"/>
      <c r="M305" s="43" t="s">
        <v>19</v>
      </c>
      <c r="N305" s="51">
        <v>0.25</v>
      </c>
      <c r="O305" s="21">
        <v>96000</v>
      </c>
      <c r="P305" s="21">
        <f t="shared" si="43"/>
        <v>24000</v>
      </c>
      <c r="Q305" s="47"/>
      <c r="R305" s="47"/>
    </row>
    <row r="306" s="1" customFormat="1" ht="16.8" spans="1:18">
      <c r="A306" s="15"/>
      <c r="B306" s="12" t="s">
        <v>38</v>
      </c>
      <c r="C306" s="13">
        <v>5</v>
      </c>
      <c r="D306" s="14">
        <v>22000</v>
      </c>
      <c r="E306" s="21">
        <f t="shared" si="41"/>
        <v>110000</v>
      </c>
      <c r="F306" s="24"/>
      <c r="G306" s="25"/>
      <c r="L306" s="34"/>
      <c r="M306" s="43" t="s">
        <v>28</v>
      </c>
      <c r="N306" s="51">
        <v>5</v>
      </c>
      <c r="O306" s="21">
        <v>24000</v>
      </c>
      <c r="P306" s="21">
        <f t="shared" si="43"/>
        <v>120000</v>
      </c>
      <c r="Q306" s="47"/>
      <c r="R306" s="47"/>
    </row>
    <row r="307" s="1" customFormat="1" ht="16.8" spans="1:18">
      <c r="A307" s="15"/>
      <c r="B307" s="12" t="s">
        <v>26</v>
      </c>
      <c r="C307" s="13">
        <v>3</v>
      </c>
      <c r="D307" s="14">
        <v>35000</v>
      </c>
      <c r="E307" s="21">
        <f t="shared" si="41"/>
        <v>105000</v>
      </c>
      <c r="F307" s="24"/>
      <c r="G307" s="25"/>
      <c r="L307" s="41"/>
      <c r="M307" s="43" t="s">
        <v>61</v>
      </c>
      <c r="N307" s="51">
        <v>2</v>
      </c>
      <c r="O307" s="21">
        <v>40000</v>
      </c>
      <c r="P307" s="21">
        <f t="shared" si="43"/>
        <v>80000</v>
      </c>
      <c r="Q307" s="49"/>
      <c r="R307" s="49"/>
    </row>
    <row r="308" s="1" customFormat="1" ht="16.8" spans="1:18">
      <c r="A308" s="15"/>
      <c r="B308" s="12" t="s">
        <v>99</v>
      </c>
      <c r="C308" s="13">
        <v>1</v>
      </c>
      <c r="D308" s="14">
        <v>360000</v>
      </c>
      <c r="E308" s="21">
        <f t="shared" si="41"/>
        <v>360000</v>
      </c>
      <c r="F308" s="24"/>
      <c r="G308" s="25"/>
      <c r="L308" s="52">
        <v>46051</v>
      </c>
      <c r="M308" s="43" t="s">
        <v>14</v>
      </c>
      <c r="N308" s="51">
        <v>8</v>
      </c>
      <c r="O308" s="21">
        <v>10000</v>
      </c>
      <c r="P308" s="21">
        <f t="shared" si="43"/>
        <v>80000</v>
      </c>
      <c r="Q308" s="55">
        <f>SUM(P308:P316)</f>
        <v>618000</v>
      </c>
      <c r="R308" s="55" t="s">
        <v>11</v>
      </c>
    </row>
    <row r="309" s="1" customFormat="1" ht="16.8" spans="1:18">
      <c r="A309" s="16"/>
      <c r="B309" s="12" t="s">
        <v>177</v>
      </c>
      <c r="C309" s="13">
        <v>1</v>
      </c>
      <c r="D309" s="14">
        <v>120000</v>
      </c>
      <c r="E309" s="21">
        <f t="shared" si="41"/>
        <v>120000</v>
      </c>
      <c r="F309" s="27"/>
      <c r="G309" s="28"/>
      <c r="L309" s="53"/>
      <c r="M309" s="43" t="s">
        <v>32</v>
      </c>
      <c r="N309" s="51">
        <v>3.67</v>
      </c>
      <c r="O309" s="21">
        <v>15000</v>
      </c>
      <c r="P309" s="21">
        <v>55000</v>
      </c>
      <c r="Q309" s="56"/>
      <c r="R309" s="56"/>
    </row>
    <row r="310" s="1" customFormat="1" ht="16.8" spans="1:18">
      <c r="A310" s="11">
        <v>46039</v>
      </c>
      <c r="B310" s="12" t="s">
        <v>37</v>
      </c>
      <c r="C310" s="13">
        <v>4</v>
      </c>
      <c r="D310" s="14">
        <v>95000</v>
      </c>
      <c r="E310" s="21">
        <f t="shared" si="41"/>
        <v>380000</v>
      </c>
      <c r="F310" s="22">
        <f>SUM(E310:E320)</f>
        <v>1679000</v>
      </c>
      <c r="G310" s="23" t="s">
        <v>11</v>
      </c>
      <c r="L310" s="53"/>
      <c r="M310" s="43" t="s">
        <v>42</v>
      </c>
      <c r="N310" s="51">
        <v>2</v>
      </c>
      <c r="O310" s="21">
        <v>40000</v>
      </c>
      <c r="P310" s="21">
        <f t="shared" ref="P310:P319" si="44">O310*N310</f>
        <v>80000</v>
      </c>
      <c r="Q310" s="56"/>
      <c r="R310" s="56"/>
    </row>
    <row r="311" s="1" customFormat="1" ht="16.8" spans="1:18">
      <c r="A311" s="15"/>
      <c r="B311" s="12" t="s">
        <v>38</v>
      </c>
      <c r="C311" s="13">
        <v>2</v>
      </c>
      <c r="D311" s="14">
        <v>22000</v>
      </c>
      <c r="E311" s="21">
        <f t="shared" si="41"/>
        <v>44000</v>
      </c>
      <c r="F311" s="24"/>
      <c r="G311" s="25"/>
      <c r="L311" s="53"/>
      <c r="M311" s="43" t="s">
        <v>103</v>
      </c>
      <c r="N311" s="51">
        <v>1</v>
      </c>
      <c r="O311" s="21">
        <v>48000</v>
      </c>
      <c r="P311" s="21">
        <f t="shared" si="44"/>
        <v>48000</v>
      </c>
      <c r="Q311" s="56"/>
      <c r="R311" s="56"/>
    </row>
    <row r="312" s="1" customFormat="1" ht="16.8" spans="1:18">
      <c r="A312" s="15"/>
      <c r="B312" s="12" t="s">
        <v>186</v>
      </c>
      <c r="C312" s="13">
        <v>15</v>
      </c>
      <c r="D312" s="14">
        <v>15000</v>
      </c>
      <c r="E312" s="21">
        <f t="shared" si="41"/>
        <v>225000</v>
      </c>
      <c r="F312" s="24"/>
      <c r="G312" s="25"/>
      <c r="L312" s="53"/>
      <c r="M312" s="43" t="s">
        <v>114</v>
      </c>
      <c r="N312" s="51">
        <v>6</v>
      </c>
      <c r="O312" s="21">
        <v>24000</v>
      </c>
      <c r="P312" s="21">
        <f t="shared" si="44"/>
        <v>144000</v>
      </c>
      <c r="Q312" s="56"/>
      <c r="R312" s="56"/>
    </row>
    <row r="313" s="1" customFormat="1" ht="16.8" spans="1:18">
      <c r="A313" s="15"/>
      <c r="B313" s="12" t="s">
        <v>153</v>
      </c>
      <c r="C313" s="13">
        <v>1</v>
      </c>
      <c r="D313" s="14">
        <v>90000</v>
      </c>
      <c r="E313" s="21">
        <f t="shared" si="41"/>
        <v>90000</v>
      </c>
      <c r="F313" s="24"/>
      <c r="G313" s="25"/>
      <c r="L313" s="53"/>
      <c r="M313" s="43" t="s">
        <v>61</v>
      </c>
      <c r="N313" s="51">
        <v>2</v>
      </c>
      <c r="O313" s="21">
        <v>40000</v>
      </c>
      <c r="P313" s="21">
        <f t="shared" si="44"/>
        <v>80000</v>
      </c>
      <c r="Q313" s="56"/>
      <c r="R313" s="56"/>
    </row>
    <row r="314" s="1" customFormat="1" ht="16.8" spans="1:18">
      <c r="A314" s="15"/>
      <c r="B314" s="12" t="s">
        <v>99</v>
      </c>
      <c r="C314" s="13">
        <v>1</v>
      </c>
      <c r="D314" s="14">
        <v>360000</v>
      </c>
      <c r="E314" s="21">
        <f t="shared" si="41"/>
        <v>360000</v>
      </c>
      <c r="F314" s="24"/>
      <c r="G314" s="25"/>
      <c r="L314" s="53"/>
      <c r="M314" s="43" t="s">
        <v>69</v>
      </c>
      <c r="N314" s="51">
        <v>17</v>
      </c>
      <c r="O314" s="21">
        <v>2000</v>
      </c>
      <c r="P314" s="21">
        <f t="shared" si="44"/>
        <v>34000</v>
      </c>
      <c r="Q314" s="56"/>
      <c r="R314" s="56"/>
    </row>
    <row r="315" s="1" customFormat="1" ht="16.8" spans="1:18">
      <c r="A315" s="15"/>
      <c r="B315" s="12" t="s">
        <v>95</v>
      </c>
      <c r="C315" s="13">
        <v>1</v>
      </c>
      <c r="D315" s="14">
        <v>210000</v>
      </c>
      <c r="E315" s="21">
        <f t="shared" si="41"/>
        <v>210000</v>
      </c>
      <c r="F315" s="24"/>
      <c r="G315" s="25"/>
      <c r="L315" s="53"/>
      <c r="M315" s="43" t="s">
        <v>19</v>
      </c>
      <c r="N315" s="51">
        <v>1</v>
      </c>
      <c r="O315" s="21">
        <v>95000</v>
      </c>
      <c r="P315" s="21">
        <f t="shared" si="44"/>
        <v>95000</v>
      </c>
      <c r="Q315" s="56"/>
      <c r="R315" s="56"/>
    </row>
    <row r="316" s="1" customFormat="1" ht="16.8" spans="1:18">
      <c r="A316" s="15"/>
      <c r="B316" s="12" t="s">
        <v>187</v>
      </c>
      <c r="C316" s="13">
        <v>0.5</v>
      </c>
      <c r="D316" s="14">
        <v>100000</v>
      </c>
      <c r="E316" s="21">
        <f t="shared" si="41"/>
        <v>50000</v>
      </c>
      <c r="F316" s="24"/>
      <c r="G316" s="25"/>
      <c r="L316" s="54"/>
      <c r="M316" s="43" t="s">
        <v>86</v>
      </c>
      <c r="N316" s="51">
        <v>0.1</v>
      </c>
      <c r="O316" s="21">
        <v>20000</v>
      </c>
      <c r="P316" s="21">
        <f t="shared" si="44"/>
        <v>2000</v>
      </c>
      <c r="Q316" s="57"/>
      <c r="R316" s="57"/>
    </row>
    <row r="317" s="1" customFormat="1" ht="16.8" spans="1:18">
      <c r="A317" s="15"/>
      <c r="B317" s="12" t="s">
        <v>91</v>
      </c>
      <c r="C317" s="13">
        <v>4</v>
      </c>
      <c r="D317" s="14">
        <v>30000</v>
      </c>
      <c r="E317" s="21">
        <f t="shared" si="41"/>
        <v>120000</v>
      </c>
      <c r="F317" s="24"/>
      <c r="G317" s="25"/>
      <c r="L317" s="52">
        <v>46052</v>
      </c>
      <c r="M317" s="43" t="s">
        <v>66</v>
      </c>
      <c r="N317" s="51">
        <v>1</v>
      </c>
      <c r="O317" s="21">
        <v>70000</v>
      </c>
      <c r="P317" s="21">
        <f t="shared" si="44"/>
        <v>70000</v>
      </c>
      <c r="Q317" s="55">
        <f>SUM(P317:P323)</f>
        <v>407000</v>
      </c>
      <c r="R317" s="55" t="s">
        <v>11</v>
      </c>
    </row>
    <row r="318" s="1" customFormat="1" ht="16.8" spans="1:18">
      <c r="A318" s="15"/>
      <c r="B318" s="12" t="s">
        <v>35</v>
      </c>
      <c r="C318" s="13">
        <v>0.5</v>
      </c>
      <c r="D318" s="14">
        <v>80000</v>
      </c>
      <c r="E318" s="21">
        <f t="shared" si="41"/>
        <v>40000</v>
      </c>
      <c r="F318" s="24"/>
      <c r="G318" s="25"/>
      <c r="L318" s="53"/>
      <c r="M318" s="43" t="s">
        <v>58</v>
      </c>
      <c r="N318" s="51">
        <v>3</v>
      </c>
      <c r="O318" s="21">
        <v>25000</v>
      </c>
      <c r="P318" s="21">
        <f t="shared" si="44"/>
        <v>75000</v>
      </c>
      <c r="Q318" s="56"/>
      <c r="R318" s="56"/>
    </row>
    <row r="319" s="1" customFormat="1" ht="16.8" spans="1:18">
      <c r="A319" s="15"/>
      <c r="B319" s="12" t="s">
        <v>117</v>
      </c>
      <c r="C319" s="13">
        <v>5</v>
      </c>
      <c r="D319" s="14">
        <v>20000</v>
      </c>
      <c r="E319" s="21">
        <f t="shared" si="41"/>
        <v>100000</v>
      </c>
      <c r="F319" s="24"/>
      <c r="G319" s="25"/>
      <c r="L319" s="53"/>
      <c r="M319" s="43" t="s">
        <v>137</v>
      </c>
      <c r="N319" s="51">
        <v>0.3</v>
      </c>
      <c r="O319" s="21">
        <v>90000</v>
      </c>
      <c r="P319" s="21">
        <f t="shared" si="44"/>
        <v>27000</v>
      </c>
      <c r="Q319" s="56"/>
      <c r="R319" s="56"/>
    </row>
    <row r="320" s="1" customFormat="1" ht="16.8" spans="1:18">
      <c r="A320" s="16"/>
      <c r="B320" s="12" t="s">
        <v>188</v>
      </c>
      <c r="C320" s="13">
        <v>2</v>
      </c>
      <c r="D320" s="14">
        <v>30000</v>
      </c>
      <c r="E320" s="21">
        <f t="shared" si="41"/>
        <v>60000</v>
      </c>
      <c r="F320" s="27"/>
      <c r="G320" s="28"/>
      <c r="L320" s="53"/>
      <c r="M320" s="43" t="s">
        <v>32</v>
      </c>
      <c r="N320" s="51">
        <v>6.63</v>
      </c>
      <c r="O320" s="21">
        <v>15000</v>
      </c>
      <c r="P320" s="21">
        <v>99000</v>
      </c>
      <c r="Q320" s="56"/>
      <c r="R320" s="56"/>
    </row>
    <row r="321" s="1" customFormat="1" ht="16.8" spans="1:18">
      <c r="A321" s="11">
        <v>46039</v>
      </c>
      <c r="B321" s="12" t="s">
        <v>189</v>
      </c>
      <c r="C321" s="13">
        <v>0.5</v>
      </c>
      <c r="D321" s="14">
        <v>80000</v>
      </c>
      <c r="E321" s="21">
        <f t="shared" si="41"/>
        <v>40000</v>
      </c>
      <c r="F321" s="22">
        <f>SUM(E321:E322)</f>
        <v>78000</v>
      </c>
      <c r="G321" s="23" t="s">
        <v>11</v>
      </c>
      <c r="L321" s="53"/>
      <c r="M321" s="43" t="s">
        <v>93</v>
      </c>
      <c r="N321" s="51">
        <v>1</v>
      </c>
      <c r="O321" s="21">
        <v>15000</v>
      </c>
      <c r="P321" s="21">
        <f t="shared" ref="P321:P337" si="45">O321*N321</f>
        <v>15000</v>
      </c>
      <c r="Q321" s="56"/>
      <c r="R321" s="56"/>
    </row>
    <row r="322" s="1" customFormat="1" ht="16.8" spans="1:18">
      <c r="A322" s="16"/>
      <c r="B322" s="12" t="s">
        <v>138</v>
      </c>
      <c r="C322" s="13">
        <v>0.4</v>
      </c>
      <c r="D322" s="14">
        <v>95000</v>
      </c>
      <c r="E322" s="21">
        <f t="shared" si="41"/>
        <v>38000</v>
      </c>
      <c r="F322" s="27"/>
      <c r="G322" s="28"/>
      <c r="L322" s="53"/>
      <c r="M322" s="43" t="s">
        <v>111</v>
      </c>
      <c r="N322" s="51">
        <v>1</v>
      </c>
      <c r="O322" s="21">
        <v>25000</v>
      </c>
      <c r="P322" s="21">
        <f t="shared" si="45"/>
        <v>25000</v>
      </c>
      <c r="Q322" s="56"/>
      <c r="R322" s="56"/>
    </row>
    <row r="323" s="1" customFormat="1" ht="16.8" spans="1:18">
      <c r="A323" s="11">
        <v>46040</v>
      </c>
      <c r="B323" s="12" t="s">
        <v>13</v>
      </c>
      <c r="C323" s="13">
        <v>2</v>
      </c>
      <c r="D323" s="14">
        <v>40000</v>
      </c>
      <c r="E323" s="21">
        <f t="shared" si="41"/>
        <v>80000</v>
      </c>
      <c r="F323" s="22">
        <f>SUM(E323:E341)</f>
        <v>3089000</v>
      </c>
      <c r="G323" s="23" t="s">
        <v>11</v>
      </c>
      <c r="L323" s="54"/>
      <c r="M323" s="43" t="s">
        <v>103</v>
      </c>
      <c r="N323" s="51">
        <v>2</v>
      </c>
      <c r="O323" s="21">
        <v>48000</v>
      </c>
      <c r="P323" s="21">
        <f t="shared" si="45"/>
        <v>96000</v>
      </c>
      <c r="Q323" s="57"/>
      <c r="R323" s="57"/>
    </row>
    <row r="324" s="1" customFormat="1" ht="16.8" spans="1:18">
      <c r="A324" s="15"/>
      <c r="B324" s="12" t="s">
        <v>45</v>
      </c>
      <c r="C324" s="13">
        <v>4</v>
      </c>
      <c r="D324" s="14">
        <v>120000</v>
      </c>
      <c r="E324" s="21">
        <f t="shared" si="41"/>
        <v>480000</v>
      </c>
      <c r="F324" s="24"/>
      <c r="G324" s="25"/>
      <c r="L324" s="52">
        <v>46053</v>
      </c>
      <c r="M324" s="43" t="s">
        <v>111</v>
      </c>
      <c r="N324" s="51">
        <v>2</v>
      </c>
      <c r="O324" s="21">
        <v>30000</v>
      </c>
      <c r="P324" s="21">
        <f t="shared" si="45"/>
        <v>60000</v>
      </c>
      <c r="Q324" s="55">
        <f>SUM(P324:P337)</f>
        <v>1029000</v>
      </c>
      <c r="R324" s="55" t="s">
        <v>11</v>
      </c>
    </row>
    <row r="325" s="1" customFormat="1" ht="16.8" spans="1:18">
      <c r="A325" s="15"/>
      <c r="B325" s="12" t="s">
        <v>107</v>
      </c>
      <c r="C325" s="13">
        <v>2</v>
      </c>
      <c r="D325" s="14">
        <v>58000</v>
      </c>
      <c r="E325" s="21">
        <f t="shared" si="41"/>
        <v>116000</v>
      </c>
      <c r="F325" s="24"/>
      <c r="G325" s="25"/>
      <c r="L325" s="53"/>
      <c r="M325" s="43" t="s">
        <v>98</v>
      </c>
      <c r="N325" s="51">
        <v>2</v>
      </c>
      <c r="O325" s="21">
        <v>40000</v>
      </c>
      <c r="P325" s="21">
        <f t="shared" si="45"/>
        <v>80000</v>
      </c>
      <c r="Q325" s="56"/>
      <c r="R325" s="56"/>
    </row>
    <row r="326" s="1" customFormat="1" ht="16.8" spans="1:18">
      <c r="A326" s="15"/>
      <c r="B326" s="12" t="s">
        <v>133</v>
      </c>
      <c r="C326" s="13">
        <v>5</v>
      </c>
      <c r="D326" s="14">
        <v>15000</v>
      </c>
      <c r="E326" s="21">
        <f t="shared" si="41"/>
        <v>75000</v>
      </c>
      <c r="F326" s="24"/>
      <c r="G326" s="25"/>
      <c r="L326" s="53"/>
      <c r="M326" s="43" t="s">
        <v>14</v>
      </c>
      <c r="N326" s="51">
        <v>10</v>
      </c>
      <c r="O326" s="21">
        <v>10000</v>
      </c>
      <c r="P326" s="21">
        <f t="shared" si="45"/>
        <v>100000</v>
      </c>
      <c r="Q326" s="56"/>
      <c r="R326" s="56"/>
    </row>
    <row r="327" s="1" customFormat="1" ht="16.8" spans="1:18">
      <c r="A327" s="15"/>
      <c r="B327" s="12" t="s">
        <v>68</v>
      </c>
      <c r="C327" s="13">
        <v>8</v>
      </c>
      <c r="D327" s="14">
        <v>25000</v>
      </c>
      <c r="E327" s="21">
        <f t="shared" si="41"/>
        <v>200000</v>
      </c>
      <c r="F327" s="24"/>
      <c r="G327" s="25"/>
      <c r="L327" s="53"/>
      <c r="M327" s="43" t="s">
        <v>93</v>
      </c>
      <c r="N327" s="51">
        <v>1</v>
      </c>
      <c r="O327" s="21">
        <v>15000</v>
      </c>
      <c r="P327" s="21">
        <f t="shared" si="45"/>
        <v>15000</v>
      </c>
      <c r="Q327" s="56"/>
      <c r="R327" s="56"/>
    </row>
    <row r="328" s="1" customFormat="1" ht="16.8" spans="1:18">
      <c r="A328" s="15"/>
      <c r="B328" s="12" t="s">
        <v>140</v>
      </c>
      <c r="C328" s="13">
        <v>1</v>
      </c>
      <c r="D328" s="14">
        <v>160000</v>
      </c>
      <c r="E328" s="21">
        <f t="shared" si="41"/>
        <v>160000</v>
      </c>
      <c r="F328" s="24"/>
      <c r="G328" s="25"/>
      <c r="L328" s="53"/>
      <c r="M328" s="43" t="s">
        <v>66</v>
      </c>
      <c r="N328" s="51">
        <v>2</v>
      </c>
      <c r="O328" s="21">
        <v>70000</v>
      </c>
      <c r="P328" s="21">
        <f t="shared" si="45"/>
        <v>140000</v>
      </c>
      <c r="Q328" s="56"/>
      <c r="R328" s="56"/>
    </row>
    <row r="329" s="1" customFormat="1" ht="16.8" spans="1:18">
      <c r="A329" s="15"/>
      <c r="B329" s="12" t="s">
        <v>187</v>
      </c>
      <c r="C329" s="13">
        <v>0.5</v>
      </c>
      <c r="D329" s="14">
        <v>100000</v>
      </c>
      <c r="E329" s="21">
        <f t="shared" si="41"/>
        <v>50000</v>
      </c>
      <c r="F329" s="24"/>
      <c r="G329" s="25"/>
      <c r="L329" s="53"/>
      <c r="M329" s="43" t="s">
        <v>58</v>
      </c>
      <c r="N329" s="51">
        <v>4</v>
      </c>
      <c r="O329" s="21">
        <v>25000</v>
      </c>
      <c r="P329" s="21">
        <f t="shared" si="45"/>
        <v>100000</v>
      </c>
      <c r="Q329" s="56"/>
      <c r="R329" s="56"/>
    </row>
    <row r="330" s="1" customFormat="1" ht="16.8" spans="1:18">
      <c r="A330" s="15"/>
      <c r="B330" s="12" t="s">
        <v>106</v>
      </c>
      <c r="C330" s="13">
        <v>1</v>
      </c>
      <c r="D330" s="14">
        <v>50000</v>
      </c>
      <c r="E330" s="21">
        <f t="shared" si="41"/>
        <v>50000</v>
      </c>
      <c r="F330" s="24"/>
      <c r="G330" s="25"/>
      <c r="L330" s="53"/>
      <c r="M330" s="43" t="s">
        <v>103</v>
      </c>
      <c r="N330" s="51">
        <v>1</v>
      </c>
      <c r="O330" s="21">
        <v>48000</v>
      </c>
      <c r="P330" s="21">
        <f t="shared" si="45"/>
        <v>48000</v>
      </c>
      <c r="Q330" s="56"/>
      <c r="R330" s="56"/>
    </row>
    <row r="331" s="1" customFormat="1" ht="16.8" spans="1:18">
      <c r="A331" s="15"/>
      <c r="B331" s="12" t="s">
        <v>180</v>
      </c>
      <c r="C331" s="13">
        <v>0.3</v>
      </c>
      <c r="D331" s="14">
        <v>100000</v>
      </c>
      <c r="E331" s="21">
        <f t="shared" si="41"/>
        <v>30000</v>
      </c>
      <c r="F331" s="24"/>
      <c r="G331" s="25"/>
      <c r="L331" s="53"/>
      <c r="M331" s="43" t="s">
        <v>19</v>
      </c>
      <c r="N331" s="51">
        <v>0.5</v>
      </c>
      <c r="O331" s="21">
        <v>100000</v>
      </c>
      <c r="P331" s="21">
        <f t="shared" si="45"/>
        <v>50000</v>
      </c>
      <c r="Q331" s="56"/>
      <c r="R331" s="56"/>
    </row>
    <row r="332" s="1" customFormat="1" ht="16.8" spans="1:18">
      <c r="A332" s="15"/>
      <c r="B332" s="12" t="s">
        <v>174</v>
      </c>
      <c r="C332" s="13">
        <v>2</v>
      </c>
      <c r="D332" s="14">
        <v>170000</v>
      </c>
      <c r="E332" s="21">
        <f t="shared" si="41"/>
        <v>340000</v>
      </c>
      <c r="F332" s="24"/>
      <c r="G332" s="25"/>
      <c r="L332" s="53"/>
      <c r="M332" s="43" t="s">
        <v>114</v>
      </c>
      <c r="N332" s="51">
        <v>8</v>
      </c>
      <c r="O332" s="21">
        <v>24000</v>
      </c>
      <c r="P332" s="21">
        <f t="shared" si="45"/>
        <v>192000</v>
      </c>
      <c r="Q332" s="56"/>
      <c r="R332" s="56"/>
    </row>
    <row r="333" s="1" customFormat="1" ht="16.8" spans="1:18">
      <c r="A333" s="15"/>
      <c r="B333" s="12" t="s">
        <v>84</v>
      </c>
      <c r="C333" s="13">
        <v>1</v>
      </c>
      <c r="D333" s="14">
        <v>170000</v>
      </c>
      <c r="E333" s="21">
        <f t="shared" si="41"/>
        <v>170000</v>
      </c>
      <c r="F333" s="24"/>
      <c r="G333" s="25"/>
      <c r="H333" s="26"/>
      <c r="L333" s="53"/>
      <c r="M333" s="43" t="s">
        <v>62</v>
      </c>
      <c r="N333" s="51">
        <v>1</v>
      </c>
      <c r="O333" s="21">
        <v>49000</v>
      </c>
      <c r="P333" s="21">
        <f t="shared" si="45"/>
        <v>49000</v>
      </c>
      <c r="Q333" s="56"/>
      <c r="R333" s="56"/>
    </row>
    <row r="334" s="1" customFormat="1" ht="16.8" spans="1:18">
      <c r="A334" s="15"/>
      <c r="B334" s="12" t="s">
        <v>38</v>
      </c>
      <c r="C334" s="13">
        <v>4</v>
      </c>
      <c r="D334" s="14">
        <v>22000</v>
      </c>
      <c r="E334" s="21">
        <f t="shared" si="41"/>
        <v>88000</v>
      </c>
      <c r="F334" s="24"/>
      <c r="G334" s="25"/>
      <c r="L334" s="53"/>
      <c r="M334" s="43" t="s">
        <v>61</v>
      </c>
      <c r="N334" s="51">
        <v>2</v>
      </c>
      <c r="O334" s="21">
        <v>40000</v>
      </c>
      <c r="P334" s="21">
        <f t="shared" si="45"/>
        <v>80000</v>
      </c>
      <c r="Q334" s="56"/>
      <c r="R334" s="56"/>
    </row>
    <row r="335" s="1" customFormat="1" ht="16.8" spans="1:18">
      <c r="A335" s="15"/>
      <c r="B335" s="12" t="s">
        <v>37</v>
      </c>
      <c r="C335" s="13">
        <v>2</v>
      </c>
      <c r="D335" s="14">
        <v>95000</v>
      </c>
      <c r="E335" s="21">
        <f t="shared" si="41"/>
        <v>190000</v>
      </c>
      <c r="F335" s="24"/>
      <c r="G335" s="25"/>
      <c r="L335" s="53"/>
      <c r="M335" s="43" t="s">
        <v>190</v>
      </c>
      <c r="N335" s="51">
        <v>1</v>
      </c>
      <c r="O335" s="21">
        <v>70000</v>
      </c>
      <c r="P335" s="21">
        <f t="shared" si="45"/>
        <v>70000</v>
      </c>
      <c r="Q335" s="56"/>
      <c r="R335" s="56"/>
    </row>
    <row r="336" s="1" customFormat="1" ht="16.8" spans="1:18">
      <c r="A336" s="15"/>
      <c r="B336" s="12" t="s">
        <v>79</v>
      </c>
      <c r="C336" s="13">
        <v>1</v>
      </c>
      <c r="D336" s="14">
        <v>270000</v>
      </c>
      <c r="E336" s="21">
        <f t="shared" si="41"/>
        <v>270000</v>
      </c>
      <c r="F336" s="24"/>
      <c r="G336" s="25"/>
      <c r="L336" s="53"/>
      <c r="M336" s="43" t="s">
        <v>26</v>
      </c>
      <c r="N336" s="51">
        <v>1</v>
      </c>
      <c r="O336" s="21">
        <v>35000</v>
      </c>
      <c r="P336" s="21">
        <f t="shared" si="45"/>
        <v>35000</v>
      </c>
      <c r="Q336" s="56"/>
      <c r="R336" s="56"/>
    </row>
    <row r="337" s="1" customFormat="1" ht="16.8" spans="1:18">
      <c r="A337" s="15"/>
      <c r="B337" s="12" t="s">
        <v>116</v>
      </c>
      <c r="C337" s="13">
        <v>1</v>
      </c>
      <c r="D337" s="14">
        <v>275000</v>
      </c>
      <c r="E337" s="21">
        <f t="shared" si="41"/>
        <v>275000</v>
      </c>
      <c r="F337" s="24"/>
      <c r="G337" s="25"/>
      <c r="L337" s="54"/>
      <c r="M337" s="43" t="s">
        <v>80</v>
      </c>
      <c r="N337" s="51">
        <v>0.5</v>
      </c>
      <c r="O337" s="21">
        <v>20000</v>
      </c>
      <c r="P337" s="21">
        <f t="shared" si="45"/>
        <v>10000</v>
      </c>
      <c r="Q337" s="57"/>
      <c r="R337" s="57"/>
    </row>
    <row r="338" s="1" customFormat="1" spans="1:18">
      <c r="A338" s="15"/>
      <c r="B338" s="12" t="s">
        <v>43</v>
      </c>
      <c r="C338" s="13">
        <v>1</v>
      </c>
      <c r="D338" s="14">
        <v>220000</v>
      </c>
      <c r="E338" s="21">
        <f t="shared" si="41"/>
        <v>220000</v>
      </c>
      <c r="F338" s="24"/>
      <c r="G338" s="25"/>
      <c r="L338" s="42"/>
      <c r="M338" s="43"/>
      <c r="N338" s="51"/>
      <c r="O338" s="21"/>
      <c r="P338" s="21"/>
      <c r="Q338" s="21"/>
      <c r="R338" s="21"/>
    </row>
    <row r="339" s="1" customFormat="1" spans="1:18">
      <c r="A339" s="15"/>
      <c r="B339" s="12" t="s">
        <v>101</v>
      </c>
      <c r="C339" s="13">
        <v>2</v>
      </c>
      <c r="D339" s="14">
        <v>15000</v>
      </c>
      <c r="E339" s="21">
        <f t="shared" si="41"/>
        <v>30000</v>
      </c>
      <c r="F339" s="24"/>
      <c r="G339" s="25"/>
      <c r="L339" s="42"/>
      <c r="M339" s="43"/>
      <c r="N339" s="51"/>
      <c r="O339" s="21"/>
      <c r="P339" s="21"/>
      <c r="Q339" s="21"/>
      <c r="R339" s="21"/>
    </row>
    <row r="340" s="1" customFormat="1" spans="1:18">
      <c r="A340" s="15"/>
      <c r="B340" s="12" t="s">
        <v>191</v>
      </c>
      <c r="C340" s="13">
        <v>1</v>
      </c>
      <c r="D340" s="14">
        <v>170000</v>
      </c>
      <c r="E340" s="21">
        <f t="shared" si="41"/>
        <v>170000</v>
      </c>
      <c r="F340" s="24"/>
      <c r="G340" s="25"/>
      <c r="L340" s="42"/>
      <c r="M340" s="43"/>
      <c r="N340" s="51"/>
      <c r="O340" s="21"/>
      <c r="P340" s="21"/>
      <c r="Q340" s="21"/>
      <c r="R340" s="21"/>
    </row>
    <row r="341" s="1" customFormat="1" ht="16.8" spans="1:18">
      <c r="A341" s="16"/>
      <c r="B341" s="12" t="s">
        <v>152</v>
      </c>
      <c r="C341" s="13">
        <v>1</v>
      </c>
      <c r="D341" s="14">
        <v>95000</v>
      </c>
      <c r="E341" s="21">
        <f t="shared" si="41"/>
        <v>95000</v>
      </c>
      <c r="F341" s="27"/>
      <c r="G341" s="28"/>
      <c r="L341" s="59" t="s">
        <v>192</v>
      </c>
      <c r="M341" s="60"/>
      <c r="N341" s="60"/>
      <c r="O341" s="60"/>
      <c r="P341" s="61"/>
      <c r="Q341" s="21">
        <f>SUM(Q3:Q340)</f>
        <v>22634000</v>
      </c>
      <c r="R341" s="26"/>
    </row>
    <row r="342" s="1" customFormat="1" ht="16.8" spans="1:7">
      <c r="A342" s="11">
        <v>46041</v>
      </c>
      <c r="B342" s="12" t="s">
        <v>77</v>
      </c>
      <c r="C342" s="13">
        <v>1</v>
      </c>
      <c r="D342" s="14">
        <v>230000</v>
      </c>
      <c r="E342" s="21">
        <f t="shared" si="41"/>
        <v>230000</v>
      </c>
      <c r="F342" s="22">
        <f>SUM(E342:E350)</f>
        <v>1178000</v>
      </c>
      <c r="G342" s="23" t="s">
        <v>11</v>
      </c>
    </row>
    <row r="343" s="1" customFormat="1" ht="16.8" spans="1:7">
      <c r="A343" s="15"/>
      <c r="B343" s="12" t="s">
        <v>50</v>
      </c>
      <c r="C343" s="13">
        <v>0.1</v>
      </c>
      <c r="D343" s="14">
        <v>60000</v>
      </c>
      <c r="E343" s="21">
        <f t="shared" si="41"/>
        <v>6000</v>
      </c>
      <c r="F343" s="24"/>
      <c r="G343" s="25"/>
    </row>
    <row r="344" s="1" customFormat="1" ht="16.8" spans="1:7">
      <c r="A344" s="15"/>
      <c r="B344" s="12" t="s">
        <v>177</v>
      </c>
      <c r="C344" s="13">
        <v>2</v>
      </c>
      <c r="D344" s="14">
        <v>120000</v>
      </c>
      <c r="E344" s="21">
        <f t="shared" si="41"/>
        <v>240000</v>
      </c>
      <c r="F344" s="24"/>
      <c r="G344" s="25"/>
    </row>
    <row r="345" s="1" customFormat="1" ht="16.8" spans="1:7">
      <c r="A345" s="15"/>
      <c r="B345" s="12" t="s">
        <v>126</v>
      </c>
      <c r="C345" s="13">
        <v>4</v>
      </c>
      <c r="D345" s="14">
        <v>48000</v>
      </c>
      <c r="E345" s="21">
        <f t="shared" si="41"/>
        <v>192000</v>
      </c>
      <c r="F345" s="24"/>
      <c r="G345" s="25"/>
    </row>
    <row r="346" s="1" customFormat="1" ht="16.8" spans="1:7">
      <c r="A346" s="15"/>
      <c r="B346" s="12" t="s">
        <v>66</v>
      </c>
      <c r="C346" s="13">
        <v>1</v>
      </c>
      <c r="D346" s="14">
        <v>70000</v>
      </c>
      <c r="E346" s="21">
        <f t="shared" si="41"/>
        <v>70000</v>
      </c>
      <c r="F346" s="24"/>
      <c r="G346" s="25"/>
    </row>
    <row r="347" s="1" customFormat="1" ht="16.8" spans="1:7">
      <c r="A347" s="15"/>
      <c r="B347" s="12" t="s">
        <v>38</v>
      </c>
      <c r="C347" s="13">
        <v>3</v>
      </c>
      <c r="D347" s="14">
        <v>22000</v>
      </c>
      <c r="E347" s="21">
        <f t="shared" si="41"/>
        <v>66000</v>
      </c>
      <c r="F347" s="24"/>
      <c r="G347" s="25"/>
    </row>
    <row r="348" s="1" customFormat="1" ht="16.8" spans="1:7">
      <c r="A348" s="15"/>
      <c r="B348" s="58" t="s">
        <v>185</v>
      </c>
      <c r="C348" s="13">
        <v>1</v>
      </c>
      <c r="D348" s="14">
        <v>330000</v>
      </c>
      <c r="E348" s="21">
        <f t="shared" si="41"/>
        <v>330000</v>
      </c>
      <c r="F348" s="24"/>
      <c r="G348" s="25"/>
    </row>
    <row r="349" s="1" customFormat="1" ht="16.8" spans="1:7">
      <c r="A349" s="15"/>
      <c r="B349" s="58" t="s">
        <v>59</v>
      </c>
      <c r="C349" s="13">
        <v>0.5</v>
      </c>
      <c r="D349" s="14">
        <v>40000</v>
      </c>
      <c r="E349" s="21">
        <f t="shared" si="41"/>
        <v>20000</v>
      </c>
      <c r="F349" s="24"/>
      <c r="G349" s="25"/>
    </row>
    <row r="350" s="1" customFormat="1" ht="16.8" spans="1:7">
      <c r="A350" s="16"/>
      <c r="B350" s="58" t="s">
        <v>193</v>
      </c>
      <c r="C350" s="13">
        <v>0.3</v>
      </c>
      <c r="D350" s="14">
        <v>80000</v>
      </c>
      <c r="E350" s="21">
        <f t="shared" si="41"/>
        <v>24000</v>
      </c>
      <c r="F350" s="27"/>
      <c r="G350" s="28"/>
    </row>
    <row r="351" s="1" customFormat="1" ht="16.8" spans="1:7">
      <c r="A351" s="11">
        <v>46042</v>
      </c>
      <c r="B351" s="58" t="s">
        <v>37</v>
      </c>
      <c r="C351" s="13">
        <v>4</v>
      </c>
      <c r="D351" s="14">
        <v>95000</v>
      </c>
      <c r="E351" s="21">
        <f t="shared" ref="E351:E393" si="46">D351*C351</f>
        <v>380000</v>
      </c>
      <c r="F351" s="22">
        <f>SUM(E351:E363)</f>
        <v>1675000</v>
      </c>
      <c r="G351" s="23" t="s">
        <v>11</v>
      </c>
    </row>
    <row r="352" s="1" customFormat="1" ht="16.8" spans="1:7">
      <c r="A352" s="15"/>
      <c r="B352" s="58" t="s">
        <v>74</v>
      </c>
      <c r="C352" s="13">
        <v>1</v>
      </c>
      <c r="D352" s="14">
        <v>100000</v>
      </c>
      <c r="E352" s="21">
        <f t="shared" si="46"/>
        <v>100000</v>
      </c>
      <c r="F352" s="24"/>
      <c r="G352" s="25"/>
    </row>
    <row r="353" s="1" customFormat="1" ht="16.8" spans="1:7">
      <c r="A353" s="15"/>
      <c r="B353" s="58" t="s">
        <v>47</v>
      </c>
      <c r="C353" s="13">
        <v>2</v>
      </c>
      <c r="D353" s="14">
        <v>45000</v>
      </c>
      <c r="E353" s="21">
        <f t="shared" si="46"/>
        <v>90000</v>
      </c>
      <c r="F353" s="24"/>
      <c r="G353" s="25"/>
    </row>
    <row r="354" s="1" customFormat="1" ht="16.8" spans="1:7">
      <c r="A354" s="15"/>
      <c r="B354" s="58" t="s">
        <v>40</v>
      </c>
      <c r="C354" s="13">
        <v>0.3</v>
      </c>
      <c r="D354" s="14">
        <v>80000</v>
      </c>
      <c r="E354" s="21">
        <f t="shared" si="46"/>
        <v>24000</v>
      </c>
      <c r="F354" s="24"/>
      <c r="G354" s="25"/>
    </row>
    <row r="355" s="1" customFormat="1" ht="16.8" spans="1:7">
      <c r="A355" s="15"/>
      <c r="B355" s="58" t="s">
        <v>194</v>
      </c>
      <c r="C355" s="13">
        <v>1</v>
      </c>
      <c r="D355" s="14">
        <v>60000</v>
      </c>
      <c r="E355" s="21">
        <f t="shared" si="46"/>
        <v>60000</v>
      </c>
      <c r="F355" s="24"/>
      <c r="G355" s="25"/>
    </row>
    <row r="356" s="1" customFormat="1" ht="16.8" spans="1:7">
      <c r="A356" s="15"/>
      <c r="B356" s="58" t="s">
        <v>99</v>
      </c>
      <c r="C356" s="13">
        <v>1</v>
      </c>
      <c r="D356" s="14">
        <v>360000</v>
      </c>
      <c r="E356" s="21">
        <f t="shared" si="46"/>
        <v>360000</v>
      </c>
      <c r="F356" s="24"/>
      <c r="G356" s="25"/>
    </row>
    <row r="357" s="1" customFormat="1" ht="16.8" spans="1:7">
      <c r="A357" s="15"/>
      <c r="B357" s="58" t="s">
        <v>195</v>
      </c>
      <c r="C357" s="13">
        <v>1</v>
      </c>
      <c r="D357" s="14">
        <v>100000</v>
      </c>
      <c r="E357" s="21">
        <f t="shared" si="46"/>
        <v>100000</v>
      </c>
      <c r="F357" s="24"/>
      <c r="G357" s="25"/>
    </row>
    <row r="358" s="1" customFormat="1" ht="16.8" spans="1:7">
      <c r="A358" s="15"/>
      <c r="B358" s="58" t="s">
        <v>173</v>
      </c>
      <c r="C358" s="13">
        <v>2</v>
      </c>
      <c r="D358" s="14">
        <v>50000</v>
      </c>
      <c r="E358" s="21">
        <f t="shared" si="46"/>
        <v>100000</v>
      </c>
      <c r="F358" s="24"/>
      <c r="G358" s="25"/>
    </row>
    <row r="359" s="1" customFormat="1" ht="16.8" spans="1:7">
      <c r="A359" s="15"/>
      <c r="B359" s="58" t="s">
        <v>102</v>
      </c>
      <c r="C359" s="13">
        <v>2</v>
      </c>
      <c r="D359" s="14">
        <v>30000</v>
      </c>
      <c r="E359" s="21">
        <f t="shared" si="46"/>
        <v>60000</v>
      </c>
      <c r="F359" s="24"/>
      <c r="G359" s="25"/>
    </row>
    <row r="360" s="1" customFormat="1" ht="16.8" spans="1:7">
      <c r="A360" s="15"/>
      <c r="B360" s="58" t="s">
        <v>116</v>
      </c>
      <c r="C360" s="13">
        <v>1</v>
      </c>
      <c r="D360" s="14">
        <v>270000</v>
      </c>
      <c r="E360" s="21">
        <f t="shared" si="46"/>
        <v>270000</v>
      </c>
      <c r="F360" s="24"/>
      <c r="G360" s="25"/>
    </row>
    <row r="361" s="1" customFormat="1" ht="16.8" spans="1:7">
      <c r="A361" s="15"/>
      <c r="B361" s="58" t="s">
        <v>137</v>
      </c>
      <c r="C361" s="13">
        <v>0.1</v>
      </c>
      <c r="D361" s="14">
        <v>80000</v>
      </c>
      <c r="E361" s="21">
        <f t="shared" si="46"/>
        <v>8000</v>
      </c>
      <c r="F361" s="24"/>
      <c r="G361" s="25"/>
    </row>
    <row r="362" s="1" customFormat="1" ht="16.8" spans="1:7">
      <c r="A362" s="15"/>
      <c r="B362" s="58" t="s">
        <v>126</v>
      </c>
      <c r="C362" s="13">
        <v>1</v>
      </c>
      <c r="D362" s="14">
        <v>48000</v>
      </c>
      <c r="E362" s="21">
        <f t="shared" si="46"/>
        <v>48000</v>
      </c>
      <c r="F362" s="24"/>
      <c r="G362" s="25"/>
    </row>
    <row r="363" s="1" customFormat="1" ht="16.8" spans="1:7">
      <c r="A363" s="16"/>
      <c r="B363" s="58" t="s">
        <v>120</v>
      </c>
      <c r="C363" s="13">
        <v>3</v>
      </c>
      <c r="D363" s="14">
        <v>25000</v>
      </c>
      <c r="E363" s="21">
        <f t="shared" si="46"/>
        <v>75000</v>
      </c>
      <c r="F363" s="27"/>
      <c r="G363" s="28"/>
    </row>
    <row r="364" s="1" customFormat="1" ht="16.8" spans="1:7">
      <c r="A364" s="11">
        <v>46043</v>
      </c>
      <c r="B364" s="58" t="s">
        <v>196</v>
      </c>
      <c r="C364" s="13">
        <v>2</v>
      </c>
      <c r="D364" s="14">
        <v>60000</v>
      </c>
      <c r="E364" s="21">
        <f t="shared" si="46"/>
        <v>120000</v>
      </c>
      <c r="F364" s="22">
        <f>SUM(E364:E376)</f>
        <v>2551000</v>
      </c>
      <c r="G364" s="23" t="s">
        <v>11</v>
      </c>
    </row>
    <row r="365" s="1" customFormat="1" ht="16.8" spans="1:7">
      <c r="A365" s="15"/>
      <c r="B365" s="58" t="s">
        <v>197</v>
      </c>
      <c r="C365" s="13">
        <v>1</v>
      </c>
      <c r="D365" s="14">
        <v>160000</v>
      </c>
      <c r="E365" s="21">
        <f t="shared" si="46"/>
        <v>160000</v>
      </c>
      <c r="F365" s="24"/>
      <c r="G365" s="25"/>
    </row>
    <row r="366" s="1" customFormat="1" ht="16.8" spans="1:7">
      <c r="A366" s="15"/>
      <c r="B366" s="58" t="s">
        <v>198</v>
      </c>
      <c r="C366" s="13">
        <v>1</v>
      </c>
      <c r="D366" s="14">
        <v>70000</v>
      </c>
      <c r="E366" s="21">
        <f t="shared" si="46"/>
        <v>70000</v>
      </c>
      <c r="F366" s="24"/>
      <c r="G366" s="25"/>
    </row>
    <row r="367" s="1" customFormat="1" ht="16.8" spans="1:7">
      <c r="A367" s="15"/>
      <c r="B367" s="58" t="s">
        <v>199</v>
      </c>
      <c r="C367" s="13">
        <v>1</v>
      </c>
      <c r="D367" s="14">
        <v>130000</v>
      </c>
      <c r="E367" s="21">
        <f t="shared" si="46"/>
        <v>130000</v>
      </c>
      <c r="F367" s="24"/>
      <c r="G367" s="25"/>
    </row>
    <row r="368" s="1" customFormat="1" ht="16.8" spans="1:7">
      <c r="A368" s="15"/>
      <c r="B368" s="58" t="s">
        <v>45</v>
      </c>
      <c r="C368" s="13">
        <v>6</v>
      </c>
      <c r="D368" s="14">
        <v>120000</v>
      </c>
      <c r="E368" s="21">
        <f t="shared" si="46"/>
        <v>720000</v>
      </c>
      <c r="F368" s="24"/>
      <c r="G368" s="25"/>
    </row>
    <row r="369" s="1" customFormat="1" ht="16.8" spans="1:7">
      <c r="A369" s="15"/>
      <c r="B369" s="58" t="s">
        <v>43</v>
      </c>
      <c r="C369" s="13">
        <v>1</v>
      </c>
      <c r="D369" s="14">
        <v>220000</v>
      </c>
      <c r="E369" s="21">
        <f t="shared" si="46"/>
        <v>220000</v>
      </c>
      <c r="F369" s="24"/>
      <c r="G369" s="25"/>
    </row>
    <row r="370" s="1" customFormat="1" ht="16.8" spans="1:7">
      <c r="A370" s="15"/>
      <c r="B370" s="58" t="s">
        <v>38</v>
      </c>
      <c r="C370" s="13">
        <v>3</v>
      </c>
      <c r="D370" s="14">
        <v>22000</v>
      </c>
      <c r="E370" s="21">
        <f t="shared" si="46"/>
        <v>66000</v>
      </c>
      <c r="F370" s="24"/>
      <c r="G370" s="25"/>
    </row>
    <row r="371" s="1" customFormat="1" ht="16.8" spans="1:7">
      <c r="A371" s="15"/>
      <c r="B371" s="58" t="s">
        <v>81</v>
      </c>
      <c r="C371" s="13">
        <v>2</v>
      </c>
      <c r="D371" s="14">
        <v>90000</v>
      </c>
      <c r="E371" s="21">
        <f t="shared" si="46"/>
        <v>180000</v>
      </c>
      <c r="F371" s="24"/>
      <c r="G371" s="25"/>
    </row>
    <row r="372" s="1" customFormat="1" ht="16.8" spans="1:7">
      <c r="A372" s="15"/>
      <c r="B372" s="58" t="s">
        <v>79</v>
      </c>
      <c r="C372" s="13">
        <v>1</v>
      </c>
      <c r="D372" s="14">
        <v>275000</v>
      </c>
      <c r="E372" s="21">
        <f t="shared" si="46"/>
        <v>275000</v>
      </c>
      <c r="F372" s="24"/>
      <c r="G372" s="25"/>
    </row>
    <row r="373" s="1" customFormat="1" ht="16.8" spans="1:7">
      <c r="A373" s="15"/>
      <c r="B373" s="58" t="s">
        <v>67</v>
      </c>
      <c r="C373" s="13">
        <v>2</v>
      </c>
      <c r="D373" s="14">
        <v>55000</v>
      </c>
      <c r="E373" s="21">
        <f t="shared" si="46"/>
        <v>110000</v>
      </c>
      <c r="F373" s="24"/>
      <c r="G373" s="25"/>
    </row>
    <row r="374" s="1" customFormat="1" ht="16.8" spans="1:7">
      <c r="A374" s="15"/>
      <c r="B374" s="58" t="s">
        <v>152</v>
      </c>
      <c r="C374" s="13">
        <v>1</v>
      </c>
      <c r="D374" s="14">
        <v>110000</v>
      </c>
      <c r="E374" s="21">
        <f t="shared" si="46"/>
        <v>110000</v>
      </c>
      <c r="F374" s="24"/>
      <c r="G374" s="25"/>
    </row>
    <row r="375" s="1" customFormat="1" ht="16.8" spans="1:7">
      <c r="A375" s="15"/>
      <c r="B375" s="58" t="s">
        <v>185</v>
      </c>
      <c r="C375" s="13">
        <v>1</v>
      </c>
      <c r="D375" s="14">
        <v>330000</v>
      </c>
      <c r="E375" s="21">
        <f t="shared" si="46"/>
        <v>330000</v>
      </c>
      <c r="F375" s="24"/>
      <c r="G375" s="25"/>
    </row>
    <row r="376" s="1" customFormat="1" ht="16.8" spans="1:7">
      <c r="A376" s="16"/>
      <c r="B376" s="58" t="s">
        <v>200</v>
      </c>
      <c r="C376" s="13">
        <v>1</v>
      </c>
      <c r="D376" s="14">
        <v>60000</v>
      </c>
      <c r="E376" s="21">
        <f t="shared" si="46"/>
        <v>60000</v>
      </c>
      <c r="F376" s="27"/>
      <c r="G376" s="28"/>
    </row>
    <row r="377" s="1" customFormat="1" ht="16.8" spans="1:7">
      <c r="A377" s="11">
        <v>46044</v>
      </c>
      <c r="B377" s="58" t="s">
        <v>201</v>
      </c>
      <c r="C377" s="13">
        <v>2</v>
      </c>
      <c r="D377" s="14">
        <v>35000</v>
      </c>
      <c r="E377" s="21">
        <f t="shared" si="46"/>
        <v>70000</v>
      </c>
      <c r="F377" s="22">
        <f>SUM(E377:E388)</f>
        <v>1763000</v>
      </c>
      <c r="G377" s="23" t="s">
        <v>11</v>
      </c>
    </row>
    <row r="378" s="1" customFormat="1" ht="16.8" spans="1:7">
      <c r="A378" s="15"/>
      <c r="B378" s="58" t="s">
        <v>96</v>
      </c>
      <c r="C378" s="13">
        <v>3</v>
      </c>
      <c r="D378" s="14">
        <v>70000</v>
      </c>
      <c r="E378" s="21">
        <f t="shared" si="46"/>
        <v>210000</v>
      </c>
      <c r="F378" s="24"/>
      <c r="G378" s="25"/>
    </row>
    <row r="379" s="1" customFormat="1" ht="16.8" spans="1:7">
      <c r="A379" s="15"/>
      <c r="B379" s="58" t="s">
        <v>195</v>
      </c>
      <c r="C379" s="13">
        <v>1</v>
      </c>
      <c r="D379" s="14">
        <v>100000</v>
      </c>
      <c r="E379" s="21">
        <f t="shared" si="46"/>
        <v>100000</v>
      </c>
      <c r="F379" s="24"/>
      <c r="G379" s="25"/>
    </row>
    <row r="380" s="1" customFormat="1" ht="16.8" spans="1:7">
      <c r="A380" s="15"/>
      <c r="B380" s="58" t="s">
        <v>174</v>
      </c>
      <c r="C380" s="13">
        <v>1</v>
      </c>
      <c r="D380" s="14">
        <v>170000</v>
      </c>
      <c r="E380" s="21">
        <f t="shared" si="46"/>
        <v>170000</v>
      </c>
      <c r="F380" s="24"/>
      <c r="G380" s="25"/>
    </row>
    <row r="381" s="1" customFormat="1" ht="16.8" spans="1:7">
      <c r="A381" s="15"/>
      <c r="B381" s="58" t="s">
        <v>84</v>
      </c>
      <c r="C381" s="13">
        <v>1</v>
      </c>
      <c r="D381" s="14">
        <v>170000</v>
      </c>
      <c r="E381" s="21">
        <f t="shared" si="46"/>
        <v>170000</v>
      </c>
      <c r="F381" s="24"/>
      <c r="G381" s="25"/>
    </row>
    <row r="382" s="1" customFormat="1" ht="16.8" spans="1:7">
      <c r="A382" s="15"/>
      <c r="B382" s="58" t="s">
        <v>99</v>
      </c>
      <c r="C382" s="13">
        <v>1</v>
      </c>
      <c r="D382" s="14">
        <v>360000</v>
      </c>
      <c r="E382" s="21">
        <f t="shared" si="46"/>
        <v>360000</v>
      </c>
      <c r="F382" s="24"/>
      <c r="G382" s="25"/>
    </row>
    <row r="383" s="1" customFormat="1" ht="16.8" spans="1:7">
      <c r="A383" s="15"/>
      <c r="B383" s="58" t="s">
        <v>38</v>
      </c>
      <c r="C383" s="13">
        <v>2</v>
      </c>
      <c r="D383" s="14">
        <v>22000</v>
      </c>
      <c r="E383" s="21">
        <f t="shared" si="46"/>
        <v>44000</v>
      </c>
      <c r="F383" s="24"/>
      <c r="G383" s="25"/>
    </row>
    <row r="384" s="1" customFormat="1" ht="16.8" spans="1:7">
      <c r="A384" s="15"/>
      <c r="B384" s="58" t="s">
        <v>37</v>
      </c>
      <c r="C384" s="13">
        <v>1</v>
      </c>
      <c r="D384" s="14">
        <v>95000</v>
      </c>
      <c r="E384" s="21">
        <f t="shared" si="46"/>
        <v>95000</v>
      </c>
      <c r="F384" s="24"/>
      <c r="G384" s="25"/>
    </row>
    <row r="385" s="1" customFormat="1" ht="16.8" spans="1:7">
      <c r="A385" s="15"/>
      <c r="B385" s="58" t="s">
        <v>49</v>
      </c>
      <c r="C385" s="13">
        <v>2</v>
      </c>
      <c r="D385" s="14">
        <v>195000</v>
      </c>
      <c r="E385" s="21">
        <f t="shared" si="46"/>
        <v>390000</v>
      </c>
      <c r="F385" s="24"/>
      <c r="G385" s="25"/>
    </row>
    <row r="386" s="1" customFormat="1" ht="16.8" spans="1:7">
      <c r="A386" s="15"/>
      <c r="B386" s="58" t="s">
        <v>66</v>
      </c>
      <c r="C386" s="13">
        <v>1</v>
      </c>
      <c r="D386" s="14">
        <v>70000</v>
      </c>
      <c r="E386" s="21">
        <f t="shared" si="46"/>
        <v>70000</v>
      </c>
      <c r="F386" s="24"/>
      <c r="G386" s="25"/>
    </row>
    <row r="387" s="1" customFormat="1" ht="16.8" spans="1:7">
      <c r="A387" s="15"/>
      <c r="B387" s="58" t="s">
        <v>202</v>
      </c>
      <c r="C387" s="13">
        <v>0.3</v>
      </c>
      <c r="D387" s="14">
        <v>80000</v>
      </c>
      <c r="E387" s="21">
        <f t="shared" si="46"/>
        <v>24000</v>
      </c>
      <c r="F387" s="24"/>
      <c r="G387" s="25"/>
    </row>
    <row r="388" s="1" customFormat="1" ht="16.8" spans="1:7">
      <c r="A388" s="16"/>
      <c r="B388" s="58" t="s">
        <v>188</v>
      </c>
      <c r="C388" s="13">
        <v>2</v>
      </c>
      <c r="D388" s="14">
        <v>30000</v>
      </c>
      <c r="E388" s="21">
        <f t="shared" si="46"/>
        <v>60000</v>
      </c>
      <c r="F388" s="27"/>
      <c r="G388" s="28"/>
    </row>
    <row r="389" s="1" customFormat="1" ht="16.8" spans="1:7">
      <c r="A389" s="11">
        <v>46045</v>
      </c>
      <c r="B389" s="58" t="s">
        <v>38</v>
      </c>
      <c r="C389" s="13">
        <v>2</v>
      </c>
      <c r="D389" s="14">
        <v>22000</v>
      </c>
      <c r="E389" s="21">
        <f t="shared" si="46"/>
        <v>44000</v>
      </c>
      <c r="F389" s="22">
        <f>SUM(E389:E393)</f>
        <v>1019000</v>
      </c>
      <c r="G389" s="23" t="s">
        <v>11</v>
      </c>
    </row>
    <row r="390" s="1" customFormat="1" ht="16.8" spans="1:7">
      <c r="A390" s="15"/>
      <c r="B390" s="58" t="s">
        <v>37</v>
      </c>
      <c r="C390" s="13">
        <v>3</v>
      </c>
      <c r="D390" s="14">
        <v>95000</v>
      </c>
      <c r="E390" s="21">
        <f t="shared" si="46"/>
        <v>285000</v>
      </c>
      <c r="F390" s="24"/>
      <c r="G390" s="25"/>
    </row>
    <row r="391" s="1" customFormat="1" ht="16.8" spans="1:7">
      <c r="A391" s="15"/>
      <c r="B391" s="58" t="s">
        <v>84</v>
      </c>
      <c r="C391" s="13">
        <v>2</v>
      </c>
      <c r="D391" s="14">
        <v>170000</v>
      </c>
      <c r="E391" s="21">
        <f t="shared" si="46"/>
        <v>340000</v>
      </c>
      <c r="F391" s="24"/>
      <c r="G391" s="25"/>
    </row>
    <row r="392" s="1" customFormat="1" spans="1:7">
      <c r="A392" s="15"/>
      <c r="B392" s="62" t="s">
        <v>77</v>
      </c>
      <c r="C392" s="13">
        <v>1</v>
      </c>
      <c r="D392" s="63">
        <v>230000</v>
      </c>
      <c r="E392" s="21">
        <f t="shared" si="46"/>
        <v>230000</v>
      </c>
      <c r="F392" s="24"/>
      <c r="G392" s="25"/>
    </row>
    <row r="393" s="1" customFormat="1" spans="1:7">
      <c r="A393" s="16"/>
      <c r="B393" s="62" t="s">
        <v>13</v>
      </c>
      <c r="C393" s="13">
        <v>3</v>
      </c>
      <c r="D393" s="63">
        <v>40000</v>
      </c>
      <c r="E393" s="21">
        <f t="shared" si="46"/>
        <v>120000</v>
      </c>
      <c r="F393" s="27"/>
      <c r="G393" s="28"/>
    </row>
    <row r="394" s="1" customFormat="1" ht="16.8" spans="1:7">
      <c r="A394" s="11">
        <v>46046</v>
      </c>
      <c r="B394" s="12" t="s">
        <v>47</v>
      </c>
      <c r="C394" s="13">
        <v>2</v>
      </c>
      <c r="D394" s="14">
        <v>90000</v>
      </c>
      <c r="E394" s="21">
        <v>200000</v>
      </c>
      <c r="F394" s="22">
        <f>SUM(E394:E402)</f>
        <v>1425000</v>
      </c>
      <c r="G394" s="23" t="s">
        <v>11</v>
      </c>
    </row>
    <row r="395" s="1" customFormat="1" ht="16.8" spans="1:7">
      <c r="A395" s="15"/>
      <c r="B395" s="12" t="s">
        <v>109</v>
      </c>
      <c r="C395" s="13">
        <v>1</v>
      </c>
      <c r="D395" s="14">
        <v>100000</v>
      </c>
      <c r="E395" s="21">
        <f t="shared" ref="E395:E446" si="47">D395*C395</f>
        <v>100000</v>
      </c>
      <c r="F395" s="24"/>
      <c r="G395" s="25"/>
    </row>
    <row r="396" s="1" customFormat="1" ht="16.8" spans="1:7">
      <c r="A396" s="15"/>
      <c r="B396" s="12" t="s">
        <v>177</v>
      </c>
      <c r="C396" s="13">
        <v>2</v>
      </c>
      <c r="D396" s="14">
        <v>120000</v>
      </c>
      <c r="E396" s="21">
        <f t="shared" si="47"/>
        <v>240000</v>
      </c>
      <c r="F396" s="24"/>
      <c r="G396" s="25"/>
    </row>
    <row r="397" s="1" customFormat="1" ht="16.8" spans="1:7">
      <c r="A397" s="15"/>
      <c r="B397" s="12" t="s">
        <v>203</v>
      </c>
      <c r="C397" s="13">
        <v>1</v>
      </c>
      <c r="D397" s="14">
        <v>45000</v>
      </c>
      <c r="E397" s="21">
        <f t="shared" si="47"/>
        <v>45000</v>
      </c>
      <c r="F397" s="24"/>
      <c r="G397" s="25"/>
    </row>
    <row r="398" s="1" customFormat="1" ht="16.8" spans="1:7">
      <c r="A398" s="15"/>
      <c r="B398" s="12" t="s">
        <v>87</v>
      </c>
      <c r="C398" s="13">
        <v>2</v>
      </c>
      <c r="D398" s="14">
        <v>20000</v>
      </c>
      <c r="E398" s="21">
        <f t="shared" si="47"/>
        <v>40000</v>
      </c>
      <c r="F398" s="24"/>
      <c r="G398" s="25"/>
    </row>
    <row r="399" s="1" customFormat="1" ht="16.8" spans="1:7">
      <c r="A399" s="15"/>
      <c r="B399" s="12" t="s">
        <v>204</v>
      </c>
      <c r="C399" s="13">
        <v>1</v>
      </c>
      <c r="D399" s="14">
        <v>60000</v>
      </c>
      <c r="E399" s="21">
        <f t="shared" si="47"/>
        <v>60000</v>
      </c>
      <c r="F399" s="24"/>
      <c r="G399" s="25"/>
    </row>
    <row r="400" s="1" customFormat="1" ht="16.8" spans="1:7">
      <c r="A400" s="15"/>
      <c r="B400" s="12" t="s">
        <v>36</v>
      </c>
      <c r="C400" s="13">
        <v>2</v>
      </c>
      <c r="D400" s="14">
        <v>170000</v>
      </c>
      <c r="E400" s="21">
        <f t="shared" si="47"/>
        <v>340000</v>
      </c>
      <c r="F400" s="24"/>
      <c r="G400" s="25"/>
    </row>
    <row r="401" s="1" customFormat="1" ht="16.8" spans="1:7">
      <c r="A401" s="15"/>
      <c r="B401" s="12" t="s">
        <v>66</v>
      </c>
      <c r="C401" s="13">
        <v>1</v>
      </c>
      <c r="D401" s="14">
        <v>70000</v>
      </c>
      <c r="E401" s="21">
        <f t="shared" si="47"/>
        <v>70000</v>
      </c>
      <c r="F401" s="24"/>
      <c r="G401" s="25"/>
    </row>
    <row r="402" s="1" customFormat="1" ht="16.8" spans="1:7">
      <c r="A402" s="16"/>
      <c r="B402" s="12" t="s">
        <v>185</v>
      </c>
      <c r="C402" s="13">
        <v>1</v>
      </c>
      <c r="D402" s="14">
        <v>330000</v>
      </c>
      <c r="E402" s="21">
        <f t="shared" si="47"/>
        <v>330000</v>
      </c>
      <c r="F402" s="27"/>
      <c r="G402" s="28"/>
    </row>
    <row r="403" s="1" customFormat="1" ht="16.8" spans="1:7">
      <c r="A403" s="11">
        <v>46047</v>
      </c>
      <c r="B403" s="12" t="s">
        <v>101</v>
      </c>
      <c r="C403" s="13">
        <v>2</v>
      </c>
      <c r="D403" s="14">
        <v>15000</v>
      </c>
      <c r="E403" s="21">
        <f t="shared" si="47"/>
        <v>30000</v>
      </c>
      <c r="F403" s="22">
        <f>SUM(E403:E414)</f>
        <v>1796000</v>
      </c>
      <c r="G403" s="23" t="s">
        <v>11</v>
      </c>
    </row>
    <row r="404" s="1" customFormat="1" ht="16.8" spans="1:7">
      <c r="A404" s="15"/>
      <c r="B404" s="12" t="s">
        <v>186</v>
      </c>
      <c r="C404" s="13">
        <v>15</v>
      </c>
      <c r="D404" s="14">
        <v>15000</v>
      </c>
      <c r="E404" s="21">
        <f t="shared" si="47"/>
        <v>225000</v>
      </c>
      <c r="F404" s="24"/>
      <c r="G404" s="25"/>
    </row>
    <row r="405" s="1" customFormat="1" ht="16.8" spans="1:7">
      <c r="A405" s="15"/>
      <c r="B405" s="12" t="s">
        <v>37</v>
      </c>
      <c r="C405" s="13">
        <v>4</v>
      </c>
      <c r="D405" s="14">
        <v>95000</v>
      </c>
      <c r="E405" s="21">
        <f t="shared" si="47"/>
        <v>380000</v>
      </c>
      <c r="F405" s="24"/>
      <c r="G405" s="25"/>
    </row>
    <row r="406" s="1" customFormat="1" ht="16.8" spans="1:7">
      <c r="A406" s="15"/>
      <c r="B406" s="64" t="s">
        <v>38</v>
      </c>
      <c r="C406" s="13">
        <v>2</v>
      </c>
      <c r="D406" s="14">
        <v>22000</v>
      </c>
      <c r="E406" s="21">
        <f t="shared" si="47"/>
        <v>44000</v>
      </c>
      <c r="F406" s="24"/>
      <c r="G406" s="25"/>
    </row>
    <row r="407" s="1" customFormat="1" ht="16.8" spans="1:7">
      <c r="A407" s="15"/>
      <c r="B407" s="64" t="s">
        <v>36</v>
      </c>
      <c r="C407" s="13">
        <v>1</v>
      </c>
      <c r="D407" s="14">
        <v>170000</v>
      </c>
      <c r="E407" s="21">
        <f t="shared" si="47"/>
        <v>170000</v>
      </c>
      <c r="F407" s="24"/>
      <c r="G407" s="25"/>
    </row>
    <row r="408" s="1" customFormat="1" ht="16.8" spans="1:7">
      <c r="A408" s="15"/>
      <c r="B408" s="64" t="s">
        <v>112</v>
      </c>
      <c r="C408" s="13">
        <v>3</v>
      </c>
      <c r="D408" s="14">
        <v>20000</v>
      </c>
      <c r="E408" s="21">
        <f t="shared" si="47"/>
        <v>60000</v>
      </c>
      <c r="F408" s="24"/>
      <c r="G408" s="25"/>
    </row>
    <row r="409" s="1" customFormat="1" ht="16.8" spans="1:7">
      <c r="A409" s="15"/>
      <c r="B409" s="64" t="s">
        <v>99</v>
      </c>
      <c r="C409" s="13">
        <v>1</v>
      </c>
      <c r="D409" s="14">
        <v>360000</v>
      </c>
      <c r="E409" s="21">
        <f t="shared" si="47"/>
        <v>360000</v>
      </c>
      <c r="F409" s="24"/>
      <c r="G409" s="25"/>
    </row>
    <row r="410" s="1" customFormat="1" ht="16.8" spans="1:7">
      <c r="A410" s="15"/>
      <c r="B410" s="64" t="s">
        <v>45</v>
      </c>
      <c r="C410" s="13">
        <v>2</v>
      </c>
      <c r="D410" s="14">
        <v>120000</v>
      </c>
      <c r="E410" s="21">
        <f t="shared" si="47"/>
        <v>240000</v>
      </c>
      <c r="F410" s="24"/>
      <c r="G410" s="25"/>
    </row>
    <row r="411" s="1" customFormat="1" ht="16.8" spans="1:7">
      <c r="A411" s="15"/>
      <c r="B411" s="64" t="s">
        <v>205</v>
      </c>
      <c r="C411" s="13">
        <v>1</v>
      </c>
      <c r="D411" s="14">
        <v>45000</v>
      </c>
      <c r="E411" s="21">
        <f t="shared" si="47"/>
        <v>45000</v>
      </c>
      <c r="F411" s="24"/>
      <c r="G411" s="25"/>
    </row>
    <row r="412" s="1" customFormat="1" ht="16.8" spans="1:7">
      <c r="A412" s="15"/>
      <c r="B412" s="64" t="s">
        <v>74</v>
      </c>
      <c r="C412" s="13">
        <v>2</v>
      </c>
      <c r="D412" s="14">
        <v>95000</v>
      </c>
      <c r="E412" s="21">
        <f t="shared" si="47"/>
        <v>190000</v>
      </c>
      <c r="F412" s="24"/>
      <c r="G412" s="25"/>
    </row>
    <row r="413" s="1" customFormat="1" ht="16.8" spans="1:7">
      <c r="A413" s="15"/>
      <c r="B413" s="64" t="s">
        <v>206</v>
      </c>
      <c r="C413" s="13">
        <v>0.2</v>
      </c>
      <c r="D413" s="14">
        <v>20000</v>
      </c>
      <c r="E413" s="21">
        <f t="shared" si="47"/>
        <v>4000</v>
      </c>
      <c r="F413" s="24"/>
      <c r="G413" s="25"/>
    </row>
    <row r="414" s="1" customFormat="1" ht="16.8" spans="1:7">
      <c r="A414" s="16"/>
      <c r="B414" s="64" t="s">
        <v>103</v>
      </c>
      <c r="C414" s="13">
        <v>1</v>
      </c>
      <c r="D414" s="14">
        <v>48000</v>
      </c>
      <c r="E414" s="21">
        <f t="shared" si="47"/>
        <v>48000</v>
      </c>
      <c r="F414" s="27"/>
      <c r="G414" s="28"/>
    </row>
    <row r="415" s="1" customFormat="1" spans="1:7">
      <c r="A415" s="65">
        <v>46048</v>
      </c>
      <c r="B415" s="66" t="s">
        <v>45</v>
      </c>
      <c r="C415" s="67">
        <v>1</v>
      </c>
      <c r="D415" s="68">
        <v>120000</v>
      </c>
      <c r="E415" s="68">
        <f t="shared" si="47"/>
        <v>120000</v>
      </c>
      <c r="F415" s="22">
        <f>SUM(E415:E424)</f>
        <v>2031000</v>
      </c>
      <c r="G415" s="23" t="s">
        <v>11</v>
      </c>
    </row>
    <row r="416" s="1" customFormat="1" spans="1:7">
      <c r="A416" s="69"/>
      <c r="B416" s="66" t="s">
        <v>95</v>
      </c>
      <c r="C416" s="67">
        <v>1</v>
      </c>
      <c r="D416" s="68">
        <v>210000</v>
      </c>
      <c r="E416" s="68">
        <f t="shared" si="47"/>
        <v>210000</v>
      </c>
      <c r="F416" s="24"/>
      <c r="G416" s="25"/>
    </row>
    <row r="417" s="1" customFormat="1" spans="1:7">
      <c r="A417" s="69"/>
      <c r="B417" s="66" t="s">
        <v>207</v>
      </c>
      <c r="C417" s="67">
        <v>4</v>
      </c>
      <c r="D417" s="68">
        <v>5000</v>
      </c>
      <c r="E417" s="68">
        <f t="shared" si="47"/>
        <v>20000</v>
      </c>
      <c r="F417" s="24"/>
      <c r="G417" s="25"/>
    </row>
    <row r="418" s="1" customFormat="1" spans="1:7">
      <c r="A418" s="69"/>
      <c r="B418" s="66" t="s">
        <v>108</v>
      </c>
      <c r="C418" s="67">
        <v>2</v>
      </c>
      <c r="D418" s="68">
        <v>30000</v>
      </c>
      <c r="E418" s="68">
        <f t="shared" si="47"/>
        <v>60000</v>
      </c>
      <c r="F418" s="24"/>
      <c r="G418" s="25"/>
    </row>
    <row r="419" s="1" customFormat="1" spans="1:7">
      <c r="A419" s="69"/>
      <c r="B419" s="66" t="s">
        <v>79</v>
      </c>
      <c r="C419" s="67">
        <v>1</v>
      </c>
      <c r="D419" s="68">
        <v>275000</v>
      </c>
      <c r="E419" s="68">
        <f t="shared" si="47"/>
        <v>275000</v>
      </c>
      <c r="F419" s="24"/>
      <c r="G419" s="25"/>
    </row>
    <row r="420" s="1" customFormat="1" spans="1:7">
      <c r="A420" s="69"/>
      <c r="B420" s="66" t="s">
        <v>43</v>
      </c>
      <c r="C420" s="67">
        <v>1</v>
      </c>
      <c r="D420" s="68">
        <v>220000</v>
      </c>
      <c r="E420" s="68">
        <f t="shared" si="47"/>
        <v>220000</v>
      </c>
      <c r="F420" s="24"/>
      <c r="G420" s="25"/>
    </row>
    <row r="421" s="1" customFormat="1" spans="1:7">
      <c r="A421" s="69"/>
      <c r="B421" s="66" t="s">
        <v>46</v>
      </c>
      <c r="C421" s="67">
        <v>2</v>
      </c>
      <c r="D421" s="68">
        <v>58000</v>
      </c>
      <c r="E421" s="68">
        <f t="shared" si="47"/>
        <v>116000</v>
      </c>
      <c r="F421" s="24"/>
      <c r="G421" s="25"/>
    </row>
    <row r="422" s="1" customFormat="1" spans="1:7">
      <c r="A422" s="69"/>
      <c r="B422" s="66" t="s">
        <v>185</v>
      </c>
      <c r="C422" s="67">
        <v>1</v>
      </c>
      <c r="D422" s="68">
        <v>330000</v>
      </c>
      <c r="E422" s="68">
        <f t="shared" si="47"/>
        <v>330000</v>
      </c>
      <c r="F422" s="24"/>
      <c r="G422" s="25"/>
    </row>
    <row r="423" s="1" customFormat="1" spans="1:7">
      <c r="A423" s="69"/>
      <c r="B423" s="66" t="s">
        <v>208</v>
      </c>
      <c r="C423" s="67">
        <v>2</v>
      </c>
      <c r="D423" s="68">
        <v>170000</v>
      </c>
      <c r="E423" s="68">
        <f t="shared" si="47"/>
        <v>340000</v>
      </c>
      <c r="F423" s="24"/>
      <c r="G423" s="25"/>
    </row>
    <row r="424" s="1" customFormat="1" spans="1:7">
      <c r="A424" s="70"/>
      <c r="B424" s="66" t="s">
        <v>209</v>
      </c>
      <c r="C424" s="67">
        <v>2</v>
      </c>
      <c r="D424" s="68">
        <v>170000</v>
      </c>
      <c r="E424" s="68">
        <f t="shared" si="47"/>
        <v>340000</v>
      </c>
      <c r="F424" s="27"/>
      <c r="G424" s="28"/>
    </row>
    <row r="425" s="1" customFormat="1" spans="1:7">
      <c r="A425" s="31">
        <v>46049</v>
      </c>
      <c r="B425" s="43" t="s">
        <v>36</v>
      </c>
      <c r="C425" s="13">
        <v>1</v>
      </c>
      <c r="D425" s="21">
        <v>170000</v>
      </c>
      <c r="E425" s="68">
        <f t="shared" si="47"/>
        <v>170000</v>
      </c>
      <c r="F425" s="22">
        <f>SUM(E425:E431)</f>
        <v>619000</v>
      </c>
      <c r="G425" s="23" t="s">
        <v>11</v>
      </c>
    </row>
    <row r="426" s="1" customFormat="1" spans="1:7">
      <c r="A426" s="34"/>
      <c r="B426" s="43" t="s">
        <v>210</v>
      </c>
      <c r="C426" s="13">
        <v>0.5</v>
      </c>
      <c r="D426" s="21">
        <v>70000</v>
      </c>
      <c r="E426" s="68">
        <f t="shared" si="47"/>
        <v>35000</v>
      </c>
      <c r="F426" s="24"/>
      <c r="G426" s="25"/>
    </row>
    <row r="427" s="1" customFormat="1" spans="1:7">
      <c r="A427" s="34"/>
      <c r="B427" s="43" t="s">
        <v>132</v>
      </c>
      <c r="C427" s="13">
        <v>0.5</v>
      </c>
      <c r="D427" s="21">
        <v>140000</v>
      </c>
      <c r="E427" s="68">
        <f t="shared" si="47"/>
        <v>70000</v>
      </c>
      <c r="F427" s="24"/>
      <c r="G427" s="25"/>
    </row>
    <row r="428" s="1" customFormat="1" spans="1:7">
      <c r="A428" s="34"/>
      <c r="B428" s="43" t="s">
        <v>45</v>
      </c>
      <c r="C428" s="13">
        <v>1</v>
      </c>
      <c r="D428" s="21">
        <v>120000</v>
      </c>
      <c r="E428" s="68">
        <f t="shared" si="47"/>
        <v>120000</v>
      </c>
      <c r="F428" s="24"/>
      <c r="G428" s="25"/>
    </row>
    <row r="429" s="1" customFormat="1" spans="1:7">
      <c r="A429" s="34"/>
      <c r="B429" s="64" t="s">
        <v>91</v>
      </c>
      <c r="C429" s="13">
        <v>2</v>
      </c>
      <c r="D429" s="21">
        <v>30000</v>
      </c>
      <c r="E429" s="68">
        <f t="shared" si="47"/>
        <v>60000</v>
      </c>
      <c r="F429" s="24"/>
      <c r="G429" s="25"/>
    </row>
    <row r="430" s="1" customFormat="1" spans="1:7">
      <c r="A430" s="34"/>
      <c r="B430" s="12" t="s">
        <v>211</v>
      </c>
      <c r="C430" s="51">
        <v>1</v>
      </c>
      <c r="D430" s="21">
        <v>100000</v>
      </c>
      <c r="E430" s="68">
        <f t="shared" si="47"/>
        <v>100000</v>
      </c>
      <c r="F430" s="24"/>
      <c r="G430" s="25"/>
    </row>
    <row r="431" s="1" customFormat="1" spans="1:7">
      <c r="A431" s="41"/>
      <c r="B431" s="71" t="s">
        <v>69</v>
      </c>
      <c r="C431" s="13">
        <v>32</v>
      </c>
      <c r="D431" s="21">
        <v>2000</v>
      </c>
      <c r="E431" s="68">
        <f t="shared" si="47"/>
        <v>64000</v>
      </c>
      <c r="F431" s="27"/>
      <c r="G431" s="28"/>
    </row>
    <row r="432" s="1" customFormat="1" spans="1:7">
      <c r="A432" s="11">
        <v>46050</v>
      </c>
      <c r="B432" s="71" t="s">
        <v>73</v>
      </c>
      <c r="C432" s="13">
        <v>2</v>
      </c>
      <c r="D432" s="14">
        <v>40000</v>
      </c>
      <c r="E432" s="68">
        <f t="shared" si="47"/>
        <v>80000</v>
      </c>
      <c r="F432" s="22">
        <f>SUM(E432:E433)</f>
        <v>320000</v>
      </c>
      <c r="G432" s="23" t="s">
        <v>11</v>
      </c>
    </row>
    <row r="433" s="1" customFormat="1" spans="1:7">
      <c r="A433" s="16"/>
      <c r="B433" s="71" t="s">
        <v>45</v>
      </c>
      <c r="C433" s="13">
        <v>2</v>
      </c>
      <c r="D433" s="14">
        <v>120000</v>
      </c>
      <c r="E433" s="68">
        <f t="shared" si="47"/>
        <v>240000</v>
      </c>
      <c r="F433" s="27"/>
      <c r="G433" s="28"/>
    </row>
    <row r="434" s="1" customFormat="1" spans="1:7">
      <c r="A434" s="72">
        <v>46051</v>
      </c>
      <c r="B434" s="71" t="s">
        <v>77</v>
      </c>
      <c r="C434" s="13">
        <v>1</v>
      </c>
      <c r="D434" s="14">
        <v>230000</v>
      </c>
      <c r="E434" s="68">
        <f t="shared" si="47"/>
        <v>230000</v>
      </c>
      <c r="F434" s="77">
        <f>SUM(E434:E436)</f>
        <v>304000</v>
      </c>
      <c r="G434" s="78" t="s">
        <v>11</v>
      </c>
    </row>
    <row r="435" s="1" customFormat="1" spans="1:7">
      <c r="A435" s="72"/>
      <c r="B435" s="71" t="s">
        <v>202</v>
      </c>
      <c r="C435" s="13">
        <v>0.3</v>
      </c>
      <c r="D435" s="14">
        <v>80000</v>
      </c>
      <c r="E435" s="68">
        <f t="shared" si="47"/>
        <v>24000</v>
      </c>
      <c r="F435" s="77"/>
      <c r="G435" s="78"/>
    </row>
    <row r="436" s="1" customFormat="1" spans="1:7">
      <c r="A436" s="73"/>
      <c r="B436" s="71" t="s">
        <v>120</v>
      </c>
      <c r="C436" s="13">
        <v>2</v>
      </c>
      <c r="D436" s="14">
        <v>25000</v>
      </c>
      <c r="E436" s="68">
        <f t="shared" si="47"/>
        <v>50000</v>
      </c>
      <c r="F436" s="79"/>
      <c r="G436" s="80"/>
    </row>
    <row r="437" s="1" customFormat="1" spans="1:7">
      <c r="A437" s="74">
        <v>46052</v>
      </c>
      <c r="B437" s="71" t="s">
        <v>101</v>
      </c>
      <c r="C437" s="13">
        <v>2</v>
      </c>
      <c r="D437" s="14">
        <v>15000</v>
      </c>
      <c r="E437" s="68">
        <f t="shared" si="47"/>
        <v>30000</v>
      </c>
      <c r="F437" s="81">
        <f>SUM(E437:E439)</f>
        <v>380000</v>
      </c>
      <c r="G437" s="82" t="s">
        <v>11</v>
      </c>
    </row>
    <row r="438" s="1" customFormat="1" spans="1:7">
      <c r="A438" s="72"/>
      <c r="B438" s="71" t="s">
        <v>191</v>
      </c>
      <c r="C438" s="13">
        <v>1</v>
      </c>
      <c r="D438" s="14">
        <v>160000</v>
      </c>
      <c r="E438" s="68">
        <f t="shared" si="47"/>
        <v>160000</v>
      </c>
      <c r="F438" s="77"/>
      <c r="G438" s="78"/>
    </row>
    <row r="439" s="1" customFormat="1" spans="1:7">
      <c r="A439" s="73"/>
      <c r="B439" s="71" t="s">
        <v>37</v>
      </c>
      <c r="C439" s="13">
        <v>2</v>
      </c>
      <c r="D439" s="14">
        <v>95000</v>
      </c>
      <c r="E439" s="68">
        <f t="shared" si="47"/>
        <v>190000</v>
      </c>
      <c r="F439" s="79"/>
      <c r="G439" s="80"/>
    </row>
    <row r="440" s="1" customFormat="1" spans="1:7">
      <c r="A440" s="75">
        <v>46053</v>
      </c>
      <c r="B440" s="76" t="s">
        <v>69</v>
      </c>
      <c r="C440" s="13">
        <v>29</v>
      </c>
      <c r="D440" s="21">
        <v>2000</v>
      </c>
      <c r="E440" s="68">
        <f t="shared" si="47"/>
        <v>58000</v>
      </c>
      <c r="F440" s="83">
        <f>SUM(E440:E461)</f>
        <v>1273000</v>
      </c>
      <c r="G440" s="84" t="s">
        <v>11</v>
      </c>
    </row>
    <row r="441" s="1" customFormat="1" spans="1:7">
      <c r="A441" s="75"/>
      <c r="B441" s="35" t="s">
        <v>68</v>
      </c>
      <c r="C441" s="13">
        <v>5</v>
      </c>
      <c r="D441" s="21">
        <v>25000</v>
      </c>
      <c r="E441" s="68">
        <f t="shared" si="47"/>
        <v>125000</v>
      </c>
      <c r="F441" s="83"/>
      <c r="G441" s="84"/>
    </row>
    <row r="442" s="1" customFormat="1" spans="1:7">
      <c r="A442" s="75"/>
      <c r="B442" s="35" t="s">
        <v>133</v>
      </c>
      <c r="C442" s="13">
        <v>3</v>
      </c>
      <c r="D442" s="21">
        <v>15000</v>
      </c>
      <c r="E442" s="68">
        <f t="shared" si="47"/>
        <v>45000</v>
      </c>
      <c r="F442" s="83"/>
      <c r="G442" s="84"/>
    </row>
    <row r="443" s="1" customFormat="1" spans="1:7">
      <c r="A443" s="75"/>
      <c r="B443" s="35" t="s">
        <v>107</v>
      </c>
      <c r="C443" s="13">
        <v>4</v>
      </c>
      <c r="D443" s="21">
        <v>58000</v>
      </c>
      <c r="E443" s="68">
        <f t="shared" si="47"/>
        <v>232000</v>
      </c>
      <c r="F443" s="83"/>
      <c r="G443" s="84"/>
    </row>
    <row r="444" s="1" customFormat="1" spans="1:7">
      <c r="A444" s="75"/>
      <c r="B444" s="35" t="s">
        <v>97</v>
      </c>
      <c r="C444" s="13">
        <v>1</v>
      </c>
      <c r="D444" s="21">
        <v>20000</v>
      </c>
      <c r="E444" s="68">
        <f t="shared" si="47"/>
        <v>20000</v>
      </c>
      <c r="F444" s="83"/>
      <c r="G444" s="84"/>
    </row>
    <row r="445" s="1" customFormat="1" spans="1:7">
      <c r="A445" s="75"/>
      <c r="B445" s="35" t="s">
        <v>177</v>
      </c>
      <c r="C445" s="13">
        <v>2</v>
      </c>
      <c r="D445" s="21">
        <v>120000</v>
      </c>
      <c r="E445" s="68">
        <f t="shared" si="47"/>
        <v>240000</v>
      </c>
      <c r="F445" s="83"/>
      <c r="G445" s="84"/>
    </row>
    <row r="446" s="1" customFormat="1" spans="1:7">
      <c r="A446" s="75"/>
      <c r="B446" s="35" t="s">
        <v>212</v>
      </c>
      <c r="C446" s="13">
        <v>2</v>
      </c>
      <c r="D446" s="21">
        <v>13000</v>
      </c>
      <c r="E446" s="68">
        <f t="shared" si="47"/>
        <v>26000</v>
      </c>
      <c r="F446" s="83"/>
      <c r="G446" s="84"/>
    </row>
    <row r="447" s="1" customFormat="1" spans="1:7">
      <c r="A447" s="75"/>
      <c r="B447" s="35" t="s">
        <v>32</v>
      </c>
      <c r="C447" s="13">
        <v>3.845</v>
      </c>
      <c r="D447" s="21">
        <v>15000</v>
      </c>
      <c r="E447" s="68">
        <v>58000</v>
      </c>
      <c r="F447" s="83"/>
      <c r="G447" s="84"/>
    </row>
    <row r="448" s="1" customFormat="1" spans="1:7">
      <c r="A448" s="75"/>
      <c r="B448" s="35" t="s">
        <v>122</v>
      </c>
      <c r="C448" s="13">
        <v>1</v>
      </c>
      <c r="D448" s="21">
        <v>40000</v>
      </c>
      <c r="E448" s="68">
        <f t="shared" ref="E448:E456" si="48">D448*C448</f>
        <v>40000</v>
      </c>
      <c r="F448" s="83"/>
      <c r="G448" s="84"/>
    </row>
    <row r="449" s="1" customFormat="1" spans="1:7">
      <c r="A449" s="75"/>
      <c r="B449" s="35" t="s">
        <v>42</v>
      </c>
      <c r="C449" s="13">
        <v>1</v>
      </c>
      <c r="D449" s="21">
        <v>40000</v>
      </c>
      <c r="E449" s="68">
        <f t="shared" si="48"/>
        <v>40000</v>
      </c>
      <c r="F449" s="83"/>
      <c r="G449" s="84"/>
    </row>
    <row r="450" s="1" customFormat="1" spans="1:7">
      <c r="A450" s="75"/>
      <c r="B450" s="35" t="s">
        <v>12</v>
      </c>
      <c r="C450" s="13">
        <v>1</v>
      </c>
      <c r="D450" s="21">
        <v>70000</v>
      </c>
      <c r="E450" s="68">
        <f t="shared" si="48"/>
        <v>70000</v>
      </c>
      <c r="F450" s="83"/>
      <c r="G450" s="84"/>
    </row>
    <row r="451" s="1" customFormat="1" spans="1:7">
      <c r="A451" s="75"/>
      <c r="B451" s="35" t="s">
        <v>126</v>
      </c>
      <c r="C451" s="13">
        <v>1</v>
      </c>
      <c r="D451" s="21">
        <v>48000</v>
      </c>
      <c r="E451" s="68">
        <f t="shared" si="48"/>
        <v>48000</v>
      </c>
      <c r="F451" s="83"/>
      <c r="G451" s="84"/>
    </row>
    <row r="452" s="1" customFormat="1" spans="1:7">
      <c r="A452" s="75"/>
      <c r="B452" s="35" t="s">
        <v>55</v>
      </c>
      <c r="C452" s="13">
        <v>1</v>
      </c>
      <c r="D452" s="21">
        <v>15000</v>
      </c>
      <c r="E452" s="68">
        <f t="shared" si="48"/>
        <v>15000</v>
      </c>
      <c r="F452" s="83"/>
      <c r="G452" s="84"/>
    </row>
    <row r="453" s="1" customFormat="1" spans="1:7">
      <c r="A453" s="75"/>
      <c r="B453" s="35" t="s">
        <v>111</v>
      </c>
      <c r="C453" s="13">
        <v>1</v>
      </c>
      <c r="D453" s="21">
        <v>30000</v>
      </c>
      <c r="E453" s="68">
        <f t="shared" si="48"/>
        <v>30000</v>
      </c>
      <c r="F453" s="83"/>
      <c r="G453" s="84"/>
    </row>
    <row r="454" s="1" customFormat="1" spans="1:7">
      <c r="A454" s="75"/>
      <c r="B454" s="35" t="s">
        <v>127</v>
      </c>
      <c r="C454" s="13">
        <v>0.5</v>
      </c>
      <c r="D454" s="21">
        <v>70000</v>
      </c>
      <c r="E454" s="68">
        <f t="shared" si="48"/>
        <v>35000</v>
      </c>
      <c r="F454" s="83"/>
      <c r="G454" s="84"/>
    </row>
    <row r="455" s="1" customFormat="1" spans="1:7">
      <c r="A455" s="75"/>
      <c r="B455" s="35" t="s">
        <v>162</v>
      </c>
      <c r="C455" s="13">
        <v>1</v>
      </c>
      <c r="D455" s="21">
        <v>90000</v>
      </c>
      <c r="E455" s="68">
        <f t="shared" si="48"/>
        <v>90000</v>
      </c>
      <c r="F455" s="83"/>
      <c r="G455" s="84"/>
    </row>
    <row r="456" s="1" customFormat="1" spans="1:7">
      <c r="A456" s="75"/>
      <c r="B456" s="35" t="s">
        <v>50</v>
      </c>
      <c r="C456" s="13">
        <v>0.1</v>
      </c>
      <c r="D456" s="21">
        <v>80000</v>
      </c>
      <c r="E456" s="68">
        <f t="shared" si="48"/>
        <v>8000</v>
      </c>
      <c r="F456" s="83"/>
      <c r="G456" s="84"/>
    </row>
    <row r="457" s="1" customFormat="1" spans="1:7">
      <c r="A457" s="75"/>
      <c r="B457" s="35" t="s">
        <v>70</v>
      </c>
      <c r="C457" s="13">
        <v>0.07</v>
      </c>
      <c r="D457" s="21">
        <v>50000</v>
      </c>
      <c r="E457" s="68">
        <v>4000</v>
      </c>
      <c r="F457" s="83"/>
      <c r="G457" s="84"/>
    </row>
    <row r="458" s="1" customFormat="1" spans="1:7">
      <c r="A458" s="75"/>
      <c r="B458" s="35" t="s">
        <v>213</v>
      </c>
      <c r="C458" s="13">
        <v>0.1</v>
      </c>
      <c r="D458" s="21">
        <v>25000</v>
      </c>
      <c r="E458" s="68">
        <v>3000</v>
      </c>
      <c r="F458" s="83"/>
      <c r="G458" s="84"/>
    </row>
    <row r="459" s="1" customFormat="1" spans="1:7">
      <c r="A459" s="75"/>
      <c r="B459" s="35" t="s">
        <v>189</v>
      </c>
      <c r="C459" s="13">
        <v>0.5</v>
      </c>
      <c r="D459" s="21">
        <v>80000</v>
      </c>
      <c r="E459" s="68">
        <f t="shared" ref="E459:E461" si="49">D459*C459</f>
        <v>40000</v>
      </c>
      <c r="F459" s="83"/>
      <c r="G459" s="84"/>
    </row>
    <row r="460" s="1" customFormat="1" spans="1:7">
      <c r="A460" s="75"/>
      <c r="B460" s="35" t="s">
        <v>130</v>
      </c>
      <c r="C460" s="13">
        <v>0.3</v>
      </c>
      <c r="D460" s="21">
        <v>70000</v>
      </c>
      <c r="E460" s="68">
        <f t="shared" si="49"/>
        <v>21000</v>
      </c>
      <c r="F460" s="83"/>
      <c r="G460" s="84"/>
    </row>
    <row r="461" s="1" customFormat="1" spans="1:7">
      <c r="A461" s="75"/>
      <c r="B461" s="35" t="s">
        <v>72</v>
      </c>
      <c r="C461" s="13">
        <v>1</v>
      </c>
      <c r="D461" s="21">
        <v>25000</v>
      </c>
      <c r="E461" s="68">
        <f t="shared" si="49"/>
        <v>25000</v>
      </c>
      <c r="F461" s="83"/>
      <c r="G461" s="84"/>
    </row>
    <row r="462" s="1" customFormat="1" spans="1:7">
      <c r="A462" s="72">
        <v>46053</v>
      </c>
      <c r="B462" s="85" t="s">
        <v>33</v>
      </c>
      <c r="C462" s="86">
        <v>0.5</v>
      </c>
      <c r="D462" s="87">
        <v>65000</v>
      </c>
      <c r="E462" s="90">
        <v>33000</v>
      </c>
      <c r="F462" s="77">
        <f>SUM(E462:E474)</f>
        <v>793000</v>
      </c>
      <c r="G462" s="78" t="s">
        <v>11</v>
      </c>
    </row>
    <row r="463" s="1" customFormat="1" spans="1:7">
      <c r="A463" s="72"/>
      <c r="B463" s="35" t="s">
        <v>74</v>
      </c>
      <c r="C463" s="13">
        <v>1</v>
      </c>
      <c r="D463" s="21">
        <v>95000</v>
      </c>
      <c r="E463" s="68">
        <f t="shared" ref="E463:E474" si="50">D463*C463</f>
        <v>95000</v>
      </c>
      <c r="F463" s="77"/>
      <c r="G463" s="78"/>
    </row>
    <row r="464" s="1" customFormat="1" spans="1:7">
      <c r="A464" s="72"/>
      <c r="B464" s="35" t="s">
        <v>214</v>
      </c>
      <c r="C464" s="13">
        <v>1</v>
      </c>
      <c r="D464" s="21">
        <v>40000</v>
      </c>
      <c r="E464" s="68">
        <f t="shared" si="50"/>
        <v>40000</v>
      </c>
      <c r="F464" s="77"/>
      <c r="G464" s="78"/>
    </row>
    <row r="465" s="1" customFormat="1" spans="1:7">
      <c r="A465" s="72"/>
      <c r="B465" s="35" t="s">
        <v>51</v>
      </c>
      <c r="C465" s="13">
        <v>0.4</v>
      </c>
      <c r="D465" s="21">
        <v>60000</v>
      </c>
      <c r="E465" s="68">
        <f t="shared" si="50"/>
        <v>24000</v>
      </c>
      <c r="F465" s="77"/>
      <c r="G465" s="78"/>
    </row>
    <row r="466" s="1" customFormat="1" spans="1:7">
      <c r="A466" s="72"/>
      <c r="B466" s="35" t="s">
        <v>53</v>
      </c>
      <c r="C466" s="13">
        <v>0.4</v>
      </c>
      <c r="D466" s="21">
        <v>70000</v>
      </c>
      <c r="E466" s="68">
        <f t="shared" si="50"/>
        <v>28000</v>
      </c>
      <c r="F466" s="77"/>
      <c r="G466" s="78"/>
    </row>
    <row r="467" s="1" customFormat="1" spans="1:7">
      <c r="A467" s="72"/>
      <c r="B467" s="35" t="s">
        <v>202</v>
      </c>
      <c r="C467" s="13">
        <v>0.3</v>
      </c>
      <c r="D467" s="21">
        <v>70000</v>
      </c>
      <c r="E467" s="68">
        <f t="shared" si="50"/>
        <v>21000</v>
      </c>
      <c r="F467" s="77"/>
      <c r="G467" s="78"/>
    </row>
    <row r="468" s="1" customFormat="1" spans="1:7">
      <c r="A468" s="72"/>
      <c r="B468" s="88" t="s">
        <v>134</v>
      </c>
      <c r="C468" s="13">
        <v>0.5</v>
      </c>
      <c r="D468" s="21">
        <v>50000</v>
      </c>
      <c r="E468" s="68">
        <f t="shared" si="50"/>
        <v>25000</v>
      </c>
      <c r="F468" s="77"/>
      <c r="G468" s="78"/>
    </row>
    <row r="469" s="1" customFormat="1" spans="1:7">
      <c r="A469" s="72"/>
      <c r="B469" s="88" t="s">
        <v>59</v>
      </c>
      <c r="C469" s="13">
        <v>0.5</v>
      </c>
      <c r="D469" s="21">
        <v>50000</v>
      </c>
      <c r="E469" s="68">
        <f t="shared" si="50"/>
        <v>25000</v>
      </c>
      <c r="F469" s="77"/>
      <c r="G469" s="78"/>
    </row>
    <row r="470" s="1" customFormat="1" spans="1:7">
      <c r="A470" s="72"/>
      <c r="B470" s="88" t="s">
        <v>138</v>
      </c>
      <c r="C470" s="13">
        <v>0.2</v>
      </c>
      <c r="D470" s="21">
        <v>100000</v>
      </c>
      <c r="E470" s="68">
        <f t="shared" si="50"/>
        <v>20000</v>
      </c>
      <c r="F470" s="77"/>
      <c r="G470" s="78"/>
    </row>
    <row r="471" s="1" customFormat="1" spans="1:7">
      <c r="A471" s="72"/>
      <c r="B471" s="88" t="s">
        <v>215</v>
      </c>
      <c r="C471" s="13">
        <v>0.1</v>
      </c>
      <c r="D471" s="21">
        <v>20000</v>
      </c>
      <c r="E471" s="68">
        <f t="shared" si="50"/>
        <v>2000</v>
      </c>
      <c r="F471" s="77"/>
      <c r="G471" s="78"/>
    </row>
    <row r="472" s="1" customFormat="1" spans="1:7">
      <c r="A472" s="72"/>
      <c r="B472" s="88" t="s">
        <v>65</v>
      </c>
      <c r="C472" s="13">
        <v>1</v>
      </c>
      <c r="D472" s="21">
        <v>130000</v>
      </c>
      <c r="E472" s="68">
        <f t="shared" si="50"/>
        <v>130000</v>
      </c>
      <c r="F472" s="77"/>
      <c r="G472" s="78"/>
    </row>
    <row r="473" s="1" customFormat="1" spans="1:7">
      <c r="A473" s="72"/>
      <c r="B473" s="88" t="s">
        <v>81</v>
      </c>
      <c r="C473" s="13">
        <v>2</v>
      </c>
      <c r="D473" s="21">
        <v>90000</v>
      </c>
      <c r="E473" s="68">
        <f t="shared" si="50"/>
        <v>180000</v>
      </c>
      <c r="F473" s="77"/>
      <c r="G473" s="78"/>
    </row>
    <row r="474" s="1" customFormat="1" spans="1:7">
      <c r="A474" s="73"/>
      <c r="B474" s="88" t="s">
        <v>183</v>
      </c>
      <c r="C474" s="13">
        <v>1</v>
      </c>
      <c r="D474" s="21">
        <v>170000</v>
      </c>
      <c r="E474" s="68">
        <f t="shared" si="50"/>
        <v>170000</v>
      </c>
      <c r="F474" s="79"/>
      <c r="G474" s="80"/>
    </row>
    <row r="475" s="1" customFormat="1" spans="1:7">
      <c r="A475" s="89"/>
      <c r="B475" s="88"/>
      <c r="C475" s="13"/>
      <c r="D475" s="21"/>
      <c r="E475" s="21"/>
      <c r="F475" s="35"/>
      <c r="G475" s="6"/>
    </row>
    <row r="476" s="1" customFormat="1" spans="1:7">
      <c r="A476" s="89"/>
      <c r="B476" s="88"/>
      <c r="C476" s="13"/>
      <c r="D476" s="21"/>
      <c r="E476" s="21"/>
      <c r="F476" s="35"/>
      <c r="G476" s="6"/>
    </row>
    <row r="477" s="1" customFormat="1" spans="1:7">
      <c r="A477" s="89"/>
      <c r="B477" s="88"/>
      <c r="C477" s="13"/>
      <c r="D477" s="21"/>
      <c r="E477" s="21"/>
      <c r="F477" s="35"/>
      <c r="G477" s="6"/>
    </row>
    <row r="478" s="1" customFormat="1" spans="1:7">
      <c r="A478" s="89"/>
      <c r="B478" s="88"/>
      <c r="C478" s="13"/>
      <c r="D478" s="21"/>
      <c r="E478" s="21"/>
      <c r="F478" s="35"/>
      <c r="G478" s="6"/>
    </row>
    <row r="479" s="1" customFormat="1" spans="1:7">
      <c r="A479" s="89"/>
      <c r="B479" s="88"/>
      <c r="C479" s="13"/>
      <c r="D479" s="21"/>
      <c r="E479" s="21"/>
      <c r="F479" s="35"/>
      <c r="G479" s="6"/>
    </row>
    <row r="480" s="1" customFormat="1" spans="1:7">
      <c r="A480" s="89"/>
      <c r="B480" s="88"/>
      <c r="C480" s="13"/>
      <c r="D480" s="21"/>
      <c r="E480" s="21"/>
      <c r="F480" s="35"/>
      <c r="G480" s="6"/>
    </row>
    <row r="481" s="1" customFormat="1" spans="1:7">
      <c r="A481" s="89"/>
      <c r="B481" s="88"/>
      <c r="C481" s="13"/>
      <c r="D481" s="21"/>
      <c r="E481" s="21"/>
      <c r="F481" s="35"/>
      <c r="G481" s="6"/>
    </row>
    <row r="482" s="1" customFormat="1" spans="1:7">
      <c r="A482" s="89"/>
      <c r="B482" s="88"/>
      <c r="C482" s="13"/>
      <c r="D482" s="21"/>
      <c r="E482" s="21"/>
      <c r="F482" s="35"/>
      <c r="G482" s="6"/>
    </row>
    <row r="483" s="1" customFormat="1" spans="1:7">
      <c r="A483" s="89"/>
      <c r="B483" s="88"/>
      <c r="C483" s="13"/>
      <c r="D483" s="21"/>
      <c r="E483" s="21">
        <f>D483*C483</f>
        <v>0</v>
      </c>
      <c r="F483" s="21">
        <f>SUM(F3:F482)</f>
        <v>61119000</v>
      </c>
      <c r="G483" s="6"/>
    </row>
  </sheetData>
  <mergeCells count="207">
    <mergeCell ref="I6:J6"/>
    <mergeCell ref="I7:J7"/>
    <mergeCell ref="L341:P341"/>
    <mergeCell ref="A3:A25"/>
    <mergeCell ref="A26:A36"/>
    <mergeCell ref="A37:A39"/>
    <mergeCell ref="A40:A58"/>
    <mergeCell ref="A59:A77"/>
    <mergeCell ref="A78:A95"/>
    <mergeCell ref="A96:A107"/>
    <mergeCell ref="A108:A128"/>
    <mergeCell ref="A129:A140"/>
    <mergeCell ref="A141:A162"/>
    <mergeCell ref="A163:A184"/>
    <mergeCell ref="A185:A189"/>
    <mergeCell ref="A190:A209"/>
    <mergeCell ref="A210:A230"/>
    <mergeCell ref="A231:A233"/>
    <mergeCell ref="A234:A246"/>
    <mergeCell ref="A247:A267"/>
    <mergeCell ref="A268:A275"/>
    <mergeCell ref="A276:A278"/>
    <mergeCell ref="A279:A287"/>
    <mergeCell ref="A288:A298"/>
    <mergeCell ref="A299:A309"/>
    <mergeCell ref="A310:A320"/>
    <mergeCell ref="A321:A322"/>
    <mergeCell ref="A323:A341"/>
    <mergeCell ref="A342:A350"/>
    <mergeCell ref="A351:A363"/>
    <mergeCell ref="A364:A376"/>
    <mergeCell ref="A377:A388"/>
    <mergeCell ref="A389:A393"/>
    <mergeCell ref="A394:A402"/>
    <mergeCell ref="A403:A414"/>
    <mergeCell ref="A415:A424"/>
    <mergeCell ref="A425:A431"/>
    <mergeCell ref="A432:A433"/>
    <mergeCell ref="A434:A436"/>
    <mergeCell ref="A437:A439"/>
    <mergeCell ref="A440:A461"/>
    <mergeCell ref="A462:A474"/>
    <mergeCell ref="F3:F25"/>
    <mergeCell ref="F26:F36"/>
    <mergeCell ref="F37:F39"/>
    <mergeCell ref="F40:F58"/>
    <mergeCell ref="F59:F77"/>
    <mergeCell ref="F78:F95"/>
    <mergeCell ref="F96:F107"/>
    <mergeCell ref="F108:F128"/>
    <mergeCell ref="F129:F140"/>
    <mergeCell ref="F141:F162"/>
    <mergeCell ref="F163:F184"/>
    <mergeCell ref="F185:F189"/>
    <mergeCell ref="F190:F209"/>
    <mergeCell ref="F210:F230"/>
    <mergeCell ref="F231:F233"/>
    <mergeCell ref="F234:F246"/>
    <mergeCell ref="F247:F267"/>
    <mergeCell ref="F268:F275"/>
    <mergeCell ref="F276:F278"/>
    <mergeCell ref="F279:F287"/>
    <mergeCell ref="F288:F298"/>
    <mergeCell ref="F299:F309"/>
    <mergeCell ref="F310:F320"/>
    <mergeCell ref="F321:F322"/>
    <mergeCell ref="F323:F341"/>
    <mergeCell ref="F342:F350"/>
    <mergeCell ref="F351:F363"/>
    <mergeCell ref="F364:F376"/>
    <mergeCell ref="F377:F388"/>
    <mergeCell ref="F389:F393"/>
    <mergeCell ref="F394:F402"/>
    <mergeCell ref="F403:F414"/>
    <mergeCell ref="F415:F424"/>
    <mergeCell ref="F425:F431"/>
    <mergeCell ref="F432:F433"/>
    <mergeCell ref="F434:F436"/>
    <mergeCell ref="F437:F439"/>
    <mergeCell ref="F440:F461"/>
    <mergeCell ref="F462:F474"/>
    <mergeCell ref="G3:G25"/>
    <mergeCell ref="G26:G36"/>
    <mergeCell ref="G37:G39"/>
    <mergeCell ref="G40:G58"/>
    <mergeCell ref="G59:G77"/>
    <mergeCell ref="G78:G95"/>
    <mergeCell ref="G96:G107"/>
    <mergeCell ref="G108:G128"/>
    <mergeCell ref="G129:G140"/>
    <mergeCell ref="G141:G162"/>
    <mergeCell ref="G163:G184"/>
    <mergeCell ref="G185:G189"/>
    <mergeCell ref="G190:G209"/>
    <mergeCell ref="G210:G230"/>
    <mergeCell ref="G231:G233"/>
    <mergeCell ref="G234:G246"/>
    <mergeCell ref="G247:G267"/>
    <mergeCell ref="G268:G275"/>
    <mergeCell ref="G276:G278"/>
    <mergeCell ref="G279:G287"/>
    <mergeCell ref="G288:G298"/>
    <mergeCell ref="G299:G309"/>
    <mergeCell ref="G310:G320"/>
    <mergeCell ref="G321:G322"/>
    <mergeCell ref="G323:G341"/>
    <mergeCell ref="G342:G350"/>
    <mergeCell ref="G351:G363"/>
    <mergeCell ref="G364:G376"/>
    <mergeCell ref="G377:G388"/>
    <mergeCell ref="G389:G393"/>
    <mergeCell ref="G394:G402"/>
    <mergeCell ref="G403:G414"/>
    <mergeCell ref="G415:G424"/>
    <mergeCell ref="G425:G431"/>
    <mergeCell ref="G432:G433"/>
    <mergeCell ref="G434:G436"/>
    <mergeCell ref="G437:G439"/>
    <mergeCell ref="G440:G461"/>
    <mergeCell ref="G462:G474"/>
    <mergeCell ref="L3:L12"/>
    <mergeCell ref="L14:L19"/>
    <mergeCell ref="L20:L29"/>
    <mergeCell ref="L30:L38"/>
    <mergeCell ref="L39:L55"/>
    <mergeCell ref="L56:L65"/>
    <mergeCell ref="L66:L75"/>
    <mergeCell ref="L76:L86"/>
    <mergeCell ref="L87:L101"/>
    <mergeCell ref="L102:L110"/>
    <mergeCell ref="L111:L123"/>
    <mergeCell ref="L124:L139"/>
    <mergeCell ref="L140:L151"/>
    <mergeCell ref="L152:L164"/>
    <mergeCell ref="L165:L180"/>
    <mergeCell ref="L181:L193"/>
    <mergeCell ref="L194:L207"/>
    <mergeCell ref="L208:L223"/>
    <mergeCell ref="L224:L233"/>
    <mergeCell ref="L234:L246"/>
    <mergeCell ref="L247:L258"/>
    <mergeCell ref="L259:L270"/>
    <mergeCell ref="L271:L276"/>
    <mergeCell ref="L277:L287"/>
    <mergeCell ref="L288:L299"/>
    <mergeCell ref="L300:L307"/>
    <mergeCell ref="L308:L316"/>
    <mergeCell ref="L317:L323"/>
    <mergeCell ref="L324:L337"/>
    <mergeCell ref="Q3:Q12"/>
    <mergeCell ref="Q14:Q19"/>
    <mergeCell ref="Q20:Q29"/>
    <mergeCell ref="Q30:Q38"/>
    <mergeCell ref="Q39:Q55"/>
    <mergeCell ref="Q56:Q65"/>
    <mergeCell ref="Q66:Q75"/>
    <mergeCell ref="Q76:Q86"/>
    <mergeCell ref="Q87:Q101"/>
    <mergeCell ref="Q102:Q110"/>
    <mergeCell ref="Q111:Q123"/>
    <mergeCell ref="Q124:Q139"/>
    <mergeCell ref="Q140:Q151"/>
    <mergeCell ref="Q152:Q164"/>
    <mergeCell ref="Q165:Q180"/>
    <mergeCell ref="Q181:Q193"/>
    <mergeCell ref="Q194:Q207"/>
    <mergeCell ref="Q208:Q223"/>
    <mergeCell ref="Q224:Q233"/>
    <mergeCell ref="Q234:Q246"/>
    <mergeCell ref="Q247:Q258"/>
    <mergeCell ref="Q259:Q270"/>
    <mergeCell ref="Q271:Q276"/>
    <mergeCell ref="Q277:Q287"/>
    <mergeCell ref="Q288:Q299"/>
    <mergeCell ref="Q300:Q307"/>
    <mergeCell ref="Q308:Q316"/>
    <mergeCell ref="Q317:Q323"/>
    <mergeCell ref="Q324:Q337"/>
    <mergeCell ref="R3:R12"/>
    <mergeCell ref="R14:R19"/>
    <mergeCell ref="R20:R29"/>
    <mergeCell ref="R30:R38"/>
    <mergeCell ref="R39:R55"/>
    <mergeCell ref="R56:R65"/>
    <mergeCell ref="R66:R75"/>
    <mergeCell ref="R76:R86"/>
    <mergeCell ref="R87:R101"/>
    <mergeCell ref="R102:R110"/>
    <mergeCell ref="R111:R123"/>
    <mergeCell ref="R124:R139"/>
    <mergeCell ref="R140:R151"/>
    <mergeCell ref="R152:R164"/>
    <mergeCell ref="R165:R180"/>
    <mergeCell ref="R181:R193"/>
    <mergeCell ref="R194:R207"/>
    <mergeCell ref="R208:R223"/>
    <mergeCell ref="R224:R233"/>
    <mergeCell ref="R234:R246"/>
    <mergeCell ref="R247:R258"/>
    <mergeCell ref="R259:R270"/>
    <mergeCell ref="R271:R276"/>
    <mergeCell ref="R277:R287"/>
    <mergeCell ref="R288:R299"/>
    <mergeCell ref="R300:R307"/>
    <mergeCell ref="R308:R316"/>
    <mergeCell ref="R317:R323"/>
    <mergeCell ref="R324:R3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BUK BUNGA (Groceries)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2026-01-31T17:39:02Z</dcterms:created>
  <dcterms:modified xsi:type="dcterms:W3CDTF">2026-01-31T17:50:15Z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F07E681728C4EA38B6CD7D69676BC2BC_41</vt:lpwstr>
  </property>
  <property fmtid="{D5CDD505-2E9C-101B-9397-08002B2CF9AE}" pid="3" name="KSOProductBuildVer">
    <vt:lpwstr>1033-12.1.23155.23155</vt:lpwstr>
  </property>
</Properties>
</file>