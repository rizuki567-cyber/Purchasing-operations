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04CE0DB2-2F84-F045-BF2C-95BC6B86D661}" xr6:coauthVersionLast="47" xr6:coauthVersionMax="47" xr10:uidLastSave="{00000000-0000-0000-0000-000000000000}"/>
  <bookViews>
    <workbookView xWindow="4680" yWindow="4200" windowWidth="26440" windowHeight="15180" xr2:uid="{1723ADBA-37C6-A846-9008-EBEADD3DA2CB}"/>
  </bookViews>
  <sheets>
    <sheet name="CHAI CHITAI (Tea Leaf,etc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H6" i="1" s="1"/>
  <c r="G3" i="1"/>
  <c r="H2" i="1"/>
  <c r="I2" i="1" s="1"/>
  <c r="G2" i="1"/>
  <c r="I6" i="1" l="1"/>
  <c r="K6" i="1"/>
  <c r="J6" i="1"/>
  <c r="J2" i="1"/>
  <c r="K2" i="1"/>
  <c r="E9" i="1" s="1"/>
  <c r="L1" i="1" s="1"/>
</calcChain>
</file>

<file path=xl/sharedStrings.xml><?xml version="1.0" encoding="utf-8"?>
<sst xmlns="http://schemas.openxmlformats.org/spreadsheetml/2006/main" count="15" uniqueCount="14">
  <si>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</si>
  <si>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</si>
  <si>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</si>
  <si>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</si>
  <si>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</si>
  <si>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</si>
  <si>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</si>
  <si>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</si>
  <si>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DISCOUNT</t>
  </si>
  <si>
    <t>TAX</t>
  </si>
  <si>
    <t>#1</t>
  </si>
  <si>
    <t>MANGO OOLONG</t>
  </si>
  <si>
    <t>DA HONG PAO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</si>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</sst>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p-421]#,##0.00;[Red][$Rp-421]#,##0.00"/>
    <numFmt numFmtId="165" formatCode="_ [$IDR]\ * #,##0_ ;_ [$IDR]\ * \-#,##0_ ;_ [$IDR]\ * &quot;-&quot;_ ;_ @_ "/>
    <numFmt numFmtId="166" formatCode="[$-409]d\-mmm\-yyyy;@"/>
    <numFmt numFmtId="167" formatCode="_-&quot;Rp&quot;* #,##0_-;\-&quot;Rp&quot;* #,##0_-;_-&quot;Rp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>
      <alignment vertical="center"/>
    </xf>
    <xf numFmtId="165" fontId="0" fillId="0" borderId="0" xfId="0" applyNumberFormat="1">
      <alignment vertical="center"/>
    </xf>
    <xf numFmtId="166" fontId="0" fillId="3" borderId="2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>
      <alignment vertical="center"/>
    </xf>
    <xf numFmtId="164" fontId="0" fillId="3" borderId="2" xfId="0" applyNumberFormat="1" applyFill="1" applyBorder="1">
      <alignment vertical="center"/>
    </xf>
    <xf numFmtId="164" fontId="0" fillId="3" borderId="1" xfId="0" applyNumberFormat="1" applyFill="1" applyBorder="1">
      <alignment vertical="center"/>
    </xf>
    <xf numFmtId="166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4" fontId="0" fillId="3" borderId="4" xfId="0" applyNumberFormat="1" applyFill="1" applyBorder="1">
      <alignment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164" fontId="5" fillId="3" borderId="2" xfId="0" applyNumberFormat="1" applyFont="1" applyFill="1" applyBorder="1">
      <alignment vertical="center"/>
    </xf>
    <xf numFmtId="166" fontId="0" fillId="3" borderId="1" xfId="0" applyNumberFormat="1" applyFill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3" borderId="2" xfId="0" applyNumberFormat="1" applyFill="1" applyBorder="1">
      <alignment vertical="center"/>
    </xf>
    <xf numFmtId="0" fontId="0" fillId="3" borderId="7" xfId="0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7" fontId="7" fillId="3" borderId="8" xfId="0" applyNumberFormat="1" applyFont="1" applyFill="1" applyBorder="1">
      <alignment vertical="center"/>
    </xf>
    <xf numFmtId="164" fontId="7" fillId="3" borderId="6" xfId="0" applyNumberFormat="1" applyFont="1" applyFill="1" applyBorder="1">
      <alignment vertical="center"/>
    </xf>
    <xf numFmtId="164" fontId="5" fillId="3" borderId="6" xfId="0" applyNumberFormat="1" applyFont="1" applyFill="1" applyBorder="1">
      <alignment vertical="center"/>
    </xf>
    <xf numFmtId="164" fontId="5" fillId="3" borderId="1" xfId="0" applyNumberFormat="1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5" fontId="7" fillId="3" borderId="8" xfId="0" applyNumberFormat="1" applyFont="1" applyFill="1" applyBorder="1" applyAlignment="1">
      <alignment horizontal="center" vertical="center"/>
    </xf>
    <xf numFmtId="164" fontId="7" fillId="3" borderId="6" xfId="0" applyNumberFormat="1" applyFont="1" applyFill="1" applyBorder="1" applyAlignment="1">
      <alignment horizontal="center" vertical="center"/>
    </xf>
    <xf numFmtId="164" fontId="7" fillId="3" borderId="6" xfId="0" applyNumberFormat="1" applyFont="1" applyFill="1" applyBorder="1">
      <alignment vertical="center"/>
    </xf>
    <xf numFmtId="164" fontId="7" fillId="3" borderId="9" xfId="0" applyNumberFormat="1" applyFont="1" applyFill="1" applyBorder="1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11238</xdr:colOff>
      <xdr:row>1</xdr:row>
      <xdr:rowOff>11239</xdr:rowOff>
    </xdr:from>
    <xdr:to>
      <xdr:col>5</xdr:col>
      <xdr:colOff>836</xdr:colOff>
      <xdr:row>2</xdr:row>
      <xdr:rowOff>1292478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4A625-9A6D-8747-9A87-718EE53F5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4338" y="214439"/>
          <a:ext cx="3456698" cy="2589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DC8B-C6C6-0342-A7CB-ECF5578AC72D}">
  <dimension ref="A1:L9"/>
  <sheetViews>
    <sheetView tabSelected="1" zoomScale="113" zoomScaleNormal="90" workbookViewId="0">
      <selection activeCell="E6" sqref="E6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3" width="18.5" customWidth="1"/>
    <col min="4" max="4" width="15.83203125" customWidth="1"/>
    <col min="5" max="5" width="45.5" customWidth="1"/>
    <col min="6" max="11" width="18" style="42" customWidth="1"/>
    <col min="12" max="12" width="12.83203125" bestFit="1" customWidth="1"/>
  </cols>
  <sheetData>
    <row r="1" spans="1:12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7</v>
      </c>
      <c r="L1" s="4">
        <f>E9</f>
        <v>1687000</v>
      </c>
    </row>
    <row r="2" spans="1:12" ht="103" customHeight="1" x14ac:dyDescent="0.2">
      <c r="A2" s="5">
        <v>46084</v>
      </c>
      <c r="B2" s="6" t="s">
        <v>10</v>
      </c>
      <c r="C2" s="7" t="s">
        <v>11</v>
      </c>
      <c r="D2" s="8">
        <v>4</v>
      </c>
      <c r="E2" s="9"/>
      <c r="F2" s="10">
        <v>190000</v>
      </c>
      <c r="G2" s="11">
        <f>F2*D2</f>
        <v>760000</v>
      </c>
      <c r="H2" s="12">
        <f>SUM(G2:G3)</f>
        <v>2410000</v>
      </c>
      <c r="I2" s="12">
        <f>H2*30%</f>
        <v>723000</v>
      </c>
      <c r="J2" s="12">
        <f>(H2-I2)*0%</f>
        <v>0</v>
      </c>
      <c r="K2" s="13">
        <f>H2-I2</f>
        <v>1687000</v>
      </c>
    </row>
    <row r="3" spans="1:12" ht="103" customHeight="1" x14ac:dyDescent="0.2">
      <c r="A3" s="14"/>
      <c r="B3" s="15"/>
      <c r="C3" s="7" t="s">
        <v>12</v>
      </c>
      <c r="D3" s="8">
        <v>5</v>
      </c>
      <c r="E3" s="16"/>
      <c r="F3" s="10">
        <v>330000</v>
      </c>
      <c r="G3" s="11">
        <f>F3*D3</f>
        <v>1650000</v>
      </c>
      <c r="H3" s="17"/>
      <c r="I3" s="17"/>
      <c r="J3" s="17"/>
      <c r="K3" s="13"/>
    </row>
    <row r="4" spans="1:12" ht="19" customHeight="1" x14ac:dyDescent="0.2">
      <c r="A4" s="18"/>
      <c r="B4" s="18"/>
      <c r="C4" s="18"/>
      <c r="D4" s="19"/>
      <c r="E4" s="20"/>
      <c r="F4" s="21"/>
      <c r="G4" s="22"/>
      <c r="H4" s="22"/>
      <c r="I4" s="22"/>
      <c r="J4" s="22"/>
      <c r="K4" s="22"/>
    </row>
    <row r="5" spans="1:12" ht="19" customHeight="1" x14ac:dyDescent="0.2">
      <c r="A5" s="23"/>
      <c r="B5" s="23"/>
      <c r="C5" s="23"/>
      <c r="D5" s="19"/>
      <c r="E5" s="20"/>
      <c r="F5" s="21"/>
      <c r="G5" s="24"/>
      <c r="H5" s="24"/>
      <c r="I5" s="24"/>
      <c r="J5" s="24"/>
      <c r="K5" s="24"/>
    </row>
    <row r="6" spans="1:12" ht="198.5" customHeight="1" x14ac:dyDescent="0.2">
      <c r="A6" s="25"/>
      <c r="B6" s="20"/>
      <c r="C6" s="26"/>
      <c r="D6" s="8"/>
      <c r="E6" s="27"/>
      <c r="F6" s="10">
        <f>190000*D2</f>
        <v>760000</v>
      </c>
      <c r="G6" s="28">
        <f>F6*D6</f>
        <v>0</v>
      </c>
      <c r="H6" s="28">
        <f>SUM(G6)</f>
        <v>0</v>
      </c>
      <c r="I6" s="28">
        <f>H6*30%</f>
        <v>0</v>
      </c>
      <c r="J6" s="28">
        <f>(H6-I6)*0%</f>
        <v>0</v>
      </c>
      <c r="K6" s="28">
        <f>H6-I6</f>
        <v>0</v>
      </c>
    </row>
    <row r="7" spans="1:12" ht="19" customHeight="1" x14ac:dyDescent="0.2">
      <c r="A7" s="18"/>
      <c r="B7" s="18"/>
      <c r="C7" s="18"/>
      <c r="D7" s="19"/>
      <c r="E7" s="29"/>
      <c r="F7" s="21"/>
      <c r="G7" s="22"/>
      <c r="H7" s="22"/>
      <c r="I7" s="22"/>
      <c r="J7" s="22"/>
      <c r="K7" s="22"/>
    </row>
    <row r="8" spans="1:12" ht="19" customHeight="1" x14ac:dyDescent="0.2">
      <c r="A8" s="23"/>
      <c r="B8" s="23"/>
      <c r="C8" s="23"/>
      <c r="D8" s="30"/>
      <c r="E8" s="31"/>
      <c r="F8" s="32"/>
      <c r="G8" s="33"/>
      <c r="H8" s="33"/>
      <c r="I8" s="33"/>
      <c r="J8" s="33"/>
      <c r="K8" s="34"/>
    </row>
    <row r="9" spans="1:12" ht="27" customHeight="1" x14ac:dyDescent="0.2">
      <c r="A9" s="35" t="s">
        <v>13</v>
      </c>
      <c r="B9" s="36"/>
      <c r="C9" s="36"/>
      <c r="D9" s="37"/>
      <c r="E9" s="38">
        <f>SUM(K2:K8)</f>
        <v>1687000</v>
      </c>
      <c r="F9" s="39"/>
      <c r="G9" s="40"/>
      <c r="H9" s="40"/>
      <c r="I9" s="40"/>
      <c r="J9" s="40"/>
      <c r="K9" s="41"/>
    </row>
  </sheetData>
  <mergeCells count="13">
    <mergeCell ref="K2:K3"/>
    <mergeCell ref="A4:C4"/>
    <mergeCell ref="A5:C5"/>
    <mergeCell ref="A7:C7"/>
    <mergeCell ref="A8:C8"/>
    <mergeCell ref="A9:D9"/>
    <mergeCell ref="E9:K9"/>
    <mergeCell ref="A2:A3"/>
    <mergeCell ref="B2:B3"/>
    <mergeCell ref="E2:E3"/>
    <mergeCell ref="H2:H3"/>
    <mergeCell ref="I2:I3"/>
    <mergeCell ref="J2:J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 CHITAI (Tea Leaf,etc)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2026-03-29T05:49:33Z</dcterms:created>
  <dcterms:modified xsi:type="dcterms:W3CDTF">2026-03-29T05:49:54Z</dcterms:modified>
</cp:coreProperties>
</file>