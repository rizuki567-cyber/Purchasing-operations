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00" windowHeight="17020"/>
  </bookViews>
  <sheets>
    <sheet name="WARUNG EKA (Drinks, Etc)" sheetId="1" r:id="rId1"/>
  </sheets>
  <definedNames>
    <definedName name="_xlnm._FilterDatabase" localSheetId="0" hidden="1">'WARUNG EKA (Drinks, Etc)'!$A$1:$G$92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<sst xmlns="http://schemas.openxmlformats.org/spreadsheetml/2006/main" count="139" uniqueCount="22">
  <si>
    <t>INV NO</t>
  </si>
  <si>
    <t>DATE</t>
  </si>
  <si>
    <t>ITEM</t>
  </si>
  <si>
    <t>QYT</t>
  </si>
  <si>
    <t>PRICE</t>
  </si>
  <si>
    <t>SUBTOTAL</t>
  </si>
  <si>
    <t>TOTALPRICE</t>
  </si>
  <si>
    <t>AQUA GALLOON 19 LTR</t>
  </si>
  <si>
    <t>CLEO GALLOON 19 LTR</t>
  </si>
  <si>
    <t>LPG GAS 50 KG</t>
  </si>
  <si>
    <t>AQUA REFLECTIONS SPARKLING 750ML</t>
  </si>
  <si>
    <t>CRYSTAL ICE 5 KG</t>
  </si>
  <si>
    <t>COCA COLA CAN 330 ML</t>
  </si>
  <si>
    <t>COKE ZERO CAN 330 ML</t>
  </si>
  <si>
    <t>AQUA REFLECTIONS STILL 750ML</t>
  </si>
  <si>
    <t>POLARIS SODA WATER CAN 330 ML</t>
  </si>
  <si>
    <t>AQUA REFLECTIONS SPARKLING 380ML</t>
  </si>
  <si>
    <t>AQUA REFLECTIONS STILL 380ML</t>
  </si>
  <si>
    <t>BINTANG PINT 330ML</t>
  </si>
  <si>
    <t>ALBENS ORIGINAL APPLE CIDER 330 ML</t>
  </si>
  <si>
    <t>EMPTY BOTTLE CHARGE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</si>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</sst>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</numFmts>
  <fonts count="25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sz val="12"/>
      <name val="Cambria"/>
      <charset val="134"/>
    </font>
    <font>
      <sz val="12"/>
      <color theme="1"/>
      <name val="Cambria"/>
      <charset val="134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0" fillId="3" borderId="2" xfId="0" applyNumberFormat="1" applyFill="1" applyBorder="1" applyAlignment="1">
      <alignment horizontal="center" vertical="center"/>
    </xf>
    <xf numFmtId="176" fontId="0" fillId="3" borderId="2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3" borderId="1" xfId="0" applyNumberFormat="1" applyFill="1" applyBorder="1" applyAlignment="1">
      <alignment horizontal="center" vertical="center"/>
    </xf>
    <xf numFmtId="0" fontId="0" fillId="3" borderId="3" xfId="0" applyNumberFormat="1" applyFill="1" applyBorder="1" applyAlignment="1">
      <alignment horizontal="center" vertical="center"/>
    </xf>
    <xf numFmtId="176" fontId="0" fillId="3" borderId="3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6" fontId="0" fillId="3" borderId="4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vertical="center"/>
    </xf>
    <xf numFmtId="177" fontId="3" fillId="2" borderId="1" xfId="0" applyNumberFormat="1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vertical="center"/>
    </xf>
    <xf numFmtId="177" fontId="4" fillId="3" borderId="2" xfId="0" applyNumberFormat="1" applyFont="1" applyFill="1" applyBorder="1" applyAlignment="1">
      <alignment horizontal="center" vertical="center"/>
    </xf>
    <xf numFmtId="177" fontId="4" fillId="3" borderId="3" xfId="0" applyNumberFormat="1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vertical="center"/>
    </xf>
    <xf numFmtId="177" fontId="4" fillId="3" borderId="4" xfId="0" applyNumberFormat="1" applyFont="1" applyFill="1" applyBorder="1" applyAlignment="1">
      <alignment horizontal="center" vertical="center"/>
    </xf>
    <xf numFmtId="177" fontId="0" fillId="0" borderId="0" xfId="0" applyNumberFormat="1" applyFill="1" applyAlignment="1">
      <alignment vertical="center"/>
    </xf>
    <xf numFmtId="177" fontId="4" fillId="3" borderId="3" xfId="0" applyNumberFormat="1" applyFont="1" applyFill="1" applyBorder="1" applyAlignment="1">
      <alignment vertical="center"/>
    </xf>
    <xf numFmtId="176" fontId="5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177" fontId="0" fillId="0" borderId="0" xfId="0" applyNumberForma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vertical="center"/>
    </xf>
    <xf numFmtId="177" fontId="0" fillId="0" borderId="0" xfId="0" applyNumberFormat="1" applyFill="1" applyBorder="1" applyAlignment="1">
      <alignment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" fillId="3" borderId="6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9"/>
  <sheetViews>
    <sheetView tabSelected="1" zoomScale="76" zoomScaleNormal="76" workbookViewId="0">
      <pane ySplit="1" topLeftCell="A113" activePane="bottomLeft" state="frozen"/>
      <selection/>
      <selection pane="bottomLeft" activeCell="G135" sqref="G135"/>
    </sheetView>
  </sheetViews>
  <sheetFormatPr defaultColWidth="9.140625" defaultRowHeight="16.8"/>
  <cols>
    <col min="1" max="1" width="8.859375" style="2" customWidth="1"/>
    <col min="2" max="2" width="12.7109375" style="3" customWidth="1"/>
    <col min="3" max="3" width="45.859375" style="4" customWidth="1"/>
    <col min="4" max="4" width="6.8984375" style="5" customWidth="1"/>
    <col min="5" max="5" width="13.140625" style="6" customWidth="1"/>
    <col min="6" max="6" width="13.140625" style="1" customWidth="1"/>
    <col min="7" max="7" width="21.5078125" style="2" customWidth="1"/>
    <col min="8" max="8" width="13.140625" style="1"/>
    <col min="9" max="9" width="29.2890625" style="1" customWidth="1"/>
    <col min="10" max="10" width="12.859375" style="1"/>
    <col min="11" max="11" width="18.03125" style="1" customWidth="1"/>
    <col min="12" max="12" width="11.4296875" style="1"/>
    <col min="13" max="15" width="10.2890625" style="1"/>
    <col min="16" max="16384" width="9.140625" style="1"/>
  </cols>
  <sheetData>
    <row r="1" s="1" customFormat="1" ht="21" customHeight="1" spans="1:7">
      <c r="A1" s="7" t="s">
        <v>0</v>
      </c>
      <c r="B1" s="8" t="s">
        <v>1</v>
      </c>
      <c r="C1" s="9" t="s">
        <v>2</v>
      </c>
      <c r="D1" s="10" t="s">
        <v>3</v>
      </c>
      <c r="E1" s="25" t="s">
        <v>4</v>
      </c>
      <c r="F1" s="9" t="s">
        <v>5</v>
      </c>
      <c r="G1" s="9" t="s">
        <v>6</v>
      </c>
    </row>
    <row r="2" s="1" customFormat="1" ht="19" customHeight="1" spans="1:7">
      <c r="A2" s="11">
        <v>76140</v>
      </c>
      <c r="B2" s="12">
        <v>46024</v>
      </c>
      <c r="C2" s="13" t="s">
        <v>7</v>
      </c>
      <c r="D2" s="14">
        <v>2</v>
      </c>
      <c r="E2" s="26">
        <v>20000</v>
      </c>
      <c r="F2" s="27">
        <f t="shared" ref="F2:F65" si="0">SUM(D2*E2)</f>
        <v>40000</v>
      </c>
      <c r="G2" s="28">
        <f>SUM(F2:F3)</f>
        <v>84000</v>
      </c>
    </row>
    <row r="3" s="1" customFormat="1" ht="19" customHeight="1" spans="1:7">
      <c r="A3" s="15"/>
      <c r="B3" s="16"/>
      <c r="C3" s="13" t="s">
        <v>8</v>
      </c>
      <c r="D3" s="14">
        <v>2</v>
      </c>
      <c r="E3" s="26">
        <v>22000</v>
      </c>
      <c r="F3" s="27">
        <f t="shared" si="0"/>
        <v>44000</v>
      </c>
      <c r="G3" s="29"/>
    </row>
    <row r="4" s="1" customFormat="1" ht="19" customHeight="1" spans="1:7">
      <c r="A4" s="17">
        <v>76152</v>
      </c>
      <c r="B4" s="18">
        <v>46024</v>
      </c>
      <c r="C4" s="19" t="s">
        <v>9</v>
      </c>
      <c r="D4" s="14">
        <v>1</v>
      </c>
      <c r="E4" s="27">
        <v>1000000</v>
      </c>
      <c r="F4" s="27">
        <f t="shared" si="0"/>
        <v>1000000</v>
      </c>
      <c r="G4" s="30">
        <f>SUM(F4)</f>
        <v>1000000</v>
      </c>
    </row>
    <row r="5" s="1" customFormat="1" ht="19" customHeight="1" spans="1:7">
      <c r="A5" s="20">
        <v>76221</v>
      </c>
      <c r="B5" s="12">
        <v>46025</v>
      </c>
      <c r="C5" s="19" t="s">
        <v>10</v>
      </c>
      <c r="D5" s="14">
        <v>2</v>
      </c>
      <c r="E5" s="27">
        <v>120000</v>
      </c>
      <c r="F5" s="27">
        <f t="shared" si="0"/>
        <v>240000</v>
      </c>
      <c r="G5" s="28">
        <f>SUM(F5:F10)</f>
        <v>624000</v>
      </c>
    </row>
    <row r="6" s="1" customFormat="1" ht="19" customHeight="1" spans="1:7">
      <c r="A6" s="21"/>
      <c r="B6" s="22"/>
      <c r="C6" s="19" t="s">
        <v>8</v>
      </c>
      <c r="D6" s="14">
        <v>1</v>
      </c>
      <c r="E6" s="27">
        <v>22000</v>
      </c>
      <c r="F6" s="27">
        <f t="shared" si="0"/>
        <v>22000</v>
      </c>
      <c r="G6" s="31"/>
    </row>
    <row r="7" s="1" customFormat="1" ht="18" customHeight="1" spans="1:7">
      <c r="A7" s="21"/>
      <c r="B7" s="22"/>
      <c r="C7" s="19" t="s">
        <v>7</v>
      </c>
      <c r="D7" s="14">
        <v>1</v>
      </c>
      <c r="E7" s="27">
        <v>20000</v>
      </c>
      <c r="F7" s="27">
        <f t="shared" si="0"/>
        <v>20000</v>
      </c>
      <c r="G7" s="31"/>
    </row>
    <row r="8" s="1" customFormat="1" ht="18" customHeight="1" spans="1:7">
      <c r="A8" s="21"/>
      <c r="B8" s="22"/>
      <c r="C8" s="19" t="s">
        <v>11</v>
      </c>
      <c r="D8" s="14">
        <v>9</v>
      </c>
      <c r="E8" s="27">
        <v>8000</v>
      </c>
      <c r="F8" s="27">
        <f t="shared" si="0"/>
        <v>72000</v>
      </c>
      <c r="G8" s="31"/>
    </row>
    <row r="9" s="1" customFormat="1" ht="19" customHeight="1" spans="1:7">
      <c r="A9" s="21"/>
      <c r="B9" s="22"/>
      <c r="C9" s="19" t="s">
        <v>12</v>
      </c>
      <c r="D9" s="14">
        <v>1</v>
      </c>
      <c r="E9" s="27">
        <v>135000</v>
      </c>
      <c r="F9" s="27">
        <f t="shared" si="0"/>
        <v>135000</v>
      </c>
      <c r="G9" s="31"/>
    </row>
    <row r="10" s="1" customFormat="1" ht="19" customHeight="1" spans="1:7">
      <c r="A10" s="23"/>
      <c r="B10" s="16"/>
      <c r="C10" s="19" t="s">
        <v>13</v>
      </c>
      <c r="D10" s="14">
        <v>1</v>
      </c>
      <c r="E10" s="27">
        <v>135000</v>
      </c>
      <c r="F10" s="27">
        <f t="shared" si="0"/>
        <v>135000</v>
      </c>
      <c r="G10" s="29"/>
    </row>
    <row r="11" s="1" customFormat="1" ht="19" customHeight="1" spans="1:7">
      <c r="A11" s="20">
        <v>76307</v>
      </c>
      <c r="B11" s="12">
        <v>46026</v>
      </c>
      <c r="C11" s="19" t="s">
        <v>10</v>
      </c>
      <c r="D11" s="14">
        <v>1</v>
      </c>
      <c r="E11" s="27">
        <v>120000</v>
      </c>
      <c r="F11" s="27">
        <f t="shared" si="0"/>
        <v>120000</v>
      </c>
      <c r="G11" s="28">
        <f>SUM(F11:F14)</f>
        <v>210000</v>
      </c>
    </row>
    <row r="12" s="1" customFormat="1" ht="19" customHeight="1" spans="1:7">
      <c r="A12" s="21"/>
      <c r="B12" s="22"/>
      <c r="C12" s="24" t="s">
        <v>8</v>
      </c>
      <c r="D12" s="14">
        <v>1</v>
      </c>
      <c r="E12" s="27">
        <v>22000</v>
      </c>
      <c r="F12" s="27">
        <f t="shared" si="0"/>
        <v>22000</v>
      </c>
      <c r="G12" s="31"/>
    </row>
    <row r="13" s="1" customFormat="1" ht="19" customHeight="1" spans="1:7">
      <c r="A13" s="21"/>
      <c r="B13" s="22"/>
      <c r="C13" s="19" t="s">
        <v>7</v>
      </c>
      <c r="D13" s="14">
        <v>1</v>
      </c>
      <c r="E13" s="27">
        <v>20000</v>
      </c>
      <c r="F13" s="27">
        <f t="shared" si="0"/>
        <v>20000</v>
      </c>
      <c r="G13" s="31"/>
    </row>
    <row r="14" s="1" customFormat="1" ht="19" customHeight="1" spans="1:7">
      <c r="A14" s="23"/>
      <c r="B14" s="16"/>
      <c r="C14" s="19" t="s">
        <v>11</v>
      </c>
      <c r="D14" s="14">
        <v>6</v>
      </c>
      <c r="E14" s="27">
        <v>8000</v>
      </c>
      <c r="F14" s="27">
        <f t="shared" si="0"/>
        <v>48000</v>
      </c>
      <c r="G14" s="29"/>
    </row>
    <row r="15" s="1" customFormat="1" ht="19" customHeight="1" spans="1:7">
      <c r="A15" s="20">
        <v>76387</v>
      </c>
      <c r="B15" s="12">
        <v>46027</v>
      </c>
      <c r="C15" s="19" t="s">
        <v>7</v>
      </c>
      <c r="D15" s="14">
        <v>1</v>
      </c>
      <c r="E15" s="27">
        <v>20000</v>
      </c>
      <c r="F15" s="27">
        <f t="shared" si="0"/>
        <v>20000</v>
      </c>
      <c r="G15" s="28">
        <f>SUM(F15:F22)</f>
        <v>1051000</v>
      </c>
    </row>
    <row r="16" s="1" customFormat="1" ht="19" customHeight="1" spans="1:7">
      <c r="A16" s="21"/>
      <c r="B16" s="22"/>
      <c r="C16" s="19" t="s">
        <v>8</v>
      </c>
      <c r="D16" s="14">
        <v>1</v>
      </c>
      <c r="E16" s="27">
        <v>22000</v>
      </c>
      <c r="F16" s="27">
        <f t="shared" si="0"/>
        <v>22000</v>
      </c>
      <c r="G16" s="31"/>
    </row>
    <row r="17" s="1" customFormat="1" ht="19" customHeight="1" spans="1:7">
      <c r="A17" s="21"/>
      <c r="B17" s="22"/>
      <c r="C17" s="19" t="s">
        <v>10</v>
      </c>
      <c r="D17" s="14">
        <v>3</v>
      </c>
      <c r="E17" s="27">
        <v>120000</v>
      </c>
      <c r="F17" s="27">
        <f t="shared" si="0"/>
        <v>360000</v>
      </c>
      <c r="G17" s="31"/>
    </row>
    <row r="18" s="1" customFormat="1" ht="19" customHeight="1" spans="1:7">
      <c r="A18" s="21"/>
      <c r="B18" s="22"/>
      <c r="C18" s="19" t="s">
        <v>14</v>
      </c>
      <c r="D18" s="14">
        <v>2</v>
      </c>
      <c r="E18" s="27">
        <v>115000</v>
      </c>
      <c r="F18" s="27">
        <f t="shared" si="0"/>
        <v>230000</v>
      </c>
      <c r="G18" s="31"/>
    </row>
    <row r="19" s="1" customFormat="1" ht="19" customHeight="1" spans="1:7">
      <c r="A19" s="21"/>
      <c r="B19" s="22"/>
      <c r="C19" s="24" t="s">
        <v>12</v>
      </c>
      <c r="D19" s="14">
        <v>1</v>
      </c>
      <c r="E19" s="27">
        <v>135000</v>
      </c>
      <c r="F19" s="27">
        <f t="shared" si="0"/>
        <v>135000</v>
      </c>
      <c r="G19" s="31"/>
    </row>
    <row r="20" s="1" customFormat="1" ht="19" customHeight="1" spans="1:7">
      <c r="A20" s="21"/>
      <c r="B20" s="22"/>
      <c r="C20" s="19" t="s">
        <v>13</v>
      </c>
      <c r="D20" s="14">
        <v>1</v>
      </c>
      <c r="E20" s="27">
        <v>135000</v>
      </c>
      <c r="F20" s="27">
        <f t="shared" si="0"/>
        <v>135000</v>
      </c>
      <c r="G20" s="31"/>
    </row>
    <row r="21" s="1" customFormat="1" ht="19" customHeight="1" spans="1:7">
      <c r="A21" s="21"/>
      <c r="B21" s="22"/>
      <c r="C21" s="19" t="s">
        <v>15</v>
      </c>
      <c r="D21" s="14">
        <v>1</v>
      </c>
      <c r="E21" s="27">
        <v>125000</v>
      </c>
      <c r="F21" s="27">
        <f t="shared" si="0"/>
        <v>125000</v>
      </c>
      <c r="G21" s="31"/>
    </row>
    <row r="22" s="1" customFormat="1" ht="19" customHeight="1" spans="1:7">
      <c r="A22" s="23"/>
      <c r="B22" s="16"/>
      <c r="C22" s="24" t="s">
        <v>11</v>
      </c>
      <c r="D22" s="14">
        <v>3</v>
      </c>
      <c r="E22" s="27">
        <v>8000</v>
      </c>
      <c r="F22" s="27">
        <f t="shared" si="0"/>
        <v>24000</v>
      </c>
      <c r="G22" s="29"/>
    </row>
    <row r="23" s="1" customFormat="1" ht="19" customHeight="1" spans="1:7">
      <c r="A23" s="20">
        <v>76462</v>
      </c>
      <c r="B23" s="12">
        <v>46028</v>
      </c>
      <c r="C23" s="19" t="s">
        <v>16</v>
      </c>
      <c r="D23" s="14">
        <v>1</v>
      </c>
      <c r="E23" s="27">
        <v>135000</v>
      </c>
      <c r="F23" s="27">
        <f t="shared" si="0"/>
        <v>135000</v>
      </c>
      <c r="G23" s="28">
        <f>SUM(F23:F27)</f>
        <v>717000</v>
      </c>
    </row>
    <row r="24" s="1" customFormat="1" ht="19" customHeight="1" spans="1:7">
      <c r="A24" s="21"/>
      <c r="B24" s="22"/>
      <c r="C24" s="24" t="s">
        <v>17</v>
      </c>
      <c r="D24" s="14">
        <v>4</v>
      </c>
      <c r="E24" s="27">
        <v>125000</v>
      </c>
      <c r="F24" s="27">
        <f t="shared" si="0"/>
        <v>500000</v>
      </c>
      <c r="G24" s="31"/>
    </row>
    <row r="25" s="1" customFormat="1" ht="19" customHeight="1" spans="1:7">
      <c r="A25" s="21"/>
      <c r="B25" s="22"/>
      <c r="C25" s="19" t="s">
        <v>11</v>
      </c>
      <c r="D25" s="14">
        <v>5</v>
      </c>
      <c r="E25" s="27">
        <v>8000</v>
      </c>
      <c r="F25" s="27">
        <f t="shared" si="0"/>
        <v>40000</v>
      </c>
      <c r="G25" s="31"/>
    </row>
    <row r="26" s="1" customFormat="1" ht="19" customHeight="1" spans="1:7">
      <c r="A26" s="21"/>
      <c r="B26" s="22"/>
      <c r="C26" s="19" t="s">
        <v>7</v>
      </c>
      <c r="D26" s="14">
        <v>1</v>
      </c>
      <c r="E26" s="27">
        <v>20000</v>
      </c>
      <c r="F26" s="27">
        <f t="shared" si="0"/>
        <v>20000</v>
      </c>
      <c r="G26" s="31"/>
    </row>
    <row r="27" s="1" customFormat="1" ht="19" customHeight="1" spans="1:7">
      <c r="A27" s="23"/>
      <c r="B27" s="16"/>
      <c r="C27" s="19" t="s">
        <v>8</v>
      </c>
      <c r="D27" s="14">
        <v>1</v>
      </c>
      <c r="E27" s="27">
        <v>22000</v>
      </c>
      <c r="F27" s="27">
        <f t="shared" si="0"/>
        <v>22000</v>
      </c>
      <c r="G27" s="29"/>
    </row>
    <row r="28" s="1" customFormat="1" ht="19" customHeight="1" spans="1:7">
      <c r="A28" s="20">
        <v>76559</v>
      </c>
      <c r="B28" s="12">
        <v>46029</v>
      </c>
      <c r="C28" s="19" t="s">
        <v>7</v>
      </c>
      <c r="D28" s="14">
        <v>1</v>
      </c>
      <c r="E28" s="27">
        <v>20000</v>
      </c>
      <c r="F28" s="27">
        <f t="shared" si="0"/>
        <v>20000</v>
      </c>
      <c r="G28" s="28">
        <f>SUM(F28:F30)</f>
        <v>66000</v>
      </c>
    </row>
    <row r="29" s="1" customFormat="1" ht="19" customHeight="1" spans="1:7">
      <c r="A29" s="21"/>
      <c r="B29" s="22"/>
      <c r="C29" s="19" t="s">
        <v>8</v>
      </c>
      <c r="D29" s="14">
        <v>1</v>
      </c>
      <c r="E29" s="27">
        <v>22000</v>
      </c>
      <c r="F29" s="27">
        <f t="shared" si="0"/>
        <v>22000</v>
      </c>
      <c r="G29" s="31"/>
    </row>
    <row r="30" s="1" customFormat="1" ht="19" customHeight="1" spans="1:7">
      <c r="A30" s="23"/>
      <c r="B30" s="16"/>
      <c r="C30" s="19" t="s">
        <v>11</v>
      </c>
      <c r="D30" s="14">
        <v>3</v>
      </c>
      <c r="E30" s="27">
        <v>8000</v>
      </c>
      <c r="F30" s="27">
        <f t="shared" si="0"/>
        <v>24000</v>
      </c>
      <c r="G30" s="29"/>
    </row>
    <row r="31" s="1" customFormat="1" ht="19" customHeight="1" spans="1:7">
      <c r="A31" s="20">
        <v>76632</v>
      </c>
      <c r="B31" s="12">
        <v>46030</v>
      </c>
      <c r="C31" s="19" t="s">
        <v>11</v>
      </c>
      <c r="D31" s="14">
        <v>5</v>
      </c>
      <c r="E31" s="27">
        <v>8000</v>
      </c>
      <c r="F31" s="27">
        <f t="shared" si="0"/>
        <v>40000</v>
      </c>
      <c r="G31" s="28">
        <f>SUM(F31:F33)</f>
        <v>82000</v>
      </c>
    </row>
    <row r="32" s="1" customFormat="1" ht="19" customHeight="1" spans="1:7">
      <c r="A32" s="21"/>
      <c r="B32" s="22"/>
      <c r="C32" s="19" t="s">
        <v>7</v>
      </c>
      <c r="D32" s="14">
        <v>1</v>
      </c>
      <c r="E32" s="27">
        <v>20000</v>
      </c>
      <c r="F32" s="27">
        <f t="shared" si="0"/>
        <v>20000</v>
      </c>
      <c r="G32" s="31"/>
    </row>
    <row r="33" s="1" customFormat="1" ht="19" customHeight="1" spans="1:7">
      <c r="A33" s="23"/>
      <c r="B33" s="16"/>
      <c r="C33" s="19" t="s">
        <v>8</v>
      </c>
      <c r="D33" s="14">
        <v>1</v>
      </c>
      <c r="E33" s="27">
        <v>22000</v>
      </c>
      <c r="F33" s="27">
        <f t="shared" si="0"/>
        <v>22000</v>
      </c>
      <c r="G33" s="29"/>
    </row>
    <row r="34" s="1" customFormat="1" ht="19" customHeight="1" spans="1:7">
      <c r="A34" s="20">
        <v>76698</v>
      </c>
      <c r="B34" s="12">
        <v>46031</v>
      </c>
      <c r="C34" s="19" t="s">
        <v>11</v>
      </c>
      <c r="D34" s="14">
        <v>4</v>
      </c>
      <c r="E34" s="27">
        <v>8000</v>
      </c>
      <c r="F34" s="27">
        <f t="shared" si="0"/>
        <v>32000</v>
      </c>
      <c r="G34" s="28">
        <f>SUM(F34:F36)</f>
        <v>74000</v>
      </c>
    </row>
    <row r="35" s="1" customFormat="1" ht="19" customHeight="1" spans="1:7">
      <c r="A35" s="21"/>
      <c r="B35" s="22"/>
      <c r="C35" s="19" t="s">
        <v>7</v>
      </c>
      <c r="D35" s="14">
        <v>1</v>
      </c>
      <c r="E35" s="27">
        <v>20000</v>
      </c>
      <c r="F35" s="27">
        <f t="shared" si="0"/>
        <v>20000</v>
      </c>
      <c r="G35" s="31"/>
    </row>
    <row r="36" s="1" customFormat="1" ht="19" customHeight="1" spans="1:7">
      <c r="A36" s="23"/>
      <c r="B36" s="16"/>
      <c r="C36" s="19" t="s">
        <v>8</v>
      </c>
      <c r="D36" s="14">
        <v>1</v>
      </c>
      <c r="E36" s="27">
        <v>22000</v>
      </c>
      <c r="F36" s="27">
        <f t="shared" si="0"/>
        <v>22000</v>
      </c>
      <c r="G36" s="29"/>
    </row>
    <row r="37" s="1" customFormat="1" ht="19" customHeight="1" spans="1:7">
      <c r="A37" s="20">
        <v>76775</v>
      </c>
      <c r="B37" s="12">
        <v>46032</v>
      </c>
      <c r="C37" s="19" t="s">
        <v>7</v>
      </c>
      <c r="D37" s="14">
        <v>1</v>
      </c>
      <c r="E37" s="27">
        <v>20000</v>
      </c>
      <c r="F37" s="27">
        <f t="shared" si="0"/>
        <v>20000</v>
      </c>
      <c r="G37" s="28">
        <f>SUM(F37:F39)</f>
        <v>66000</v>
      </c>
    </row>
    <row r="38" s="1" customFormat="1" ht="19" customHeight="1" spans="1:7">
      <c r="A38" s="21"/>
      <c r="B38" s="22"/>
      <c r="C38" s="19" t="s">
        <v>8</v>
      </c>
      <c r="D38" s="14">
        <v>1</v>
      </c>
      <c r="E38" s="27">
        <v>22000</v>
      </c>
      <c r="F38" s="27">
        <f t="shared" si="0"/>
        <v>22000</v>
      </c>
      <c r="G38" s="31"/>
    </row>
    <row r="39" s="1" customFormat="1" ht="19" customHeight="1" spans="1:7">
      <c r="A39" s="23"/>
      <c r="B39" s="16"/>
      <c r="C39" s="19" t="s">
        <v>11</v>
      </c>
      <c r="D39" s="14">
        <v>3</v>
      </c>
      <c r="E39" s="27">
        <v>8000</v>
      </c>
      <c r="F39" s="27">
        <f t="shared" si="0"/>
        <v>24000</v>
      </c>
      <c r="G39" s="29"/>
    </row>
    <row r="40" s="1" customFormat="1" ht="19" customHeight="1" spans="1:7">
      <c r="A40" s="20">
        <v>76855</v>
      </c>
      <c r="B40" s="12">
        <v>46033</v>
      </c>
      <c r="C40" s="19" t="s">
        <v>17</v>
      </c>
      <c r="D40" s="14">
        <v>1</v>
      </c>
      <c r="E40" s="27">
        <v>125000</v>
      </c>
      <c r="F40" s="27">
        <f t="shared" si="0"/>
        <v>125000</v>
      </c>
      <c r="G40" s="28">
        <f>SUM(F40:F47)</f>
        <v>1099000</v>
      </c>
    </row>
    <row r="41" s="1" customFormat="1" ht="19" customHeight="1" spans="1:7">
      <c r="A41" s="21"/>
      <c r="B41" s="22"/>
      <c r="C41" s="19" t="s">
        <v>7</v>
      </c>
      <c r="D41" s="14">
        <v>2</v>
      </c>
      <c r="E41" s="27">
        <v>20000</v>
      </c>
      <c r="F41" s="27">
        <f t="shared" si="0"/>
        <v>40000</v>
      </c>
      <c r="G41" s="31"/>
    </row>
    <row r="42" s="1" customFormat="1" ht="19" customHeight="1" spans="1:7">
      <c r="A42" s="21"/>
      <c r="B42" s="22"/>
      <c r="C42" s="19" t="s">
        <v>8</v>
      </c>
      <c r="D42" s="14">
        <v>2</v>
      </c>
      <c r="E42" s="27">
        <v>22000</v>
      </c>
      <c r="F42" s="27">
        <f t="shared" si="0"/>
        <v>44000</v>
      </c>
      <c r="G42" s="31"/>
    </row>
    <row r="43" s="1" customFormat="1" ht="19" customHeight="1" spans="1:7">
      <c r="A43" s="21"/>
      <c r="B43" s="22"/>
      <c r="C43" s="19" t="s">
        <v>11</v>
      </c>
      <c r="D43" s="14">
        <v>5</v>
      </c>
      <c r="E43" s="27">
        <v>8000</v>
      </c>
      <c r="F43" s="27">
        <f t="shared" si="0"/>
        <v>40000</v>
      </c>
      <c r="G43" s="31"/>
    </row>
    <row r="44" s="1" customFormat="1" ht="19" customHeight="1" spans="1:7">
      <c r="A44" s="21"/>
      <c r="B44" s="22"/>
      <c r="C44" s="19" t="s">
        <v>14</v>
      </c>
      <c r="D44" s="14">
        <v>1</v>
      </c>
      <c r="E44" s="27">
        <v>115000</v>
      </c>
      <c r="F44" s="27">
        <f t="shared" si="0"/>
        <v>115000</v>
      </c>
      <c r="G44" s="31"/>
    </row>
    <row r="45" s="1" customFormat="1" ht="19" customHeight="1" spans="1:7">
      <c r="A45" s="21"/>
      <c r="B45" s="22"/>
      <c r="C45" s="19" t="s">
        <v>10</v>
      </c>
      <c r="D45" s="14">
        <v>1</v>
      </c>
      <c r="E45" s="27">
        <v>120000</v>
      </c>
      <c r="F45" s="27">
        <f t="shared" si="0"/>
        <v>120000</v>
      </c>
      <c r="G45" s="31"/>
    </row>
    <row r="46" s="1" customFormat="1" ht="19" customHeight="1" spans="1:7">
      <c r="A46" s="21"/>
      <c r="B46" s="22"/>
      <c r="C46" s="19" t="s">
        <v>16</v>
      </c>
      <c r="D46" s="14">
        <v>1</v>
      </c>
      <c r="E46" s="27">
        <v>135000</v>
      </c>
      <c r="F46" s="27">
        <f t="shared" si="0"/>
        <v>135000</v>
      </c>
      <c r="G46" s="31"/>
    </row>
    <row r="47" s="1" customFormat="1" ht="19" customHeight="1" spans="1:7">
      <c r="A47" s="23"/>
      <c r="B47" s="16"/>
      <c r="C47" s="19" t="s">
        <v>18</v>
      </c>
      <c r="D47" s="14">
        <v>1</v>
      </c>
      <c r="E47" s="27">
        <v>480000</v>
      </c>
      <c r="F47" s="27">
        <f t="shared" si="0"/>
        <v>480000</v>
      </c>
      <c r="G47" s="29"/>
    </row>
    <row r="48" s="1" customFormat="1" ht="19" customHeight="1" spans="1:7">
      <c r="A48" s="20">
        <v>76918</v>
      </c>
      <c r="B48" s="12">
        <v>46034</v>
      </c>
      <c r="C48" s="19" t="s">
        <v>7</v>
      </c>
      <c r="D48" s="14">
        <v>1</v>
      </c>
      <c r="E48" s="27">
        <v>20000</v>
      </c>
      <c r="F48" s="27">
        <f t="shared" si="0"/>
        <v>20000</v>
      </c>
      <c r="G48" s="28">
        <f>SUM(F48:F50)</f>
        <v>90000</v>
      </c>
    </row>
    <row r="49" s="1" customFormat="1" ht="19" customHeight="1" spans="1:7">
      <c r="A49" s="21"/>
      <c r="B49" s="22"/>
      <c r="C49" s="19" t="s">
        <v>8</v>
      </c>
      <c r="D49" s="14">
        <v>1</v>
      </c>
      <c r="E49" s="27">
        <v>22000</v>
      </c>
      <c r="F49" s="27">
        <f t="shared" si="0"/>
        <v>22000</v>
      </c>
      <c r="G49" s="31"/>
    </row>
    <row r="50" s="1" customFormat="1" ht="19" customHeight="1" spans="1:7">
      <c r="A50" s="23"/>
      <c r="B50" s="16"/>
      <c r="C50" s="19" t="s">
        <v>11</v>
      </c>
      <c r="D50" s="14">
        <v>6</v>
      </c>
      <c r="E50" s="27">
        <v>8000</v>
      </c>
      <c r="F50" s="27">
        <f t="shared" si="0"/>
        <v>48000</v>
      </c>
      <c r="G50" s="29"/>
    </row>
    <row r="51" s="1" customFormat="1" ht="19" customHeight="1" spans="1:7">
      <c r="A51" s="20">
        <v>76988</v>
      </c>
      <c r="B51" s="12">
        <v>46035</v>
      </c>
      <c r="C51" s="19" t="s">
        <v>7</v>
      </c>
      <c r="D51" s="14">
        <v>2</v>
      </c>
      <c r="E51" s="27">
        <v>20000</v>
      </c>
      <c r="F51" s="27">
        <f t="shared" si="0"/>
        <v>40000</v>
      </c>
      <c r="G51" s="28">
        <f>SUM(F51:F56)</f>
        <v>497000</v>
      </c>
    </row>
    <row r="52" s="1" customFormat="1" ht="19" customHeight="1" spans="1:7">
      <c r="A52" s="21"/>
      <c r="B52" s="22"/>
      <c r="C52" s="24" t="s">
        <v>8</v>
      </c>
      <c r="D52" s="14">
        <v>1</v>
      </c>
      <c r="E52" s="27">
        <v>22000</v>
      </c>
      <c r="F52" s="27">
        <f t="shared" si="0"/>
        <v>22000</v>
      </c>
      <c r="G52" s="31"/>
    </row>
    <row r="53" s="1" customFormat="1" ht="19" customHeight="1" spans="1:7">
      <c r="A53" s="21"/>
      <c r="B53" s="22"/>
      <c r="C53" s="19" t="s">
        <v>11</v>
      </c>
      <c r="D53" s="14">
        <v>5</v>
      </c>
      <c r="E53" s="27">
        <v>8000</v>
      </c>
      <c r="F53" s="27">
        <f t="shared" si="0"/>
        <v>40000</v>
      </c>
      <c r="G53" s="31"/>
    </row>
    <row r="54" s="1" customFormat="1" spans="1:7">
      <c r="A54" s="21"/>
      <c r="B54" s="22"/>
      <c r="C54" s="19" t="s">
        <v>15</v>
      </c>
      <c r="D54" s="14">
        <v>1</v>
      </c>
      <c r="E54" s="27">
        <v>125000</v>
      </c>
      <c r="F54" s="27">
        <f t="shared" si="0"/>
        <v>125000</v>
      </c>
      <c r="G54" s="31"/>
    </row>
    <row r="55" s="1" customFormat="1" spans="1:7">
      <c r="A55" s="21"/>
      <c r="B55" s="22"/>
      <c r="C55" s="19" t="s">
        <v>13</v>
      </c>
      <c r="D55" s="14">
        <v>1</v>
      </c>
      <c r="E55" s="27">
        <v>135000</v>
      </c>
      <c r="F55" s="27">
        <f t="shared" si="0"/>
        <v>135000</v>
      </c>
      <c r="G55" s="31"/>
    </row>
    <row r="56" s="1" customFormat="1" spans="1:7">
      <c r="A56" s="23"/>
      <c r="B56" s="16"/>
      <c r="C56" s="19" t="s">
        <v>12</v>
      </c>
      <c r="D56" s="14">
        <v>1</v>
      </c>
      <c r="E56" s="27">
        <v>135000</v>
      </c>
      <c r="F56" s="27">
        <f t="shared" si="0"/>
        <v>135000</v>
      </c>
      <c r="G56" s="29"/>
    </row>
    <row r="57" s="1" customFormat="1" spans="1:7">
      <c r="A57" s="20">
        <v>77049</v>
      </c>
      <c r="B57" s="12">
        <v>46036</v>
      </c>
      <c r="C57" s="19" t="s">
        <v>11</v>
      </c>
      <c r="D57" s="14">
        <v>6</v>
      </c>
      <c r="E57" s="27">
        <v>8000</v>
      </c>
      <c r="F57" s="27">
        <f t="shared" si="0"/>
        <v>48000</v>
      </c>
      <c r="G57" s="28">
        <f>SUM(F57:F58)</f>
        <v>68000</v>
      </c>
    </row>
    <row r="58" s="1" customFormat="1" spans="1:7">
      <c r="A58" s="23"/>
      <c r="B58" s="16"/>
      <c r="C58" s="19" t="s">
        <v>7</v>
      </c>
      <c r="D58" s="14">
        <v>1</v>
      </c>
      <c r="E58" s="27">
        <v>20000</v>
      </c>
      <c r="F58" s="27">
        <f t="shared" si="0"/>
        <v>20000</v>
      </c>
      <c r="G58" s="29"/>
    </row>
    <row r="59" s="1" customFormat="1" spans="1:7">
      <c r="A59" s="20">
        <v>77123</v>
      </c>
      <c r="B59" s="12">
        <v>46037</v>
      </c>
      <c r="C59" s="19" t="s">
        <v>7</v>
      </c>
      <c r="D59" s="14">
        <v>2</v>
      </c>
      <c r="E59" s="27">
        <v>20000</v>
      </c>
      <c r="F59" s="27">
        <f t="shared" si="0"/>
        <v>40000</v>
      </c>
      <c r="G59" s="28">
        <f>SUM(F59:F63)</f>
        <v>842000</v>
      </c>
    </row>
    <row r="60" s="1" customFormat="1" spans="1:7">
      <c r="A60" s="21"/>
      <c r="B60" s="22"/>
      <c r="C60" s="19" t="s">
        <v>8</v>
      </c>
      <c r="D60" s="14">
        <v>2</v>
      </c>
      <c r="E60" s="27">
        <v>22000</v>
      </c>
      <c r="F60" s="27">
        <f t="shared" si="0"/>
        <v>44000</v>
      </c>
      <c r="G60" s="31"/>
    </row>
    <row r="61" s="1" customFormat="1" spans="1:7">
      <c r="A61" s="21"/>
      <c r="B61" s="22"/>
      <c r="C61" s="19" t="s">
        <v>11</v>
      </c>
      <c r="D61" s="14">
        <v>6</v>
      </c>
      <c r="E61" s="27">
        <v>8000</v>
      </c>
      <c r="F61" s="27">
        <f t="shared" si="0"/>
        <v>48000</v>
      </c>
      <c r="G61" s="31"/>
    </row>
    <row r="62" s="1" customFormat="1" spans="1:7">
      <c r="A62" s="21"/>
      <c r="B62" s="22"/>
      <c r="C62" s="19" t="s">
        <v>18</v>
      </c>
      <c r="D62" s="14">
        <v>1</v>
      </c>
      <c r="E62" s="27">
        <v>480000</v>
      </c>
      <c r="F62" s="27">
        <f t="shared" si="0"/>
        <v>480000</v>
      </c>
      <c r="G62" s="31"/>
    </row>
    <row r="63" s="1" customFormat="1" spans="1:7">
      <c r="A63" s="23"/>
      <c r="B63" s="16"/>
      <c r="C63" s="19" t="s">
        <v>14</v>
      </c>
      <c r="D63" s="14">
        <v>2</v>
      </c>
      <c r="E63" s="27">
        <v>115000</v>
      </c>
      <c r="F63" s="27">
        <f t="shared" si="0"/>
        <v>230000</v>
      </c>
      <c r="G63" s="29"/>
    </row>
    <row r="64" s="1" customFormat="1" spans="1:8">
      <c r="A64" s="20">
        <v>77195</v>
      </c>
      <c r="B64" s="12">
        <v>46038</v>
      </c>
      <c r="C64" s="19" t="s">
        <v>10</v>
      </c>
      <c r="D64" s="14">
        <v>1</v>
      </c>
      <c r="E64" s="27">
        <v>120000</v>
      </c>
      <c r="F64" s="27">
        <f t="shared" si="0"/>
        <v>120000</v>
      </c>
      <c r="G64" s="28">
        <f>SUM(F64:F68)</f>
        <v>335000</v>
      </c>
      <c r="H64" s="32"/>
    </row>
    <row r="65" s="1" customFormat="1" ht="17.6" spans="1:14">
      <c r="A65" s="21"/>
      <c r="B65" s="22"/>
      <c r="C65" s="19" t="s">
        <v>17</v>
      </c>
      <c r="D65" s="14">
        <v>1</v>
      </c>
      <c r="E65" s="27">
        <v>125000</v>
      </c>
      <c r="F65" s="27">
        <f t="shared" si="0"/>
        <v>125000</v>
      </c>
      <c r="G65" s="31"/>
      <c r="H65" s="32"/>
      <c r="I65" s="34"/>
      <c r="J65" s="35"/>
      <c r="K65" s="36"/>
      <c r="L65" s="37"/>
      <c r="M65" s="37"/>
      <c r="N65" s="39"/>
    </row>
    <row r="66" s="1" customFormat="1" ht="17.6" spans="1:14">
      <c r="A66" s="21"/>
      <c r="B66" s="22"/>
      <c r="C66" s="19" t="s">
        <v>11</v>
      </c>
      <c r="D66" s="14">
        <v>6</v>
      </c>
      <c r="E66" s="27">
        <v>8000</v>
      </c>
      <c r="F66" s="27">
        <f t="shared" ref="F66:F129" si="1">SUM(D66*E66)</f>
        <v>48000</v>
      </c>
      <c r="G66" s="31"/>
      <c r="I66" s="38"/>
      <c r="J66" s="35"/>
      <c r="K66" s="36"/>
      <c r="L66" s="37"/>
      <c r="M66" s="37"/>
      <c r="N66" s="37"/>
    </row>
    <row r="67" s="1" customFormat="1" ht="17.6" spans="1:14">
      <c r="A67" s="21"/>
      <c r="B67" s="22"/>
      <c r="C67" s="19" t="s">
        <v>7</v>
      </c>
      <c r="D67" s="14">
        <v>1</v>
      </c>
      <c r="E67" s="27">
        <v>20000</v>
      </c>
      <c r="F67" s="27">
        <f t="shared" si="1"/>
        <v>20000</v>
      </c>
      <c r="G67" s="31"/>
      <c r="I67" s="38"/>
      <c r="J67" s="35"/>
      <c r="K67" s="36"/>
      <c r="L67" s="37"/>
      <c r="M67" s="37"/>
      <c r="N67" s="37"/>
    </row>
    <row r="68" s="1" customFormat="1" ht="17.6" spans="1:14">
      <c r="A68" s="23"/>
      <c r="B68" s="16"/>
      <c r="C68" s="19" t="s">
        <v>8</v>
      </c>
      <c r="D68" s="14">
        <v>1</v>
      </c>
      <c r="E68" s="27">
        <v>22000</v>
      </c>
      <c r="F68" s="27">
        <f t="shared" si="1"/>
        <v>22000</v>
      </c>
      <c r="G68" s="29"/>
      <c r="I68" s="38"/>
      <c r="J68" s="35"/>
      <c r="K68" s="36"/>
      <c r="L68" s="37"/>
      <c r="M68" s="37"/>
      <c r="N68" s="37"/>
    </row>
    <row r="69" s="1" customFormat="1" spans="1:7">
      <c r="A69" s="20">
        <v>77266</v>
      </c>
      <c r="B69" s="12">
        <v>46039</v>
      </c>
      <c r="C69" s="19" t="s">
        <v>11</v>
      </c>
      <c r="D69" s="14">
        <v>10</v>
      </c>
      <c r="E69" s="27">
        <v>8000</v>
      </c>
      <c r="F69" s="27">
        <f t="shared" si="1"/>
        <v>80000</v>
      </c>
      <c r="G69" s="28">
        <f>SUM(F69:F71)</f>
        <v>144000</v>
      </c>
    </row>
    <row r="70" s="1" customFormat="1" spans="1:7">
      <c r="A70" s="21"/>
      <c r="B70" s="22"/>
      <c r="C70" s="19" t="s">
        <v>8</v>
      </c>
      <c r="D70" s="14">
        <v>2</v>
      </c>
      <c r="E70" s="27">
        <v>22000</v>
      </c>
      <c r="F70" s="27">
        <f t="shared" si="1"/>
        <v>44000</v>
      </c>
      <c r="G70" s="31"/>
    </row>
    <row r="71" s="1" customFormat="1" spans="1:7">
      <c r="A71" s="23"/>
      <c r="B71" s="16"/>
      <c r="C71" s="19" t="s">
        <v>7</v>
      </c>
      <c r="D71" s="14">
        <v>1</v>
      </c>
      <c r="E71" s="27">
        <v>20000</v>
      </c>
      <c r="F71" s="27">
        <f t="shared" si="1"/>
        <v>20000</v>
      </c>
      <c r="G71" s="29"/>
    </row>
    <row r="72" s="1" customFormat="1" spans="1:7">
      <c r="A72" s="20">
        <v>77341</v>
      </c>
      <c r="B72" s="12">
        <v>46040</v>
      </c>
      <c r="C72" s="19" t="s">
        <v>8</v>
      </c>
      <c r="D72" s="14">
        <v>1</v>
      </c>
      <c r="E72" s="27">
        <v>22000</v>
      </c>
      <c r="F72" s="27">
        <f t="shared" si="1"/>
        <v>22000</v>
      </c>
      <c r="G72" s="28">
        <f>SUM(F72:F77)</f>
        <v>590000</v>
      </c>
    </row>
    <row r="73" s="1" customFormat="1" spans="1:7">
      <c r="A73" s="21"/>
      <c r="B73" s="22"/>
      <c r="C73" s="19" t="s">
        <v>7</v>
      </c>
      <c r="D73" s="14">
        <v>1</v>
      </c>
      <c r="E73" s="27">
        <v>20000</v>
      </c>
      <c r="F73" s="27">
        <f t="shared" si="1"/>
        <v>20000</v>
      </c>
      <c r="G73" s="31"/>
    </row>
    <row r="74" s="1" customFormat="1" spans="1:7">
      <c r="A74" s="21"/>
      <c r="B74" s="22"/>
      <c r="C74" s="19" t="s">
        <v>11</v>
      </c>
      <c r="D74" s="14">
        <v>6</v>
      </c>
      <c r="E74" s="27">
        <v>8000</v>
      </c>
      <c r="F74" s="27">
        <f t="shared" si="1"/>
        <v>48000</v>
      </c>
      <c r="G74" s="31"/>
    </row>
    <row r="75" s="1" customFormat="1" spans="1:7">
      <c r="A75" s="21"/>
      <c r="B75" s="22"/>
      <c r="C75" s="19" t="s">
        <v>10</v>
      </c>
      <c r="D75" s="14">
        <v>2</v>
      </c>
      <c r="E75" s="27">
        <v>120000</v>
      </c>
      <c r="F75" s="27">
        <f t="shared" si="1"/>
        <v>240000</v>
      </c>
      <c r="G75" s="31"/>
    </row>
    <row r="76" s="1" customFormat="1" spans="1:7">
      <c r="A76" s="21"/>
      <c r="B76" s="22"/>
      <c r="C76" s="19" t="s">
        <v>13</v>
      </c>
      <c r="D76" s="14">
        <v>1</v>
      </c>
      <c r="E76" s="27">
        <v>135000</v>
      </c>
      <c r="F76" s="27">
        <f t="shared" si="1"/>
        <v>135000</v>
      </c>
      <c r="G76" s="31"/>
    </row>
    <row r="77" s="1" customFormat="1" spans="1:7">
      <c r="A77" s="23"/>
      <c r="B77" s="16"/>
      <c r="C77" s="19" t="s">
        <v>15</v>
      </c>
      <c r="D77" s="14">
        <v>1</v>
      </c>
      <c r="E77" s="27">
        <v>125000</v>
      </c>
      <c r="F77" s="27">
        <f t="shared" si="1"/>
        <v>125000</v>
      </c>
      <c r="G77" s="29"/>
    </row>
    <row r="78" s="1" customFormat="1" spans="1:7">
      <c r="A78" s="20">
        <v>77411</v>
      </c>
      <c r="B78" s="12">
        <v>46041</v>
      </c>
      <c r="C78" s="19" t="s">
        <v>7</v>
      </c>
      <c r="D78" s="14">
        <v>2</v>
      </c>
      <c r="E78" s="27">
        <v>20000</v>
      </c>
      <c r="F78" s="27">
        <f t="shared" si="1"/>
        <v>40000</v>
      </c>
      <c r="G78" s="28">
        <f>SUM(F78:F80)</f>
        <v>197000</v>
      </c>
    </row>
    <row r="79" s="1" customFormat="1" spans="1:7">
      <c r="A79" s="21"/>
      <c r="B79" s="22"/>
      <c r="C79" s="19" t="s">
        <v>8</v>
      </c>
      <c r="D79" s="14">
        <v>1</v>
      </c>
      <c r="E79" s="27">
        <v>22000</v>
      </c>
      <c r="F79" s="27">
        <f t="shared" si="1"/>
        <v>22000</v>
      </c>
      <c r="G79" s="31"/>
    </row>
    <row r="80" s="1" customFormat="1" spans="1:7">
      <c r="A80" s="23"/>
      <c r="B80" s="16"/>
      <c r="C80" s="19" t="s">
        <v>12</v>
      </c>
      <c r="D80" s="14">
        <v>1</v>
      </c>
      <c r="E80" s="27">
        <v>135000</v>
      </c>
      <c r="F80" s="27">
        <f t="shared" si="1"/>
        <v>135000</v>
      </c>
      <c r="G80" s="29"/>
    </row>
    <row r="81" s="1" customFormat="1" spans="1:7">
      <c r="A81" s="17">
        <v>77442</v>
      </c>
      <c r="B81" s="18">
        <v>46041</v>
      </c>
      <c r="C81" s="19" t="s">
        <v>11</v>
      </c>
      <c r="D81" s="14">
        <v>6</v>
      </c>
      <c r="E81" s="27">
        <v>8000</v>
      </c>
      <c r="F81" s="27">
        <f t="shared" si="1"/>
        <v>48000</v>
      </c>
      <c r="G81" s="30">
        <f>SUM(F81)</f>
        <v>48000</v>
      </c>
    </row>
    <row r="82" s="1" customFormat="1" spans="1:7">
      <c r="A82" s="20">
        <v>77483</v>
      </c>
      <c r="B82" s="12">
        <v>46042</v>
      </c>
      <c r="C82" s="19" t="s">
        <v>7</v>
      </c>
      <c r="D82" s="14">
        <v>1</v>
      </c>
      <c r="E82" s="27">
        <v>21000</v>
      </c>
      <c r="F82" s="27">
        <f t="shared" si="1"/>
        <v>21000</v>
      </c>
      <c r="G82" s="28">
        <f>SUM(F82:F86)</f>
        <v>336000</v>
      </c>
    </row>
    <row r="83" s="1" customFormat="1" spans="1:7">
      <c r="A83" s="21"/>
      <c r="B83" s="22"/>
      <c r="C83" s="19" t="s">
        <v>8</v>
      </c>
      <c r="D83" s="14">
        <v>1</v>
      </c>
      <c r="E83" s="27">
        <v>22000</v>
      </c>
      <c r="F83" s="27">
        <f t="shared" si="1"/>
        <v>22000</v>
      </c>
      <c r="G83" s="31"/>
    </row>
    <row r="84" s="1" customFormat="1" spans="1:7">
      <c r="A84" s="21"/>
      <c r="B84" s="22"/>
      <c r="C84" s="19" t="s">
        <v>15</v>
      </c>
      <c r="D84" s="14">
        <v>1</v>
      </c>
      <c r="E84" s="27">
        <v>125000</v>
      </c>
      <c r="F84" s="27">
        <f t="shared" si="1"/>
        <v>125000</v>
      </c>
      <c r="G84" s="31"/>
    </row>
    <row r="85" s="1" customFormat="1" spans="1:7">
      <c r="A85" s="21"/>
      <c r="B85" s="22"/>
      <c r="C85" s="19" t="s">
        <v>10</v>
      </c>
      <c r="D85" s="14">
        <v>1</v>
      </c>
      <c r="E85" s="27">
        <v>120000</v>
      </c>
      <c r="F85" s="27">
        <f t="shared" si="1"/>
        <v>120000</v>
      </c>
      <c r="G85" s="31"/>
    </row>
    <row r="86" s="1" customFormat="1" spans="1:7">
      <c r="A86" s="23"/>
      <c r="B86" s="16"/>
      <c r="C86" s="19" t="s">
        <v>11</v>
      </c>
      <c r="D86" s="14">
        <v>6</v>
      </c>
      <c r="E86" s="27">
        <v>8000</v>
      </c>
      <c r="F86" s="27">
        <f t="shared" si="1"/>
        <v>48000</v>
      </c>
      <c r="G86" s="29"/>
    </row>
    <row r="87" s="1" customFormat="1" spans="1:7">
      <c r="A87" s="20">
        <v>77547</v>
      </c>
      <c r="B87" s="12">
        <v>46043</v>
      </c>
      <c r="C87" s="19" t="s">
        <v>7</v>
      </c>
      <c r="D87" s="14">
        <v>1</v>
      </c>
      <c r="E87" s="27">
        <v>21000</v>
      </c>
      <c r="F87" s="27">
        <f t="shared" si="1"/>
        <v>21000</v>
      </c>
      <c r="G87" s="28">
        <f>SUM(F87:F88)</f>
        <v>53000</v>
      </c>
    </row>
    <row r="88" s="1" customFormat="1" spans="1:7">
      <c r="A88" s="23"/>
      <c r="B88" s="16"/>
      <c r="C88" s="19" t="s">
        <v>11</v>
      </c>
      <c r="D88" s="14">
        <v>4</v>
      </c>
      <c r="E88" s="27">
        <v>8000</v>
      </c>
      <c r="F88" s="27">
        <f t="shared" si="1"/>
        <v>32000</v>
      </c>
      <c r="G88" s="29"/>
    </row>
    <row r="89" s="1" customFormat="1" spans="1:7">
      <c r="A89" s="20">
        <v>77603</v>
      </c>
      <c r="B89" s="12">
        <v>46044</v>
      </c>
      <c r="C89" s="19" t="s">
        <v>8</v>
      </c>
      <c r="D89" s="14">
        <v>1</v>
      </c>
      <c r="E89" s="27">
        <v>22000</v>
      </c>
      <c r="F89" s="27">
        <f t="shared" si="1"/>
        <v>22000</v>
      </c>
      <c r="G89" s="28">
        <f>SUM(F89:F92)</f>
        <v>321000</v>
      </c>
    </row>
    <row r="90" s="1" customFormat="1" spans="1:7">
      <c r="A90" s="21"/>
      <c r="B90" s="22"/>
      <c r="C90" s="19" t="s">
        <v>7</v>
      </c>
      <c r="D90" s="14">
        <v>1</v>
      </c>
      <c r="E90" s="27">
        <v>21000</v>
      </c>
      <c r="F90" s="27">
        <f t="shared" si="1"/>
        <v>21000</v>
      </c>
      <c r="G90" s="31"/>
    </row>
    <row r="91" s="1" customFormat="1" spans="1:7">
      <c r="A91" s="21"/>
      <c r="B91" s="22"/>
      <c r="C91" s="19" t="s">
        <v>11</v>
      </c>
      <c r="D91" s="14">
        <v>6</v>
      </c>
      <c r="E91" s="27">
        <v>8000</v>
      </c>
      <c r="F91" s="27">
        <f t="shared" si="1"/>
        <v>48000</v>
      </c>
      <c r="G91" s="31"/>
    </row>
    <row r="92" s="1" customFormat="1" spans="1:7">
      <c r="A92" s="23"/>
      <c r="B92" s="16"/>
      <c r="C92" s="19" t="s">
        <v>14</v>
      </c>
      <c r="D92" s="14">
        <v>2</v>
      </c>
      <c r="E92" s="27">
        <v>115000</v>
      </c>
      <c r="F92" s="27">
        <f t="shared" si="1"/>
        <v>230000</v>
      </c>
      <c r="G92" s="29"/>
    </row>
    <row r="93" s="1" customFormat="1" spans="1:7">
      <c r="A93" s="20">
        <v>77677</v>
      </c>
      <c r="B93" s="12">
        <v>46045</v>
      </c>
      <c r="C93" s="19" t="s">
        <v>11</v>
      </c>
      <c r="D93" s="14">
        <v>5</v>
      </c>
      <c r="E93" s="27">
        <v>8000</v>
      </c>
      <c r="F93" s="27">
        <f t="shared" si="1"/>
        <v>40000</v>
      </c>
      <c r="G93" s="28">
        <f>SUM(F93:F96)</f>
        <v>606000</v>
      </c>
    </row>
    <row r="94" s="1" customFormat="1" spans="1:7">
      <c r="A94" s="21"/>
      <c r="B94" s="22"/>
      <c r="C94" s="19" t="s">
        <v>7</v>
      </c>
      <c r="D94" s="14">
        <v>2</v>
      </c>
      <c r="E94" s="27">
        <v>21000</v>
      </c>
      <c r="F94" s="27">
        <f t="shared" si="1"/>
        <v>42000</v>
      </c>
      <c r="G94" s="31"/>
    </row>
    <row r="95" s="1" customFormat="1" spans="1:7">
      <c r="A95" s="21"/>
      <c r="B95" s="22"/>
      <c r="C95" s="19" t="s">
        <v>8</v>
      </c>
      <c r="D95" s="14">
        <v>2</v>
      </c>
      <c r="E95" s="27">
        <v>22000</v>
      </c>
      <c r="F95" s="27">
        <f t="shared" si="1"/>
        <v>44000</v>
      </c>
      <c r="G95" s="31"/>
    </row>
    <row r="96" s="1" customFormat="1" spans="1:7">
      <c r="A96" s="23"/>
      <c r="B96" s="16"/>
      <c r="C96" s="19" t="s">
        <v>18</v>
      </c>
      <c r="D96" s="14">
        <v>1</v>
      </c>
      <c r="E96" s="27">
        <v>480000</v>
      </c>
      <c r="F96" s="27">
        <f t="shared" si="1"/>
        <v>480000</v>
      </c>
      <c r="G96" s="33"/>
    </row>
    <row r="97" s="1" customFormat="1" spans="1:7">
      <c r="A97" s="20">
        <v>77750</v>
      </c>
      <c r="B97" s="12">
        <v>46046</v>
      </c>
      <c r="C97" s="19" t="s">
        <v>17</v>
      </c>
      <c r="D97" s="14">
        <v>1</v>
      </c>
      <c r="E97" s="27">
        <v>125000</v>
      </c>
      <c r="F97" s="27">
        <f t="shared" si="1"/>
        <v>125000</v>
      </c>
      <c r="G97" s="28">
        <f>SUM(F97:F103)</f>
        <v>2154000</v>
      </c>
    </row>
    <row r="98" s="1" customFormat="1" spans="1:7">
      <c r="A98" s="21"/>
      <c r="B98" s="22"/>
      <c r="C98" s="19" t="s">
        <v>16</v>
      </c>
      <c r="D98" s="14">
        <v>1</v>
      </c>
      <c r="E98" s="27">
        <v>135000</v>
      </c>
      <c r="F98" s="27">
        <f t="shared" si="1"/>
        <v>135000</v>
      </c>
      <c r="G98" s="31"/>
    </row>
    <row r="99" s="1" customFormat="1" spans="1:7">
      <c r="A99" s="21"/>
      <c r="B99" s="22"/>
      <c r="C99" s="19" t="s">
        <v>7</v>
      </c>
      <c r="D99" s="14">
        <v>1</v>
      </c>
      <c r="E99" s="27">
        <v>21000</v>
      </c>
      <c r="F99" s="27">
        <f t="shared" si="1"/>
        <v>21000</v>
      </c>
      <c r="G99" s="31"/>
    </row>
    <row r="100" s="1" customFormat="1" spans="1:7">
      <c r="A100" s="21"/>
      <c r="B100" s="22"/>
      <c r="C100" s="19" t="s">
        <v>8</v>
      </c>
      <c r="D100" s="14">
        <v>1</v>
      </c>
      <c r="E100" s="27">
        <v>22000</v>
      </c>
      <c r="F100" s="27">
        <f t="shared" si="1"/>
        <v>22000</v>
      </c>
      <c r="G100" s="31"/>
    </row>
    <row r="101" s="1" customFormat="1" spans="1:7">
      <c r="A101" s="21"/>
      <c r="B101" s="22"/>
      <c r="C101" s="19" t="s">
        <v>11</v>
      </c>
      <c r="D101" s="14">
        <v>2</v>
      </c>
      <c r="E101" s="27">
        <v>8000</v>
      </c>
      <c r="F101" s="27">
        <f t="shared" si="1"/>
        <v>16000</v>
      </c>
      <c r="G101" s="31"/>
    </row>
    <row r="102" s="1" customFormat="1" spans="1:7">
      <c r="A102" s="21"/>
      <c r="B102" s="22"/>
      <c r="C102" s="19" t="s">
        <v>13</v>
      </c>
      <c r="D102" s="14">
        <v>1</v>
      </c>
      <c r="E102" s="27">
        <v>135000</v>
      </c>
      <c r="F102" s="27">
        <f t="shared" si="1"/>
        <v>135000</v>
      </c>
      <c r="G102" s="31"/>
    </row>
    <row r="103" s="1" customFormat="1" spans="1:7">
      <c r="A103" s="23"/>
      <c r="B103" s="16"/>
      <c r="C103" s="19" t="s">
        <v>19</v>
      </c>
      <c r="D103" s="14">
        <v>2</v>
      </c>
      <c r="E103" s="27">
        <v>850000</v>
      </c>
      <c r="F103" s="27">
        <f t="shared" si="1"/>
        <v>1700000</v>
      </c>
      <c r="G103" s="29"/>
    </row>
    <row r="104" s="1" customFormat="1" spans="1:7">
      <c r="A104" s="20">
        <v>77811</v>
      </c>
      <c r="B104" s="12">
        <v>46047</v>
      </c>
      <c r="C104" s="19" t="s">
        <v>7</v>
      </c>
      <c r="D104" s="14">
        <v>1</v>
      </c>
      <c r="E104" s="27">
        <v>21000</v>
      </c>
      <c r="F104" s="27">
        <f t="shared" si="1"/>
        <v>21000</v>
      </c>
      <c r="G104" s="28">
        <f>SUM(F104:F106)</f>
        <v>107000</v>
      </c>
    </row>
    <row r="105" s="1" customFormat="1" spans="1:7">
      <c r="A105" s="21"/>
      <c r="B105" s="22"/>
      <c r="C105" s="19" t="s">
        <v>8</v>
      </c>
      <c r="D105" s="14">
        <v>1</v>
      </c>
      <c r="E105" s="27">
        <v>22000</v>
      </c>
      <c r="F105" s="27">
        <f t="shared" si="1"/>
        <v>22000</v>
      </c>
      <c r="G105" s="31"/>
    </row>
    <row r="106" s="1" customFormat="1" spans="1:7">
      <c r="A106" s="23"/>
      <c r="B106" s="16"/>
      <c r="C106" s="19" t="s">
        <v>11</v>
      </c>
      <c r="D106" s="14">
        <v>8</v>
      </c>
      <c r="E106" s="27">
        <v>8000</v>
      </c>
      <c r="F106" s="27">
        <f t="shared" si="1"/>
        <v>64000</v>
      </c>
      <c r="G106" s="29"/>
    </row>
    <row r="107" s="1" customFormat="1" spans="1:7">
      <c r="A107" s="20">
        <v>77871</v>
      </c>
      <c r="B107" s="12">
        <v>46048</v>
      </c>
      <c r="C107" s="19" t="s">
        <v>11</v>
      </c>
      <c r="D107" s="14">
        <v>4</v>
      </c>
      <c r="E107" s="27">
        <v>8000</v>
      </c>
      <c r="F107" s="27">
        <f t="shared" si="1"/>
        <v>32000</v>
      </c>
      <c r="G107" s="28">
        <f>SUM(F107:F112)</f>
        <v>931000</v>
      </c>
    </row>
    <row r="108" s="1" customFormat="1" spans="1:7">
      <c r="A108" s="21"/>
      <c r="B108" s="22"/>
      <c r="C108" s="19" t="s">
        <v>18</v>
      </c>
      <c r="D108" s="14">
        <v>1</v>
      </c>
      <c r="E108" s="27">
        <v>480000</v>
      </c>
      <c r="F108" s="27">
        <f t="shared" si="1"/>
        <v>480000</v>
      </c>
      <c r="G108" s="31"/>
    </row>
    <row r="109" s="1" customFormat="1" spans="1:7">
      <c r="A109" s="21"/>
      <c r="B109" s="22"/>
      <c r="C109" s="19" t="s">
        <v>12</v>
      </c>
      <c r="D109" s="14">
        <v>1</v>
      </c>
      <c r="E109" s="27">
        <v>135000</v>
      </c>
      <c r="F109" s="27">
        <f t="shared" si="1"/>
        <v>135000</v>
      </c>
      <c r="G109" s="31"/>
    </row>
    <row r="110" s="1" customFormat="1" spans="1:7">
      <c r="A110" s="21"/>
      <c r="B110" s="22"/>
      <c r="C110" s="19" t="s">
        <v>10</v>
      </c>
      <c r="D110" s="14">
        <v>2</v>
      </c>
      <c r="E110" s="27">
        <v>120000</v>
      </c>
      <c r="F110" s="27">
        <f t="shared" si="1"/>
        <v>240000</v>
      </c>
      <c r="G110" s="31"/>
    </row>
    <row r="111" s="1" customFormat="1" spans="1:7">
      <c r="A111" s="21"/>
      <c r="B111" s="22"/>
      <c r="C111" s="19" t="s">
        <v>8</v>
      </c>
      <c r="D111" s="14">
        <v>1</v>
      </c>
      <c r="E111" s="27">
        <v>23000</v>
      </c>
      <c r="F111" s="27">
        <f t="shared" si="1"/>
        <v>23000</v>
      </c>
      <c r="G111" s="31"/>
    </row>
    <row r="112" s="1" customFormat="1" spans="1:7">
      <c r="A112" s="23"/>
      <c r="B112" s="16"/>
      <c r="C112" s="19" t="s">
        <v>7</v>
      </c>
      <c r="D112" s="14">
        <v>1</v>
      </c>
      <c r="E112" s="27">
        <v>21000</v>
      </c>
      <c r="F112" s="27">
        <f t="shared" si="1"/>
        <v>21000</v>
      </c>
      <c r="G112" s="29"/>
    </row>
    <row r="113" s="1" customFormat="1" spans="1:7">
      <c r="A113" s="21">
        <v>77953</v>
      </c>
      <c r="B113" s="22">
        <v>46049</v>
      </c>
      <c r="C113" s="19" t="s">
        <v>7</v>
      </c>
      <c r="D113" s="14">
        <v>1</v>
      </c>
      <c r="E113" s="27">
        <v>21000</v>
      </c>
      <c r="F113" s="27">
        <f t="shared" si="1"/>
        <v>21000</v>
      </c>
      <c r="G113" s="31">
        <f>SUM(F113:F117)</f>
        <v>431000</v>
      </c>
    </row>
    <row r="114" s="1" customFormat="1" spans="1:7">
      <c r="A114" s="21"/>
      <c r="B114" s="22"/>
      <c r="C114" s="19" t="s">
        <v>8</v>
      </c>
      <c r="D114" s="14">
        <v>1</v>
      </c>
      <c r="E114" s="27">
        <v>23000</v>
      </c>
      <c r="F114" s="27">
        <f t="shared" si="1"/>
        <v>23000</v>
      </c>
      <c r="G114" s="31"/>
    </row>
    <row r="115" s="1" customFormat="1" spans="1:7">
      <c r="A115" s="21"/>
      <c r="B115" s="22"/>
      <c r="C115" s="19" t="s">
        <v>14</v>
      </c>
      <c r="D115" s="14">
        <v>2</v>
      </c>
      <c r="E115" s="27">
        <v>115000</v>
      </c>
      <c r="F115" s="27">
        <f t="shared" si="1"/>
        <v>230000</v>
      </c>
      <c r="G115" s="31"/>
    </row>
    <row r="116" s="1" customFormat="1" spans="1:7">
      <c r="A116" s="21"/>
      <c r="B116" s="22"/>
      <c r="C116" s="19" t="s">
        <v>15</v>
      </c>
      <c r="D116" s="14">
        <v>1</v>
      </c>
      <c r="E116" s="27">
        <v>125000</v>
      </c>
      <c r="F116" s="27">
        <f t="shared" si="1"/>
        <v>125000</v>
      </c>
      <c r="G116" s="31"/>
    </row>
    <row r="117" s="1" customFormat="1" spans="1:7">
      <c r="A117" s="23"/>
      <c r="B117" s="16"/>
      <c r="C117" s="19" t="s">
        <v>11</v>
      </c>
      <c r="D117" s="14">
        <v>4</v>
      </c>
      <c r="E117" s="27">
        <v>8000</v>
      </c>
      <c r="F117" s="27">
        <f t="shared" si="1"/>
        <v>32000</v>
      </c>
      <c r="G117" s="29"/>
    </row>
    <row r="118" s="1" customFormat="1" spans="1:7">
      <c r="A118" s="21">
        <v>78006</v>
      </c>
      <c r="B118" s="22">
        <v>46050</v>
      </c>
      <c r="C118" s="19" t="s">
        <v>7</v>
      </c>
      <c r="D118" s="14">
        <v>2</v>
      </c>
      <c r="E118" s="27">
        <v>21000</v>
      </c>
      <c r="F118" s="27">
        <f t="shared" si="1"/>
        <v>42000</v>
      </c>
      <c r="G118" s="31">
        <f>SUM(F118:F119)</f>
        <v>82000</v>
      </c>
    </row>
    <row r="119" s="1" customFormat="1" spans="1:7">
      <c r="A119" s="23"/>
      <c r="B119" s="16"/>
      <c r="C119" s="19" t="s">
        <v>11</v>
      </c>
      <c r="D119" s="14">
        <v>5</v>
      </c>
      <c r="E119" s="27">
        <v>8000</v>
      </c>
      <c r="F119" s="27">
        <f t="shared" si="1"/>
        <v>40000</v>
      </c>
      <c r="G119" s="29"/>
    </row>
    <row r="120" s="1" customFormat="1" spans="1:7">
      <c r="A120" s="21">
        <v>78080</v>
      </c>
      <c r="B120" s="22">
        <v>46051</v>
      </c>
      <c r="C120" s="19" t="s">
        <v>8</v>
      </c>
      <c r="D120" s="14">
        <v>1</v>
      </c>
      <c r="E120" s="27">
        <v>23000</v>
      </c>
      <c r="F120" s="27">
        <f t="shared" si="1"/>
        <v>23000</v>
      </c>
      <c r="G120" s="31">
        <f>SUM(F120:F124)</f>
        <v>336000</v>
      </c>
    </row>
    <row r="121" s="1" customFormat="1" spans="1:7">
      <c r="A121" s="21"/>
      <c r="B121" s="22"/>
      <c r="C121" s="19" t="s">
        <v>7</v>
      </c>
      <c r="D121" s="14">
        <v>1</v>
      </c>
      <c r="E121" s="27">
        <v>21000</v>
      </c>
      <c r="F121" s="27">
        <f t="shared" si="1"/>
        <v>21000</v>
      </c>
      <c r="G121" s="31"/>
    </row>
    <row r="122" s="1" customFormat="1" spans="1:7">
      <c r="A122" s="21"/>
      <c r="B122" s="22"/>
      <c r="C122" s="19" t="s">
        <v>11</v>
      </c>
      <c r="D122" s="14">
        <v>4</v>
      </c>
      <c r="E122" s="27">
        <v>8000</v>
      </c>
      <c r="F122" s="27">
        <f t="shared" si="1"/>
        <v>32000</v>
      </c>
      <c r="G122" s="31"/>
    </row>
    <row r="123" s="1" customFormat="1" spans="1:7">
      <c r="A123" s="21"/>
      <c r="B123" s="22"/>
      <c r="C123" s="19" t="s">
        <v>13</v>
      </c>
      <c r="D123" s="14">
        <v>1</v>
      </c>
      <c r="E123" s="27">
        <v>135000</v>
      </c>
      <c r="F123" s="27">
        <f t="shared" si="1"/>
        <v>135000</v>
      </c>
      <c r="G123" s="31"/>
    </row>
    <row r="124" s="1" customFormat="1" spans="1:7">
      <c r="A124" s="23"/>
      <c r="B124" s="16"/>
      <c r="C124" s="19" t="s">
        <v>15</v>
      </c>
      <c r="D124" s="14">
        <v>1</v>
      </c>
      <c r="E124" s="27">
        <v>125000</v>
      </c>
      <c r="F124" s="27">
        <f t="shared" si="1"/>
        <v>125000</v>
      </c>
      <c r="G124" s="29"/>
    </row>
    <row r="125" s="1" customFormat="1" spans="1:7">
      <c r="A125" s="21">
        <v>78153</v>
      </c>
      <c r="B125" s="22">
        <v>46052</v>
      </c>
      <c r="C125" s="19" t="s">
        <v>12</v>
      </c>
      <c r="D125" s="14">
        <v>1</v>
      </c>
      <c r="E125" s="27">
        <v>135000</v>
      </c>
      <c r="F125" s="27">
        <f t="shared" si="1"/>
        <v>135000</v>
      </c>
      <c r="G125" s="31">
        <f>SUM(F125:F129)</f>
        <v>676000</v>
      </c>
    </row>
    <row r="126" s="1" customFormat="1" spans="1:7">
      <c r="A126" s="21"/>
      <c r="B126" s="22"/>
      <c r="C126" s="19" t="s">
        <v>18</v>
      </c>
      <c r="D126" s="14">
        <v>1</v>
      </c>
      <c r="E126" s="27">
        <v>480000</v>
      </c>
      <c r="F126" s="27">
        <f t="shared" si="1"/>
        <v>480000</v>
      </c>
      <c r="G126" s="31"/>
    </row>
    <row r="127" s="1" customFormat="1" spans="1:7">
      <c r="A127" s="21"/>
      <c r="B127" s="22"/>
      <c r="C127" s="19" t="s">
        <v>8</v>
      </c>
      <c r="D127" s="14">
        <v>1</v>
      </c>
      <c r="E127" s="27">
        <v>23000</v>
      </c>
      <c r="F127" s="27">
        <f t="shared" si="1"/>
        <v>23000</v>
      </c>
      <c r="G127" s="31"/>
    </row>
    <row r="128" s="1" customFormat="1" spans="1:7">
      <c r="A128" s="21"/>
      <c r="B128" s="22"/>
      <c r="C128" s="19" t="s">
        <v>11</v>
      </c>
      <c r="D128" s="14">
        <v>4</v>
      </c>
      <c r="E128" s="27">
        <v>8000</v>
      </c>
      <c r="F128" s="27">
        <f t="shared" si="1"/>
        <v>32000</v>
      </c>
      <c r="G128" s="31"/>
    </row>
    <row r="129" s="1" customFormat="1" spans="1:7">
      <c r="A129" s="23"/>
      <c r="B129" s="16"/>
      <c r="C129" s="19" t="s">
        <v>20</v>
      </c>
      <c r="D129" s="14">
        <v>4</v>
      </c>
      <c r="E129" s="27">
        <v>1500</v>
      </c>
      <c r="F129" s="27">
        <f t="shared" si="1"/>
        <v>6000</v>
      </c>
      <c r="G129" s="29"/>
    </row>
    <row r="130" s="1" customFormat="1" spans="1:7">
      <c r="A130" s="21">
        <v>78233</v>
      </c>
      <c r="B130" s="22">
        <v>46053</v>
      </c>
      <c r="C130" s="19" t="s">
        <v>11</v>
      </c>
      <c r="D130" s="14">
        <v>5</v>
      </c>
      <c r="E130" s="27">
        <v>8000</v>
      </c>
      <c r="F130" s="27">
        <f t="shared" ref="F130:F132" si="2">SUM(D130*E130)</f>
        <v>40000</v>
      </c>
      <c r="G130" s="31">
        <f>SUM(F130:F132)</f>
        <v>128000</v>
      </c>
    </row>
    <row r="131" s="1" customFormat="1" spans="1:7">
      <c r="A131" s="21"/>
      <c r="B131" s="22"/>
      <c r="C131" s="19" t="s">
        <v>7</v>
      </c>
      <c r="D131" s="14">
        <v>2</v>
      </c>
      <c r="E131" s="27">
        <v>21000</v>
      </c>
      <c r="F131" s="27">
        <f t="shared" si="2"/>
        <v>42000</v>
      </c>
      <c r="G131" s="31"/>
    </row>
    <row r="132" s="1" customFormat="1" spans="1:7">
      <c r="A132" s="23"/>
      <c r="B132" s="16"/>
      <c r="C132" s="19" t="s">
        <v>8</v>
      </c>
      <c r="D132" s="14">
        <v>2</v>
      </c>
      <c r="E132" s="27">
        <v>23000</v>
      </c>
      <c r="F132" s="27">
        <f t="shared" si="2"/>
        <v>46000</v>
      </c>
      <c r="G132" s="29"/>
    </row>
    <row r="133" s="1" customFormat="1" spans="1:7">
      <c r="A133" s="17"/>
      <c r="B133" s="18"/>
      <c r="C133" s="19"/>
      <c r="D133" s="14"/>
      <c r="E133" s="27"/>
      <c r="F133" s="27"/>
      <c r="G133" s="30"/>
    </row>
    <row r="134" s="1" customFormat="1" spans="1:7">
      <c r="A134" s="40" t="s">
        <v>21</v>
      </c>
      <c r="B134" s="41"/>
      <c r="C134" s="42"/>
      <c r="D134" s="41"/>
      <c r="E134" s="41"/>
      <c r="F134" s="43"/>
      <c r="G134" s="44">
        <f>SUM(G2:G133)</f>
        <v>14045000</v>
      </c>
    </row>
    <row r="135" s="1" customFormat="1" spans="1:7">
      <c r="A135" s="2"/>
      <c r="B135" s="3"/>
      <c r="C135" s="4"/>
      <c r="D135" s="5"/>
      <c r="E135" s="6"/>
      <c r="G135" s="2"/>
    </row>
    <row r="136" s="1" customFormat="1" spans="1:7">
      <c r="A136" s="2"/>
      <c r="B136" s="3"/>
      <c r="C136" s="4"/>
      <c r="D136" s="5"/>
      <c r="E136" s="6"/>
      <c r="G136" s="2"/>
    </row>
    <row r="137" s="1" customFormat="1" spans="1:7">
      <c r="A137" s="2"/>
      <c r="B137" s="3"/>
      <c r="C137" s="4"/>
      <c r="D137" s="5"/>
      <c r="E137" s="6"/>
      <c r="G137" s="2"/>
    </row>
    <row r="138" s="1" customFormat="1" spans="1:7">
      <c r="A138" s="2"/>
      <c r="B138" s="3"/>
      <c r="C138" s="4"/>
      <c r="D138" s="5"/>
      <c r="E138" s="6"/>
      <c r="G138" s="2"/>
    </row>
    <row r="139" s="1" customFormat="1" spans="1:7">
      <c r="A139" s="2"/>
      <c r="B139" s="3"/>
      <c r="C139" s="4"/>
      <c r="D139" s="5"/>
      <c r="E139" s="6"/>
      <c r="G139" s="2"/>
    </row>
    <row r="140" s="1" customFormat="1" spans="1:7">
      <c r="A140" s="2"/>
      <c r="B140" s="3"/>
      <c r="C140" s="4"/>
      <c r="D140" s="5"/>
      <c r="E140" s="6"/>
      <c r="G140" s="2"/>
    </row>
    <row r="141" s="1" customFormat="1" spans="1:7">
      <c r="A141" s="2"/>
      <c r="B141" s="3"/>
      <c r="C141" s="4"/>
      <c r="D141" s="5"/>
      <c r="E141" s="6"/>
      <c r="G141" s="2"/>
    </row>
    <row r="142" s="1" customFormat="1" spans="1:7">
      <c r="A142" s="2"/>
      <c r="B142" s="3"/>
      <c r="C142" s="4"/>
      <c r="D142" s="5"/>
      <c r="E142" s="6"/>
      <c r="G142" s="2"/>
    </row>
    <row r="143" s="1" customFormat="1" spans="1:7">
      <c r="A143" s="2"/>
      <c r="B143" s="3"/>
      <c r="C143" s="4"/>
      <c r="D143" s="5"/>
      <c r="E143" s="6"/>
      <c r="G143" s="2"/>
    </row>
    <row r="144" s="1" customFormat="1" spans="1:7">
      <c r="A144" s="2"/>
      <c r="B144" s="3"/>
      <c r="C144" s="4"/>
      <c r="D144" s="5"/>
      <c r="E144" s="6"/>
      <c r="G144" s="2"/>
    </row>
    <row r="145" s="1" customFormat="1" spans="1:7">
      <c r="A145" s="2"/>
      <c r="B145" s="3"/>
      <c r="C145" s="4"/>
      <c r="D145" s="5"/>
      <c r="E145" s="6"/>
      <c r="G145" s="2"/>
    </row>
    <row r="146" s="1" customFormat="1" spans="1:7">
      <c r="A146" s="2"/>
      <c r="B146" s="3"/>
      <c r="C146" s="4"/>
      <c r="D146" s="5"/>
      <c r="E146" s="6"/>
      <c r="G146" s="2"/>
    </row>
    <row r="147" s="1" customFormat="1" spans="1:7">
      <c r="A147" s="2"/>
      <c r="B147" s="3"/>
      <c r="C147" s="4"/>
      <c r="D147" s="5"/>
      <c r="E147" s="6"/>
      <c r="G147" s="2"/>
    </row>
    <row r="148" s="1" customFormat="1" spans="1:7">
      <c r="A148" s="2"/>
      <c r="B148" s="3"/>
      <c r="C148" s="4"/>
      <c r="D148" s="5"/>
      <c r="E148" s="6"/>
      <c r="G148" s="2"/>
    </row>
    <row r="149" s="1" customFormat="1" spans="1:7">
      <c r="A149" s="2"/>
      <c r="B149" s="3"/>
      <c r="C149" s="4"/>
      <c r="D149" s="5"/>
      <c r="E149" s="6"/>
      <c r="G149" s="2"/>
    </row>
    <row r="150" s="1" customFormat="1" spans="1:7">
      <c r="A150" s="2"/>
      <c r="B150" s="3"/>
      <c r="C150" s="4"/>
      <c r="D150" s="5"/>
      <c r="E150" s="6"/>
      <c r="G150" s="2"/>
    </row>
    <row r="151" s="1" customFormat="1" spans="1:7">
      <c r="A151" s="2"/>
      <c r="B151" s="3"/>
      <c r="C151" s="4"/>
      <c r="D151" s="5"/>
      <c r="E151" s="6"/>
      <c r="G151" s="2"/>
    </row>
    <row r="152" s="1" customFormat="1" spans="1:7">
      <c r="A152" s="2"/>
      <c r="B152" s="3"/>
      <c r="C152" s="4"/>
      <c r="D152" s="5"/>
      <c r="E152" s="6"/>
      <c r="G152" s="2"/>
    </row>
    <row r="153" s="1" customFormat="1" spans="1:7">
      <c r="A153" s="2"/>
      <c r="B153" s="3"/>
      <c r="C153" s="4"/>
      <c r="D153" s="5"/>
      <c r="E153" s="6"/>
      <c r="G153" s="2"/>
    </row>
    <row r="154" s="1" customFormat="1" spans="1:7">
      <c r="A154" s="2"/>
      <c r="B154" s="3"/>
      <c r="C154" s="4"/>
      <c r="D154" s="5"/>
      <c r="E154" s="6"/>
      <c r="G154" s="2"/>
    </row>
    <row r="155" s="1" customFormat="1" spans="1:7">
      <c r="A155" s="2"/>
      <c r="B155" s="3"/>
      <c r="C155" s="4"/>
      <c r="D155" s="5"/>
      <c r="E155" s="6"/>
      <c r="G155" s="2"/>
    </row>
    <row r="156" s="1" customFormat="1" spans="1:7">
      <c r="A156" s="2"/>
      <c r="B156" s="3"/>
      <c r="C156" s="4"/>
      <c r="D156" s="5"/>
      <c r="E156" s="6"/>
      <c r="G156" s="2"/>
    </row>
    <row r="157" s="1" customFormat="1" spans="1:7">
      <c r="A157" s="2"/>
      <c r="B157" s="3"/>
      <c r="C157" s="4"/>
      <c r="D157" s="5"/>
      <c r="E157" s="6"/>
      <c r="G157" s="2"/>
    </row>
    <row r="158" s="1" customFormat="1" spans="1:7">
      <c r="A158" s="2"/>
      <c r="B158" s="3"/>
      <c r="C158" s="4"/>
      <c r="D158" s="5"/>
      <c r="E158" s="6"/>
      <c r="G158" s="2"/>
    </row>
    <row r="159" s="1" customFormat="1" spans="1:7">
      <c r="A159" s="2"/>
      <c r="B159" s="3"/>
      <c r="C159" s="4"/>
      <c r="D159" s="5"/>
      <c r="E159" s="6"/>
      <c r="G159" s="2"/>
    </row>
    <row r="160" s="1" customFormat="1" spans="1:7">
      <c r="A160" s="2"/>
      <c r="B160" s="3"/>
      <c r="C160" s="4"/>
      <c r="D160" s="5"/>
      <c r="E160" s="6"/>
      <c r="G160" s="2"/>
    </row>
    <row r="161" s="1" customFormat="1" spans="1:7">
      <c r="A161" s="2"/>
      <c r="B161" s="3"/>
      <c r="C161" s="4"/>
      <c r="D161" s="5"/>
      <c r="E161" s="6"/>
      <c r="G161" s="2"/>
    </row>
    <row r="162" s="1" customFormat="1" spans="1:7">
      <c r="A162" s="2"/>
      <c r="B162" s="3"/>
      <c r="C162" s="4"/>
      <c r="D162" s="5"/>
      <c r="E162" s="6"/>
      <c r="G162" s="2"/>
    </row>
    <row r="163" s="1" customFormat="1" spans="1:7">
      <c r="A163" s="2"/>
      <c r="B163" s="3"/>
      <c r="C163" s="4"/>
      <c r="D163" s="5"/>
      <c r="E163" s="6"/>
      <c r="G163" s="2"/>
    </row>
    <row r="164" s="1" customFormat="1" spans="1:7">
      <c r="A164" s="2"/>
      <c r="B164" s="3"/>
      <c r="C164" s="4"/>
      <c r="D164" s="5"/>
      <c r="E164" s="6"/>
      <c r="G164" s="2"/>
    </row>
    <row r="165" s="1" customFormat="1" spans="1:7">
      <c r="A165" s="2"/>
      <c r="B165" s="3"/>
      <c r="C165" s="4"/>
      <c r="D165" s="5"/>
      <c r="E165" s="6"/>
      <c r="G165" s="2"/>
    </row>
    <row r="166" s="1" customFormat="1" spans="1:7">
      <c r="A166" s="2"/>
      <c r="B166" s="3"/>
      <c r="C166" s="4"/>
      <c r="D166" s="5"/>
      <c r="E166" s="6"/>
      <c r="G166" s="2"/>
    </row>
    <row r="167" s="1" customFormat="1" spans="1:7">
      <c r="A167" s="2"/>
      <c r="B167" s="3"/>
      <c r="C167" s="4"/>
      <c r="D167" s="5"/>
      <c r="E167" s="6"/>
      <c r="G167" s="2"/>
    </row>
    <row r="168" s="1" customFormat="1" spans="1:7">
      <c r="A168" s="2"/>
      <c r="B168" s="3"/>
      <c r="C168" s="4"/>
      <c r="D168" s="5"/>
      <c r="E168" s="6"/>
      <c r="G168" s="2"/>
    </row>
    <row r="169" s="1" customFormat="1" spans="1:8">
      <c r="A169" s="2"/>
      <c r="B169" s="3"/>
      <c r="C169" s="4"/>
      <c r="D169" s="5"/>
      <c r="E169" s="6"/>
      <c r="G169" s="2"/>
      <c r="H169" s="32"/>
    </row>
  </sheetData>
  <mergeCells count="92">
    <mergeCell ref="A134:F134"/>
    <mergeCell ref="A2:A3"/>
    <mergeCell ref="A5:A10"/>
    <mergeCell ref="A11:A14"/>
    <mergeCell ref="A15:A22"/>
    <mergeCell ref="A23:A27"/>
    <mergeCell ref="A28:A30"/>
    <mergeCell ref="A31:A33"/>
    <mergeCell ref="A34:A36"/>
    <mergeCell ref="A37:A39"/>
    <mergeCell ref="A40:A47"/>
    <mergeCell ref="A48:A50"/>
    <mergeCell ref="A51:A56"/>
    <mergeCell ref="A57:A58"/>
    <mergeCell ref="A59:A63"/>
    <mergeCell ref="A64:A68"/>
    <mergeCell ref="A69:A71"/>
    <mergeCell ref="A72:A77"/>
    <mergeCell ref="A78:A80"/>
    <mergeCell ref="A82:A86"/>
    <mergeCell ref="A87:A88"/>
    <mergeCell ref="A89:A92"/>
    <mergeCell ref="A93:A96"/>
    <mergeCell ref="A97:A103"/>
    <mergeCell ref="A104:A106"/>
    <mergeCell ref="A107:A112"/>
    <mergeCell ref="A113:A117"/>
    <mergeCell ref="A118:A119"/>
    <mergeCell ref="A120:A124"/>
    <mergeCell ref="A125:A129"/>
    <mergeCell ref="A130:A132"/>
    <mergeCell ref="B2:B3"/>
    <mergeCell ref="B5:B10"/>
    <mergeCell ref="B11:B14"/>
    <mergeCell ref="B15:B22"/>
    <mergeCell ref="B23:B27"/>
    <mergeCell ref="B28:B30"/>
    <mergeCell ref="B31:B33"/>
    <mergeCell ref="B34:B36"/>
    <mergeCell ref="B37:B39"/>
    <mergeCell ref="B40:B47"/>
    <mergeCell ref="B48:B50"/>
    <mergeCell ref="B51:B56"/>
    <mergeCell ref="B57:B58"/>
    <mergeCell ref="B59:B63"/>
    <mergeCell ref="B64:B68"/>
    <mergeCell ref="B69:B71"/>
    <mergeCell ref="B72:B77"/>
    <mergeCell ref="B78:B80"/>
    <mergeCell ref="B82:B86"/>
    <mergeCell ref="B87:B88"/>
    <mergeCell ref="B89:B92"/>
    <mergeCell ref="B93:B96"/>
    <mergeCell ref="B97:B103"/>
    <mergeCell ref="B104:B106"/>
    <mergeCell ref="B107:B112"/>
    <mergeCell ref="B113:B117"/>
    <mergeCell ref="B118:B119"/>
    <mergeCell ref="B120:B124"/>
    <mergeCell ref="B125:B129"/>
    <mergeCell ref="B130:B132"/>
    <mergeCell ref="G2:G3"/>
    <mergeCell ref="G5:G10"/>
    <mergeCell ref="G11:G14"/>
    <mergeCell ref="G15:G22"/>
    <mergeCell ref="G23:G27"/>
    <mergeCell ref="G28:G30"/>
    <mergeCell ref="G31:G33"/>
    <mergeCell ref="G34:G36"/>
    <mergeCell ref="G37:G39"/>
    <mergeCell ref="G40:G47"/>
    <mergeCell ref="G48:G50"/>
    <mergeCell ref="G51:G56"/>
    <mergeCell ref="G57:G58"/>
    <mergeCell ref="G59:G63"/>
    <mergeCell ref="G64:G68"/>
    <mergeCell ref="G69:G71"/>
    <mergeCell ref="G72:G77"/>
    <mergeCell ref="G78:G80"/>
    <mergeCell ref="G82:G86"/>
    <mergeCell ref="G87:G88"/>
    <mergeCell ref="G89:G92"/>
    <mergeCell ref="G93:G96"/>
    <mergeCell ref="G97:G103"/>
    <mergeCell ref="G104:G106"/>
    <mergeCell ref="G107:G112"/>
    <mergeCell ref="G113:G117"/>
    <mergeCell ref="G118:G119"/>
    <mergeCell ref="G120:G124"/>
    <mergeCell ref="G125:G129"/>
    <mergeCell ref="G130:G132"/>
    <mergeCell ref="N66:N6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WARUNG EKA (Drinks, Etc)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2026-02-01T04:53:00Z</dcterms:created>
  <dcterms:modified xsi:type="dcterms:W3CDTF">2026-02-03T11:55:41Z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DF938D239F6926B943FB7D69FE45F5AD_41</vt:lpwstr>
  </property>
  <property fmtid="{D5CDD505-2E9C-101B-9397-08002B2CF9AE}" pid="3" name="KSOProductBuildVer">
    <vt:lpwstr>1033-12.1.23155.23155</vt:lpwstr>
  </property>
</Properties>
</file>