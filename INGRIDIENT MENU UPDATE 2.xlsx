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02"/>
  <workbookPr/>
  <mc:AlternateContent xmlns:mc="http://schemas.openxmlformats.org/markup-compatibility/2006">
    <mc:Choice Requires="x15">
      <x15ac:absPath xmlns:x15ac="http://schemas.microsoft.com/office/spreadsheetml/2010/11/ac" url="/Users/andreal/Documents/GitHub/Purchasing-operations/"/>
    </mc:Choice>
  </mc:AlternateContent>
  <xr:revisionPtr revIDLastSave="0" documentId="13_ncr:1_{49A83558-49C9-0A41-88A2-B6838453F4DD}" xr6:coauthVersionLast="47" xr6:coauthVersionMax="47" xr10:uidLastSave="{00000000-0000-0000-0000-000000000000}"/>
  <bookViews>
    <workbookView xWindow="17220" yWindow="780" windowWidth="16980" windowHeight="21460" activeTab="3" xr2:uid="{00000000-000D-0000-FFFF-FFFF00000000}"/>
  </bookViews>
  <sheets>
    <sheet name="ALCOHOL" sheetId="1" r:id="rId1"/>
    <sheet name="NON ALCOHOL" sheetId="2" r:id="rId2"/>
    <sheet name="NEW MENU" sheetId="5" r:id="rId3"/>
    <sheet name="PREPARATION" sheetId="3" r:id="rId4"/>
    <sheet name="SUPPLIER &amp; PRICE" sheetId="4"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4" i="4" l="1"/>
  <c r="D164" i="4"/>
  <c r="F163" i="4"/>
  <c r="D163" i="4"/>
  <c r="F161"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D133" i="4"/>
  <c r="F132" i="4"/>
  <c r="D132" i="4"/>
  <c r="F131" i="4"/>
  <c r="D131" i="4"/>
  <c r="F130" i="4"/>
  <c r="D130" i="4"/>
  <c r="F129" i="4"/>
  <c r="D129" i="4"/>
  <c r="F128" i="4"/>
  <c r="F127" i="4"/>
  <c r="D127" i="4"/>
  <c r="F126" i="4"/>
  <c r="F125" i="4"/>
  <c r="D125" i="4"/>
  <c r="F124" i="4"/>
  <c r="D124" i="4"/>
  <c r="F123" i="4"/>
  <c r="E123" i="4"/>
  <c r="F122" i="4"/>
  <c r="D122" i="4"/>
  <c r="F121" i="4"/>
  <c r="D121" i="4"/>
  <c r="F120" i="4"/>
  <c r="D120" i="4"/>
  <c r="F116" i="4"/>
  <c r="D116" i="4"/>
  <c r="F115" i="4"/>
  <c r="D115" i="4"/>
  <c r="F114" i="4"/>
  <c r="F113" i="4"/>
  <c r="F112" i="4"/>
  <c r="D112" i="4"/>
  <c r="F111" i="4"/>
  <c r="D111" i="4"/>
  <c r="F110" i="4"/>
  <c r="F109" i="4"/>
  <c r="F108" i="4"/>
  <c r="F107" i="4"/>
  <c r="F106" i="4"/>
  <c r="D106" i="4"/>
  <c r="F105" i="4"/>
  <c r="D105" i="4"/>
  <c r="F104" i="4"/>
  <c r="D104" i="4"/>
  <c r="F103" i="4"/>
  <c r="D103" i="4"/>
  <c r="F102" i="4"/>
  <c r="F101" i="4"/>
  <c r="F100" i="4"/>
  <c r="D100" i="4"/>
  <c r="F99" i="4"/>
  <c r="D99" i="4"/>
  <c r="F98" i="4"/>
  <c r="D98" i="4"/>
  <c r="F97" i="4"/>
  <c r="D97" i="4"/>
  <c r="F96" i="4"/>
  <c r="D96" i="4"/>
  <c r="F91" i="4"/>
  <c r="F90" i="4"/>
  <c r="F89" i="4"/>
  <c r="F88" i="4"/>
  <c r="F87" i="4"/>
  <c r="F86" i="4"/>
  <c r="F85" i="4"/>
  <c r="F84" i="4"/>
  <c r="F83" i="4"/>
  <c r="F82" i="4"/>
  <c r="F81" i="4"/>
  <c r="F80" i="4"/>
  <c r="F79" i="4"/>
  <c r="F78" i="4"/>
  <c r="F77" i="4"/>
  <c r="F76" i="4"/>
  <c r="D76" i="4"/>
  <c r="F71" i="4"/>
  <c r="F70" i="4"/>
  <c r="F69" i="4"/>
  <c r="F68" i="4"/>
  <c r="F67" i="4"/>
  <c r="F66" i="4"/>
  <c r="F65" i="4"/>
  <c r="F64" i="4"/>
  <c r="F63" i="4"/>
  <c r="F62" i="4"/>
  <c r="F61" i="4"/>
  <c r="F60" i="4"/>
  <c r="F59" i="4"/>
  <c r="F58" i="4"/>
  <c r="F57" i="4"/>
  <c r="F56"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L20" i="4"/>
  <c r="J20" i="4"/>
  <c r="F20" i="4"/>
  <c r="L19" i="4"/>
  <c r="J19" i="4"/>
  <c r="F19" i="4"/>
  <c r="L18" i="4"/>
  <c r="J18" i="4"/>
  <c r="F18" i="4"/>
  <c r="D18" i="4"/>
  <c r="L17" i="4"/>
  <c r="J17" i="4"/>
  <c r="F17" i="4"/>
  <c r="L16" i="4"/>
  <c r="F16" i="4"/>
  <c r="L15" i="4"/>
  <c r="F15" i="4"/>
  <c r="L14" i="4"/>
  <c r="J14" i="4"/>
  <c r="F14" i="4"/>
  <c r="L13" i="4"/>
  <c r="J13" i="4"/>
  <c r="F13" i="4"/>
  <c r="L12" i="4"/>
  <c r="J12" i="4"/>
  <c r="F12" i="4"/>
  <c r="L11" i="4"/>
  <c r="J11" i="4"/>
  <c r="F11" i="4"/>
  <c r="L10" i="4"/>
  <c r="J10" i="4"/>
  <c r="F10" i="4"/>
  <c r="L9" i="4"/>
  <c r="F9" i="4"/>
  <c r="L8" i="4"/>
  <c r="F8" i="4"/>
  <c r="L7" i="4"/>
  <c r="J7" i="4"/>
  <c r="F7" i="4"/>
  <c r="L6" i="4"/>
  <c r="J6" i="4"/>
  <c r="F6" i="4"/>
  <c r="L5" i="4"/>
  <c r="J5" i="4"/>
  <c r="F5" i="4"/>
  <c r="L4" i="4"/>
  <c r="J4" i="4"/>
  <c r="F4" i="4"/>
  <c r="L177" i="3"/>
  <c r="K177" i="3"/>
  <c r="K176" i="3"/>
  <c r="K175" i="3"/>
  <c r="K174" i="3"/>
  <c r="L169" i="3"/>
  <c r="L164" i="3"/>
  <c r="L159" i="3"/>
  <c r="L154" i="3"/>
  <c r="K154" i="3"/>
  <c r="K153" i="3"/>
  <c r="K152" i="3"/>
  <c r="L148" i="3"/>
  <c r="K148" i="3"/>
  <c r="K147" i="3"/>
  <c r="K146" i="3"/>
  <c r="L126" i="3"/>
  <c r="K126" i="3"/>
  <c r="K125" i="3"/>
  <c r="K124" i="3"/>
  <c r="L117" i="3"/>
  <c r="K117" i="3"/>
  <c r="K116" i="3"/>
  <c r="L109" i="3"/>
  <c r="K109" i="3"/>
  <c r="K108" i="3"/>
  <c r="K107" i="3"/>
  <c r="L99" i="3"/>
  <c r="K99" i="3"/>
  <c r="K98" i="3"/>
  <c r="K97" i="3"/>
  <c r="L89" i="3"/>
  <c r="K89" i="3"/>
  <c r="K88" i="3"/>
  <c r="K87" i="3"/>
  <c r="L79" i="3"/>
  <c r="K79" i="3"/>
  <c r="K78" i="3"/>
  <c r="K77" i="3"/>
  <c r="K75" i="3"/>
  <c r="K74" i="3"/>
  <c r="K73" i="3"/>
  <c r="K72" i="3"/>
  <c r="L64" i="3"/>
  <c r="K64" i="3"/>
  <c r="K63" i="3"/>
  <c r="K62" i="3"/>
  <c r="K60" i="3"/>
  <c r="K59" i="3"/>
  <c r="L53" i="3"/>
  <c r="K53" i="3"/>
  <c r="K51" i="3"/>
  <c r="L44" i="3"/>
  <c r="K44" i="3"/>
  <c r="K43" i="3"/>
  <c r="K42" i="3"/>
  <c r="L35" i="3"/>
  <c r="K35" i="3"/>
  <c r="K32" i="3"/>
  <c r="L26" i="3"/>
  <c r="K26" i="3"/>
  <c r="K24" i="3"/>
  <c r="L18" i="3"/>
  <c r="K18" i="3"/>
  <c r="K16" i="3"/>
  <c r="L10" i="3"/>
  <c r="K10" i="3"/>
  <c r="K8" i="3"/>
  <c r="F180" i="5"/>
  <c r="F178" i="5"/>
  <c r="E178" i="5"/>
  <c r="F177" i="5"/>
  <c r="E177" i="5"/>
  <c r="F176" i="5"/>
  <c r="E176" i="5"/>
  <c r="F172" i="5"/>
  <c r="F170" i="5"/>
  <c r="E170" i="5"/>
  <c r="F169" i="5"/>
  <c r="E169" i="5"/>
  <c r="F168" i="5"/>
  <c r="E168" i="5"/>
  <c r="G162" i="5"/>
  <c r="F162" i="5"/>
  <c r="F161" i="5"/>
  <c r="F160" i="5"/>
  <c r="F159" i="5"/>
  <c r="F157" i="5"/>
  <c r="E157" i="5"/>
  <c r="F156" i="5"/>
  <c r="E156" i="5"/>
  <c r="F155" i="5"/>
  <c r="E155" i="5"/>
  <c r="F154" i="5"/>
  <c r="E154" i="5"/>
  <c r="F153" i="5"/>
  <c r="E153" i="5"/>
  <c r="F152" i="5"/>
  <c r="E152" i="5"/>
  <c r="F151" i="5"/>
  <c r="E151" i="5"/>
  <c r="F150" i="5"/>
  <c r="E150" i="5"/>
  <c r="F149" i="5"/>
  <c r="E149" i="5"/>
  <c r="F148" i="5"/>
  <c r="E148" i="5"/>
  <c r="L142" i="5"/>
  <c r="L141" i="5"/>
  <c r="L140" i="5"/>
  <c r="L139" i="5"/>
  <c r="L138" i="5"/>
  <c r="F137" i="5"/>
  <c r="L136" i="5"/>
  <c r="K136" i="5"/>
  <c r="F136" i="5"/>
  <c r="L135" i="5"/>
  <c r="K135" i="5"/>
  <c r="F135" i="5"/>
  <c r="L134" i="5"/>
  <c r="K134" i="5"/>
  <c r="F134" i="5"/>
  <c r="L133" i="5"/>
  <c r="K133" i="5"/>
  <c r="F133" i="5"/>
  <c r="L132" i="5"/>
  <c r="K132" i="5"/>
  <c r="L131" i="5"/>
  <c r="K131" i="5"/>
  <c r="F131" i="5"/>
  <c r="E131" i="5"/>
  <c r="L130" i="5"/>
  <c r="K130" i="5"/>
  <c r="F130" i="5"/>
  <c r="E130" i="5"/>
  <c r="F129" i="5"/>
  <c r="E129" i="5"/>
  <c r="F128" i="5"/>
  <c r="E128" i="5"/>
  <c r="F127" i="5"/>
  <c r="E127" i="5"/>
  <c r="L125" i="5"/>
  <c r="L124" i="5"/>
  <c r="L123" i="5"/>
  <c r="L122" i="5"/>
  <c r="F122" i="5"/>
  <c r="L121" i="5"/>
  <c r="F121" i="5"/>
  <c r="F120" i="5"/>
  <c r="L119" i="5"/>
  <c r="K119" i="5"/>
  <c r="F119" i="5"/>
  <c r="L118" i="5"/>
  <c r="K118" i="5"/>
  <c r="F118" i="5"/>
  <c r="L117" i="5"/>
  <c r="K117" i="5"/>
  <c r="L116" i="5"/>
  <c r="K116" i="5"/>
  <c r="F116" i="5"/>
  <c r="E116" i="5"/>
  <c r="L115" i="5"/>
  <c r="K115" i="5"/>
  <c r="F115" i="5"/>
  <c r="E115" i="5"/>
  <c r="L114" i="5"/>
  <c r="K114" i="5"/>
  <c r="F114" i="5"/>
  <c r="E114" i="5"/>
  <c r="F113" i="5"/>
  <c r="E113" i="5"/>
  <c r="F112" i="5"/>
  <c r="E112" i="5"/>
  <c r="L109" i="5"/>
  <c r="L108" i="5"/>
  <c r="L107" i="5"/>
  <c r="F107" i="5"/>
  <c r="L106" i="5"/>
  <c r="F106" i="5"/>
  <c r="L105" i="5"/>
  <c r="F105" i="5"/>
  <c r="F104" i="5"/>
  <c r="L103" i="5"/>
  <c r="K103" i="5"/>
  <c r="L102" i="5"/>
  <c r="K102" i="5"/>
  <c r="L101" i="5"/>
  <c r="K101" i="5"/>
  <c r="F101" i="5"/>
  <c r="E101" i="5"/>
  <c r="L100" i="5"/>
  <c r="K100" i="5"/>
  <c r="F100" i="5"/>
  <c r="E100" i="5"/>
  <c r="L99" i="5"/>
  <c r="K99" i="5"/>
  <c r="F99" i="5"/>
  <c r="E99" i="5"/>
  <c r="L98" i="5"/>
  <c r="K98" i="5"/>
  <c r="F98" i="5"/>
  <c r="E98" i="5"/>
  <c r="L97" i="5"/>
  <c r="K97" i="5"/>
  <c r="F97" i="5"/>
  <c r="E97" i="5"/>
  <c r="F92" i="5"/>
  <c r="F91" i="5"/>
  <c r="F90" i="5"/>
  <c r="F89" i="5"/>
  <c r="F86" i="5"/>
  <c r="E86" i="5"/>
  <c r="F85" i="5"/>
  <c r="E85" i="5"/>
  <c r="F84" i="5"/>
  <c r="E84" i="5"/>
  <c r="F83" i="5"/>
  <c r="E83" i="5"/>
  <c r="F82" i="5"/>
  <c r="E82" i="5"/>
  <c r="F81" i="5"/>
  <c r="E81" i="5"/>
  <c r="F76" i="5"/>
  <c r="F75" i="5"/>
  <c r="F74" i="5"/>
  <c r="F73" i="5"/>
  <c r="F72" i="5"/>
  <c r="F70" i="5"/>
  <c r="E70" i="5"/>
  <c r="F69" i="5"/>
  <c r="E69" i="5"/>
  <c r="F68" i="5"/>
  <c r="E68" i="5"/>
  <c r="F67" i="5"/>
  <c r="E67" i="5"/>
  <c r="F66" i="5"/>
  <c r="E66" i="5"/>
  <c r="F61" i="5"/>
  <c r="F60" i="5"/>
  <c r="F59" i="5"/>
  <c r="F58" i="5"/>
  <c r="F57" i="5"/>
  <c r="F55" i="5"/>
  <c r="E55" i="5"/>
  <c r="F54" i="5"/>
  <c r="E54" i="5"/>
  <c r="F53" i="5"/>
  <c r="E53" i="5"/>
  <c r="F52" i="5"/>
  <c r="E52" i="5"/>
  <c r="F51" i="5"/>
  <c r="E51" i="5"/>
  <c r="F50" i="5"/>
  <c r="E50" i="5"/>
  <c r="F49" i="5"/>
  <c r="E49" i="5"/>
  <c r="F44" i="5"/>
  <c r="F43" i="5"/>
  <c r="F42" i="5"/>
  <c r="F41" i="5"/>
  <c r="F38" i="5"/>
  <c r="E38" i="5"/>
  <c r="F37" i="5"/>
  <c r="E37" i="5"/>
  <c r="F36" i="5"/>
  <c r="E36" i="5"/>
  <c r="F35" i="5"/>
  <c r="E35" i="5"/>
  <c r="L34" i="5"/>
  <c r="F34" i="5"/>
  <c r="E34" i="5"/>
  <c r="L33" i="5"/>
  <c r="L32" i="5"/>
  <c r="L31" i="5"/>
  <c r="F29" i="5"/>
  <c r="X28" i="5"/>
  <c r="R28" i="5"/>
  <c r="L28" i="5"/>
  <c r="K28" i="5"/>
  <c r="F28" i="5"/>
  <c r="X27" i="5"/>
  <c r="R27" i="5"/>
  <c r="L27" i="5"/>
  <c r="K27" i="5"/>
  <c r="F27" i="5"/>
  <c r="X26" i="5"/>
  <c r="R26" i="5"/>
  <c r="L26" i="5"/>
  <c r="K26" i="5"/>
  <c r="F26" i="5"/>
  <c r="X25" i="5"/>
  <c r="R25" i="5"/>
  <c r="L25" i="5"/>
  <c r="K25" i="5"/>
  <c r="F25" i="5"/>
  <c r="X24" i="5"/>
  <c r="R24" i="5"/>
  <c r="L24" i="5"/>
  <c r="K24" i="5"/>
  <c r="L23" i="5"/>
  <c r="K23" i="5"/>
  <c r="F23" i="5"/>
  <c r="E23" i="5"/>
  <c r="X22" i="5"/>
  <c r="W22" i="5"/>
  <c r="R22" i="5"/>
  <c r="Q22" i="5"/>
  <c r="F22" i="5"/>
  <c r="E22" i="5"/>
  <c r="X21" i="5"/>
  <c r="W21" i="5"/>
  <c r="R21" i="5"/>
  <c r="Q21" i="5"/>
  <c r="F21" i="5"/>
  <c r="E21" i="5"/>
  <c r="X20" i="5"/>
  <c r="W20" i="5"/>
  <c r="R20" i="5"/>
  <c r="Q20" i="5"/>
  <c r="F20" i="5"/>
  <c r="E20" i="5"/>
  <c r="X19" i="5"/>
  <c r="W19" i="5"/>
  <c r="R19" i="5"/>
  <c r="Q19" i="5"/>
  <c r="L18" i="5"/>
  <c r="L17" i="5"/>
  <c r="L16" i="5"/>
  <c r="L15" i="5"/>
  <c r="F15" i="5"/>
  <c r="X14" i="5"/>
  <c r="R14" i="5"/>
  <c r="F14" i="5"/>
  <c r="X13" i="5"/>
  <c r="R13" i="5"/>
  <c r="F13" i="5"/>
  <c r="X12" i="5"/>
  <c r="R12" i="5"/>
  <c r="F12" i="5"/>
  <c r="X11" i="5"/>
  <c r="R11" i="5"/>
  <c r="L11" i="5"/>
  <c r="K11" i="5"/>
  <c r="F11" i="5"/>
  <c r="X10" i="5"/>
  <c r="R10" i="5"/>
  <c r="L10" i="5"/>
  <c r="K10" i="5"/>
  <c r="L9" i="5"/>
  <c r="K9" i="5"/>
  <c r="F9" i="5"/>
  <c r="X8" i="5"/>
  <c r="W8" i="5"/>
  <c r="R8" i="5"/>
  <c r="Q8" i="5"/>
  <c r="L8" i="5"/>
  <c r="K8" i="5"/>
  <c r="F8" i="5"/>
  <c r="E8" i="5"/>
  <c r="X7" i="5"/>
  <c r="W7" i="5"/>
  <c r="R7" i="5"/>
  <c r="Q7" i="5"/>
  <c r="L7" i="5"/>
  <c r="K7" i="5"/>
  <c r="F7" i="5"/>
  <c r="E7" i="5"/>
  <c r="X6" i="5"/>
  <c r="W6" i="5"/>
  <c r="R6" i="5"/>
  <c r="Q6" i="5"/>
  <c r="L6" i="5"/>
  <c r="K6" i="5"/>
  <c r="F6" i="5"/>
  <c r="E6" i="5"/>
  <c r="X5" i="5"/>
  <c r="W5" i="5"/>
  <c r="R5" i="5"/>
  <c r="Q5" i="5"/>
  <c r="L5" i="5"/>
  <c r="K5" i="5"/>
  <c r="F5" i="5"/>
  <c r="E5" i="5"/>
  <c r="X4" i="5"/>
  <c r="W4" i="5"/>
  <c r="R4" i="5"/>
  <c r="Q4" i="5"/>
  <c r="L4" i="5"/>
  <c r="K4" i="5"/>
  <c r="F4" i="5"/>
  <c r="E4" i="5"/>
  <c r="F403" i="2"/>
  <c r="M402" i="2"/>
  <c r="F402" i="2"/>
  <c r="M401" i="2"/>
  <c r="F401" i="2"/>
  <c r="M400" i="2"/>
  <c r="F400" i="2"/>
  <c r="M399" i="2"/>
  <c r="M398" i="2"/>
  <c r="F397" i="2"/>
  <c r="E397" i="2"/>
  <c r="M396" i="2"/>
  <c r="L396" i="2"/>
  <c r="F396" i="2"/>
  <c r="E396" i="2"/>
  <c r="M395" i="2"/>
  <c r="F395" i="2"/>
  <c r="E395" i="2"/>
  <c r="M394" i="2"/>
  <c r="L394" i="2"/>
  <c r="F394" i="2"/>
  <c r="E394" i="2"/>
  <c r="M388" i="2"/>
  <c r="M387" i="2"/>
  <c r="F387" i="2"/>
  <c r="M386" i="2"/>
  <c r="F386" i="2"/>
  <c r="M385" i="2"/>
  <c r="F385" i="2"/>
  <c r="M384" i="2"/>
  <c r="F384" i="2"/>
  <c r="M382" i="2"/>
  <c r="L382" i="2"/>
  <c r="M381" i="2"/>
  <c r="L381" i="2"/>
  <c r="F381" i="2"/>
  <c r="E381" i="2"/>
  <c r="M380" i="2"/>
  <c r="L380" i="2"/>
  <c r="F380" i="2"/>
  <c r="E380" i="2"/>
  <c r="M379" i="2"/>
  <c r="L379" i="2"/>
  <c r="F379" i="2"/>
  <c r="E379" i="2"/>
  <c r="M372" i="2"/>
  <c r="F372" i="2"/>
  <c r="M371" i="2"/>
  <c r="F371" i="2"/>
  <c r="M370" i="2"/>
  <c r="F370" i="2"/>
  <c r="M369" i="2"/>
  <c r="F369" i="2"/>
  <c r="F368" i="2"/>
  <c r="M366" i="2"/>
  <c r="L366" i="2"/>
  <c r="F366" i="2"/>
  <c r="E366" i="2"/>
  <c r="M365" i="2"/>
  <c r="L365" i="2"/>
  <c r="F365" i="2"/>
  <c r="E365" i="2"/>
  <c r="M364" i="2"/>
  <c r="L364" i="2"/>
  <c r="F364" i="2"/>
  <c r="E364" i="2"/>
  <c r="M363" i="2"/>
  <c r="L363" i="2"/>
  <c r="F363" i="2"/>
  <c r="E363" i="2"/>
  <c r="M357" i="2"/>
  <c r="F357" i="2"/>
  <c r="M356" i="2"/>
  <c r="F356" i="2"/>
  <c r="M355" i="2"/>
  <c r="F355" i="2"/>
  <c r="M354" i="2"/>
  <c r="F354" i="2"/>
  <c r="M353" i="2"/>
  <c r="F353" i="2"/>
  <c r="M351" i="2"/>
  <c r="L351" i="2"/>
  <c r="F351" i="2"/>
  <c r="E351" i="2"/>
  <c r="M350" i="2"/>
  <c r="L350" i="2"/>
  <c r="F350" i="2"/>
  <c r="E350" i="2"/>
  <c r="M349" i="2"/>
  <c r="L349" i="2"/>
  <c r="F349" i="2"/>
  <c r="E349" i="2"/>
  <c r="M348" i="2"/>
  <c r="L348" i="2"/>
  <c r="F348" i="2"/>
  <c r="E348" i="2"/>
  <c r="M342" i="2"/>
  <c r="F342" i="2"/>
  <c r="M341" i="2"/>
  <c r="F341" i="2"/>
  <c r="M340" i="2"/>
  <c r="F340" i="2"/>
  <c r="M339" i="2"/>
  <c r="F339" i="2"/>
  <c r="M338" i="2"/>
  <c r="F338" i="2"/>
  <c r="M336" i="2"/>
  <c r="L336" i="2"/>
  <c r="F336" i="2"/>
  <c r="E336" i="2"/>
  <c r="M335" i="2"/>
  <c r="L335" i="2"/>
  <c r="F335" i="2"/>
  <c r="E335" i="2"/>
  <c r="M334" i="2"/>
  <c r="L334" i="2"/>
  <c r="F334" i="2"/>
  <c r="E334" i="2"/>
  <c r="S323" i="2"/>
  <c r="F323" i="2"/>
  <c r="Y322" i="2"/>
  <c r="S322" i="2"/>
  <c r="M322" i="2"/>
  <c r="F322" i="2"/>
  <c r="Y321" i="2"/>
  <c r="S321" i="2"/>
  <c r="M321" i="2"/>
  <c r="F321" i="2"/>
  <c r="Y320" i="2"/>
  <c r="S320" i="2"/>
  <c r="M320" i="2"/>
  <c r="F320" i="2"/>
  <c r="Y319" i="2"/>
  <c r="S319" i="2"/>
  <c r="M319" i="2"/>
  <c r="F319" i="2"/>
  <c r="Y318" i="2"/>
  <c r="S318" i="2"/>
  <c r="M318" i="2"/>
  <c r="F318" i="2"/>
  <c r="Y316" i="2"/>
  <c r="X316" i="2"/>
  <c r="S316" i="2"/>
  <c r="R316" i="2"/>
  <c r="M316" i="2"/>
  <c r="L316" i="2"/>
  <c r="F316" i="2"/>
  <c r="E316" i="2"/>
  <c r="Y315" i="2"/>
  <c r="X315" i="2"/>
  <c r="S315" i="2"/>
  <c r="R315" i="2"/>
  <c r="M315" i="2"/>
  <c r="L315" i="2"/>
  <c r="F315" i="2"/>
  <c r="E315" i="2"/>
  <c r="Y314" i="2"/>
  <c r="X314" i="2"/>
  <c r="S314" i="2"/>
  <c r="R314" i="2"/>
  <c r="M314" i="2"/>
  <c r="L314" i="2"/>
  <c r="F314" i="2"/>
  <c r="E314" i="2"/>
  <c r="S309" i="2"/>
  <c r="F309" i="2"/>
  <c r="Y308" i="2"/>
  <c r="S308" i="2"/>
  <c r="M308" i="2"/>
  <c r="F308" i="2"/>
  <c r="Y307" i="2"/>
  <c r="S307" i="2"/>
  <c r="M307" i="2"/>
  <c r="F307" i="2"/>
  <c r="Y306" i="2"/>
  <c r="S306" i="2"/>
  <c r="M306" i="2"/>
  <c r="F306" i="2"/>
  <c r="Y305" i="2"/>
  <c r="S305" i="2"/>
  <c r="M305" i="2"/>
  <c r="F305" i="2"/>
  <c r="Y304" i="2"/>
  <c r="S304" i="2"/>
  <c r="M304" i="2"/>
  <c r="F304" i="2"/>
  <c r="Y302" i="2"/>
  <c r="X302" i="2"/>
  <c r="S302" i="2"/>
  <c r="R302" i="2"/>
  <c r="M302" i="2"/>
  <c r="L302" i="2"/>
  <c r="F302" i="2"/>
  <c r="E302" i="2"/>
  <c r="Y301" i="2"/>
  <c r="X301" i="2"/>
  <c r="S301" i="2"/>
  <c r="R301" i="2"/>
  <c r="M301" i="2"/>
  <c r="L301" i="2"/>
  <c r="F301" i="2"/>
  <c r="E301" i="2"/>
  <c r="Y300" i="2"/>
  <c r="X300" i="2"/>
  <c r="S300" i="2"/>
  <c r="R300" i="2"/>
  <c r="M300" i="2"/>
  <c r="L300" i="2"/>
  <c r="F300" i="2"/>
  <c r="E300" i="2"/>
  <c r="S295" i="2"/>
  <c r="F295" i="2"/>
  <c r="Y294" i="2"/>
  <c r="S294" i="2"/>
  <c r="M294" i="2"/>
  <c r="F294" i="2"/>
  <c r="Y293" i="2"/>
  <c r="S293" i="2"/>
  <c r="M293" i="2"/>
  <c r="F293" i="2"/>
  <c r="Y292" i="2"/>
  <c r="S292" i="2"/>
  <c r="M292" i="2"/>
  <c r="F292" i="2"/>
  <c r="Y291" i="2"/>
  <c r="S291" i="2"/>
  <c r="M291" i="2"/>
  <c r="F291" i="2"/>
  <c r="Y290" i="2"/>
  <c r="S290" i="2"/>
  <c r="M290" i="2"/>
  <c r="F290" i="2"/>
  <c r="Y288" i="2"/>
  <c r="X288" i="2"/>
  <c r="S288" i="2"/>
  <c r="R288" i="2"/>
  <c r="M288" i="2"/>
  <c r="L288" i="2"/>
  <c r="F288" i="2"/>
  <c r="E288" i="2"/>
  <c r="Y287" i="2"/>
  <c r="X287" i="2"/>
  <c r="S287" i="2"/>
  <c r="R287" i="2"/>
  <c r="M287" i="2"/>
  <c r="L287" i="2"/>
  <c r="F287" i="2"/>
  <c r="E287" i="2"/>
  <c r="Y286" i="2"/>
  <c r="X286" i="2"/>
  <c r="S286" i="2"/>
  <c r="R286" i="2"/>
  <c r="M286" i="2"/>
  <c r="L286" i="2"/>
  <c r="F286" i="2"/>
  <c r="E286" i="2"/>
  <c r="S280" i="2"/>
  <c r="M280" i="2"/>
  <c r="Y279" i="2"/>
  <c r="S279" i="2"/>
  <c r="M279" i="2"/>
  <c r="F279" i="2"/>
  <c r="Y278" i="2"/>
  <c r="S278" i="2"/>
  <c r="M278" i="2"/>
  <c r="F278" i="2"/>
  <c r="Y277" i="2"/>
  <c r="S277" i="2"/>
  <c r="M277" i="2"/>
  <c r="F277" i="2"/>
  <c r="Y276" i="2"/>
  <c r="S276" i="2"/>
  <c r="M276" i="2"/>
  <c r="F276" i="2"/>
  <c r="Y275" i="2"/>
  <c r="S275" i="2"/>
  <c r="M275" i="2"/>
  <c r="F275" i="2"/>
  <c r="F274" i="2"/>
  <c r="Y273" i="2"/>
  <c r="X273" i="2"/>
  <c r="S273" i="2"/>
  <c r="R273" i="2"/>
  <c r="M273" i="2"/>
  <c r="L273" i="2"/>
  <c r="Y272" i="2"/>
  <c r="X272" i="2"/>
  <c r="S272" i="2"/>
  <c r="R272" i="2"/>
  <c r="M272" i="2"/>
  <c r="L272" i="2"/>
  <c r="F272" i="2"/>
  <c r="E272" i="2"/>
  <c r="Y271" i="2"/>
  <c r="X271" i="2"/>
  <c r="S271" i="2"/>
  <c r="R271" i="2"/>
  <c r="M271" i="2"/>
  <c r="L271" i="2"/>
  <c r="F271" i="2"/>
  <c r="E271" i="2"/>
  <c r="F261" i="2"/>
  <c r="F260" i="2"/>
  <c r="F259" i="2"/>
  <c r="F257" i="2"/>
  <c r="E257" i="2"/>
  <c r="M252" i="2"/>
  <c r="F252" i="2"/>
  <c r="M251" i="2"/>
  <c r="F251" i="2"/>
  <c r="M250" i="2"/>
  <c r="F250" i="2"/>
  <c r="M248" i="2"/>
  <c r="L248" i="2"/>
  <c r="F248" i="2"/>
  <c r="E248" i="2"/>
  <c r="M243" i="2"/>
  <c r="F243" i="2"/>
  <c r="M242" i="2"/>
  <c r="F242" i="2"/>
  <c r="M240" i="2"/>
  <c r="L240" i="2"/>
  <c r="F240" i="2"/>
  <c r="E240" i="2"/>
  <c r="M230" i="2"/>
  <c r="M229" i="2"/>
  <c r="F229" i="2"/>
  <c r="M228" i="2"/>
  <c r="F228" i="2"/>
  <c r="M226" i="2"/>
  <c r="L226" i="2"/>
  <c r="F226" i="2"/>
  <c r="E226" i="2"/>
  <c r="M221" i="2"/>
  <c r="M220" i="2"/>
  <c r="F220" i="2"/>
  <c r="M219" i="2"/>
  <c r="F219" i="2"/>
  <c r="M217" i="2"/>
  <c r="L217" i="2"/>
  <c r="F217" i="2"/>
  <c r="E217" i="2"/>
  <c r="M212" i="2"/>
  <c r="F212" i="2"/>
  <c r="M211" i="2"/>
  <c r="F211" i="2"/>
  <c r="M210" i="2"/>
  <c r="F210" i="2"/>
  <c r="M208" i="2"/>
  <c r="L208" i="2"/>
  <c r="F208" i="2"/>
  <c r="E208" i="2"/>
  <c r="M203" i="2"/>
  <c r="F203" i="2"/>
  <c r="M202" i="2"/>
  <c r="F202" i="2"/>
  <c r="M201" i="2"/>
  <c r="F201" i="2"/>
  <c r="M199" i="2"/>
  <c r="L199" i="2"/>
  <c r="F199" i="2"/>
  <c r="E199" i="2"/>
  <c r="M189" i="2"/>
  <c r="F189" i="2"/>
  <c r="M188" i="2"/>
  <c r="F188" i="2"/>
  <c r="M187" i="2"/>
  <c r="F187" i="2"/>
  <c r="M186" i="2"/>
  <c r="F186" i="2"/>
  <c r="M184" i="2"/>
  <c r="L184" i="2"/>
  <c r="F184" i="2"/>
  <c r="E184" i="2"/>
  <c r="M183" i="2"/>
  <c r="L183" i="2"/>
  <c r="F183" i="2"/>
  <c r="E183" i="2"/>
  <c r="M178" i="2"/>
  <c r="F178" i="2"/>
  <c r="M177" i="2"/>
  <c r="F177" i="2"/>
  <c r="M176" i="2"/>
  <c r="F176" i="2"/>
  <c r="M175" i="2"/>
  <c r="F175" i="2"/>
  <c r="M173" i="2"/>
  <c r="L173" i="2"/>
  <c r="F173" i="2"/>
  <c r="E173" i="2"/>
  <c r="M172" i="2"/>
  <c r="L172" i="2"/>
  <c r="F172" i="2"/>
  <c r="E172" i="2"/>
  <c r="M167" i="2"/>
  <c r="F167" i="2"/>
  <c r="M166" i="2"/>
  <c r="F166" i="2"/>
  <c r="M165" i="2"/>
  <c r="F165" i="2"/>
  <c r="M164" i="2"/>
  <c r="F164" i="2"/>
  <c r="M162" i="2"/>
  <c r="L162" i="2"/>
  <c r="F162" i="2"/>
  <c r="E162" i="2"/>
  <c r="M161" i="2"/>
  <c r="L161" i="2"/>
  <c r="F161" i="2"/>
  <c r="E161" i="2"/>
  <c r="M156" i="2"/>
  <c r="F156" i="2"/>
  <c r="M155" i="2"/>
  <c r="F155" i="2"/>
  <c r="M154" i="2"/>
  <c r="F154" i="2"/>
  <c r="M153" i="2"/>
  <c r="F153" i="2"/>
  <c r="M151" i="2"/>
  <c r="L151" i="2"/>
  <c r="F151" i="2"/>
  <c r="E151" i="2"/>
  <c r="M150" i="2"/>
  <c r="L150" i="2"/>
  <c r="F150" i="2"/>
  <c r="E150" i="2"/>
  <c r="M138" i="2"/>
  <c r="F138" i="2"/>
  <c r="M137" i="2"/>
  <c r="F137" i="2"/>
  <c r="M136" i="2"/>
  <c r="F136" i="2"/>
  <c r="M135" i="2"/>
  <c r="F135" i="2"/>
  <c r="M133" i="2"/>
  <c r="L133" i="2"/>
  <c r="F133" i="2"/>
  <c r="E133" i="2"/>
  <c r="M132" i="2"/>
  <c r="L132" i="2"/>
  <c r="F132" i="2"/>
  <c r="E132" i="2"/>
  <c r="F127" i="2"/>
  <c r="S126" i="2"/>
  <c r="M126" i="2"/>
  <c r="F126" i="2"/>
  <c r="S125" i="2"/>
  <c r="M125" i="2"/>
  <c r="F125" i="2"/>
  <c r="S124" i="2"/>
  <c r="M124" i="2"/>
  <c r="F124" i="2"/>
  <c r="S123" i="2"/>
  <c r="M123" i="2"/>
  <c r="F123" i="2"/>
  <c r="S121" i="2"/>
  <c r="R121" i="2"/>
  <c r="M121" i="2"/>
  <c r="L121" i="2"/>
  <c r="F121" i="2"/>
  <c r="E121" i="2"/>
  <c r="S120" i="2"/>
  <c r="R120" i="2"/>
  <c r="M120" i="2"/>
  <c r="L120" i="2"/>
  <c r="F120" i="2"/>
  <c r="E120" i="2"/>
  <c r="S115" i="2"/>
  <c r="M115" i="2"/>
  <c r="F115" i="2"/>
  <c r="S114" i="2"/>
  <c r="M114" i="2"/>
  <c r="F114" i="2"/>
  <c r="S113" i="2"/>
  <c r="M113" i="2"/>
  <c r="F113" i="2"/>
  <c r="S112" i="2"/>
  <c r="M112" i="2"/>
  <c r="F112" i="2"/>
  <c r="S110" i="2"/>
  <c r="R110" i="2"/>
  <c r="M110" i="2"/>
  <c r="L110" i="2"/>
  <c r="F110" i="2"/>
  <c r="E110" i="2"/>
  <c r="S109" i="2"/>
  <c r="R109" i="2"/>
  <c r="M109" i="2"/>
  <c r="L109" i="2"/>
  <c r="F109" i="2"/>
  <c r="E109" i="2"/>
  <c r="F98" i="2"/>
  <c r="F97" i="2"/>
  <c r="F96" i="2"/>
  <c r="F95" i="2"/>
  <c r="F94" i="2"/>
  <c r="F92" i="2"/>
  <c r="E92" i="2"/>
  <c r="F91" i="2"/>
  <c r="E91" i="2"/>
  <c r="F90" i="2"/>
  <c r="E90" i="2"/>
  <c r="F89" i="2"/>
  <c r="E89" i="2"/>
  <c r="F84" i="2"/>
  <c r="F83" i="2"/>
  <c r="F82" i="2"/>
  <c r="F81" i="2"/>
  <c r="M80" i="2"/>
  <c r="F80" i="2"/>
  <c r="M79" i="2"/>
  <c r="F79" i="2"/>
  <c r="M78" i="2"/>
  <c r="M77" i="2"/>
  <c r="F77" i="2"/>
  <c r="E77" i="2"/>
  <c r="M76" i="2"/>
  <c r="F76" i="2"/>
  <c r="E76" i="2"/>
  <c r="F75" i="2"/>
  <c r="E75" i="2"/>
  <c r="M74" i="2"/>
  <c r="L74" i="2"/>
  <c r="F74" i="2"/>
  <c r="E74" i="2"/>
  <c r="M73" i="2"/>
  <c r="L73" i="2"/>
  <c r="F73" i="2"/>
  <c r="E73" i="2"/>
  <c r="M72" i="2"/>
  <c r="L72" i="2"/>
  <c r="F72" i="2"/>
  <c r="E72" i="2"/>
  <c r="M71" i="2"/>
  <c r="L71" i="2"/>
  <c r="F71" i="2"/>
  <c r="E71" i="2"/>
  <c r="M70" i="2"/>
  <c r="L70" i="2"/>
  <c r="F70" i="2"/>
  <c r="E70" i="2"/>
  <c r="M59" i="2"/>
  <c r="F59" i="2"/>
  <c r="M58" i="2"/>
  <c r="F58" i="2"/>
  <c r="M57" i="2"/>
  <c r="F57" i="2"/>
  <c r="M56" i="2"/>
  <c r="F56" i="2"/>
  <c r="M54" i="2"/>
  <c r="L54" i="2"/>
  <c r="F54" i="2"/>
  <c r="E54" i="2"/>
  <c r="M49" i="2"/>
  <c r="F49" i="2"/>
  <c r="M48" i="2"/>
  <c r="F48" i="2"/>
  <c r="M47" i="2"/>
  <c r="F47" i="2"/>
  <c r="M46" i="2"/>
  <c r="F46" i="2"/>
  <c r="M44" i="2"/>
  <c r="L44" i="2"/>
  <c r="F44" i="2"/>
  <c r="E44" i="2"/>
  <c r="M39" i="2"/>
  <c r="F39" i="2"/>
  <c r="M38" i="2"/>
  <c r="F38" i="2"/>
  <c r="M37" i="2"/>
  <c r="F37" i="2"/>
  <c r="M36" i="2"/>
  <c r="F36" i="2"/>
  <c r="M33" i="2"/>
  <c r="L33" i="2"/>
  <c r="F33" i="2"/>
  <c r="E33" i="2"/>
  <c r="M32" i="2"/>
  <c r="L32" i="2"/>
  <c r="F32" i="2"/>
  <c r="E32" i="2"/>
  <c r="M31" i="2"/>
  <c r="L31" i="2"/>
  <c r="F31" i="2"/>
  <c r="E31" i="2"/>
  <c r="M26" i="2"/>
  <c r="F26" i="2"/>
  <c r="M25" i="2"/>
  <c r="F25" i="2"/>
  <c r="M24" i="2"/>
  <c r="F24" i="2"/>
  <c r="M23" i="2"/>
  <c r="F23" i="2"/>
  <c r="M20" i="2"/>
  <c r="L20" i="2"/>
  <c r="F20" i="2"/>
  <c r="E20" i="2"/>
  <c r="M19" i="2"/>
  <c r="L19" i="2"/>
  <c r="F19" i="2"/>
  <c r="E19" i="2"/>
  <c r="M18" i="2"/>
  <c r="L18" i="2"/>
  <c r="F18" i="2"/>
  <c r="E18" i="2"/>
  <c r="M13" i="2"/>
  <c r="F13" i="2"/>
  <c r="M12" i="2"/>
  <c r="F12" i="2"/>
  <c r="M11" i="2"/>
  <c r="F11" i="2"/>
  <c r="M10" i="2"/>
  <c r="F10" i="2"/>
  <c r="M8" i="2"/>
  <c r="L8" i="2"/>
  <c r="F8" i="2"/>
  <c r="E8" i="2"/>
  <c r="M7" i="2"/>
  <c r="L7" i="2"/>
  <c r="F7" i="2"/>
  <c r="E7" i="2"/>
  <c r="N372" i="1"/>
  <c r="F372" i="1"/>
  <c r="N371" i="1"/>
  <c r="F371" i="1"/>
  <c r="N369" i="1"/>
  <c r="M369" i="1"/>
  <c r="F369" i="1"/>
  <c r="E369" i="1"/>
  <c r="T364" i="1"/>
  <c r="N364" i="1"/>
  <c r="F364" i="1"/>
  <c r="T363" i="1"/>
  <c r="N363" i="1"/>
  <c r="F363" i="1"/>
  <c r="T361" i="1"/>
  <c r="S361" i="1"/>
  <c r="N361" i="1"/>
  <c r="M361" i="1"/>
  <c r="F361" i="1"/>
  <c r="E361" i="1"/>
  <c r="N348" i="1"/>
  <c r="F348" i="1"/>
  <c r="N347" i="1"/>
  <c r="F347" i="1"/>
  <c r="N345" i="1"/>
  <c r="M345" i="1"/>
  <c r="F345" i="1"/>
  <c r="E345" i="1"/>
  <c r="N340" i="1"/>
  <c r="F340" i="1"/>
  <c r="N339" i="1"/>
  <c r="F339" i="1"/>
  <c r="N337" i="1"/>
  <c r="M337" i="1"/>
  <c r="F337" i="1"/>
  <c r="E337" i="1"/>
  <c r="N332" i="1"/>
  <c r="F332" i="1"/>
  <c r="N331" i="1"/>
  <c r="F331" i="1"/>
  <c r="N329" i="1"/>
  <c r="M329" i="1"/>
  <c r="F329" i="1"/>
  <c r="E329" i="1"/>
  <c r="N324" i="1"/>
  <c r="F324" i="1"/>
  <c r="N323" i="1"/>
  <c r="F323" i="1"/>
  <c r="N321" i="1"/>
  <c r="M321" i="1"/>
  <c r="F321" i="1"/>
  <c r="E321" i="1"/>
  <c r="N316" i="1"/>
  <c r="F316" i="1"/>
  <c r="N315" i="1"/>
  <c r="F315" i="1"/>
  <c r="N313" i="1"/>
  <c r="M313" i="1"/>
  <c r="F313" i="1"/>
  <c r="E313" i="1"/>
  <c r="N308" i="1"/>
  <c r="F308" i="1"/>
  <c r="N307" i="1"/>
  <c r="F307" i="1"/>
  <c r="N305" i="1"/>
  <c r="M305" i="1"/>
  <c r="F305" i="1"/>
  <c r="E305" i="1"/>
  <c r="N300" i="1"/>
  <c r="F300" i="1"/>
  <c r="N299" i="1"/>
  <c r="F299" i="1"/>
  <c r="N297" i="1"/>
  <c r="M297" i="1"/>
  <c r="F297" i="1"/>
  <c r="E297" i="1"/>
  <c r="N292" i="1"/>
  <c r="F292" i="1"/>
  <c r="N291" i="1"/>
  <c r="F291" i="1"/>
  <c r="N289" i="1"/>
  <c r="M289" i="1"/>
  <c r="F289" i="1"/>
  <c r="E289" i="1"/>
  <c r="N284" i="1"/>
  <c r="F284" i="1"/>
  <c r="N283" i="1"/>
  <c r="F283" i="1"/>
  <c r="N281" i="1"/>
  <c r="M281" i="1"/>
  <c r="F281" i="1"/>
  <c r="E281" i="1"/>
  <c r="N276" i="1"/>
  <c r="F276" i="1"/>
  <c r="N275" i="1"/>
  <c r="F275" i="1"/>
  <c r="N273" i="1"/>
  <c r="M273" i="1"/>
  <c r="F273" i="1"/>
  <c r="E273" i="1"/>
  <c r="N268" i="1"/>
  <c r="F268" i="1"/>
  <c r="N267" i="1"/>
  <c r="F267" i="1"/>
  <c r="N265" i="1"/>
  <c r="M265" i="1"/>
  <c r="F265" i="1"/>
  <c r="E265" i="1"/>
  <c r="T260" i="1"/>
  <c r="N260" i="1"/>
  <c r="F260" i="1"/>
  <c r="T259" i="1"/>
  <c r="N259" i="1"/>
  <c r="F259" i="1"/>
  <c r="T257" i="1"/>
  <c r="S257" i="1"/>
  <c r="N257" i="1"/>
  <c r="M257" i="1"/>
  <c r="F257" i="1"/>
  <c r="E257" i="1"/>
  <c r="T252" i="1"/>
  <c r="N252" i="1"/>
  <c r="F252" i="1"/>
  <c r="T251" i="1"/>
  <c r="N251" i="1"/>
  <c r="F251" i="1"/>
  <c r="T249" i="1"/>
  <c r="S249" i="1"/>
  <c r="N249" i="1"/>
  <c r="M249" i="1"/>
  <c r="F249" i="1"/>
  <c r="E249" i="1"/>
  <c r="F225" i="1"/>
  <c r="N224" i="1"/>
  <c r="F224" i="1"/>
  <c r="N223" i="1"/>
  <c r="F222" i="1"/>
  <c r="E222" i="1"/>
  <c r="N221" i="1"/>
  <c r="M221" i="1"/>
  <c r="F217" i="1"/>
  <c r="F216" i="1"/>
  <c r="N215" i="1"/>
  <c r="F215" i="1"/>
  <c r="N214" i="1"/>
  <c r="F214" i="1"/>
  <c r="N213" i="1"/>
  <c r="N212" i="1"/>
  <c r="F212" i="1"/>
  <c r="E212" i="1"/>
  <c r="N210" i="1"/>
  <c r="M210" i="1"/>
  <c r="F206" i="1"/>
  <c r="F205" i="1"/>
  <c r="N204" i="1"/>
  <c r="N203" i="1"/>
  <c r="F203" i="1"/>
  <c r="E203" i="1"/>
  <c r="N201" i="1"/>
  <c r="M201" i="1"/>
  <c r="F198" i="1"/>
  <c r="F197" i="1"/>
  <c r="U196" i="1"/>
  <c r="N196" i="1"/>
  <c r="F196" i="1"/>
  <c r="U195" i="1"/>
  <c r="N195" i="1"/>
  <c r="F195" i="1"/>
  <c r="U193" i="1"/>
  <c r="T193" i="1"/>
  <c r="N193" i="1"/>
  <c r="M193" i="1"/>
  <c r="F193" i="1"/>
  <c r="E193" i="1"/>
  <c r="U188" i="1"/>
  <c r="N188" i="1"/>
  <c r="F188" i="1"/>
  <c r="U187" i="1"/>
  <c r="N187" i="1"/>
  <c r="F187" i="1"/>
  <c r="U185" i="1"/>
  <c r="T185" i="1"/>
  <c r="N185" i="1"/>
  <c r="M185" i="1"/>
  <c r="F185" i="1"/>
  <c r="E185" i="1"/>
  <c r="U180" i="1"/>
  <c r="N180" i="1"/>
  <c r="F180" i="1"/>
  <c r="U179" i="1"/>
  <c r="N179" i="1"/>
  <c r="F179" i="1"/>
  <c r="U178" i="1"/>
  <c r="N178" i="1"/>
  <c r="F178" i="1"/>
  <c r="U177" i="1"/>
  <c r="N177" i="1"/>
  <c r="F177" i="1"/>
  <c r="U175" i="1"/>
  <c r="T175" i="1"/>
  <c r="N175" i="1"/>
  <c r="M175" i="1"/>
  <c r="F175" i="1"/>
  <c r="E175" i="1"/>
  <c r="U170" i="1"/>
  <c r="N170" i="1"/>
  <c r="F170" i="1"/>
  <c r="U169" i="1"/>
  <c r="N169" i="1"/>
  <c r="F169" i="1"/>
  <c r="U167" i="1"/>
  <c r="T167" i="1"/>
  <c r="N167" i="1"/>
  <c r="M167" i="1"/>
  <c r="F167" i="1"/>
  <c r="E167" i="1"/>
  <c r="U162" i="1"/>
  <c r="N162" i="1"/>
  <c r="F162" i="1"/>
  <c r="U161" i="1"/>
  <c r="N161" i="1"/>
  <c r="F161" i="1"/>
  <c r="U160" i="1"/>
  <c r="N160" i="1"/>
  <c r="F160" i="1"/>
  <c r="U159" i="1"/>
  <c r="N159" i="1"/>
  <c r="F159" i="1"/>
  <c r="U157" i="1"/>
  <c r="T157" i="1"/>
  <c r="N157" i="1"/>
  <c r="M157" i="1"/>
  <c r="F157" i="1"/>
  <c r="E157" i="1"/>
  <c r="F146" i="1"/>
  <c r="F145" i="1"/>
  <c r="F144" i="1"/>
  <c r="F143" i="1"/>
  <c r="F142" i="1"/>
  <c r="F140" i="1"/>
  <c r="E140" i="1"/>
  <c r="F139" i="1"/>
  <c r="E139" i="1"/>
  <c r="F138" i="1"/>
  <c r="E138" i="1"/>
  <c r="F137" i="1"/>
  <c r="E137" i="1"/>
  <c r="F136" i="1"/>
  <c r="E136" i="1"/>
  <c r="F135" i="1"/>
  <c r="E135" i="1"/>
  <c r="F134" i="1"/>
  <c r="E134" i="1"/>
  <c r="F133" i="1"/>
  <c r="E133" i="1"/>
  <c r="N129" i="1"/>
  <c r="N128" i="1"/>
  <c r="N127" i="1"/>
  <c r="F127" i="1"/>
  <c r="N126" i="1"/>
  <c r="F126" i="1"/>
  <c r="N125" i="1"/>
  <c r="F125" i="1"/>
  <c r="F124" i="1"/>
  <c r="N123" i="1"/>
  <c r="M123" i="1"/>
  <c r="F123" i="1"/>
  <c r="N122" i="1"/>
  <c r="M122" i="1"/>
  <c r="N121" i="1"/>
  <c r="M121" i="1"/>
  <c r="F121" i="1"/>
  <c r="E121" i="1"/>
  <c r="F120" i="1"/>
  <c r="E120" i="1"/>
  <c r="F119" i="1"/>
  <c r="E119" i="1"/>
  <c r="T115" i="1"/>
  <c r="N115" i="1"/>
  <c r="T114" i="1"/>
  <c r="N114" i="1"/>
  <c r="T113" i="1"/>
  <c r="N113" i="1"/>
  <c r="F113" i="1"/>
  <c r="T112" i="1"/>
  <c r="N112" i="1"/>
  <c r="F112" i="1"/>
  <c r="T111" i="1"/>
  <c r="N111" i="1"/>
  <c r="F111" i="1"/>
  <c r="F110" i="1"/>
  <c r="T109" i="1"/>
  <c r="S109" i="1"/>
  <c r="N109" i="1"/>
  <c r="M109" i="1"/>
  <c r="F109" i="1"/>
  <c r="T108" i="1"/>
  <c r="S108" i="1"/>
  <c r="N108" i="1"/>
  <c r="M108" i="1"/>
  <c r="T107" i="1"/>
  <c r="S107" i="1"/>
  <c r="N107" i="1"/>
  <c r="M107" i="1"/>
  <c r="F107" i="1"/>
  <c r="E107" i="1"/>
  <c r="T106" i="1"/>
  <c r="S106" i="1"/>
  <c r="N106" i="1"/>
  <c r="M106" i="1"/>
  <c r="F106" i="1"/>
  <c r="E106" i="1"/>
  <c r="F105" i="1"/>
  <c r="E105" i="1"/>
  <c r="T100" i="1"/>
  <c r="N100" i="1"/>
  <c r="T99" i="1"/>
  <c r="N99" i="1"/>
  <c r="F99" i="1"/>
  <c r="T98" i="1"/>
  <c r="N98" i="1"/>
  <c r="F98" i="1"/>
  <c r="T97" i="1"/>
  <c r="N97" i="1"/>
  <c r="F97" i="1"/>
  <c r="N96" i="1"/>
  <c r="F96" i="1"/>
  <c r="F95" i="1"/>
  <c r="T94" i="1"/>
  <c r="S94" i="1"/>
  <c r="N94" i="1"/>
  <c r="M94" i="1"/>
  <c r="T93" i="1"/>
  <c r="S93" i="1"/>
  <c r="N93" i="1"/>
  <c r="M93" i="1"/>
  <c r="F93" i="1"/>
  <c r="E93" i="1"/>
  <c r="T92" i="1"/>
  <c r="S92" i="1"/>
  <c r="N92" i="1"/>
  <c r="M92" i="1"/>
  <c r="F92" i="1"/>
  <c r="E92" i="1"/>
  <c r="T91" i="1"/>
  <c r="S91" i="1"/>
  <c r="N91" i="1"/>
  <c r="M91" i="1"/>
  <c r="F91" i="1"/>
  <c r="E91" i="1"/>
  <c r="F78" i="1"/>
  <c r="N77" i="1"/>
  <c r="F77" i="1"/>
  <c r="N76" i="1"/>
  <c r="F76" i="1"/>
  <c r="N75" i="1"/>
  <c r="F75" i="1"/>
  <c r="N74" i="1"/>
  <c r="F73" i="1"/>
  <c r="E73" i="1"/>
  <c r="N72" i="1"/>
  <c r="M72" i="1"/>
  <c r="F72" i="1"/>
  <c r="E72" i="1"/>
  <c r="N71" i="1"/>
  <c r="M71" i="1"/>
  <c r="F71" i="1"/>
  <c r="E71" i="1"/>
  <c r="N70" i="1"/>
  <c r="M70" i="1"/>
  <c r="F70" i="1"/>
  <c r="E70" i="1"/>
  <c r="N64" i="1"/>
  <c r="F64" i="1"/>
  <c r="N63" i="1"/>
  <c r="F63" i="1"/>
  <c r="N62" i="1"/>
  <c r="F62" i="1"/>
  <c r="N61" i="1"/>
  <c r="F61" i="1"/>
  <c r="N60" i="1"/>
  <c r="F60" i="1"/>
  <c r="N58" i="1"/>
  <c r="M58" i="1"/>
  <c r="F58" i="1"/>
  <c r="E58" i="1"/>
  <c r="N57" i="1"/>
  <c r="M57" i="1"/>
  <c r="F57" i="1"/>
  <c r="E57" i="1"/>
  <c r="N56" i="1"/>
  <c r="M56" i="1"/>
  <c r="F56" i="1"/>
  <c r="E56" i="1"/>
  <c r="N55" i="1"/>
  <c r="M55" i="1"/>
  <c r="F55" i="1"/>
  <c r="E55" i="1"/>
  <c r="N54" i="1"/>
  <c r="M54" i="1"/>
  <c r="F54" i="1"/>
  <c r="E54" i="1"/>
  <c r="N53" i="1"/>
  <c r="M53" i="1"/>
  <c r="F53" i="1"/>
  <c r="E53" i="1"/>
  <c r="F47" i="1"/>
  <c r="N46" i="1"/>
  <c r="F46" i="1"/>
  <c r="N45" i="1"/>
  <c r="F45" i="1"/>
  <c r="N44" i="1"/>
  <c r="F44" i="1"/>
  <c r="N43" i="1"/>
  <c r="F43" i="1"/>
  <c r="N42" i="1"/>
  <c r="F41" i="1"/>
  <c r="E41" i="1"/>
  <c r="N40" i="1"/>
  <c r="M40" i="1"/>
  <c r="F40" i="1"/>
  <c r="E40" i="1"/>
  <c r="N39" i="1"/>
  <c r="M39" i="1"/>
  <c r="F39" i="1"/>
  <c r="E39" i="1"/>
  <c r="N38" i="1"/>
  <c r="M38" i="1"/>
  <c r="F38" i="1"/>
  <c r="E38" i="1"/>
  <c r="N32" i="1"/>
  <c r="N31" i="1"/>
  <c r="F31" i="1"/>
  <c r="N30" i="1"/>
  <c r="F30" i="1"/>
  <c r="N29" i="1"/>
  <c r="F29" i="1"/>
  <c r="N28" i="1"/>
  <c r="F28" i="1"/>
  <c r="N26" i="1"/>
  <c r="M26" i="1"/>
  <c r="F26" i="1"/>
  <c r="E26" i="1"/>
  <c r="N25" i="1"/>
  <c r="M25" i="1"/>
  <c r="F25" i="1"/>
  <c r="E25" i="1"/>
  <c r="N24" i="1"/>
  <c r="M24" i="1"/>
  <c r="F24" i="1"/>
  <c r="E24" i="1"/>
  <c r="N23" i="1"/>
  <c r="M23" i="1"/>
  <c r="F23" i="1"/>
  <c r="E23" i="1"/>
  <c r="T18" i="1"/>
  <c r="G18" i="1"/>
  <c r="F18" i="1"/>
  <c r="T17" i="1"/>
  <c r="G17" i="1"/>
  <c r="F17" i="1"/>
  <c r="T16" i="1"/>
  <c r="G16" i="1"/>
  <c r="F16" i="1"/>
  <c r="T15" i="1"/>
  <c r="N15" i="1"/>
  <c r="G15" i="1"/>
  <c r="F15" i="1"/>
  <c r="T14" i="1"/>
  <c r="N14" i="1"/>
  <c r="Q13" i="1"/>
  <c r="N13" i="1"/>
  <c r="F13" i="1"/>
  <c r="E13" i="1"/>
  <c r="T12" i="1"/>
  <c r="S12" i="1"/>
  <c r="N12" i="1"/>
  <c r="F12" i="1"/>
  <c r="E12" i="1"/>
  <c r="T11" i="1"/>
  <c r="S11" i="1"/>
  <c r="F11" i="1"/>
  <c r="E11" i="1"/>
  <c r="T10" i="1"/>
  <c r="S10" i="1"/>
  <c r="N10" i="1"/>
  <c r="M10" i="1"/>
  <c r="F10" i="1"/>
  <c r="E10" i="1"/>
  <c r="T9" i="1"/>
  <c r="S9" i="1"/>
  <c r="N9" i="1"/>
  <c r="M9" i="1"/>
  <c r="F9" i="1"/>
  <c r="E9" i="1"/>
  <c r="T8" i="1"/>
  <c r="S8" i="1"/>
  <c r="N8" i="1"/>
  <c r="M8" i="1"/>
  <c r="F8" i="1"/>
  <c r="E8" i="1"/>
  <c r="T7" i="1"/>
  <c r="S7" i="1"/>
  <c r="N7" i="1"/>
  <c r="M7" i="1"/>
  <c r="F7" i="1"/>
  <c r="E7" i="1"/>
</calcChain>
</file>

<file path=xl/sharedStrings.xml><?xml version="1.0" encoding="utf-8"?>
<sst xmlns="http://schemas.openxmlformats.org/spreadsheetml/2006/main" count="3475" uniqueCount="680">
  <si>
    <t>SIGNATURE COCKTAIL RECIPE</t>
  </si>
  <si>
    <t>Ingredients</t>
  </si>
  <si>
    <t>QTY</t>
  </si>
  <si>
    <t>Unit Price</t>
  </si>
  <si>
    <t>Total Price</t>
  </si>
  <si>
    <t>Pandan Iceland</t>
  </si>
  <si>
    <t>ml</t>
  </si>
  <si>
    <t>Gordon Dry Gin</t>
  </si>
  <si>
    <t>Jose cuervo</t>
  </si>
  <si>
    <t>Moncino blanco</t>
  </si>
  <si>
    <t>Moncino Bianco</t>
  </si>
  <si>
    <t>Triple sec</t>
  </si>
  <si>
    <t>Lemon Fresh</t>
  </si>
  <si>
    <t>Lavanda Syrup</t>
  </si>
  <si>
    <t>lemon</t>
  </si>
  <si>
    <t>Kintamani Orange</t>
  </si>
  <si>
    <t>Lemon</t>
  </si>
  <si>
    <t>gr</t>
  </si>
  <si>
    <t>Simple syrup</t>
  </si>
  <si>
    <t>Pandan Syrup</t>
  </si>
  <si>
    <t>Total Qty</t>
  </si>
  <si>
    <t>Basil cordial</t>
  </si>
  <si>
    <t>Coconut Cream</t>
  </si>
  <si>
    <t>Basic Cost</t>
  </si>
  <si>
    <t>Elderflower syrup</t>
  </si>
  <si>
    <t>Hydro Coco</t>
  </si>
  <si>
    <t>Miscelenious 5%</t>
  </si>
  <si>
    <t>Portion / 120 ml</t>
  </si>
  <si>
    <t>Total Cost</t>
  </si>
  <si>
    <t>Garnish</t>
  </si>
  <si>
    <t>Sunkist 20 gr</t>
  </si>
  <si>
    <t>Percentage Cost %</t>
  </si>
  <si>
    <t>Selling Price ++</t>
  </si>
  <si>
    <t>Cocktail Signature La clique</t>
  </si>
  <si>
    <t>Limo</t>
  </si>
  <si>
    <t>Bols Creme De Cassis</t>
  </si>
  <si>
    <t>Elder Flower Syrup</t>
  </si>
  <si>
    <t>Plum Cordial</t>
  </si>
  <si>
    <t>Tonic Water</t>
  </si>
  <si>
    <t>can</t>
  </si>
  <si>
    <t>chilli 2 gr</t>
  </si>
  <si>
    <t>Bols Peach</t>
  </si>
  <si>
    <t>Cherry Cordial</t>
  </si>
  <si>
    <t>Peach Cordial</t>
  </si>
  <si>
    <t>jelly 1 pcs</t>
  </si>
  <si>
    <t>olive 2 pcs</t>
  </si>
  <si>
    <t>Cocktail Signature (KAPUSTION)</t>
  </si>
  <si>
    <t>Cocktail Signature (BALAGAN)</t>
  </si>
  <si>
    <t>Havana Club</t>
  </si>
  <si>
    <t>Iceland Black Tea</t>
  </si>
  <si>
    <t>Jose Cuervo</t>
  </si>
  <si>
    <t>Mango Syrup</t>
  </si>
  <si>
    <t>Kiwi Syrup</t>
  </si>
  <si>
    <t>Bols Lychee</t>
  </si>
  <si>
    <t>Bols Banana</t>
  </si>
  <si>
    <t>Superjuice</t>
  </si>
  <si>
    <t>Larutan Apple</t>
  </si>
  <si>
    <t>Sprite</t>
  </si>
  <si>
    <t>fruit 30 gr</t>
  </si>
  <si>
    <t>Cocktail Signature (SHORT DREAM)</t>
  </si>
  <si>
    <t>Black Tears</t>
  </si>
  <si>
    <t>Iceland Lychee</t>
  </si>
  <si>
    <t>Bols Amaretto</t>
  </si>
  <si>
    <t>Passion Fruit Puree</t>
  </si>
  <si>
    <t>Lemon Juice</t>
  </si>
  <si>
    <t>CLASSIC COCKTAIL RECIPE</t>
  </si>
  <si>
    <t>Classic Cocktail (Negroni)</t>
  </si>
  <si>
    <t>Classic Cocktail (Whiskey Sour)</t>
  </si>
  <si>
    <t>Classic Cocktail (Espresso Martini)</t>
  </si>
  <si>
    <t>Gordon Gin</t>
  </si>
  <si>
    <t>Jim Beam White</t>
  </si>
  <si>
    <t>Vodka</t>
  </si>
  <si>
    <t>Moncino Rosso</t>
  </si>
  <si>
    <t>Kahlua</t>
  </si>
  <si>
    <t>Campari</t>
  </si>
  <si>
    <t>Egg</t>
  </si>
  <si>
    <t>pcs</t>
  </si>
  <si>
    <t>Espresso</t>
  </si>
  <si>
    <t>Lemon 10 gr</t>
  </si>
  <si>
    <t>coffe bean</t>
  </si>
  <si>
    <t>Classic Cocktail (Aperol Spritz)</t>
  </si>
  <si>
    <t>Classic Cocktail (Daquiri)</t>
  </si>
  <si>
    <t>Classic Cocktail (Mojito)</t>
  </si>
  <si>
    <t xml:space="preserve">Aperol </t>
  </si>
  <si>
    <t>Polaris soda</t>
  </si>
  <si>
    <t>Cape Discovery</t>
  </si>
  <si>
    <t>Black Tiers</t>
  </si>
  <si>
    <t>MInt leaf</t>
  </si>
  <si>
    <t>Lime jc</t>
  </si>
  <si>
    <t>Lemon jc</t>
  </si>
  <si>
    <t>lime 10 gr</t>
  </si>
  <si>
    <t>Classic Cocktail (Margarita)</t>
  </si>
  <si>
    <t>Classic Cocktail (Manhattan)</t>
  </si>
  <si>
    <t>Lime</t>
  </si>
  <si>
    <t>JIm Beam</t>
  </si>
  <si>
    <t>Angostura</t>
  </si>
  <si>
    <t xml:space="preserve">Classic Cocktail (Long Island) </t>
  </si>
  <si>
    <t>Fashion Vodka</t>
  </si>
  <si>
    <t>Triple Sec</t>
  </si>
  <si>
    <t>Lemon Jc</t>
  </si>
  <si>
    <t>Simpe syrup</t>
  </si>
  <si>
    <t>Coca cola</t>
  </si>
  <si>
    <t>WINE RECIPE</t>
  </si>
  <si>
    <t>Shiraz Vitral by glass</t>
  </si>
  <si>
    <t>Talo merlot by glass</t>
  </si>
  <si>
    <t>Isola Syrah by glass</t>
  </si>
  <si>
    <t>Shiraz Vitral</t>
  </si>
  <si>
    <t>Talo merlot</t>
  </si>
  <si>
    <t xml:space="preserve">Isola Syrah </t>
  </si>
  <si>
    <t>Shiraz Vitral by bottle</t>
  </si>
  <si>
    <t>Talo merlot by bottle</t>
  </si>
  <si>
    <t>Isola Syrah by bottle</t>
  </si>
  <si>
    <t>ISola Syrah</t>
  </si>
  <si>
    <t>Stoneburn by glass</t>
  </si>
  <si>
    <t>Hunters  pinot grisby glass</t>
  </si>
  <si>
    <t>Isola Blanco by glass</t>
  </si>
  <si>
    <t>stoneburn</t>
  </si>
  <si>
    <t>Hunters pinot gris</t>
  </si>
  <si>
    <t>Isola blanco</t>
  </si>
  <si>
    <t>Stoneburn by bottle</t>
  </si>
  <si>
    <t>Hunters Pinot gris by bottle</t>
  </si>
  <si>
    <t>Isola Blanco by bottle</t>
  </si>
  <si>
    <t>Isola Blanco</t>
  </si>
  <si>
    <t>Prosecco by glass</t>
  </si>
  <si>
    <t>Calalenta rose by bottle</t>
  </si>
  <si>
    <t>Moet CHandon champagne by bottle</t>
  </si>
  <si>
    <t>prosecco</t>
  </si>
  <si>
    <t>Calalenta</t>
  </si>
  <si>
    <t>Ivicolas</t>
  </si>
  <si>
    <t>Nicolas champagne by bottle</t>
  </si>
  <si>
    <t>Prosecco by bottle</t>
  </si>
  <si>
    <t>Nicholas</t>
  </si>
  <si>
    <t>Hunters RIesling by glass</t>
  </si>
  <si>
    <t>Estimulo Malbec by glass</t>
  </si>
  <si>
    <t>Hunters RIesling</t>
  </si>
  <si>
    <t>Estimulo Malbec</t>
  </si>
  <si>
    <t>Hunters RIesling by bottle</t>
  </si>
  <si>
    <t>Estimulo Malbec by bottle</t>
  </si>
  <si>
    <t>SHOOTER RECIPE</t>
  </si>
  <si>
    <t>Sipsmith by shoot</t>
  </si>
  <si>
    <t>Roku by shoot</t>
  </si>
  <si>
    <t>Baileys by shot</t>
  </si>
  <si>
    <t>Sipsmith</t>
  </si>
  <si>
    <t>Roku</t>
  </si>
  <si>
    <t>Baileys</t>
  </si>
  <si>
    <t>Sipsmith by bottle</t>
  </si>
  <si>
    <t>Roku by bottle</t>
  </si>
  <si>
    <t>Kahlua by shot</t>
  </si>
  <si>
    <t>Hendrick by shoot</t>
  </si>
  <si>
    <t>Herradura by shoot</t>
  </si>
  <si>
    <t>Hendrick</t>
  </si>
  <si>
    <t>Herradura</t>
  </si>
  <si>
    <t>Hendrick by bottle</t>
  </si>
  <si>
    <t>Herradura by bottle</t>
  </si>
  <si>
    <t>Eljimador by shoot</t>
  </si>
  <si>
    <t>Diplomatico by shoot</t>
  </si>
  <si>
    <t>Eljimador</t>
  </si>
  <si>
    <t>Diplomatico</t>
  </si>
  <si>
    <t>Eljimador by bottle</t>
  </si>
  <si>
    <t>Diplomatico by bottle</t>
  </si>
  <si>
    <t>Greygoose by shoot</t>
  </si>
  <si>
    <t>Jack daniel by shoot</t>
  </si>
  <si>
    <t>Greygoose</t>
  </si>
  <si>
    <t>Jack daniel</t>
  </si>
  <si>
    <t>Greygoose by bottle</t>
  </si>
  <si>
    <t>Jack daniel by bottle</t>
  </si>
  <si>
    <t>JImbeam by shoot</t>
  </si>
  <si>
    <t>Auchentosan by shoot</t>
  </si>
  <si>
    <t>JImbeam</t>
  </si>
  <si>
    <t>Auchentosan</t>
  </si>
  <si>
    <t>JImbeam by bottle</t>
  </si>
  <si>
    <t>Auchentosan by bottle</t>
  </si>
  <si>
    <t>Courvoisier by shoot</t>
  </si>
  <si>
    <t>Courvoisier by bottle</t>
  </si>
  <si>
    <t>Courvoisier</t>
  </si>
  <si>
    <t>Jaggermaister by shoot</t>
  </si>
  <si>
    <t>Codigo by shoot</t>
  </si>
  <si>
    <t>jaggermaister</t>
  </si>
  <si>
    <t>Codigo</t>
  </si>
  <si>
    <t>Jaggermaister by bottle</t>
  </si>
  <si>
    <t>Codigo by bottle</t>
  </si>
  <si>
    <t>jaggermister</t>
  </si>
  <si>
    <t>BEER RECIPE</t>
  </si>
  <si>
    <t>Corona</t>
  </si>
  <si>
    <t>Bintang</t>
  </si>
  <si>
    <t>Albens</t>
  </si>
  <si>
    <t>btl</t>
  </si>
  <si>
    <t>Sunsetroad</t>
  </si>
  <si>
    <t>Radler lemon</t>
  </si>
  <si>
    <t>COFFEE RECIPE</t>
  </si>
  <si>
    <t>ESPRESSO SINGLE / DOUBLE</t>
  </si>
  <si>
    <t>AMERICANO</t>
  </si>
  <si>
    <t>Coffee bean</t>
  </si>
  <si>
    <t>Water</t>
  </si>
  <si>
    <t>CAPPUCINO</t>
  </si>
  <si>
    <t>FLAT WHITE</t>
  </si>
  <si>
    <t>Fresh milk</t>
  </si>
  <si>
    <t>Cookies</t>
  </si>
  <si>
    <t>LATTE</t>
  </si>
  <si>
    <t>MATCHA</t>
  </si>
  <si>
    <t>Matcha powder</t>
  </si>
  <si>
    <t>ADDITIONAL SYRUP (HAZELNUT, CARAMEL, VANILLA, BUTTERSCHOTCH)</t>
  </si>
  <si>
    <t>ADDITIONAL OATMILK</t>
  </si>
  <si>
    <t>Syrup</t>
  </si>
  <si>
    <t>Oatmilk</t>
  </si>
  <si>
    <t>ADDITIONAL SOYMILK</t>
  </si>
  <si>
    <t>ADDITIONAL ALMOND</t>
  </si>
  <si>
    <t>Soymilk</t>
  </si>
  <si>
    <t>Almond</t>
  </si>
  <si>
    <t>HEALTHY MIX RECIPE</t>
  </si>
  <si>
    <t>IMMUNE BOOSTER</t>
  </si>
  <si>
    <t>SWEET LIFE</t>
  </si>
  <si>
    <t>Caisin</t>
  </si>
  <si>
    <t>Carrot</t>
  </si>
  <si>
    <t>mint leave</t>
  </si>
  <si>
    <t>Pineapple</t>
  </si>
  <si>
    <t>Cucumber</t>
  </si>
  <si>
    <t>Green apple</t>
  </si>
  <si>
    <t>Kintamani orange</t>
  </si>
  <si>
    <t>apple 50 gr</t>
  </si>
  <si>
    <t>caisin 5 gr</t>
  </si>
  <si>
    <t>cucumber 10 gr</t>
  </si>
  <si>
    <t>SOUR EMOTION</t>
  </si>
  <si>
    <t>Strawberry</t>
  </si>
  <si>
    <t>Strawberry 20 gr</t>
  </si>
  <si>
    <t>FRESH JUICE RECIPE</t>
  </si>
  <si>
    <t>MANGO JUICE</t>
  </si>
  <si>
    <t>WATERMELON JUICE</t>
  </si>
  <si>
    <t>CARROT JUICE</t>
  </si>
  <si>
    <t>Mango fresh</t>
  </si>
  <si>
    <t>Watermelon fresh</t>
  </si>
  <si>
    <t>Carrot fresh</t>
  </si>
  <si>
    <t>ORANGE JUICE</t>
  </si>
  <si>
    <t>LEMON JUICE</t>
  </si>
  <si>
    <t>APPLE JUICE</t>
  </si>
  <si>
    <t>Apple Fresh</t>
  </si>
  <si>
    <t>PINEAPPLE JUICE</t>
  </si>
  <si>
    <t>STRAWBERRY JUICE</t>
  </si>
  <si>
    <t>Pineapple fresh</t>
  </si>
  <si>
    <t>Strawberry Fresh</t>
  </si>
  <si>
    <t>HOT TEA RECIPE</t>
  </si>
  <si>
    <t>RED GABA</t>
  </si>
  <si>
    <t>SHU PUER</t>
  </si>
  <si>
    <t>Red gaba</t>
  </si>
  <si>
    <t>Shu puer</t>
  </si>
  <si>
    <t>TIE GUAN YIN</t>
  </si>
  <si>
    <t>MILK OOLONG</t>
  </si>
  <si>
    <t>Tie guan yin</t>
  </si>
  <si>
    <t>Milk oolong</t>
  </si>
  <si>
    <t>MANGO OOLONG</t>
  </si>
  <si>
    <t>CHAMOMILE</t>
  </si>
  <si>
    <t>Mango oolong</t>
  </si>
  <si>
    <t>Chamomile</t>
  </si>
  <si>
    <t>WHITE TEA</t>
  </si>
  <si>
    <t>BLACK TEA</t>
  </si>
  <si>
    <t>White tea</t>
  </si>
  <si>
    <t>Sariwangi</t>
  </si>
  <si>
    <t>SOFT DRINK RECIPE</t>
  </si>
  <si>
    <t>COCA COLA</t>
  </si>
  <si>
    <t>SPRITE</t>
  </si>
  <si>
    <t>POLARIS SODA</t>
  </si>
  <si>
    <t>TONIC</t>
  </si>
  <si>
    <t>RED BULL</t>
  </si>
  <si>
    <t>FRESH COCONUT</t>
  </si>
  <si>
    <t>INDONESIAN APPLE SODA</t>
  </si>
  <si>
    <t>GINGER ALE</t>
  </si>
  <si>
    <t>GINER ALE</t>
  </si>
  <si>
    <t>MINERAL WATER RECIPE</t>
  </si>
  <si>
    <t>AQUA STILL 330 ML</t>
  </si>
  <si>
    <t>AQUA STILL 750 ML</t>
  </si>
  <si>
    <t>AQUA SPARKLING 330 ML</t>
  </si>
  <si>
    <t>AQUA SPARKLING 750 ML</t>
  </si>
  <si>
    <t>SAN PELLEGRINO</t>
  </si>
  <si>
    <t>lemon 20 gr</t>
  </si>
  <si>
    <t>ICE TEA RECIPE</t>
  </si>
  <si>
    <t>ICE TEA</t>
  </si>
  <si>
    <t>LEMON ICE TEA</t>
  </si>
  <si>
    <t>GRAPE ICE TEA</t>
  </si>
  <si>
    <t>GRAPE ICE TEA 1 LITER</t>
  </si>
  <si>
    <t>RAW TEA</t>
  </si>
  <si>
    <t>Raw tea</t>
  </si>
  <si>
    <t>Grape syrup</t>
  </si>
  <si>
    <t>mint leave 5 gr</t>
  </si>
  <si>
    <t>lime 50 gr</t>
  </si>
  <si>
    <t>lemon 10 gr</t>
  </si>
  <si>
    <t>KIWI ICE TEA</t>
  </si>
  <si>
    <t>KIWI ICE TEA 1 LITER</t>
  </si>
  <si>
    <t>lYCHEE ICE TEA</t>
  </si>
  <si>
    <t>LYCHEE ICE TEA 1 LITER</t>
  </si>
  <si>
    <t>Kiwi syrup</t>
  </si>
  <si>
    <t>Lychee syrup</t>
  </si>
  <si>
    <t>MANGO ICE TEA</t>
  </si>
  <si>
    <t>MANGO ICE TEA 1 LITER</t>
  </si>
  <si>
    <t>CHERRY ICE TEA</t>
  </si>
  <si>
    <t>CHEERRY ICE TEA 1 LITER</t>
  </si>
  <si>
    <t>Mango syrup</t>
  </si>
  <si>
    <t>CHERRY syrup</t>
  </si>
  <si>
    <t>PEACH ICE TEA</t>
  </si>
  <si>
    <t>PEACH ICE TEA 1 LITER</t>
  </si>
  <si>
    <t>PANDAN ICE TEA</t>
  </si>
  <si>
    <t>PANDAN ICE TEA 1 LITER</t>
  </si>
  <si>
    <t>Peach syrup</t>
  </si>
  <si>
    <t>Pandan syrup</t>
  </si>
  <si>
    <t>LEMONADE RECIPE</t>
  </si>
  <si>
    <t>CHERRY LYCHHE LEMONADE</t>
  </si>
  <si>
    <t>CHERRY LYCHHE LEMONADE 1 LITER</t>
  </si>
  <si>
    <t>Cherry cordial</t>
  </si>
  <si>
    <t>lychee 30 gr</t>
  </si>
  <si>
    <t>lychee 100 gr</t>
  </si>
  <si>
    <t>KIWI MANGO LEMONADE</t>
  </si>
  <si>
    <t>KIWI MANGO LEMONADE 1 LITER</t>
  </si>
  <si>
    <t>KINTAMANI PASSION FRUIT LEMONADE</t>
  </si>
  <si>
    <t>KINTAMANI PASSION FRUIT LEMONADE 1 liter</t>
  </si>
  <si>
    <t xml:space="preserve">Passion fruit puree </t>
  </si>
  <si>
    <t>Sunkist 60 gr</t>
  </si>
  <si>
    <t>VANILLA MILKSHAKE</t>
  </si>
  <si>
    <t>CHOCOLATE MILKSHAKE</t>
  </si>
  <si>
    <t>Vanilla Ice cream</t>
  </si>
  <si>
    <t>Chocolate Ice cream</t>
  </si>
  <si>
    <t>Choco Powder</t>
  </si>
  <si>
    <t>Vanilla syrup</t>
  </si>
  <si>
    <t>Cherry 2 pcs</t>
  </si>
  <si>
    <t>STRAWBERRY MILKSHAKE</t>
  </si>
  <si>
    <t>BANANA MILKSHAKE</t>
  </si>
  <si>
    <t>Strawberry Ice cream</t>
  </si>
  <si>
    <t>Strawberry fresh</t>
  </si>
  <si>
    <t>Banana</t>
  </si>
  <si>
    <t>ROOTS JUICE</t>
  </si>
  <si>
    <t>MIX BERRY LEMONADE</t>
  </si>
  <si>
    <t>MIX BERRY LEMONADE 1liter</t>
  </si>
  <si>
    <t>Vodka Chamomile</t>
  </si>
  <si>
    <t>Beetroot</t>
  </si>
  <si>
    <t>Berry cordial</t>
  </si>
  <si>
    <t>Aperol</t>
  </si>
  <si>
    <t>Blue berry syrup</t>
  </si>
  <si>
    <t>Ginger</t>
  </si>
  <si>
    <t>Honey</t>
  </si>
  <si>
    <t>angostura</t>
  </si>
  <si>
    <t>OSMANTHUS PALOMA LEMONADE</t>
  </si>
  <si>
    <t>OSMANTHUS PALOMA LEMONADE 1 LITER</t>
  </si>
  <si>
    <t>Cocktail Signature Starwood</t>
  </si>
  <si>
    <t>Osmanthus syrup</t>
  </si>
  <si>
    <t>Jimbeam rosemary</t>
  </si>
  <si>
    <t>Paloma syrup</t>
  </si>
  <si>
    <t>HYDRATE &amp; HEAL</t>
  </si>
  <si>
    <t>Watermelon</t>
  </si>
  <si>
    <t>MInt leave</t>
  </si>
  <si>
    <t>ginger</t>
  </si>
  <si>
    <t>MInt 3 gr</t>
  </si>
  <si>
    <t>Vodka cheese</t>
  </si>
  <si>
    <t>Amaretto</t>
  </si>
  <si>
    <t>Oat milk</t>
  </si>
  <si>
    <t>Hazelnut syrup</t>
  </si>
  <si>
    <t>Grilled cheese</t>
  </si>
  <si>
    <t>Classic Cocktail bloody mary</t>
  </si>
  <si>
    <t>Tomato puree</t>
  </si>
  <si>
    <t>Tabasco</t>
  </si>
  <si>
    <t>Lea &amp; perrins</t>
  </si>
  <si>
    <t xml:space="preserve">salt </t>
  </si>
  <si>
    <t>pepper</t>
  </si>
  <si>
    <t>Cocktail Classic Cosmopolitan</t>
  </si>
  <si>
    <t>Cranberry jc</t>
  </si>
  <si>
    <t xml:space="preserve">Lemon </t>
  </si>
  <si>
    <t>simple syrup</t>
  </si>
  <si>
    <t xml:space="preserve">Cherry </t>
  </si>
  <si>
    <t>Cocktail Classic Pinacolada</t>
  </si>
  <si>
    <t>Havana rum</t>
  </si>
  <si>
    <t>Malibu rum</t>
  </si>
  <si>
    <t>Coconut cream</t>
  </si>
  <si>
    <t>SImple syrup</t>
  </si>
  <si>
    <t>Pineapple 30 gr</t>
  </si>
  <si>
    <t>Honey glow/ Strawbana dream/ Sweet harmony/ Pinky swirl</t>
  </si>
  <si>
    <t>Green glow / Morning greenery / detox dream / Green muse / Green harmony</t>
  </si>
  <si>
    <t>Spinach</t>
  </si>
  <si>
    <t>Avocado</t>
  </si>
  <si>
    <t>Yoghurt</t>
  </si>
  <si>
    <t>Coconut water</t>
  </si>
  <si>
    <t>Apple</t>
  </si>
  <si>
    <t>Basil</t>
  </si>
  <si>
    <t>Strawberry 2 gr</t>
  </si>
  <si>
    <t>Cinnamon stick 5 gr</t>
  </si>
  <si>
    <t>Cinnanana dream / Nutty glow smoothie/ Bee nut boost / Honey fuel smoothie</t>
  </si>
  <si>
    <t>Mango flex / Yo glow /Pro mango shake</t>
  </si>
  <si>
    <t>Peanut butter</t>
  </si>
  <si>
    <t>Mango</t>
  </si>
  <si>
    <t>Cinnamon powder</t>
  </si>
  <si>
    <t>Cinnamon powder 1 gr</t>
  </si>
  <si>
    <t>Protein powder</t>
  </si>
  <si>
    <t>Mint leaf 2 gr</t>
  </si>
  <si>
    <t>Nutgain shake / Musclemojo / Cocoa build / Choco charge / Chocomax</t>
  </si>
  <si>
    <t>Choco powder</t>
  </si>
  <si>
    <t>Pink zest / Citru bloom / Lemon lush / Aurora smoothies</t>
  </si>
  <si>
    <t>Yakult</t>
  </si>
  <si>
    <t>Chocolate powder 1 gr</t>
  </si>
  <si>
    <t>Pineapple 10 gr</t>
  </si>
  <si>
    <t xml:space="preserve">Gluhwein </t>
  </si>
  <si>
    <t>Isola syrah</t>
  </si>
  <si>
    <t>Captain morgan</t>
  </si>
  <si>
    <t>Orange jc</t>
  </si>
  <si>
    <t>orange fresh</t>
  </si>
  <si>
    <t>Clove</t>
  </si>
  <si>
    <t>cinnamon</t>
  </si>
  <si>
    <t>Star anise</t>
  </si>
  <si>
    <t>kapulaga</t>
  </si>
  <si>
    <t>COSTY NEW YEARS</t>
  </si>
  <si>
    <t>Soft drink</t>
  </si>
  <si>
    <t>port</t>
  </si>
  <si>
    <t>Prosecco</t>
  </si>
  <si>
    <t>Btl</t>
  </si>
  <si>
    <t>PREPARATION</t>
  </si>
  <si>
    <t>PANDAN ICELAND</t>
  </si>
  <si>
    <t>UNIT PRICE</t>
  </si>
  <si>
    <t>UNIT PRICE / ML</t>
  </si>
  <si>
    <t>INGREDIENT</t>
  </si>
  <si>
    <t>Iceland vodka</t>
  </si>
  <si>
    <t>500 ml</t>
  </si>
  <si>
    <t>Pandan Leaf</t>
  </si>
  <si>
    <t>25 gr</t>
  </si>
  <si>
    <t>TOTAL ML</t>
  </si>
  <si>
    <t>450 ML</t>
  </si>
  <si>
    <t>METHOD</t>
  </si>
  <si>
    <t>Place all ingredients in a vacuum bag. Cook in sous vide for 2 hours at 55 degrees. Cool quickly in the freezer for half an hour. Filter.</t>
  </si>
  <si>
    <t>VODKA CHAMOMILE</t>
  </si>
  <si>
    <t>Fashion vodka</t>
  </si>
  <si>
    <t>750 ml</t>
  </si>
  <si>
    <t>10 gr</t>
  </si>
  <si>
    <t>700 ML</t>
  </si>
  <si>
    <t>WHISKY ROSEMARY</t>
  </si>
  <si>
    <t>Jimbeam White</t>
  </si>
  <si>
    <t>Rosemary</t>
  </si>
  <si>
    <t>8 gr</t>
  </si>
  <si>
    <t>VODKA CHEESE</t>
  </si>
  <si>
    <t>Cheese cream</t>
  </si>
  <si>
    <t>100 gr</t>
  </si>
  <si>
    <t>Parmesan cheese</t>
  </si>
  <si>
    <t>50 gr</t>
  </si>
  <si>
    <t>GIN SESAME OIL</t>
  </si>
  <si>
    <t>Gordons Gin</t>
  </si>
  <si>
    <t>350 ml</t>
  </si>
  <si>
    <t>Seasame oil</t>
  </si>
  <si>
    <t>300 ML</t>
  </si>
  <si>
    <t>Place all ingredients in a vacuum bag. Cook in sous vide for 2 hours at 80 degrees. Cool quickly in the freezer for 24 an hour. Fast filter.</t>
  </si>
  <si>
    <t>GORDON GIN EARL GREY</t>
  </si>
  <si>
    <t>Earl Grey Tea Bag</t>
  </si>
  <si>
    <t>2 pcs</t>
  </si>
  <si>
    <t>Place 2 teabags in the gin for 40 min. Take them out after squeezing them</t>
  </si>
  <si>
    <t>LAVANDA SYRUP</t>
  </si>
  <si>
    <t>Soy milk</t>
  </si>
  <si>
    <t>1000 ml</t>
  </si>
  <si>
    <t>Sugar</t>
  </si>
  <si>
    <t>1000 gr</t>
  </si>
  <si>
    <t>300 ml</t>
  </si>
  <si>
    <t>Lavanda dry</t>
  </si>
  <si>
    <t>Butterfly flover</t>
  </si>
  <si>
    <t>1500 ML</t>
  </si>
  <si>
    <t>In a saucepan, place soy milk, sugar and 
water. Dissolve the sugar, then add 
the lavender. Leave on the stove for 20 minutes over low heat, 
stirring occasionally. Add 
clitoria. Cook for another 10 minutes. Cool and strain.</t>
  </si>
  <si>
    <t>SUPERJUICE</t>
  </si>
  <si>
    <t>Lemon Zest</t>
  </si>
  <si>
    <t>5 gr</t>
  </si>
  <si>
    <t>Kintamani Orange Zest</t>
  </si>
  <si>
    <t>4 gr</t>
  </si>
  <si>
    <t>Lime Zest</t>
  </si>
  <si>
    <t>Lemon Acid</t>
  </si>
  <si>
    <t>14 gr</t>
  </si>
  <si>
    <t>1600 ml</t>
  </si>
  <si>
    <t>250 ml</t>
  </si>
  <si>
    <t>Kintamani Orange Fresh</t>
  </si>
  <si>
    <t>150 ml</t>
  </si>
  <si>
    <t>Place zest and citric acid in a vacuum bag. Vacuum for 30 seconds. Leave for 2-3 hours until the acid is completely dissolved and the essential oils are released. Rinse the bag with the specified volume of water and beat the zest and water in a blender. Mix with the strained juice. Filter through a superbag.</t>
  </si>
  <si>
    <t>BASIL CORDIAL</t>
  </si>
  <si>
    <t>20 gr</t>
  </si>
  <si>
    <t>Citric acid</t>
  </si>
  <si>
    <t>Blen all ingridient in blender, Strain all ingridient to cheese cloth</t>
  </si>
  <si>
    <t>PEACH CORDIAL</t>
  </si>
  <si>
    <t>Peach Syrup</t>
  </si>
  <si>
    <t>100 ml</t>
  </si>
  <si>
    <t>Mix</t>
  </si>
  <si>
    <t>CHERRY CORDIAL</t>
  </si>
  <si>
    <t>Cherry Syrup</t>
  </si>
  <si>
    <t>BERRY CORDIAL</t>
  </si>
  <si>
    <t>Mix berry</t>
  </si>
  <si>
    <t>PLUM CORDIAL</t>
  </si>
  <si>
    <t>Plum Syrup</t>
  </si>
  <si>
    <t>ORANGE JC</t>
  </si>
  <si>
    <t>WASTE</t>
  </si>
  <si>
    <t>550 gr</t>
  </si>
  <si>
    <t>LEMON JC</t>
  </si>
  <si>
    <t>450 gr</t>
  </si>
  <si>
    <t>SIMPLE SYRUP</t>
  </si>
  <si>
    <t>700 ml</t>
  </si>
  <si>
    <t>Tea bag sariwangi</t>
  </si>
  <si>
    <t>2000 ml</t>
  </si>
  <si>
    <t>ICE CUBE SQUARE</t>
  </si>
  <si>
    <t>3000 ml</t>
  </si>
  <si>
    <t>8 PCS</t>
  </si>
  <si>
    <t>ICE CUBE ROUND</t>
  </si>
  <si>
    <t>3 PCS</t>
  </si>
  <si>
    <t>ICE CUBE PRISM</t>
  </si>
  <si>
    <t>6 PCS</t>
  </si>
  <si>
    <t>RUM MATCHA</t>
  </si>
  <si>
    <t>200 ml</t>
  </si>
  <si>
    <t>Matcha Powder</t>
  </si>
  <si>
    <t>1 can</t>
  </si>
  <si>
    <t>SUPPLIER</t>
  </si>
  <si>
    <t>ITEM</t>
  </si>
  <si>
    <t>PRICE</t>
  </si>
  <si>
    <t>REMARK</t>
  </si>
  <si>
    <t>PRICE IN ML / GRAM</t>
  </si>
  <si>
    <t>TOKO BUNGA</t>
  </si>
  <si>
    <t>Fresh Milk</t>
  </si>
  <si>
    <t>1 LTR</t>
  </si>
  <si>
    <t>DDW</t>
  </si>
  <si>
    <t>Soy Milk</t>
  </si>
  <si>
    <t>Oat Milk</t>
  </si>
  <si>
    <t>CapeDiscovery</t>
  </si>
  <si>
    <t>300 ml / 1 KG</t>
  </si>
  <si>
    <t>ISOLA</t>
  </si>
  <si>
    <t>300 ML / 1KG</t>
  </si>
  <si>
    <t>Isola Syrah</t>
  </si>
  <si>
    <t>Sunkist</t>
  </si>
  <si>
    <t>1 kg</t>
  </si>
  <si>
    <t>SUNSETROAD</t>
  </si>
  <si>
    <t>12 btl</t>
  </si>
  <si>
    <t>Manggo</t>
  </si>
  <si>
    <t>1 KG</t>
  </si>
  <si>
    <t>CORONA</t>
  </si>
  <si>
    <t>24 btl</t>
  </si>
  <si>
    <t>TSING TAO</t>
  </si>
  <si>
    <t>Tsing tao</t>
  </si>
  <si>
    <t>Kayu manis</t>
  </si>
  <si>
    <t>ALBENS</t>
  </si>
  <si>
    <t>VINYARD</t>
  </si>
  <si>
    <t>Icelan Blacktea</t>
  </si>
  <si>
    <t>Robinso gin</t>
  </si>
  <si>
    <t>BOLS</t>
  </si>
  <si>
    <t>Creme de cassis</t>
  </si>
  <si>
    <t>chlli</t>
  </si>
  <si>
    <t>0,3 KG</t>
  </si>
  <si>
    <t>Peach Bols</t>
  </si>
  <si>
    <t>Banana Bols</t>
  </si>
  <si>
    <t>Lychee Bols</t>
  </si>
  <si>
    <t>Mint Leaf</t>
  </si>
  <si>
    <t>12 pcs</t>
  </si>
  <si>
    <t>Beetroots</t>
  </si>
  <si>
    <t>1KG</t>
  </si>
  <si>
    <t>75 gr</t>
  </si>
  <si>
    <t>Cinnamo stick</t>
  </si>
  <si>
    <t>Chocolate powder</t>
  </si>
  <si>
    <t>165 gr</t>
  </si>
  <si>
    <t>40 gr</t>
  </si>
  <si>
    <t>500 gr</t>
  </si>
  <si>
    <t>5 pcs</t>
  </si>
  <si>
    <t>Black Olive</t>
  </si>
  <si>
    <t>50 pcs</t>
  </si>
  <si>
    <t>Tea sariwangi</t>
  </si>
  <si>
    <t>100 PCS</t>
  </si>
  <si>
    <t>Parmesan</t>
  </si>
  <si>
    <t>Mix Berry</t>
  </si>
  <si>
    <t>Coconut Milk</t>
  </si>
  <si>
    <t>1 ltr</t>
  </si>
  <si>
    <t>Vanilla ice cream</t>
  </si>
  <si>
    <t>8000 ml</t>
  </si>
  <si>
    <t>500 ML</t>
  </si>
  <si>
    <t>Lychee Can</t>
  </si>
  <si>
    <t>1 CAN</t>
  </si>
  <si>
    <t>1 PCS</t>
  </si>
  <si>
    <t>WARUNG EKA</t>
  </si>
  <si>
    <t>Aqua</t>
  </si>
  <si>
    <t>19 LTR</t>
  </si>
  <si>
    <t>Cleo</t>
  </si>
  <si>
    <t>Ice Cube</t>
  </si>
  <si>
    <t>24 CAN</t>
  </si>
  <si>
    <t>Coke</t>
  </si>
  <si>
    <t>Coke Zero</t>
  </si>
  <si>
    <t>Tonic water</t>
  </si>
  <si>
    <t>Aqua still 750 ml</t>
  </si>
  <si>
    <t>6 BTL</t>
  </si>
  <si>
    <t>Aqua still 330 ml</t>
  </si>
  <si>
    <t>12 BTL</t>
  </si>
  <si>
    <t>Aqua sparkling 750 ml</t>
  </si>
  <si>
    <t>Aqua sparkling 330 ml</t>
  </si>
  <si>
    <t>24 BTL</t>
  </si>
  <si>
    <t>Ginger ale</t>
  </si>
  <si>
    <t>Radler</t>
  </si>
  <si>
    <t>Redbull</t>
  </si>
  <si>
    <t>PNB</t>
  </si>
  <si>
    <t>Jim beam black</t>
  </si>
  <si>
    <t>Jim beam white</t>
  </si>
  <si>
    <t>Havana club</t>
  </si>
  <si>
    <t>Black tears</t>
  </si>
  <si>
    <t>Jack daniels</t>
  </si>
  <si>
    <t>El jimador</t>
  </si>
  <si>
    <t>Sipsmith gin</t>
  </si>
  <si>
    <t>Roku gin</t>
  </si>
  <si>
    <t>Codigo Blanco</t>
  </si>
  <si>
    <t>750ml</t>
  </si>
  <si>
    <t>Mancino Rosso</t>
  </si>
  <si>
    <t>Mancino Secco</t>
  </si>
  <si>
    <t>Mancino Bianco</t>
  </si>
  <si>
    <t>DSP</t>
  </si>
  <si>
    <t>Gordon gin</t>
  </si>
  <si>
    <t>Hendrick gin</t>
  </si>
  <si>
    <t>Grey goose</t>
  </si>
  <si>
    <t>Malibu</t>
  </si>
  <si>
    <t>Courvesier</t>
  </si>
  <si>
    <t>Stoneburn</t>
  </si>
  <si>
    <t>Hunters</t>
  </si>
  <si>
    <t>Talo primitivo</t>
  </si>
  <si>
    <t>Vitral syrah</t>
  </si>
  <si>
    <t>Prosecco travisio</t>
  </si>
  <si>
    <t>Moet chandhon</t>
  </si>
  <si>
    <t>NIckola champagne</t>
  </si>
  <si>
    <t>Calantini Rose</t>
  </si>
  <si>
    <t>CHAI TEA</t>
  </si>
  <si>
    <t>Guan Yin</t>
  </si>
  <si>
    <t>Red Gaba</t>
  </si>
  <si>
    <t>Milk Oolong</t>
  </si>
  <si>
    <t>Mango Oolong</t>
  </si>
  <si>
    <t>360 gr</t>
  </si>
  <si>
    <t>EXPAT</t>
  </si>
  <si>
    <t>Matcha</t>
  </si>
  <si>
    <t>250 gr</t>
  </si>
  <si>
    <t>BLACKLIST</t>
  </si>
  <si>
    <t>BALIAN</t>
  </si>
  <si>
    <t>Still 330 ml</t>
  </si>
  <si>
    <t>Still 750 ml</t>
  </si>
  <si>
    <t>6 btl</t>
  </si>
  <si>
    <t>Sparkling 330 ml</t>
  </si>
  <si>
    <t>Sparkling 750 ml</t>
  </si>
  <si>
    <t>San pelle</t>
  </si>
  <si>
    <t>36 btl</t>
  </si>
  <si>
    <t>COCONUT</t>
  </si>
  <si>
    <t>Coconut</t>
  </si>
  <si>
    <t>20 pcs</t>
  </si>
  <si>
    <t>PUREE</t>
  </si>
  <si>
    <t>Passion fruit</t>
  </si>
  <si>
    <t>STIRUP</t>
  </si>
  <si>
    <t>Kiwi</t>
  </si>
  <si>
    <t>Peach</t>
  </si>
  <si>
    <t>Plum</t>
  </si>
  <si>
    <t>Pandan</t>
  </si>
  <si>
    <t>Elderflower</t>
  </si>
  <si>
    <t>Lychee</t>
  </si>
  <si>
    <t>Cherry</t>
  </si>
  <si>
    <t>Vanilla</t>
  </si>
  <si>
    <t>Caramel</t>
  </si>
  <si>
    <t>Hazelnut</t>
  </si>
  <si>
    <t>Butter Scotch</t>
  </si>
  <si>
    <t>NATURAL</t>
  </si>
  <si>
    <t>Lavender dry</t>
  </si>
  <si>
    <t>Butterfly pea dry</t>
  </si>
  <si>
    <t>30 gr</t>
  </si>
  <si>
    <t>MARKET</t>
  </si>
  <si>
    <t>Sesame oil</t>
  </si>
  <si>
    <t>110 gr</t>
  </si>
  <si>
    <t>Jelly</t>
  </si>
  <si>
    <t>1 pcs</t>
  </si>
  <si>
    <t>acid lemon</t>
  </si>
  <si>
    <t>65 gr</t>
  </si>
  <si>
    <t>60 ml</t>
  </si>
  <si>
    <t>Worchestershire sc</t>
  </si>
  <si>
    <t>284 ml</t>
  </si>
  <si>
    <t>1,5 ltr</t>
  </si>
  <si>
    <t>Salt</t>
  </si>
  <si>
    <t>Pepper</t>
  </si>
  <si>
    <t>Larutan apple</t>
  </si>
  <si>
    <t>Grape jc</t>
  </si>
  <si>
    <t>1500 ml</t>
  </si>
  <si>
    <t>Lavanda syrup</t>
  </si>
  <si>
    <t>Cocktail Signature (ORIENTAL / BALINESE PURITY) / 5 portion</t>
  </si>
  <si>
    <t>Cocktail Signature (Coliseum / NOSTALGIA)</t>
  </si>
  <si>
    <t>Cocktail Signature (BARNUM N BAILEY / DOMINANCE)</t>
  </si>
  <si>
    <t>Cocktail Signature Chapetieau / SEDUCTION</t>
  </si>
  <si>
    <t>Cocktail Signature (CORRIDA / LUST)</t>
  </si>
  <si>
    <t>Cocktail Signature (TANACH / FUCKING UNFORGETTABLE)</t>
  </si>
  <si>
    <t>Cocktail Signature Apero-Mile / Wisdom</t>
  </si>
  <si>
    <t>Cocktail Signature Grilled cheese / Vodka Cheese / Serenity</t>
  </si>
  <si>
    <t>Gin sesame</t>
  </si>
  <si>
    <t>Cocktail Signature Sunset Surf / TRUE CALM</t>
  </si>
  <si>
    <t>Jim Beam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</si>
</sst>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Rp&quot;#,##0_);[Red]\(&quot;Rp&quot;#,##0\)"/>
    <numFmt numFmtId="166" formatCode="[$Rp]#,##0"/>
  </numFmts>
  <fonts count="15" x14ac:knownFonts="1">
    <font>
      <sz val="11"/>
      <color theme="1"/>
      <name val="Calibri"/>
      <charset val="134"/>
      <scheme val="minor"/>
    </font>
    <font>
      <sz val="11"/>
      <color theme="1"/>
      <name val="Arial"/>
      <family val="2"/>
    </font>
    <font>
      <b/>
      <sz val="11"/>
      <color theme="1"/>
      <name val="Calibri"/>
      <family val="2"/>
      <scheme val="minor"/>
    </font>
    <font>
      <sz val="10"/>
      <color theme="1"/>
      <name val="Arial"/>
      <family val="2"/>
    </font>
    <font>
      <sz val="10"/>
      <color rgb="FF000000"/>
      <name val="Arial"/>
      <family val="2"/>
    </font>
    <font>
      <b/>
      <sz val="10"/>
      <color theme="1"/>
      <name val="Arial"/>
      <family val="2"/>
    </font>
    <font>
      <sz val="48"/>
      <color theme="1"/>
      <name val="Calibri"/>
      <family val="2"/>
      <scheme val="minor"/>
    </font>
    <font>
      <sz val="18"/>
      <color theme="1"/>
      <name val="Calibri"/>
      <family val="2"/>
      <scheme val="minor"/>
    </font>
    <font>
      <sz val="16"/>
      <color theme="1"/>
      <name val="Calibri"/>
      <family val="2"/>
      <scheme val="minor"/>
    </font>
    <font>
      <b/>
      <sz val="10"/>
      <color theme="1"/>
      <name val="Calibri"/>
      <family val="2"/>
      <scheme val="minor"/>
    </font>
    <font>
      <sz val="10"/>
      <name val="Calibri"/>
      <family val="2"/>
      <scheme val="minor"/>
    </font>
    <font>
      <b/>
      <sz val="10"/>
      <name val="Calibri"/>
      <family val="2"/>
      <scheme val="minor"/>
    </font>
    <font>
      <sz val="10"/>
      <color theme="1"/>
      <name val="Calibri"/>
      <family val="2"/>
      <scheme val="minor"/>
    </font>
    <font>
      <sz val="10"/>
      <color rgb="FF000000"/>
      <name val="Calibri"/>
      <family val="2"/>
      <scheme val="minor"/>
    </font>
    <font>
      <b/>
      <sz val="10"/>
      <color rgb="FF000000"/>
      <name val="Calibri"/>
      <family val="2"/>
      <scheme val="minor"/>
    </font>
  </fonts>
  <fills count="10">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theme="7" tint="-0.249977111117893"/>
        <bgColor indexed="64"/>
      </patternFill>
    </fill>
    <fill>
      <patternFill patternType="solid">
        <fgColor rgb="FFFFC000"/>
        <bgColor indexed="64"/>
      </patternFill>
    </fill>
    <fill>
      <patternFill patternType="solid">
        <fgColor rgb="FF00B0F0"/>
        <bgColor indexed="64"/>
      </patternFill>
    </fill>
    <fill>
      <patternFill patternType="solid">
        <fgColor theme="3"/>
        <bgColor indexed="64"/>
      </patternFill>
    </fill>
  </fills>
  <borders count="123">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thin">
        <color auto="1"/>
      </top>
      <bottom/>
      <diagonal/>
    </border>
    <border>
      <left/>
      <right style="thin">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top style="medium">
        <color auto="1"/>
      </top>
      <bottom style="medium">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000000"/>
      </right>
      <top style="medium">
        <color auto="1"/>
      </top>
      <bottom style="medium">
        <color auto="1"/>
      </bottom>
      <diagonal/>
    </border>
    <border>
      <left style="thin">
        <color rgb="FF000000"/>
      </left>
      <right/>
      <top style="medium">
        <color auto="1"/>
      </top>
      <bottom style="medium">
        <color auto="1"/>
      </bottom>
      <diagonal/>
    </border>
    <border>
      <left/>
      <right style="thin">
        <color rgb="FF000000"/>
      </right>
      <top style="medium">
        <color auto="1"/>
      </top>
      <bottom style="medium">
        <color auto="1"/>
      </bottom>
      <diagonal/>
    </border>
    <border>
      <left style="thin">
        <color rgb="FF000000"/>
      </left>
      <right style="thin">
        <color rgb="FF000000"/>
      </right>
      <top style="medium">
        <color auto="1"/>
      </top>
      <bottom style="medium">
        <color auto="1"/>
      </bottom>
      <diagonal/>
    </border>
    <border>
      <left style="thin">
        <color rgb="FF000000"/>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rgb="FF000000"/>
      </right>
      <top/>
      <bottom/>
      <diagonal/>
    </border>
    <border>
      <left style="thin">
        <color rgb="FF000000"/>
      </left>
      <right style="thin">
        <color auto="1"/>
      </right>
      <top/>
      <bottom style="thin">
        <color auto="1"/>
      </bottom>
      <diagonal/>
    </border>
    <border>
      <left style="thin">
        <color auto="1"/>
      </left>
      <right style="thin">
        <color rgb="FF000000"/>
      </right>
      <top/>
      <bottom style="thin">
        <color auto="1"/>
      </bottom>
      <diagonal/>
    </border>
    <border>
      <left style="thin">
        <color rgb="FF000000"/>
      </left>
      <right style="thin">
        <color auto="1"/>
      </right>
      <top/>
      <bottom style="thin">
        <color rgb="FF000000"/>
      </bottom>
      <diagonal/>
    </border>
    <border>
      <left/>
      <right/>
      <top style="medium">
        <color auto="1"/>
      </top>
      <bottom/>
      <diagonal/>
    </border>
    <border>
      <left/>
      <right style="medium">
        <color auto="1"/>
      </right>
      <top style="medium">
        <color auto="1"/>
      </top>
      <bottom/>
      <diagonal/>
    </border>
    <border>
      <left style="thin">
        <color auto="1"/>
      </left>
      <right/>
      <top style="thin">
        <color rgb="FF000000"/>
      </top>
      <bottom style="thin">
        <color auto="1"/>
      </bottom>
      <diagonal/>
    </border>
    <border>
      <left style="thin">
        <color rgb="FF000000"/>
      </left>
      <right/>
      <top/>
      <bottom/>
      <diagonal/>
    </border>
    <border>
      <left style="thin">
        <color auto="1"/>
      </left>
      <right style="thin">
        <color rgb="FF000000"/>
      </right>
      <top style="thin">
        <color rgb="FF000000"/>
      </top>
      <bottom/>
      <diagonal/>
    </border>
    <border>
      <left/>
      <right style="thin">
        <color rgb="FF000000"/>
      </right>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rgb="FF000000"/>
      </top>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medium">
        <color auto="1"/>
      </bottom>
      <diagonal/>
    </border>
    <border>
      <left style="thin">
        <color auto="1"/>
      </left>
      <right style="thin">
        <color auto="1"/>
      </right>
      <top/>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thin">
        <color auto="1"/>
      </right>
      <top/>
      <bottom style="medium">
        <color auto="1"/>
      </bottom>
      <diagonal/>
    </border>
    <border>
      <left style="medium">
        <color auto="1"/>
      </left>
      <right style="medium">
        <color auto="1"/>
      </right>
      <top style="thin">
        <color auto="1"/>
      </top>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rgb="FF000000"/>
      </top>
      <bottom style="medium">
        <color auto="1"/>
      </bottom>
      <diagonal/>
    </border>
    <border>
      <left/>
      <right/>
      <top style="medium">
        <color rgb="FF000000"/>
      </top>
      <bottom style="medium">
        <color auto="1"/>
      </bottom>
      <diagonal/>
    </border>
    <border>
      <left/>
      <right style="medium">
        <color auto="1"/>
      </right>
      <top style="medium">
        <color rgb="FF000000"/>
      </top>
      <bottom style="medium">
        <color auto="1"/>
      </bottom>
      <diagonal/>
    </border>
    <border>
      <left style="thin">
        <color rgb="FF000000"/>
      </left>
      <right style="thin">
        <color auto="1"/>
      </right>
      <top style="thin">
        <color rgb="FF000000"/>
      </top>
      <bottom/>
      <diagonal/>
    </border>
    <border>
      <left style="thin">
        <color rgb="FF000000"/>
      </left>
      <right style="thin">
        <color auto="1"/>
      </right>
      <top style="thin">
        <color rgb="FF000000"/>
      </top>
      <bottom style="medium">
        <color auto="1"/>
      </bottom>
      <diagonal/>
    </border>
    <border>
      <left style="thin">
        <color auto="1"/>
      </left>
      <right style="medium">
        <color auto="1"/>
      </right>
      <top style="thin">
        <color rgb="FF000000"/>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auto="1"/>
      </left>
      <right style="thin">
        <color auto="1"/>
      </right>
      <top style="thin">
        <color rgb="FF000000"/>
      </top>
      <bottom style="thin">
        <color auto="1"/>
      </bottom>
      <diagonal/>
    </border>
    <border>
      <left style="thin">
        <color auto="1"/>
      </left>
      <right style="medium">
        <color auto="1"/>
      </right>
      <top style="thin">
        <color rgb="FF000000"/>
      </top>
      <bottom style="thin">
        <color auto="1"/>
      </bottom>
      <diagonal/>
    </border>
    <border>
      <left/>
      <right style="thin">
        <color auto="1"/>
      </right>
      <top/>
      <bottom style="medium">
        <color auto="1"/>
      </bottom>
      <diagonal/>
    </border>
    <border>
      <left/>
      <right style="thin">
        <color rgb="FF000000"/>
      </right>
      <top style="thin">
        <color rgb="FF000000"/>
      </top>
      <bottom style="medium">
        <color auto="1"/>
      </bottom>
      <diagonal/>
    </border>
    <border>
      <left/>
      <right style="thin">
        <color rgb="FF000000"/>
      </right>
      <top style="thin">
        <color rgb="FF000000"/>
      </top>
      <bottom/>
      <diagonal/>
    </border>
    <border>
      <left style="thin">
        <color rgb="FF000000"/>
      </left>
      <right style="medium">
        <color auto="1"/>
      </right>
      <top style="thin">
        <color rgb="FF000000"/>
      </top>
      <bottom/>
      <diagonal/>
    </border>
    <border>
      <left style="thin">
        <color rgb="FF000000"/>
      </left>
      <right/>
      <top style="medium">
        <color auto="1"/>
      </top>
      <bottom style="thin">
        <color rgb="FF000000"/>
      </bottom>
      <diagonal/>
    </border>
  </borders>
  <cellStyleXfs count="1">
    <xf numFmtId="0" fontId="0" fillId="0" borderId="0">
      <alignment vertical="center"/>
    </xf>
  </cellStyleXfs>
  <cellXfs count="342">
    <xf numFmtId="0" fontId="0" fillId="0" borderId="0" xfId="0">
      <alignment vertical="center"/>
    </xf>
    <xf numFmtId="0" fontId="0" fillId="0" borderId="0" xfId="0" applyAlignment="1">
      <alignment horizontal="center" vertical="center"/>
    </xf>
    <xf numFmtId="6" fontId="0" fillId="0" borderId="0" xfId="0" applyNumberFormat="1" applyAlignment="1">
      <alignment horizontal="center" vertical="center"/>
    </xf>
    <xf numFmtId="0" fontId="3" fillId="0" borderId="4" xfId="0" applyFont="1" applyBorder="1" applyAlignment="1">
      <alignment horizontal="center"/>
    </xf>
    <xf numFmtId="6" fontId="4" fillId="0" borderId="5" xfId="0" applyNumberFormat="1" applyFont="1" applyBorder="1" applyAlignment="1">
      <alignment horizontal="center"/>
    </xf>
    <xf numFmtId="6" fontId="0" fillId="0" borderId="6" xfId="0" applyNumberFormat="1" applyBorder="1" applyAlignment="1">
      <alignment horizontal="center" vertical="center"/>
    </xf>
    <xf numFmtId="0" fontId="3" fillId="0" borderId="7" xfId="0" applyFont="1" applyBorder="1" applyAlignment="1">
      <alignment horizontal="center"/>
    </xf>
    <xf numFmtId="6" fontId="4" fillId="0" borderId="8" xfId="0" applyNumberFormat="1" applyFont="1" applyBorder="1" applyAlignment="1">
      <alignment horizontal="center"/>
    </xf>
    <xf numFmtId="6" fontId="0" fillId="0" borderId="9" xfId="0" applyNumberFormat="1" applyBorder="1" applyAlignment="1">
      <alignment horizontal="center" vertical="center"/>
    </xf>
    <xf numFmtId="0" fontId="4" fillId="0" borderId="7" xfId="0" applyFont="1" applyBorder="1" applyAlignment="1">
      <alignment horizont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6" fontId="0" fillId="0" borderId="8" xfId="0" applyNumberFormat="1" applyBorder="1" applyAlignment="1">
      <alignment horizontal="center" vertical="center"/>
    </xf>
    <xf numFmtId="0" fontId="4" fillId="0" borderId="14" xfId="0" applyFont="1" applyBorder="1" applyAlignment="1">
      <alignment horizontal="center"/>
    </xf>
    <xf numFmtId="6" fontId="4" fillId="0" borderId="15" xfId="0" applyNumberFormat="1" applyFont="1" applyBorder="1" applyAlignment="1">
      <alignment horizontal="center"/>
    </xf>
    <xf numFmtId="6" fontId="0" fillId="0" borderId="15" xfId="0" applyNumberFormat="1" applyBorder="1" applyAlignment="1">
      <alignment horizontal="center" vertical="center"/>
    </xf>
    <xf numFmtId="0" fontId="4" fillId="0" borderId="16" xfId="0" applyFont="1" applyBorder="1" applyAlignment="1">
      <alignment horizontal="center"/>
    </xf>
    <xf numFmtId="6" fontId="4" fillId="0" borderId="17" xfId="0" applyNumberFormat="1" applyFont="1" applyBorder="1" applyAlignment="1">
      <alignment horizontal="center"/>
    </xf>
    <xf numFmtId="6" fontId="0" fillId="0" borderId="17" xfId="0" applyNumberFormat="1" applyBorder="1" applyAlignment="1">
      <alignment horizontal="center" vertical="center"/>
    </xf>
    <xf numFmtId="6" fontId="0" fillId="0" borderId="18" xfId="0" applyNumberFormat="1" applyBorder="1" applyAlignment="1">
      <alignment horizontal="center" vertical="center"/>
    </xf>
    <xf numFmtId="0" fontId="3" fillId="0" borderId="4" xfId="0" applyFont="1" applyBorder="1" applyAlignment="1">
      <alignment horizontal="center" vertical="center"/>
    </xf>
    <xf numFmtId="6" fontId="3" fillId="0" borderId="5" xfId="0" applyNumberFormat="1" applyFont="1" applyBorder="1" applyAlignment="1">
      <alignment horizontal="center" vertical="center"/>
    </xf>
    <xf numFmtId="6" fontId="3" fillId="0" borderId="6" xfId="0" applyNumberFormat="1" applyFont="1" applyBorder="1" applyAlignment="1">
      <alignment horizontal="center" vertical="center"/>
    </xf>
    <xf numFmtId="0" fontId="3" fillId="0" borderId="7" xfId="0" applyFont="1" applyBorder="1" applyAlignment="1">
      <alignment horizontal="center" vertical="center"/>
    </xf>
    <xf numFmtId="6" fontId="3" fillId="0" borderId="8" xfId="0" applyNumberFormat="1" applyFont="1" applyBorder="1" applyAlignment="1">
      <alignment horizontal="center" vertical="center"/>
    </xf>
    <xf numFmtId="6" fontId="3" fillId="0" borderId="9" xfId="0" applyNumberFormat="1" applyFont="1" applyBorder="1" applyAlignment="1">
      <alignment horizontal="center" vertical="center"/>
    </xf>
    <xf numFmtId="0" fontId="3" fillId="0" borderId="8" xfId="0" applyFont="1" applyBorder="1" applyAlignment="1">
      <alignment horizontal="center" vertical="center"/>
    </xf>
    <xf numFmtId="0" fontId="0" fillId="0" borderId="4" xfId="0" applyBorder="1" applyAlignment="1">
      <alignment horizontal="center" vertical="center"/>
    </xf>
    <xf numFmtId="6"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6" fontId="0" fillId="0" borderId="20" xfId="0" applyNumberFormat="1" applyBorder="1" applyAlignment="1">
      <alignment horizontal="center" vertical="center"/>
    </xf>
    <xf numFmtId="0" fontId="0" fillId="0" borderId="20" xfId="0" applyBorder="1" applyAlignment="1">
      <alignment horizontal="center" vertical="center"/>
    </xf>
    <xf numFmtId="6" fontId="0" fillId="0" borderId="21" xfId="0" applyNumberFormat="1" applyBorder="1" applyAlignment="1">
      <alignment horizontal="center" vertical="center"/>
    </xf>
    <xf numFmtId="0" fontId="0" fillId="0" borderId="22" xfId="0" applyBorder="1" applyAlignment="1">
      <alignment horizontal="center" vertical="center"/>
    </xf>
    <xf numFmtId="6" fontId="0" fillId="0" borderId="23" xfId="0" applyNumberFormat="1" applyBorder="1" applyAlignment="1">
      <alignment horizontal="center" vertical="center"/>
    </xf>
    <xf numFmtId="0" fontId="0" fillId="0" borderId="23" xfId="0" applyBorder="1" applyAlignment="1">
      <alignment horizontal="center" vertical="center"/>
    </xf>
    <xf numFmtId="6" fontId="0" fillId="0" borderId="24" xfId="0" applyNumberFormat="1" applyBorder="1" applyAlignment="1">
      <alignment horizontal="center" vertical="center"/>
    </xf>
    <xf numFmtId="6" fontId="3" fillId="0" borderId="17" xfId="0" applyNumberFormat="1" applyFont="1" applyBorder="1" applyAlignment="1">
      <alignment horizontal="center" vertical="center"/>
    </xf>
    <xf numFmtId="6" fontId="3" fillId="0" borderId="18" xfId="0" applyNumberFormat="1" applyFont="1" applyBorder="1" applyAlignment="1">
      <alignment horizontal="center" vertical="center"/>
    </xf>
    <xf numFmtId="0" fontId="1" fillId="0" borderId="0" xfId="0" applyFont="1" applyAlignment="1">
      <alignment horizontal="center" vertical="center"/>
    </xf>
    <xf numFmtId="6" fontId="1" fillId="0" borderId="0" xfId="0" applyNumberFormat="1" applyFont="1" applyAlignment="1">
      <alignment horizontal="center" vertical="center"/>
    </xf>
    <xf numFmtId="0" fontId="2" fillId="0" borderId="29" xfId="0" applyFont="1" applyBorder="1" applyAlignment="1">
      <alignment horizontal="center" vertical="center"/>
    </xf>
    <xf numFmtId="0" fontId="0" fillId="0" borderId="3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6" fontId="0" fillId="0" borderId="31" xfId="0" applyNumberFormat="1"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3" borderId="0" xfId="0" applyFill="1">
      <alignment vertical="center"/>
    </xf>
    <xf numFmtId="6" fontId="0" fillId="0" borderId="0" xfId="0" applyNumberFormat="1">
      <alignment vertical="center"/>
    </xf>
    <xf numFmtId="0" fontId="0" fillId="0" borderId="8"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10" xfId="0" applyBorder="1" applyAlignment="1">
      <alignment horizontal="center" vertical="center"/>
    </xf>
    <xf numFmtId="0" fontId="0" fillId="0" borderId="0" xfId="0" applyAlignment="1">
      <alignment horizontal="center" vertical="center" wrapText="1"/>
    </xf>
    <xf numFmtId="0" fontId="0" fillId="0" borderId="8" xfId="0" applyBorder="1" applyAlignment="1"/>
    <xf numFmtId="6" fontId="0" fillId="0" borderId="8" xfId="0" applyNumberFormat="1" applyBorder="1">
      <alignment vertical="center"/>
    </xf>
    <xf numFmtId="0" fontId="0" fillId="0" borderId="42" xfId="0" applyBorder="1" applyAlignment="1">
      <alignment horizontal="center"/>
    </xf>
    <xf numFmtId="6" fontId="0" fillId="0" borderId="15" xfId="0" applyNumberFormat="1" applyBorder="1">
      <alignment vertical="center"/>
    </xf>
    <xf numFmtId="6" fontId="0" fillId="0" borderId="43" xfId="0" applyNumberFormat="1" applyBorder="1">
      <alignment vertical="center"/>
    </xf>
    <xf numFmtId="6" fontId="0" fillId="0" borderId="10" xfId="0" applyNumberFormat="1" applyBorder="1" applyAlignment="1">
      <alignment horizontal="center" vertical="center"/>
    </xf>
    <xf numFmtId="6" fontId="0" fillId="0" borderId="10" xfId="0" applyNumberFormat="1" applyBorder="1">
      <alignment vertical="center"/>
    </xf>
    <xf numFmtId="6" fontId="0" fillId="3" borderId="0" xfId="0" applyNumberFormat="1" applyFill="1">
      <alignment vertical="center"/>
    </xf>
    <xf numFmtId="0" fontId="0" fillId="0" borderId="8" xfId="0" applyBorder="1">
      <alignment vertical="center"/>
    </xf>
    <xf numFmtId="6" fontId="0" fillId="0" borderId="48" xfId="0" applyNumberFormat="1" applyBorder="1">
      <alignment vertical="center"/>
    </xf>
    <xf numFmtId="0" fontId="9" fillId="0" borderId="49"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12" fillId="0" borderId="54" xfId="0" applyFont="1" applyBorder="1" applyAlignment="1">
      <alignment horizont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166" fontId="12" fillId="0" borderId="56" xfId="0" applyNumberFormat="1" applyFont="1" applyBorder="1" applyAlignment="1">
      <alignment horizontal="center" vertical="center"/>
    </xf>
    <xf numFmtId="166" fontId="12" fillId="0" borderId="57" xfId="0" applyNumberFormat="1" applyFont="1" applyBorder="1" applyAlignment="1">
      <alignment horizontal="center" vertical="center"/>
    </xf>
    <xf numFmtId="0" fontId="12" fillId="0" borderId="58" xfId="0" applyFont="1" applyBorder="1" applyAlignment="1">
      <alignment horizontal="center" vertical="center"/>
    </xf>
    <xf numFmtId="0" fontId="12" fillId="0" borderId="54" xfId="0" applyFont="1" applyBorder="1" applyAlignment="1">
      <alignment horizontal="center" vertical="center"/>
    </xf>
    <xf numFmtId="166" fontId="12" fillId="0" borderId="54" xfId="0" applyNumberFormat="1" applyFont="1" applyBorder="1" applyAlignment="1">
      <alignment horizontal="center" vertical="center"/>
    </xf>
    <xf numFmtId="166" fontId="12" fillId="0" borderId="59" xfId="0" applyNumberFormat="1" applyFont="1" applyBorder="1" applyAlignment="1">
      <alignment horizontal="center" vertical="center"/>
    </xf>
    <xf numFmtId="0" fontId="12" fillId="0" borderId="60" xfId="0" applyFont="1" applyBorder="1" applyAlignment="1">
      <alignment horizontal="center" vertical="center"/>
    </xf>
    <xf numFmtId="0" fontId="12" fillId="0" borderId="61" xfId="0" applyFont="1" applyBorder="1" applyAlignment="1">
      <alignment horizontal="center" vertical="center"/>
    </xf>
    <xf numFmtId="166" fontId="12" fillId="0" borderId="61" xfId="0" applyNumberFormat="1" applyFont="1" applyBorder="1" applyAlignment="1">
      <alignment horizontal="center" vertical="center"/>
    </xf>
    <xf numFmtId="0" fontId="12" fillId="0" borderId="62" xfId="0" applyFont="1" applyBorder="1" applyAlignment="1">
      <alignment horizontal="center" vertical="center"/>
    </xf>
    <xf numFmtId="0" fontId="12" fillId="0" borderId="63" xfId="0" applyFont="1" applyBorder="1" applyAlignment="1">
      <alignment horizontal="center" vertical="center"/>
    </xf>
    <xf numFmtId="166" fontId="12" fillId="0" borderId="63" xfId="0" applyNumberFormat="1" applyFont="1" applyBorder="1" applyAlignment="1">
      <alignment horizontal="center" vertical="center"/>
    </xf>
    <xf numFmtId="166" fontId="12" fillId="0" borderId="64" xfId="0" applyNumberFormat="1" applyFont="1" applyBorder="1" applyAlignment="1">
      <alignment horizontal="center" vertical="center"/>
    </xf>
    <xf numFmtId="0" fontId="12" fillId="0" borderId="3" xfId="0" applyFont="1" applyBorder="1" applyAlignment="1">
      <alignment horizontal="center" vertical="center"/>
    </xf>
    <xf numFmtId="166" fontId="12" fillId="0" borderId="36" xfId="0" applyNumberFormat="1" applyFont="1" applyBorder="1" applyAlignment="1">
      <alignment horizontal="center" vertical="center"/>
    </xf>
    <xf numFmtId="166" fontId="12" fillId="0" borderId="38" xfId="0" applyNumberFormat="1" applyFont="1" applyBorder="1" applyAlignment="1">
      <alignment horizontal="center" vertical="center"/>
    </xf>
    <xf numFmtId="166" fontId="12" fillId="0" borderId="10" xfId="0" applyNumberFormat="1" applyFont="1" applyBorder="1" applyAlignment="1">
      <alignment horizontal="center" vertical="center"/>
    </xf>
    <xf numFmtId="166" fontId="12" fillId="0" borderId="42" xfId="0" applyNumberFormat="1" applyFont="1" applyBorder="1" applyAlignment="1">
      <alignment horizontal="center" vertical="center"/>
    </xf>
    <xf numFmtId="0" fontId="12" fillId="0" borderId="61" xfId="0" applyFont="1" applyBorder="1" applyAlignment="1">
      <alignment horizontal="center"/>
    </xf>
    <xf numFmtId="166" fontId="0" fillId="0" borderId="65" xfId="0" applyNumberFormat="1" applyBorder="1" applyAlignment="1">
      <alignment horizontal="center" vertical="center"/>
    </xf>
    <xf numFmtId="0" fontId="12" fillId="0" borderId="1" xfId="0" applyFont="1" applyBorder="1" applyAlignment="1">
      <alignment horizontal="center" vertical="center"/>
    </xf>
    <xf numFmtId="166" fontId="0" fillId="0" borderId="66" xfId="0" applyNumberFormat="1" applyBorder="1" applyAlignment="1">
      <alignment horizontal="center" vertical="center"/>
    </xf>
    <xf numFmtId="10" fontId="0" fillId="0" borderId="66" xfId="0" applyNumberFormat="1" applyBorder="1" applyAlignment="1">
      <alignment horizontal="center" vertical="center"/>
    </xf>
    <xf numFmtId="6" fontId="0" fillId="0" borderId="67" xfId="0" applyNumberFormat="1" applyBorder="1" applyAlignment="1">
      <alignment horizontal="center" vertical="center"/>
    </xf>
    <xf numFmtId="0" fontId="12" fillId="0" borderId="68" xfId="0" applyFont="1" applyBorder="1" applyAlignment="1">
      <alignment horizontal="center"/>
    </xf>
    <xf numFmtId="0" fontId="12" fillId="0" borderId="69" xfId="0" applyFont="1" applyBorder="1" applyAlignment="1">
      <alignment horizontal="center"/>
    </xf>
    <xf numFmtId="0" fontId="10" fillId="0" borderId="71" xfId="0" applyFont="1" applyBorder="1" applyAlignment="1">
      <alignment horizontal="center"/>
    </xf>
    <xf numFmtId="0" fontId="12" fillId="0" borderId="72" xfId="0" applyFont="1" applyBorder="1" applyAlignment="1">
      <alignment horizontal="center"/>
    </xf>
    <xf numFmtId="0" fontId="10" fillId="0" borderId="68" xfId="0" applyFont="1" applyBorder="1" applyAlignment="1">
      <alignment horizontal="center"/>
    </xf>
    <xf numFmtId="6" fontId="12" fillId="0" borderId="54" xfId="0" applyNumberFormat="1" applyFont="1" applyBorder="1" applyAlignment="1">
      <alignment horizontal="center"/>
    </xf>
    <xf numFmtId="6" fontId="12" fillId="0" borderId="61" xfId="0" applyNumberFormat="1" applyFont="1" applyBorder="1" applyAlignment="1">
      <alignment horizontal="center"/>
    </xf>
    <xf numFmtId="0" fontId="10" fillId="0" borderId="69" xfId="0" applyFont="1" applyBorder="1" applyAlignment="1">
      <alignment horizontal="center"/>
    </xf>
    <xf numFmtId="0" fontId="12" fillId="0" borderId="73" xfId="0" applyFont="1" applyBorder="1" applyAlignment="1">
      <alignment horizontal="center"/>
    </xf>
    <xf numFmtId="0" fontId="10" fillId="0" borderId="74" xfId="0" applyFont="1" applyBorder="1" applyAlignment="1">
      <alignment horizontal="center"/>
    </xf>
    <xf numFmtId="0" fontId="12" fillId="0" borderId="75" xfId="0" applyFont="1" applyBorder="1" applyAlignment="1">
      <alignment horizontal="center"/>
    </xf>
    <xf numFmtId="0" fontId="12" fillId="0" borderId="76" xfId="0" applyFont="1" applyBorder="1" applyAlignment="1">
      <alignment horizontal="center"/>
    </xf>
    <xf numFmtId="0" fontId="10" fillId="0" borderId="77" xfId="0" applyFont="1" applyBorder="1" applyAlignment="1">
      <alignment horizontal="center"/>
    </xf>
    <xf numFmtId="0" fontId="12" fillId="0" borderId="8" xfId="0" applyFont="1" applyBorder="1" applyAlignment="1">
      <alignment horizontal="center" vertical="center"/>
    </xf>
    <xf numFmtId="0" fontId="12" fillId="0" borderId="46" xfId="0" applyFont="1" applyBorder="1" applyAlignment="1">
      <alignment horizontal="center" vertical="center"/>
    </xf>
    <xf numFmtId="0" fontId="12" fillId="0" borderId="78" xfId="0" applyFont="1" applyBorder="1" applyAlignment="1">
      <alignment horizontal="center"/>
    </xf>
    <xf numFmtId="0" fontId="10" fillId="0" borderId="79" xfId="0" applyFont="1" applyBorder="1" applyAlignment="1">
      <alignment horizontal="center"/>
    </xf>
    <xf numFmtId="0" fontId="12" fillId="0" borderId="80" xfId="0" applyFont="1" applyBorder="1" applyAlignment="1">
      <alignment horizontal="center"/>
    </xf>
    <xf numFmtId="166" fontId="12" fillId="0" borderId="61" xfId="0" applyNumberFormat="1" applyFont="1" applyBorder="1" applyAlignment="1">
      <alignment horizontal="center"/>
    </xf>
    <xf numFmtId="166" fontId="12" fillId="0" borderId="34" xfId="0" applyNumberFormat="1" applyFont="1" applyBorder="1" applyAlignment="1">
      <alignment horizontal="center" vertical="center"/>
    </xf>
    <xf numFmtId="166" fontId="12" fillId="0" borderId="35" xfId="0" applyNumberFormat="1" applyFont="1" applyBorder="1" applyAlignment="1">
      <alignment horizontal="center" vertical="center"/>
    </xf>
    <xf numFmtId="166" fontId="12" fillId="0" borderId="8" xfId="0" applyNumberFormat="1" applyFont="1" applyBorder="1" applyAlignment="1">
      <alignment horizontal="center" vertical="center"/>
    </xf>
    <xf numFmtId="166" fontId="12" fillId="0" borderId="15" xfId="0" applyNumberFormat="1" applyFont="1" applyBorder="1" applyAlignment="1">
      <alignment horizontal="center" vertical="center"/>
    </xf>
    <xf numFmtId="6" fontId="12" fillId="0" borderId="69" xfId="0" applyNumberFormat="1" applyFont="1" applyBorder="1" applyAlignment="1">
      <alignment horizontal="center"/>
    </xf>
    <xf numFmtId="166" fontId="12" fillId="0" borderId="0" xfId="0" applyNumberFormat="1" applyFont="1">
      <alignment vertical="center"/>
    </xf>
    <xf numFmtId="6" fontId="12" fillId="0" borderId="83" xfId="0" applyNumberFormat="1" applyFont="1" applyBorder="1" applyAlignment="1">
      <alignment horizontal="center"/>
    </xf>
    <xf numFmtId="6" fontId="12" fillId="0" borderId="84" xfId="0" applyNumberFormat="1" applyFont="1" applyBorder="1" applyAlignment="1">
      <alignment horizontal="center"/>
    </xf>
    <xf numFmtId="6" fontId="12" fillId="0" borderId="8" xfId="0" applyNumberFormat="1" applyFont="1" applyBorder="1" applyAlignment="1">
      <alignment horizontal="center"/>
    </xf>
    <xf numFmtId="6" fontId="12" fillId="0" borderId="39" xfId="0" applyNumberFormat="1" applyFont="1" applyBorder="1" applyAlignment="1">
      <alignment horizontal="center" vertical="center"/>
    </xf>
    <xf numFmtId="6" fontId="12" fillId="0" borderId="37" xfId="0" applyNumberFormat="1" applyFont="1" applyBorder="1" applyAlignment="1">
      <alignment horizontal="center" vertical="center"/>
    </xf>
    <xf numFmtId="0" fontId="12" fillId="0" borderId="79" xfId="0" applyFont="1" applyBorder="1" applyAlignment="1">
      <alignment horizontal="center"/>
    </xf>
    <xf numFmtId="0" fontId="12" fillId="0" borderId="85" xfId="0" applyFont="1" applyBorder="1" applyAlignment="1">
      <alignment horizontal="center"/>
    </xf>
    <xf numFmtId="0" fontId="12" fillId="0" borderId="8" xfId="0" applyFont="1" applyBorder="1" applyAlignment="1">
      <alignment horizontal="center"/>
    </xf>
    <xf numFmtId="0" fontId="10" fillId="0" borderId="86" xfId="0" applyFont="1" applyBorder="1" applyAlignment="1">
      <alignment horizontal="center"/>
    </xf>
    <xf numFmtId="0" fontId="12" fillId="0" borderId="87" xfId="0" applyFont="1" applyBorder="1" applyAlignment="1">
      <alignment horizontal="center"/>
    </xf>
    <xf numFmtId="0" fontId="10" fillId="0" borderId="88" xfId="0" applyFont="1" applyBorder="1" applyAlignment="1">
      <alignment horizontal="center"/>
    </xf>
    <xf numFmtId="6" fontId="12" fillId="0" borderId="75" xfId="0" applyNumberFormat="1" applyFont="1" applyBorder="1" applyAlignment="1">
      <alignment horizontal="center"/>
    </xf>
    <xf numFmtId="6" fontId="12" fillId="0" borderId="89" xfId="0" applyNumberFormat="1" applyFont="1" applyBorder="1" applyAlignment="1">
      <alignment horizontal="center"/>
    </xf>
    <xf numFmtId="0" fontId="10" fillId="0" borderId="8" xfId="0" applyFont="1" applyBorder="1" applyAlignment="1">
      <alignment horizontal="center"/>
    </xf>
    <xf numFmtId="0" fontId="12" fillId="0" borderId="4" xfId="0" applyFont="1" applyBorder="1" applyAlignment="1">
      <alignment horizontal="center"/>
    </xf>
    <xf numFmtId="0" fontId="12" fillId="0" borderId="56" xfId="0" applyFont="1" applyBorder="1" applyAlignment="1">
      <alignment horizontal="center"/>
    </xf>
    <xf numFmtId="0" fontId="12" fillId="0" borderId="57" xfId="0" applyFont="1" applyBorder="1" applyAlignment="1">
      <alignment horizontal="center"/>
    </xf>
    <xf numFmtId="0" fontId="12" fillId="0" borderId="7" xfId="0" applyFont="1" applyBorder="1" applyAlignment="1">
      <alignment horizontal="center"/>
    </xf>
    <xf numFmtId="0" fontId="12" fillId="0" borderId="92" xfId="0" applyFont="1" applyBorder="1" applyAlignment="1">
      <alignment horizontal="center"/>
    </xf>
    <xf numFmtId="166" fontId="12" fillId="0" borderId="59" xfId="0" applyNumberFormat="1" applyFont="1" applyBorder="1" applyAlignment="1">
      <alignment horizontal="center"/>
    </xf>
    <xf numFmtId="0" fontId="12" fillId="0" borderId="10" xfId="0" applyFont="1" applyBorder="1" applyAlignment="1">
      <alignment horizontal="center" vertical="center"/>
    </xf>
    <xf numFmtId="166" fontId="12" fillId="0" borderId="93" xfId="0" applyNumberFormat="1" applyFont="1" applyBorder="1" applyAlignment="1">
      <alignment horizontal="center" vertical="center"/>
    </xf>
    <xf numFmtId="166" fontId="12" fillId="0" borderId="18" xfId="0" applyNumberFormat="1" applyFont="1" applyBorder="1" applyAlignment="1">
      <alignment horizontal="center" vertical="center"/>
    </xf>
    <xf numFmtId="166" fontId="12" fillId="0" borderId="45" xfId="0" applyNumberFormat="1" applyFont="1" applyBorder="1" applyAlignment="1">
      <alignment horizontal="center" vertical="center"/>
    </xf>
    <xf numFmtId="166" fontId="12" fillId="0" borderId="94" xfId="0" applyNumberFormat="1" applyFont="1" applyBorder="1" applyAlignment="1">
      <alignment horizontal="center" vertical="center"/>
    </xf>
    <xf numFmtId="166" fontId="0" fillId="0" borderId="10" xfId="0" applyNumberFormat="1" applyBorder="1">
      <alignment vertical="center"/>
    </xf>
    <xf numFmtId="0" fontId="12" fillId="0" borderId="95" xfId="0" applyFont="1" applyBorder="1" applyAlignment="1">
      <alignment horizontal="center"/>
    </xf>
    <xf numFmtId="0" fontId="12" fillId="0" borderId="96" xfId="0" applyFont="1" applyBorder="1" applyAlignment="1">
      <alignment horizontal="center"/>
    </xf>
    <xf numFmtId="166" fontId="12" fillId="0" borderId="69" xfId="0" applyNumberFormat="1" applyFont="1" applyBorder="1" applyAlignment="1">
      <alignment horizontal="center"/>
    </xf>
    <xf numFmtId="166" fontId="12" fillId="0" borderId="44" xfId="0" applyNumberFormat="1" applyFont="1" applyBorder="1">
      <alignment vertical="center"/>
    </xf>
    <xf numFmtId="166" fontId="0" fillId="0" borderId="99" xfId="0" applyNumberFormat="1" applyBorder="1" applyAlignment="1">
      <alignment horizontal="center" vertical="center"/>
    </xf>
    <xf numFmtId="166" fontId="12" fillId="0" borderId="44" xfId="0" applyNumberFormat="1" applyFont="1" applyBorder="1" applyAlignment="1">
      <alignment horizontal="center" vertical="center"/>
    </xf>
    <xf numFmtId="0" fontId="6" fillId="3" borderId="36" xfId="0" applyFont="1" applyFill="1" applyBorder="1">
      <alignment vertical="center"/>
    </xf>
    <xf numFmtId="0" fontId="6" fillId="3" borderId="0" xfId="0" applyFont="1" applyFill="1">
      <alignment vertical="center"/>
    </xf>
    <xf numFmtId="166" fontId="12" fillId="0" borderId="34" xfId="0" applyNumberFormat="1" applyFont="1" applyBorder="1">
      <alignment vertical="center"/>
    </xf>
    <xf numFmtId="0" fontId="12" fillId="0" borderId="89" xfId="0" applyFont="1" applyBorder="1" applyAlignment="1">
      <alignment horizontal="center"/>
    </xf>
    <xf numFmtId="166" fontId="12" fillId="0" borderId="33" xfId="0" applyNumberFormat="1" applyFont="1" applyBorder="1" applyAlignment="1">
      <alignment horizontal="center" vertical="center"/>
    </xf>
    <xf numFmtId="0" fontId="12" fillId="0" borderId="10" xfId="0" applyFont="1" applyBorder="1">
      <alignment vertical="center"/>
    </xf>
    <xf numFmtId="166" fontId="12" fillId="0" borderId="41" xfId="0" applyNumberFormat="1" applyFont="1" applyBorder="1" applyAlignment="1">
      <alignment horizontal="center" vertical="center"/>
    </xf>
    <xf numFmtId="0" fontId="12" fillId="0" borderId="10" xfId="0" applyFont="1" applyBorder="1" applyAlignment="1">
      <alignment horizontal="center"/>
    </xf>
    <xf numFmtId="10" fontId="0" fillId="0" borderId="101" xfId="0" applyNumberFormat="1" applyBorder="1" applyAlignment="1">
      <alignment horizontal="center" vertical="center"/>
    </xf>
    <xf numFmtId="6" fontId="0" fillId="0" borderId="104" xfId="0" applyNumberFormat="1" applyBorder="1" applyAlignment="1">
      <alignment horizontal="center" vertical="center"/>
    </xf>
    <xf numFmtId="0" fontId="12" fillId="0" borderId="0" xfId="0" applyFont="1" applyAlignment="1">
      <alignment horizontal="center" vertical="center"/>
    </xf>
    <xf numFmtId="0" fontId="12" fillId="0" borderId="108" xfId="0" applyFont="1" applyBorder="1" applyAlignment="1">
      <alignment horizontal="center"/>
    </xf>
    <xf numFmtId="0" fontId="10" fillId="0" borderId="85" xfId="0" applyFont="1" applyBorder="1" applyAlignment="1">
      <alignment horizontal="center"/>
    </xf>
    <xf numFmtId="6" fontId="12" fillId="0" borderId="8" xfId="0" applyNumberFormat="1" applyFont="1" applyBorder="1" applyAlignment="1">
      <alignment horizontal="center" vertical="center"/>
    </xf>
    <xf numFmtId="6" fontId="12" fillId="0" borderId="46" xfId="0" applyNumberFormat="1" applyFont="1" applyBorder="1" applyAlignment="1">
      <alignment horizontal="center"/>
    </xf>
    <xf numFmtId="0" fontId="13" fillId="0" borderId="0" xfId="0" applyFont="1" applyAlignment="1">
      <alignment horizontal="center" vertical="center"/>
    </xf>
    <xf numFmtId="166" fontId="12" fillId="0" borderId="109" xfId="0" applyNumberFormat="1" applyFont="1" applyBorder="1" applyAlignment="1">
      <alignment horizontal="center" vertical="center"/>
    </xf>
    <xf numFmtId="166" fontId="12" fillId="0" borderId="110" xfId="0" applyNumberFormat="1" applyFont="1" applyBorder="1" applyAlignment="1">
      <alignment horizontal="center" vertical="center"/>
    </xf>
    <xf numFmtId="0" fontId="12" fillId="3" borderId="10" xfId="0" applyFont="1" applyFill="1" applyBorder="1" applyAlignment="1">
      <alignment horizontal="center" vertical="center"/>
    </xf>
    <xf numFmtId="0" fontId="14" fillId="0" borderId="43" xfId="0" applyFont="1" applyBorder="1" applyAlignment="1">
      <alignment horizontal="center" vertical="center"/>
    </xf>
    <xf numFmtId="166" fontId="0" fillId="0" borderId="111" xfId="0" applyNumberFormat="1" applyBorder="1" applyAlignment="1">
      <alignment horizontal="center" vertical="center"/>
    </xf>
    <xf numFmtId="166" fontId="0" fillId="0" borderId="112" xfId="0" applyNumberFormat="1" applyBorder="1" applyAlignment="1">
      <alignment horizontal="center" vertical="center"/>
    </xf>
    <xf numFmtId="10" fontId="0" fillId="0" borderId="112" xfId="0" applyNumberFormat="1" applyBorder="1" applyAlignment="1">
      <alignment horizontal="center" vertical="center"/>
    </xf>
    <xf numFmtId="6" fontId="0" fillId="0" borderId="113" xfId="0" applyNumberFormat="1" applyBorder="1" applyAlignment="1">
      <alignment horizontal="center" vertical="center"/>
    </xf>
    <xf numFmtId="166" fontId="12" fillId="0" borderId="72" xfId="0" applyNumberFormat="1" applyFont="1" applyBorder="1" applyAlignment="1">
      <alignment horizontal="center" vertical="center"/>
    </xf>
    <xf numFmtId="166" fontId="12" fillId="0" borderId="69" xfId="0" applyNumberFormat="1" applyFont="1" applyBorder="1" applyAlignment="1">
      <alignment horizontal="center" vertical="center"/>
    </xf>
    <xf numFmtId="0" fontId="12" fillId="0" borderId="55" xfId="0" applyFont="1" applyBorder="1" applyAlignment="1">
      <alignment horizontal="center"/>
    </xf>
    <xf numFmtId="0" fontId="12" fillId="0" borderId="60" xfId="0" applyFont="1" applyBorder="1" applyAlignment="1">
      <alignment horizontal="center"/>
    </xf>
    <xf numFmtId="0" fontId="12" fillId="0" borderId="62" xfId="0" applyFont="1" applyBorder="1" applyAlignment="1">
      <alignment horizontal="center"/>
    </xf>
    <xf numFmtId="0" fontId="12" fillId="0" borderId="63" xfId="0" applyFont="1" applyBorder="1" applyAlignment="1">
      <alignment horizontal="center"/>
    </xf>
    <xf numFmtId="166" fontId="12" fillId="0" borderId="73" xfId="0" applyNumberFormat="1" applyFont="1" applyBorder="1" applyAlignment="1">
      <alignment horizontal="center" vertical="center"/>
    </xf>
    <xf numFmtId="0" fontId="12" fillId="0" borderId="116" xfId="0" applyFont="1" applyBorder="1" applyAlignment="1">
      <alignment horizontal="center"/>
    </xf>
    <xf numFmtId="166" fontId="12" fillId="0" borderId="117" xfId="0" applyNumberFormat="1" applyFont="1" applyBorder="1" applyAlignment="1">
      <alignment horizontal="center" vertical="center"/>
    </xf>
    <xf numFmtId="166" fontId="12" fillId="0" borderId="9" xfId="0" applyNumberFormat="1" applyFont="1" applyBorder="1" applyAlignment="1">
      <alignment horizontal="center" vertical="center"/>
    </xf>
    <xf numFmtId="0" fontId="12" fillId="0" borderId="2" xfId="0" applyFont="1" applyBorder="1" applyAlignment="1">
      <alignment horizontal="center" vertical="center"/>
    </xf>
    <xf numFmtId="166" fontId="12" fillId="0" borderId="118" xfId="0" applyNumberFormat="1" applyFont="1" applyBorder="1" applyAlignment="1">
      <alignment horizontal="center" vertical="center"/>
    </xf>
    <xf numFmtId="166" fontId="12" fillId="0" borderId="98" xfId="0" applyNumberFormat="1" applyFont="1" applyBorder="1" applyAlignment="1">
      <alignment horizontal="center" vertical="center"/>
    </xf>
    <xf numFmtId="166" fontId="0" fillId="0" borderId="10" xfId="0" applyNumberFormat="1" applyBorder="1" applyAlignment="1">
      <alignment horizontal="center" vertical="center"/>
    </xf>
    <xf numFmtId="0" fontId="12" fillId="0" borderId="91" xfId="0" applyFont="1" applyBorder="1" applyAlignment="1">
      <alignment horizontal="center"/>
    </xf>
    <xf numFmtId="0" fontId="12" fillId="0" borderId="16" xfId="0" applyFont="1" applyBorder="1" applyAlignment="1">
      <alignment horizontal="center"/>
    </xf>
    <xf numFmtId="0" fontId="12" fillId="0" borderId="119" xfId="0" applyFont="1" applyBorder="1" applyAlignment="1">
      <alignment horizontal="center"/>
    </xf>
    <xf numFmtId="0" fontId="12" fillId="0" borderId="14" xfId="0" applyFont="1" applyBorder="1" applyAlignment="1">
      <alignment horizontal="center"/>
    </xf>
    <xf numFmtId="0" fontId="12" fillId="0" borderId="120" xfId="0" applyFont="1" applyBorder="1" applyAlignment="1">
      <alignment horizontal="center"/>
    </xf>
    <xf numFmtId="166" fontId="12" fillId="0" borderId="89" xfId="0" applyNumberFormat="1" applyFont="1" applyBorder="1" applyAlignment="1">
      <alignment horizontal="center" vertical="center"/>
    </xf>
    <xf numFmtId="166" fontId="12" fillId="0" borderId="121" xfId="0" applyNumberFormat="1" applyFont="1" applyBorder="1" applyAlignment="1">
      <alignment horizontal="center" vertical="center"/>
    </xf>
    <xf numFmtId="0" fontId="12" fillId="0" borderId="17" xfId="0" applyFont="1" applyBorder="1" applyAlignment="1">
      <alignment horizontal="center"/>
    </xf>
    <xf numFmtId="166" fontId="12" fillId="0" borderId="17" xfId="0" applyNumberFormat="1" applyFont="1" applyBorder="1" applyAlignment="1">
      <alignment horizontal="center" vertical="center"/>
    </xf>
    <xf numFmtId="0" fontId="12" fillId="0" borderId="61" xfId="0" applyFont="1" applyBorder="1" applyAlignment="1"/>
    <xf numFmtId="166" fontId="12" fillId="0" borderId="61" xfId="0" applyNumberFormat="1" applyFont="1" applyBorder="1" applyAlignment="1"/>
    <xf numFmtId="6" fontId="12" fillId="0" borderId="61" xfId="0" applyNumberFormat="1" applyFont="1" applyBorder="1" applyAlignment="1"/>
    <xf numFmtId="166" fontId="12" fillId="0" borderId="42" xfId="0" applyNumberFormat="1" applyFont="1" applyBorder="1">
      <alignment vertical="center"/>
    </xf>
    <xf numFmtId="166" fontId="12" fillId="0" borderId="33" xfId="0" applyNumberFormat="1" applyFont="1" applyBorder="1">
      <alignment vertical="center"/>
    </xf>
    <xf numFmtId="166" fontId="12" fillId="0" borderId="63" xfId="0" applyNumberFormat="1" applyFont="1" applyBorder="1" applyAlignment="1">
      <alignment horizontal="center"/>
    </xf>
    <xf numFmtId="6" fontId="12" fillId="0" borderId="64" xfId="0" applyNumberFormat="1" applyFont="1" applyBorder="1" applyAlignment="1">
      <alignment horizontal="center"/>
    </xf>
    <xf numFmtId="0" fontId="9"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9" fillId="0" borderId="50" xfId="0" applyFont="1" applyBorder="1" applyAlignment="1">
      <alignment horizontal="center" vertical="center"/>
    </xf>
    <xf numFmtId="0" fontId="11" fillId="0" borderId="51" xfId="0" applyFont="1" applyBorder="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vertical="center"/>
    </xf>
    <xf numFmtId="166" fontId="12" fillId="9" borderId="10" xfId="0" applyNumberFormat="1" applyFont="1" applyFill="1" applyBorder="1" applyAlignment="1">
      <alignment horizontal="center" vertical="center"/>
    </xf>
    <xf numFmtId="0" fontId="12" fillId="0" borderId="29" xfId="0" applyFont="1" applyBorder="1" applyAlignment="1">
      <alignment horizontal="center" vertical="center"/>
    </xf>
    <xf numFmtId="0" fontId="12" fillId="0" borderId="35" xfId="0" applyFont="1" applyBorder="1" applyAlignment="1">
      <alignment horizontal="center" vertical="center"/>
    </xf>
    <xf numFmtId="0" fontId="12" fillId="0" borderId="43" xfId="0" applyFont="1" applyBorder="1" applyAlignment="1">
      <alignment horizontal="center" vertical="center"/>
    </xf>
    <xf numFmtId="0" fontId="12" fillId="0" borderId="100" xfId="0" applyFont="1" applyBorder="1" applyAlignment="1">
      <alignment horizontal="center" vertical="center"/>
    </xf>
    <xf numFmtId="0" fontId="12" fillId="0" borderId="97" xfId="0" applyFont="1" applyBorder="1" applyAlignment="1">
      <alignment horizontal="center" vertical="center"/>
    </xf>
    <xf numFmtId="0" fontId="12" fillId="0" borderId="98" xfId="0" applyFont="1" applyBorder="1" applyAlignment="1">
      <alignment horizontal="center" vertical="center"/>
    </xf>
    <xf numFmtId="0" fontId="9" fillId="0" borderId="114" xfId="0" applyFont="1" applyBorder="1" applyAlignment="1">
      <alignment horizontal="center"/>
    </xf>
    <xf numFmtId="0" fontId="10" fillId="0" borderId="115" xfId="0" applyFont="1" applyBorder="1" applyAlignment="1">
      <alignment horizontal="center"/>
    </xf>
    <xf numFmtId="0" fontId="10" fillId="0" borderId="92" xfId="0" applyFont="1" applyBorder="1" applyAlignment="1">
      <alignment horizontal="center"/>
    </xf>
    <xf numFmtId="166" fontId="12" fillId="0" borderId="42" xfId="0" applyNumberFormat="1" applyFont="1" applyBorder="1" applyAlignment="1">
      <alignment horizontal="center" vertical="center"/>
    </xf>
    <xf numFmtId="166" fontId="12" fillId="0" borderId="33"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47" xfId="0" applyFont="1" applyBorder="1" applyAlignment="1">
      <alignment horizontal="center" vertical="center"/>
    </xf>
    <xf numFmtId="0" fontId="12" fillId="0" borderId="48" xfId="0" applyFont="1" applyBorder="1" applyAlignment="1">
      <alignment horizontal="center" vertical="center"/>
    </xf>
    <xf numFmtId="0" fontId="9" fillId="0" borderId="29" xfId="0" applyFont="1" applyBorder="1" applyAlignment="1">
      <alignment horizontal="center"/>
    </xf>
    <xf numFmtId="0" fontId="10" fillId="0" borderId="35" xfId="0" applyFont="1" applyBorder="1" applyAlignment="1">
      <alignment horizontal="center"/>
    </xf>
    <xf numFmtId="0" fontId="10" fillId="0" borderId="43" xfId="0" applyFont="1" applyBorder="1" applyAlignment="1">
      <alignment horizontal="center"/>
    </xf>
    <xf numFmtId="166" fontId="12" fillId="0" borderId="34" xfId="0" applyNumberFormat="1" applyFont="1" applyBorder="1" applyAlignment="1">
      <alignment horizontal="center" vertical="center"/>
    </xf>
    <xf numFmtId="0" fontId="9" fillId="0" borderId="8" xfId="0" applyFont="1" applyBorder="1" applyAlignment="1">
      <alignment horizontal="center"/>
    </xf>
    <xf numFmtId="0" fontId="10" fillId="0" borderId="8" xfId="0" applyFont="1" applyBorder="1" applyAlignment="1">
      <alignment horizontal="center"/>
    </xf>
    <xf numFmtId="166" fontId="12" fillId="0" borderId="0" xfId="0" applyNumberFormat="1" applyFont="1" applyAlignment="1">
      <alignment horizontal="center" vertical="center"/>
    </xf>
    <xf numFmtId="0" fontId="9" fillId="0" borderId="19" xfId="0" applyFont="1" applyBorder="1" applyAlignment="1">
      <alignment horizontal="center"/>
    </xf>
    <xf numFmtId="0" fontId="12" fillId="0" borderId="90" xfId="0" applyFont="1" applyBorder="1" applyAlignment="1">
      <alignment horizontal="center"/>
    </xf>
    <xf numFmtId="0" fontId="10" fillId="0" borderId="91" xfId="0" applyFont="1" applyBorder="1" applyAlignment="1">
      <alignment horizontal="center"/>
    </xf>
    <xf numFmtId="0" fontId="12" fillId="0" borderId="114" xfId="0" applyFont="1" applyBorder="1" applyAlignment="1">
      <alignment horizontal="center"/>
    </xf>
    <xf numFmtId="0" fontId="10" fillId="0" borderId="35" xfId="0" applyFont="1" applyBorder="1" applyAlignment="1"/>
    <xf numFmtId="0" fontId="10" fillId="0" borderId="43" xfId="0" applyFont="1" applyBorder="1" applyAlignment="1"/>
    <xf numFmtId="0" fontId="12" fillId="0" borderId="70" xfId="0" applyFont="1" applyBorder="1" applyAlignment="1">
      <alignment horizontal="center"/>
    </xf>
    <xf numFmtId="0" fontId="10" fillId="0" borderId="71" xfId="0" applyFont="1" applyBorder="1" applyAlignment="1"/>
    <xf numFmtId="0" fontId="12" fillId="0" borderId="122" xfId="0" applyFont="1" applyBorder="1" applyAlignment="1">
      <alignment horizontal="center"/>
    </xf>
    <xf numFmtId="0" fontId="10" fillId="0" borderId="115" xfId="0" applyFont="1" applyBorder="1" applyAlignment="1"/>
    <xf numFmtId="0" fontId="10" fillId="0" borderId="92" xfId="0" applyFont="1" applyBorder="1" applyAlignment="1"/>
    <xf numFmtId="0" fontId="6" fillId="8" borderId="0" xfId="0" applyFont="1" applyFill="1" applyAlignment="1">
      <alignment horizontal="center" vertical="center" wrapText="1"/>
    </xf>
    <xf numFmtId="0" fontId="10" fillId="0" borderId="71" xfId="0" applyFont="1" applyBorder="1" applyAlignment="1">
      <alignment horizontal="center"/>
    </xf>
    <xf numFmtId="166" fontId="12" fillId="0" borderId="44" xfId="0" applyNumberFormat="1" applyFont="1" applyBorder="1" applyAlignment="1">
      <alignment horizontal="center" vertical="center"/>
    </xf>
    <xf numFmtId="0" fontId="12" fillId="0" borderId="11" xfId="0" applyFont="1" applyBorder="1" applyAlignment="1">
      <alignment horizontal="center" vertical="center"/>
    </xf>
    <xf numFmtId="0" fontId="12" fillId="0" borderId="81" xfId="0" applyFont="1" applyBorder="1" applyAlignment="1">
      <alignment horizontal="center" vertical="center"/>
    </xf>
    <xf numFmtId="0" fontId="12" fillId="0" borderId="82" xfId="0" applyFont="1" applyBorder="1" applyAlignment="1">
      <alignment horizontal="center" vertical="center"/>
    </xf>
    <xf numFmtId="0" fontId="12" fillId="0" borderId="102" xfId="0" applyFont="1" applyBorder="1" applyAlignment="1">
      <alignment horizontal="center" vertical="center"/>
    </xf>
    <xf numFmtId="0" fontId="12" fillId="0" borderId="103" xfId="0" applyFont="1" applyBorder="1" applyAlignment="1">
      <alignment horizontal="center" vertical="center"/>
    </xf>
    <xf numFmtId="0" fontId="12" fillId="0" borderId="104" xfId="0" applyFont="1" applyBorder="1" applyAlignment="1">
      <alignment horizontal="center" vertical="center"/>
    </xf>
    <xf numFmtId="0" fontId="9" fillId="0" borderId="0" xfId="0" applyFont="1" applyAlignment="1">
      <alignment horizontal="center"/>
    </xf>
    <xf numFmtId="0" fontId="10" fillId="0" borderId="0" xfId="0" applyFont="1" applyAlignment="1">
      <alignment horizontal="center"/>
    </xf>
    <xf numFmtId="0" fontId="9" fillId="0" borderId="105" xfId="0" applyFont="1" applyBorder="1" applyAlignment="1">
      <alignment horizontal="center"/>
    </xf>
    <xf numFmtId="0" fontId="10" fillId="0" borderId="106" xfId="0" applyFont="1" applyBorder="1" applyAlignment="1">
      <alignment horizontal="center"/>
    </xf>
    <xf numFmtId="0" fontId="10" fillId="0" borderId="107" xfId="0" applyFont="1" applyBorder="1" applyAlignment="1">
      <alignment horizontal="center"/>
    </xf>
    <xf numFmtId="0" fontId="6" fillId="7" borderId="33" xfId="0" applyFont="1" applyFill="1" applyBorder="1" applyAlignment="1">
      <alignment horizontal="center" vertical="center"/>
    </xf>
    <xf numFmtId="0" fontId="6" fillId="7" borderId="34" xfId="0" applyFont="1" applyFill="1" applyBorder="1" applyAlignment="1">
      <alignment horizontal="center" vertical="center"/>
    </xf>
    <xf numFmtId="0" fontId="6" fillId="7" borderId="42" xfId="0" applyFont="1" applyFill="1" applyBorder="1" applyAlignment="1">
      <alignment horizontal="center" vertical="center"/>
    </xf>
    <xf numFmtId="0" fontId="6" fillId="7" borderId="37" xfId="0" applyFont="1" applyFill="1" applyBorder="1" applyAlignment="1">
      <alignment horizontal="center" vertical="center"/>
    </xf>
    <xf numFmtId="0" fontId="6" fillId="7" borderId="38" xfId="0" applyFont="1" applyFill="1" applyBorder="1" applyAlignment="1">
      <alignment horizontal="center" vertical="center"/>
    </xf>
    <xf numFmtId="0" fontId="6" fillId="7" borderId="45"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81" xfId="0" applyFont="1" applyFill="1" applyBorder="1" applyAlignment="1">
      <alignment horizontal="center" vertical="center"/>
    </xf>
    <xf numFmtId="0" fontId="6" fillId="7" borderId="12" xfId="0" applyFont="1" applyFill="1" applyBorder="1" applyAlignment="1">
      <alignment horizontal="center" vertical="center"/>
    </xf>
    <xf numFmtId="0" fontId="6" fillId="7" borderId="0" xfId="0" applyFont="1" applyFill="1" applyAlignment="1">
      <alignment horizontal="center" vertical="center"/>
    </xf>
    <xf numFmtId="0" fontId="6" fillId="7" borderId="13" xfId="0" applyFont="1" applyFill="1" applyBorder="1" applyAlignment="1">
      <alignment horizontal="center" vertical="center"/>
    </xf>
    <xf numFmtId="0" fontId="6" fillId="7" borderId="47" xfId="0" applyFont="1" applyFill="1" applyBorder="1" applyAlignment="1">
      <alignment horizontal="center" vertical="center"/>
    </xf>
    <xf numFmtId="0" fontId="0" fillId="0" borderId="8"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42" xfId="0" applyBorder="1" applyAlignment="1">
      <alignment horizontal="center"/>
    </xf>
    <xf numFmtId="0" fontId="0" fillId="0" borderId="29" xfId="0" applyBorder="1" applyAlignment="1">
      <alignment horizontal="center"/>
    </xf>
    <xf numFmtId="0" fontId="0" fillId="0" borderId="35" xfId="0" applyBorder="1" applyAlignment="1">
      <alignment horizontal="center"/>
    </xf>
    <xf numFmtId="0" fontId="0" fillId="0" borderId="43"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8" xfId="0" applyBorder="1" applyAlignment="1">
      <alignment horizontal="center" vertical="center" wrapText="1"/>
    </xf>
    <xf numFmtId="0" fontId="0" fillId="0" borderId="46" xfId="0" applyBorder="1" applyAlignment="1">
      <alignment horizontal="center" vertical="center" wrapText="1"/>
    </xf>
    <xf numFmtId="0" fontId="0" fillId="0" borderId="13"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8" xfId="0" applyBorder="1" applyAlignment="1">
      <alignment horizontal="center" vertical="center"/>
    </xf>
    <xf numFmtId="0" fontId="0" fillId="0" borderId="39" xfId="0" applyBorder="1" applyAlignment="1">
      <alignment horizontal="center" vertical="center"/>
    </xf>
    <xf numFmtId="6" fontId="0" fillId="4" borderId="8" xfId="0" applyNumberFormat="1" applyFill="1" applyBorder="1" applyAlignment="1">
      <alignment horizontal="center" vertical="center"/>
    </xf>
    <xf numFmtId="6" fontId="0" fillId="5" borderId="8" xfId="0" applyNumberFormat="1" applyFill="1" applyBorder="1" applyAlignment="1">
      <alignment horizontal="center" vertical="center"/>
    </xf>
    <xf numFmtId="6" fontId="0" fillId="6" borderId="8" xfId="0" applyNumberFormat="1" applyFill="1" applyBorder="1" applyAlignment="1">
      <alignment horizontal="center" vertical="center"/>
    </xf>
    <xf numFmtId="0" fontId="7" fillId="4" borderId="8" xfId="0" applyFont="1" applyFill="1" applyBorder="1" applyAlignment="1">
      <alignment horizontal="center" vertical="center"/>
    </xf>
    <xf numFmtId="0" fontId="0" fillId="0" borderId="36" xfId="0" applyBorder="1" applyAlignment="1">
      <alignment horizontal="center" vertical="center" wrapText="1"/>
    </xf>
    <xf numFmtId="0" fontId="0" fillId="0" borderId="0" xfId="0" applyAlignment="1">
      <alignment horizontal="center" vertical="center" wrapText="1"/>
    </xf>
    <xf numFmtId="0" fontId="0" fillId="0" borderId="44"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45" xfId="0" applyBorder="1" applyAlignment="1">
      <alignment horizontal="center" vertical="center" wrapText="1"/>
    </xf>
    <xf numFmtId="0" fontId="6" fillId="4" borderId="0" xfId="0" applyFont="1" applyFill="1" applyAlignment="1">
      <alignment horizontal="center" vertical="center"/>
    </xf>
    <xf numFmtId="0" fontId="8" fillId="6" borderId="8"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8" xfId="0" applyFont="1" applyFill="1" applyBorder="1" applyAlignment="1">
      <alignment horizontal="center" vertical="center"/>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0" xfId="0"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1" fillId="2" borderId="3" xfId="0" applyFont="1" applyFill="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2" borderId="3" xfId="0" applyFill="1" applyBorder="1" applyAlignment="1">
      <alignment horizontal="center" vertical="center"/>
    </xf>
    <xf numFmtId="6" fontId="0" fillId="2" borderId="1" xfId="0" applyNumberFormat="1" applyFill="1" applyBorder="1" applyAlignment="1">
      <alignment horizontal="center" vertical="center"/>
    </xf>
    <xf numFmtId="6" fontId="0" fillId="2" borderId="3" xfId="0" applyNumberFormat="1" applyFill="1" applyBorder="1" applyAlignment="1">
      <alignment horizontal="center" vertical="center"/>
    </xf>
    <xf numFmtId="6" fontId="1" fillId="2" borderId="1" xfId="0" applyNumberFormat="1" applyFont="1" applyFill="1" applyBorder="1" applyAlignment="1">
      <alignment horizontal="center" vertical="center"/>
    </xf>
    <xf numFmtId="6" fontId="1" fillId="2" borderId="3" xfId="0" applyNumberFormat="1" applyFont="1" applyFill="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sting%20Bev%20Balag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LAGAN%20EXPENSES%20SEPTEM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List"/>
      <sheetName val="Costing menu beverage"/>
      <sheetName val="Beverage cost monthly"/>
    </sheetNames>
    <sheetDataSet>
      <sheetData sheetId="0">
        <row r="3">
          <cell r="E3">
            <v>171000</v>
          </cell>
        </row>
        <row r="4">
          <cell r="E4">
            <v>455000</v>
          </cell>
          <cell r="F4">
            <v>650</v>
          </cell>
        </row>
        <row r="5">
          <cell r="E5">
            <v>297000</v>
          </cell>
        </row>
        <row r="8">
          <cell r="E8">
            <v>450000</v>
          </cell>
        </row>
        <row r="9">
          <cell r="E9">
            <v>435000</v>
          </cell>
        </row>
        <row r="14">
          <cell r="E14">
            <v>246000</v>
          </cell>
        </row>
        <row r="17">
          <cell r="E17">
            <v>300000</v>
          </cell>
        </row>
        <row r="23">
          <cell r="E23">
            <v>925000</v>
          </cell>
        </row>
        <row r="26">
          <cell r="E26">
            <v>145000</v>
          </cell>
        </row>
        <row r="53">
          <cell r="E53">
            <v>270000</v>
          </cell>
        </row>
        <row r="54">
          <cell r="E54">
            <v>270000</v>
          </cell>
        </row>
        <row r="61">
          <cell r="E61">
            <v>337500</v>
          </cell>
        </row>
        <row r="62">
          <cell r="E62">
            <v>700000</v>
          </cell>
        </row>
        <row r="63">
          <cell r="E63">
            <v>600000</v>
          </cell>
        </row>
        <row r="64">
          <cell r="E64">
            <v>425000</v>
          </cell>
        </row>
        <row r="82">
          <cell r="E82">
            <v>420000</v>
          </cell>
        </row>
        <row r="83">
          <cell r="E83">
            <v>768000</v>
          </cell>
          <cell r="F83">
            <v>32000</v>
          </cell>
        </row>
        <row r="84">
          <cell r="E84">
            <v>1190000</v>
          </cell>
          <cell r="F84">
            <v>49583.333333333299</v>
          </cell>
        </row>
        <row r="85">
          <cell r="E85">
            <v>270000</v>
          </cell>
          <cell r="F85">
            <v>1080</v>
          </cell>
        </row>
        <row r="88">
          <cell r="E88">
            <v>1201500</v>
          </cell>
        </row>
        <row r="89">
          <cell r="E89">
            <v>310500</v>
          </cell>
        </row>
        <row r="90">
          <cell r="E90">
            <v>700000</v>
          </cell>
        </row>
        <row r="94">
          <cell r="E94">
            <v>308000</v>
          </cell>
          <cell r="F94">
            <v>6160</v>
          </cell>
        </row>
        <row r="95">
          <cell r="E95">
            <v>196000</v>
          </cell>
          <cell r="F95">
            <v>3920</v>
          </cell>
        </row>
        <row r="96">
          <cell r="E96">
            <v>196000</v>
          </cell>
          <cell r="F96">
            <v>3920</v>
          </cell>
        </row>
        <row r="97">
          <cell r="E97">
            <v>133000</v>
          </cell>
          <cell r="F97">
            <v>2660</v>
          </cell>
        </row>
        <row r="98">
          <cell r="E98">
            <v>77000</v>
          </cell>
          <cell r="F98">
            <v>1540</v>
          </cell>
        </row>
        <row r="101">
          <cell r="E101">
            <v>122000</v>
          </cell>
          <cell r="F101">
            <v>10166.666666666701</v>
          </cell>
        </row>
        <row r="102">
          <cell r="E102">
            <v>112000</v>
          </cell>
          <cell r="F102">
            <v>18666.666666666701</v>
          </cell>
        </row>
        <row r="103">
          <cell r="E103">
            <v>135000</v>
          </cell>
          <cell r="F103">
            <v>11250</v>
          </cell>
        </row>
        <row r="104">
          <cell r="E104">
            <v>120000</v>
          </cell>
          <cell r="F104">
            <v>20000</v>
          </cell>
        </row>
        <row r="105">
          <cell r="E105">
            <v>1122876</v>
          </cell>
          <cell r="F105">
            <v>31191</v>
          </cell>
        </row>
        <row r="106">
          <cell r="E106">
            <v>750000</v>
          </cell>
          <cell r="F106">
            <v>31250</v>
          </cell>
        </row>
        <row r="110">
          <cell r="E110">
            <v>420000</v>
          </cell>
        </row>
        <row r="111">
          <cell r="E111">
            <v>420000</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RUNG EKA"/>
      <sheetName val="TOKO BUNGA"/>
      <sheetName val="PNB"/>
      <sheetName val="DSP"/>
      <sheetName val="OTHER"/>
      <sheetName val="WEEKLY COST"/>
    </sheetNames>
    <sheetDataSet>
      <sheetData sheetId="0"/>
      <sheetData sheetId="1">
        <row r="95">
          <cell r="E95">
            <v>15000</v>
          </cell>
        </row>
      </sheetData>
      <sheetData sheetId="2"/>
      <sheetData sheetId="3"/>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73"/>
  <sheetViews>
    <sheetView zoomScale="150" zoomScaleNormal="80" workbookViewId="0">
      <selection activeCell="D7" sqref="D7"/>
    </sheetView>
  </sheetViews>
  <sheetFormatPr baseColWidth="10" defaultColWidth="9.1640625" defaultRowHeight="15" x14ac:dyDescent="0.2"/>
  <cols>
    <col min="1" max="1" width="2.83203125" style="1" customWidth="1"/>
    <col min="2" max="2" width="19.33203125" style="1" customWidth="1"/>
    <col min="3" max="3" width="7.83203125" style="1" customWidth="1"/>
    <col min="4" max="4" width="4.33203125" style="1" customWidth="1"/>
    <col min="5" max="5" width="10.5" style="1" customWidth="1"/>
    <col min="6" max="6" width="16" style="1" customWidth="1"/>
    <col min="7" max="7" width="13.5" style="1" customWidth="1"/>
    <col min="8" max="8" width="0.6640625" style="1" customWidth="1"/>
    <col min="9" max="9" width="8.83203125" style="1" customWidth="1"/>
    <col min="10" max="10" width="17.83203125" style="1" customWidth="1"/>
    <col min="11" max="11" width="7.33203125" style="1" customWidth="1"/>
    <col min="12" max="12" width="3.83203125" style="1" customWidth="1"/>
    <col min="13" max="13" width="10.5" style="1" customWidth="1"/>
    <col min="14" max="14" width="16.1640625" style="1" customWidth="1"/>
    <col min="15" max="15" width="9.1640625" style="1"/>
    <col min="16" max="16" width="15.5" style="1" customWidth="1"/>
    <col min="17" max="17" width="14.83203125" style="1" customWidth="1"/>
    <col min="18" max="18" width="9.1640625" style="1"/>
    <col min="19" max="19" width="11.83203125" style="1" customWidth="1"/>
    <col min="20" max="20" width="11.5" style="1" customWidth="1"/>
    <col min="21" max="21" width="15.5" style="1" customWidth="1"/>
    <col min="22" max="22" width="11" style="1"/>
    <col min="23" max="16384" width="9.1640625" style="1"/>
  </cols>
  <sheetData>
    <row r="1" spans="1:20" x14ac:dyDescent="0.2">
      <c r="A1" s="253" t="s">
        <v>0</v>
      </c>
      <c r="B1" s="253"/>
      <c r="C1" s="253"/>
      <c r="D1" s="253"/>
      <c r="E1" s="253"/>
      <c r="F1" s="253"/>
      <c r="G1" s="253"/>
      <c r="H1" s="253"/>
      <c r="I1" s="253"/>
      <c r="J1" s="253"/>
      <c r="K1" s="253"/>
      <c r="L1" s="253"/>
      <c r="M1" s="253"/>
      <c r="N1" s="253"/>
      <c r="O1" s="253"/>
      <c r="P1" s="253"/>
      <c r="Q1" s="253"/>
      <c r="R1" s="253"/>
      <c r="S1" s="253"/>
      <c r="T1" s="253"/>
    </row>
    <row r="2" spans="1:20" x14ac:dyDescent="0.2">
      <c r="A2" s="253"/>
      <c r="B2" s="253"/>
      <c r="C2" s="253"/>
      <c r="D2" s="253"/>
      <c r="E2" s="253"/>
      <c r="F2" s="253"/>
      <c r="G2" s="253"/>
      <c r="H2" s="253"/>
      <c r="I2" s="253"/>
      <c r="J2" s="253"/>
      <c r="K2" s="253"/>
      <c r="L2" s="253"/>
      <c r="M2" s="253"/>
      <c r="N2" s="253"/>
      <c r="O2" s="253"/>
      <c r="P2" s="253"/>
      <c r="Q2" s="253"/>
      <c r="R2" s="253"/>
      <c r="S2" s="253"/>
      <c r="T2" s="253"/>
    </row>
    <row r="3" spans="1:20" x14ac:dyDescent="0.2">
      <c r="A3" s="253"/>
      <c r="B3" s="253"/>
      <c r="C3" s="253"/>
      <c r="D3" s="253"/>
      <c r="E3" s="253"/>
      <c r="F3" s="253"/>
      <c r="G3" s="253"/>
      <c r="H3" s="253"/>
      <c r="I3" s="253"/>
      <c r="J3" s="253"/>
      <c r="K3" s="253"/>
      <c r="L3" s="253"/>
      <c r="M3" s="253"/>
      <c r="N3" s="253"/>
      <c r="O3" s="253"/>
      <c r="P3" s="253"/>
      <c r="Q3" s="253"/>
      <c r="R3" s="253"/>
      <c r="S3" s="253"/>
      <c r="T3" s="253"/>
    </row>
    <row r="4" spans="1:20" x14ac:dyDescent="0.2">
      <c r="A4" s="60"/>
      <c r="B4" s="60"/>
      <c r="C4" s="60"/>
      <c r="D4" s="60"/>
      <c r="E4" s="60"/>
      <c r="F4" s="60"/>
      <c r="G4" s="60"/>
      <c r="H4" s="60"/>
    </row>
    <row r="5" spans="1:20" x14ac:dyDescent="0.2">
      <c r="A5" s="60"/>
      <c r="B5" s="212" t="s">
        <v>669</v>
      </c>
      <c r="C5" s="213"/>
      <c r="D5" s="213"/>
      <c r="E5" s="213"/>
      <c r="F5" s="214"/>
      <c r="G5" s="173"/>
      <c r="J5" s="212" t="s">
        <v>672</v>
      </c>
      <c r="K5" s="213"/>
      <c r="L5" s="213"/>
      <c r="M5" s="213"/>
      <c r="N5" s="214"/>
      <c r="P5" s="212" t="s">
        <v>678</v>
      </c>
      <c r="Q5" s="213"/>
      <c r="R5" s="213"/>
      <c r="S5" s="213"/>
      <c r="T5" s="214"/>
    </row>
    <row r="6" spans="1:20" x14ac:dyDescent="0.2">
      <c r="A6" s="60"/>
      <c r="B6" s="71" t="s">
        <v>1</v>
      </c>
      <c r="C6" s="215" t="s">
        <v>2</v>
      </c>
      <c r="D6" s="216"/>
      <c r="E6" s="72" t="s">
        <v>3</v>
      </c>
      <c r="F6" s="73" t="s">
        <v>4</v>
      </c>
      <c r="G6" s="168"/>
      <c r="J6" s="71" t="s">
        <v>1</v>
      </c>
      <c r="K6" s="215" t="s">
        <v>2</v>
      </c>
      <c r="L6" s="216"/>
      <c r="M6" s="72" t="s">
        <v>3</v>
      </c>
      <c r="N6" s="73" t="s">
        <v>4</v>
      </c>
      <c r="P6" s="71" t="s">
        <v>1</v>
      </c>
      <c r="Q6" s="215" t="s">
        <v>2</v>
      </c>
      <c r="R6" s="216"/>
      <c r="S6" s="72" t="s">
        <v>3</v>
      </c>
      <c r="T6" s="73" t="s">
        <v>4</v>
      </c>
    </row>
    <row r="7" spans="1:20" x14ac:dyDescent="0.2">
      <c r="A7" s="60"/>
      <c r="B7" s="75" t="s">
        <v>5</v>
      </c>
      <c r="C7" s="76">
        <v>300</v>
      </c>
      <c r="D7" s="76" t="s">
        <v>6</v>
      </c>
      <c r="E7" s="77">
        <f>'SUPPLIER &amp; PRICE'!L14</f>
        <v>290</v>
      </c>
      <c r="F7" s="78">
        <f t="shared" ref="F7:F13" si="0">SUM(E7*C7)</f>
        <v>87000</v>
      </c>
      <c r="G7" s="173"/>
      <c r="J7" s="75" t="s">
        <v>7</v>
      </c>
      <c r="K7" s="76">
        <v>40</v>
      </c>
      <c r="L7" s="76" t="s">
        <v>6</v>
      </c>
      <c r="M7" s="77">
        <f>'SUPPLIER &amp; PRICE'!F97</f>
        <v>400</v>
      </c>
      <c r="N7" s="78">
        <f t="shared" ref="N7:N8" si="1">SUM(M7*K7)</f>
        <v>16000</v>
      </c>
      <c r="P7" s="75" t="s">
        <v>8</v>
      </c>
      <c r="Q7" s="76">
        <v>45</v>
      </c>
      <c r="R7" s="76" t="s">
        <v>6</v>
      </c>
      <c r="S7" s="77">
        <f>'SUPPLIER &amp; PRICE'!F76</f>
        <v>566.66666666666697</v>
      </c>
      <c r="T7" s="78">
        <f>SUM(S7*Q7)</f>
        <v>25500</v>
      </c>
    </row>
    <row r="8" spans="1:20" ht="16" customHeight="1" x14ac:dyDescent="0.2">
      <c r="A8" s="60"/>
      <c r="B8" s="83" t="s">
        <v>9</v>
      </c>
      <c r="C8" s="84">
        <v>100</v>
      </c>
      <c r="D8" s="84" t="s">
        <v>6</v>
      </c>
      <c r="E8" s="85">
        <f>'SUPPLIER &amp; PRICE'!F91</f>
        <v>666.66666666666697</v>
      </c>
      <c r="F8" s="82">
        <f t="shared" si="0"/>
        <v>66666.666666666701</v>
      </c>
      <c r="G8" s="173"/>
      <c r="J8" s="83" t="s">
        <v>10</v>
      </c>
      <c r="K8" s="84">
        <v>20</v>
      </c>
      <c r="L8" s="84" t="s">
        <v>6</v>
      </c>
      <c r="M8" s="85">
        <f>'SUPPLIER &amp; PRICE'!F91</f>
        <v>666.66666666666697</v>
      </c>
      <c r="N8" s="82">
        <f t="shared" si="1"/>
        <v>13333.333333333299</v>
      </c>
      <c r="P8" s="79" t="s">
        <v>11</v>
      </c>
      <c r="Q8" s="80">
        <v>20</v>
      </c>
      <c r="R8" s="80" t="s">
        <v>6</v>
      </c>
      <c r="S8" s="81">
        <f>'SUPPLIER &amp; PRICE'!L16</f>
        <v>407.142857142857</v>
      </c>
      <c r="T8" s="82">
        <f>SUM(S8*Q8)</f>
        <v>8142.8571428571404</v>
      </c>
    </row>
    <row r="9" spans="1:20" x14ac:dyDescent="0.2">
      <c r="A9" s="60"/>
      <c r="B9" s="83" t="s">
        <v>12</v>
      </c>
      <c r="C9" s="84">
        <v>80</v>
      </c>
      <c r="D9" s="84" t="s">
        <v>6</v>
      </c>
      <c r="E9" s="85">
        <f>'SUPPLIER &amp; PRICE'!F8</f>
        <v>116.666666666667</v>
      </c>
      <c r="F9" s="82">
        <f t="shared" si="0"/>
        <v>9333.3333333333594</v>
      </c>
      <c r="G9" s="173"/>
      <c r="J9" s="83" t="s">
        <v>13</v>
      </c>
      <c r="K9" s="84">
        <v>40</v>
      </c>
      <c r="L9" s="84" t="s">
        <v>6</v>
      </c>
      <c r="M9" s="85">
        <f>'SUPPLIER &amp; PRICE'!F164</f>
        <v>56.755555555555603</v>
      </c>
      <c r="N9" s="82">
        <f>SUM(K9*M9)</f>
        <v>2270.2222222222199</v>
      </c>
      <c r="P9" s="79" t="s">
        <v>14</v>
      </c>
      <c r="Q9" s="80">
        <v>10</v>
      </c>
      <c r="R9" s="80" t="s">
        <v>6</v>
      </c>
      <c r="S9" s="81">
        <f>'SUPPLIER &amp; PRICE'!F8</f>
        <v>116.666666666667</v>
      </c>
      <c r="T9" s="82">
        <f>SUM(S9*Q9)</f>
        <v>1166.6666666666699</v>
      </c>
    </row>
    <row r="10" spans="1:20" x14ac:dyDescent="0.2">
      <c r="A10" s="60"/>
      <c r="B10" s="83" t="s">
        <v>15</v>
      </c>
      <c r="C10" s="84">
        <v>90</v>
      </c>
      <c r="D10" s="84" t="s">
        <v>6</v>
      </c>
      <c r="E10" s="85">
        <f>'SUPPLIER &amp; PRICE'!F9</f>
        <v>66.6666666666667</v>
      </c>
      <c r="F10" s="82">
        <f t="shared" si="0"/>
        <v>6000</v>
      </c>
      <c r="G10" s="173"/>
      <c r="J10" s="86" t="s">
        <v>16</v>
      </c>
      <c r="K10" s="87">
        <v>150</v>
      </c>
      <c r="L10" s="87" t="s">
        <v>17</v>
      </c>
      <c r="M10" s="88">
        <f>'SUPPLIER &amp; PRICE'!F8</f>
        <v>116.666666666667</v>
      </c>
      <c r="N10" s="89">
        <f>SUM(K10*M10)</f>
        <v>17500.000000000098</v>
      </c>
      <c r="P10" s="83" t="s">
        <v>18</v>
      </c>
      <c r="Q10" s="84">
        <v>5</v>
      </c>
      <c r="R10" s="84" t="s">
        <v>6</v>
      </c>
      <c r="S10" s="85">
        <f>PREPARATION!L148</f>
        <v>18.7368421052632</v>
      </c>
      <c r="T10" s="82">
        <f>SUM(S10*Q10)</f>
        <v>93.684210526315795</v>
      </c>
    </row>
    <row r="11" spans="1:20" x14ac:dyDescent="0.2">
      <c r="A11" s="60"/>
      <c r="B11" s="83" t="s">
        <v>19</v>
      </c>
      <c r="C11" s="84">
        <v>60</v>
      </c>
      <c r="D11" s="84" t="s">
        <v>6</v>
      </c>
      <c r="E11" s="85">
        <f>'SUPPLIER &amp; PRICE'!F140</f>
        <v>158.57142857142901</v>
      </c>
      <c r="F11" s="82">
        <f t="shared" si="0"/>
        <v>9514.2857142857192</v>
      </c>
      <c r="G11" s="173"/>
      <c r="J11" s="90" t="s">
        <v>20</v>
      </c>
      <c r="K11" s="90">
        <v>240</v>
      </c>
      <c r="L11" s="90" t="s">
        <v>6</v>
      </c>
      <c r="M11" s="91"/>
      <c r="N11" s="92"/>
      <c r="P11" s="83" t="s">
        <v>21</v>
      </c>
      <c r="Q11" s="84">
        <v>45</v>
      </c>
      <c r="R11" s="84" t="s">
        <v>6</v>
      </c>
      <c r="S11" s="85">
        <f>PREPARATION!L89</f>
        <v>82.307692307692307</v>
      </c>
      <c r="T11" s="82">
        <f>SUM(Q11*S11)</f>
        <v>3703.8461538461502</v>
      </c>
    </row>
    <row r="12" spans="1:20" x14ac:dyDescent="0.2">
      <c r="A12" s="60"/>
      <c r="B12" s="83" t="s">
        <v>22</v>
      </c>
      <c r="C12" s="84">
        <v>50</v>
      </c>
      <c r="D12" s="84" t="s">
        <v>6</v>
      </c>
      <c r="E12" s="85">
        <f>'SUPPLIER &amp; PRICE'!F46</f>
        <v>75</v>
      </c>
      <c r="F12" s="82">
        <f t="shared" si="0"/>
        <v>3750</v>
      </c>
      <c r="G12" s="173"/>
      <c r="J12" s="217" t="s">
        <v>23</v>
      </c>
      <c r="K12" s="218"/>
      <c r="L12" s="218"/>
      <c r="M12" s="219"/>
      <c r="N12" s="96">
        <f>SUM(N7:N10)</f>
        <v>49103.555555555598</v>
      </c>
      <c r="P12" s="86" t="s">
        <v>24</v>
      </c>
      <c r="Q12" s="87">
        <v>15</v>
      </c>
      <c r="R12" s="87" t="s">
        <v>6</v>
      </c>
      <c r="S12" s="88">
        <f>'SUPPLIER &amp; PRICE'!F141</f>
        <v>158.57142857142901</v>
      </c>
      <c r="T12" s="89">
        <f>SUM(Q12*S12)</f>
        <v>2378.5714285714298</v>
      </c>
    </row>
    <row r="13" spans="1:20" x14ac:dyDescent="0.2">
      <c r="A13" s="60"/>
      <c r="B13" s="86" t="s">
        <v>25</v>
      </c>
      <c r="C13" s="87">
        <v>150</v>
      </c>
      <c r="D13" s="87" t="s">
        <v>6</v>
      </c>
      <c r="E13" s="174">
        <f>'SUPPLIER &amp; PRICE'!F48</f>
        <v>31</v>
      </c>
      <c r="F13" s="175">
        <f t="shared" si="0"/>
        <v>4650</v>
      </c>
      <c r="G13" s="173"/>
      <c r="J13" s="217" t="s">
        <v>26</v>
      </c>
      <c r="K13" s="218"/>
      <c r="L13" s="218"/>
      <c r="M13" s="219"/>
      <c r="N13" s="98">
        <f>SUM(N12*0.05)</f>
        <v>2455.1777777777802</v>
      </c>
      <c r="P13" s="90" t="s">
        <v>20</v>
      </c>
      <c r="Q13" s="90">
        <f>SUM(Q7:Q12)</f>
        <v>140</v>
      </c>
      <c r="R13" s="90" t="s">
        <v>6</v>
      </c>
      <c r="S13" s="91"/>
      <c r="T13" s="92"/>
    </row>
    <row r="14" spans="1:20" x14ac:dyDescent="0.2">
      <c r="A14" s="60"/>
      <c r="B14" s="176" t="s">
        <v>20</v>
      </c>
      <c r="C14" s="176">
        <v>600</v>
      </c>
      <c r="D14" s="176" t="s">
        <v>6</v>
      </c>
      <c r="E14" s="220"/>
      <c r="F14" s="220"/>
      <c r="G14" s="177" t="s">
        <v>27</v>
      </c>
      <c r="J14" s="217" t="s">
        <v>28</v>
      </c>
      <c r="K14" s="218"/>
      <c r="L14" s="218"/>
      <c r="M14" s="219"/>
      <c r="N14" s="98">
        <f>SUM(N12:N13)</f>
        <v>51558.733333333403</v>
      </c>
      <c r="P14" s="221" t="s">
        <v>29</v>
      </c>
      <c r="Q14" s="222"/>
      <c r="R14" s="223"/>
      <c r="S14" s="93" t="s">
        <v>30</v>
      </c>
      <c r="T14" s="94">
        <f>F109</f>
        <v>1200</v>
      </c>
    </row>
    <row r="15" spans="1:20" x14ac:dyDescent="0.2">
      <c r="A15" s="60"/>
      <c r="B15" s="224" t="s">
        <v>23</v>
      </c>
      <c r="C15" s="225"/>
      <c r="D15" s="225"/>
      <c r="E15" s="226"/>
      <c r="F15" s="156">
        <f>SUM(F7:F13)</f>
        <v>186914.285714286</v>
      </c>
      <c r="G15" s="178">
        <f>SUM(F15/5)</f>
        <v>37382.857142857203</v>
      </c>
      <c r="J15" s="221" t="s">
        <v>31</v>
      </c>
      <c r="K15" s="222"/>
      <c r="L15" s="222"/>
      <c r="M15" s="223"/>
      <c r="N15" s="99">
        <f>SUM(N14/N16)</f>
        <v>0.396605641025642</v>
      </c>
      <c r="P15" s="217" t="s">
        <v>23</v>
      </c>
      <c r="Q15" s="218"/>
      <c r="R15" s="218"/>
      <c r="S15" s="219"/>
      <c r="T15" s="96">
        <f>SUM(T7:T12)</f>
        <v>40985.625602467699</v>
      </c>
    </row>
    <row r="16" spans="1:20" x14ac:dyDescent="0.2">
      <c r="A16" s="60"/>
      <c r="B16" s="217" t="s">
        <v>26</v>
      </c>
      <c r="C16" s="218"/>
      <c r="D16" s="218"/>
      <c r="E16" s="219"/>
      <c r="F16" s="98">
        <f>SUM(F15*5%)</f>
        <v>9345.7142857142899</v>
      </c>
      <c r="G16" s="179">
        <f>SUM(F16/5)</f>
        <v>1869.1428571428601</v>
      </c>
      <c r="J16" s="221" t="s">
        <v>32</v>
      </c>
      <c r="K16" s="222"/>
      <c r="L16" s="222"/>
      <c r="M16" s="223"/>
      <c r="N16" s="100">
        <v>130000</v>
      </c>
      <c r="P16" s="217" t="s">
        <v>26</v>
      </c>
      <c r="Q16" s="218"/>
      <c r="R16" s="218"/>
      <c r="S16" s="219"/>
      <c r="T16" s="98">
        <f>SUM(T15*0.05)</f>
        <v>2049.2812801233899</v>
      </c>
    </row>
    <row r="17" spans="1:20" x14ac:dyDescent="0.2">
      <c r="A17" s="60"/>
      <c r="B17" s="217" t="s">
        <v>28</v>
      </c>
      <c r="C17" s="218"/>
      <c r="D17" s="218"/>
      <c r="E17" s="219"/>
      <c r="F17" s="98">
        <f>SUM(F15:F16)</f>
        <v>196260</v>
      </c>
      <c r="G17" s="179">
        <f>SUM(F17/5)</f>
        <v>39252</v>
      </c>
      <c r="P17" s="217" t="s">
        <v>28</v>
      </c>
      <c r="Q17" s="218"/>
      <c r="R17" s="218"/>
      <c r="S17" s="219"/>
      <c r="T17" s="98">
        <f>SUM(T15:T16)</f>
        <v>43034.906882591102</v>
      </c>
    </row>
    <row r="18" spans="1:20" x14ac:dyDescent="0.2">
      <c r="A18" s="60"/>
      <c r="B18" s="221" t="s">
        <v>31</v>
      </c>
      <c r="C18" s="222"/>
      <c r="D18" s="222"/>
      <c r="E18" s="223"/>
      <c r="F18" s="99">
        <f>SUM(F17/F19)</f>
        <v>0.30193846153846199</v>
      </c>
      <c r="G18" s="180">
        <f>SUM(G17/G19)</f>
        <v>0.30193846153846199</v>
      </c>
      <c r="P18" s="221" t="s">
        <v>31</v>
      </c>
      <c r="Q18" s="222"/>
      <c r="R18" s="222"/>
      <c r="S18" s="223"/>
      <c r="T18" s="99">
        <f>SUM(T17/T19)</f>
        <v>0.30739219201850798</v>
      </c>
    </row>
    <row r="19" spans="1:20" x14ac:dyDescent="0.2">
      <c r="A19" s="60"/>
      <c r="B19" s="221" t="s">
        <v>32</v>
      </c>
      <c r="C19" s="222"/>
      <c r="D19" s="222"/>
      <c r="E19" s="223"/>
      <c r="F19" s="100">
        <v>650000</v>
      </c>
      <c r="G19" s="181">
        <v>130000</v>
      </c>
      <c r="P19" s="221" t="s">
        <v>32</v>
      </c>
      <c r="Q19" s="222"/>
      <c r="R19" s="222"/>
      <c r="S19" s="223"/>
      <c r="T19" s="100">
        <v>140000</v>
      </c>
    </row>
    <row r="20" spans="1:20" x14ac:dyDescent="0.2">
      <c r="A20" s="60"/>
    </row>
    <row r="21" spans="1:20" ht="15" customHeight="1" x14ac:dyDescent="0.2">
      <c r="A21" s="60"/>
      <c r="B21" s="212" t="s">
        <v>33</v>
      </c>
      <c r="C21" s="213"/>
      <c r="D21" s="213"/>
      <c r="E21" s="213"/>
      <c r="F21" s="214"/>
      <c r="J21" s="227" t="s">
        <v>673</v>
      </c>
      <c r="K21" s="228"/>
      <c r="L21" s="228"/>
      <c r="M21" s="228"/>
      <c r="N21" s="229"/>
    </row>
    <row r="22" spans="1:20" x14ac:dyDescent="0.2">
      <c r="A22" s="60"/>
      <c r="B22" s="71" t="s">
        <v>1</v>
      </c>
      <c r="C22" s="215" t="s">
        <v>2</v>
      </c>
      <c r="D22" s="216"/>
      <c r="E22" s="72" t="s">
        <v>3</v>
      </c>
      <c r="F22" s="73" t="s">
        <v>4</v>
      </c>
      <c r="J22" s="71" t="s">
        <v>1</v>
      </c>
      <c r="K22" s="215" t="s">
        <v>2</v>
      </c>
      <c r="L22" s="216"/>
      <c r="M22" s="72" t="s">
        <v>3</v>
      </c>
      <c r="N22" s="73" t="s">
        <v>4</v>
      </c>
    </row>
    <row r="23" spans="1:20" x14ac:dyDescent="0.2">
      <c r="A23" s="60"/>
      <c r="B23" s="95" t="s">
        <v>7</v>
      </c>
      <c r="C23" s="95">
        <v>50</v>
      </c>
      <c r="D23" s="95" t="s">
        <v>6</v>
      </c>
      <c r="E23" s="85">
        <f>PREPARATION!L53</f>
        <v>483.33333333333297</v>
      </c>
      <c r="F23" s="85">
        <f>SUM(C23*E23)</f>
        <v>24166.666666666599</v>
      </c>
      <c r="J23" s="184" t="s">
        <v>34</v>
      </c>
      <c r="K23" s="141">
        <v>45</v>
      </c>
      <c r="L23" s="141" t="s">
        <v>6</v>
      </c>
      <c r="M23" s="77">
        <f>'SUPPLIER &amp; PRICE'!F88</f>
        <v>560</v>
      </c>
      <c r="N23" s="78">
        <f>SUM(M23*K23)</f>
        <v>25200</v>
      </c>
    </row>
    <row r="24" spans="1:20" x14ac:dyDescent="0.2">
      <c r="A24" s="60"/>
      <c r="B24" s="95" t="s">
        <v>35</v>
      </c>
      <c r="C24" s="95">
        <v>15</v>
      </c>
      <c r="D24" s="95" t="s">
        <v>6</v>
      </c>
      <c r="E24" s="85">
        <f>PREPARATION!L126</f>
        <v>74.138649921507096</v>
      </c>
      <c r="F24" s="85">
        <f>SUM(E24*C24)</f>
        <v>1112.0797488226101</v>
      </c>
      <c r="J24" s="189" t="s">
        <v>36</v>
      </c>
      <c r="K24" s="102">
        <v>15</v>
      </c>
      <c r="L24" s="102" t="s">
        <v>6</v>
      </c>
      <c r="M24" s="183">
        <f>'SUPPLIER &amp; PRICE'!F141</f>
        <v>158.57142857142901</v>
      </c>
      <c r="N24" s="190">
        <f>SUM(M24*K24)</f>
        <v>2378.5714285714298</v>
      </c>
    </row>
    <row r="25" spans="1:20" x14ac:dyDescent="0.2">
      <c r="A25" s="60"/>
      <c r="B25" s="95" t="s">
        <v>37</v>
      </c>
      <c r="C25" s="95">
        <v>45</v>
      </c>
      <c r="D25" s="95" t="s">
        <v>6</v>
      </c>
      <c r="E25" s="85">
        <f>PREPARATION!L126</f>
        <v>74.138649921507096</v>
      </c>
      <c r="F25" s="85">
        <f>SUM(E25*C25)</f>
        <v>3336.2392464678201</v>
      </c>
      <c r="J25" s="143" t="s">
        <v>15</v>
      </c>
      <c r="K25" s="133">
        <v>60</v>
      </c>
      <c r="L25" s="133" t="s">
        <v>6</v>
      </c>
      <c r="M25" s="122">
        <f>'SUPPLIER &amp; PRICE'!F9</f>
        <v>66.6666666666667</v>
      </c>
      <c r="N25" s="191">
        <f>SUM(K25*M25)</f>
        <v>4000</v>
      </c>
    </row>
    <row r="26" spans="1:20" x14ac:dyDescent="0.2">
      <c r="B26" s="95" t="s">
        <v>38</v>
      </c>
      <c r="C26" s="95">
        <v>1</v>
      </c>
      <c r="D26" s="95" t="s">
        <v>39</v>
      </c>
      <c r="E26" s="182">
        <f>'SUPPLIER &amp; PRICE'!F62</f>
        <v>5041.6666666666697</v>
      </c>
      <c r="F26" s="183">
        <f>E26</f>
        <v>5041.6666666666697</v>
      </c>
      <c r="J26" s="143" t="s">
        <v>38</v>
      </c>
      <c r="K26" s="133">
        <v>1</v>
      </c>
      <c r="L26" s="133" t="s">
        <v>39</v>
      </c>
      <c r="M26" s="122">
        <f>'SUPPLIER &amp; PRICE'!F59</f>
        <v>5208.3333333333303</v>
      </c>
      <c r="N26" s="191">
        <f>SUM(K26*M26)</f>
        <v>5208.3333333333303</v>
      </c>
    </row>
    <row r="27" spans="1:20" x14ac:dyDescent="0.2">
      <c r="B27" s="97" t="s">
        <v>20</v>
      </c>
      <c r="C27" s="97">
        <v>200</v>
      </c>
      <c r="D27" s="97" t="s">
        <v>6</v>
      </c>
      <c r="E27" s="230"/>
      <c r="F27" s="231"/>
      <c r="J27" s="192" t="s">
        <v>20</v>
      </c>
      <c r="K27" s="192">
        <v>250</v>
      </c>
      <c r="L27" s="192" t="s">
        <v>6</v>
      </c>
      <c r="M27" s="193"/>
      <c r="N27" s="194"/>
    </row>
    <row r="28" spans="1:20" x14ac:dyDescent="0.2">
      <c r="B28" s="217" t="s">
        <v>23</v>
      </c>
      <c r="C28" s="218"/>
      <c r="D28" s="218"/>
      <c r="E28" s="219"/>
      <c r="F28" s="96">
        <f>SUM(F23:F26)</f>
        <v>33656.652328623699</v>
      </c>
      <c r="J28" s="232" t="s">
        <v>29</v>
      </c>
      <c r="K28" s="233"/>
      <c r="L28" s="234"/>
      <c r="M28" s="149" t="s">
        <v>40</v>
      </c>
      <c r="N28" s="150">
        <f>SUM('SUPPLIER &amp; PRICE'!F18*2)</f>
        <v>100</v>
      </c>
    </row>
    <row r="29" spans="1:20" x14ac:dyDescent="0.2">
      <c r="B29" s="217" t="s">
        <v>26</v>
      </c>
      <c r="C29" s="218"/>
      <c r="D29" s="218"/>
      <c r="E29" s="219"/>
      <c r="F29" s="98">
        <f>SUM(F28*0.05)</f>
        <v>1682.83261643118</v>
      </c>
      <c r="J29" s="217" t="s">
        <v>23</v>
      </c>
      <c r="K29" s="218"/>
      <c r="L29" s="218"/>
      <c r="M29" s="226"/>
      <c r="N29" s="195">
        <f>SUM(N23:N28)</f>
        <v>36886.9047619048</v>
      </c>
    </row>
    <row r="30" spans="1:20" x14ac:dyDescent="0.2">
      <c r="B30" s="217" t="s">
        <v>28</v>
      </c>
      <c r="C30" s="218"/>
      <c r="D30" s="218"/>
      <c r="E30" s="219"/>
      <c r="F30" s="98">
        <f>SUM(F28:F29)</f>
        <v>35339.484945054901</v>
      </c>
      <c r="J30" s="217" t="s">
        <v>26</v>
      </c>
      <c r="K30" s="218"/>
      <c r="L30" s="218"/>
      <c r="M30" s="219"/>
      <c r="N30" s="156">
        <f>SUM(N29*0.05)</f>
        <v>1844.3452380952399</v>
      </c>
    </row>
    <row r="31" spans="1:20" x14ac:dyDescent="0.2">
      <c r="B31" s="221" t="s">
        <v>31</v>
      </c>
      <c r="C31" s="222"/>
      <c r="D31" s="222"/>
      <c r="E31" s="223"/>
      <c r="F31" s="99">
        <f>SUM(F30/F32)</f>
        <v>0.271842191885038</v>
      </c>
      <c r="J31" s="217" t="s">
        <v>28</v>
      </c>
      <c r="K31" s="218"/>
      <c r="L31" s="218"/>
      <c r="M31" s="219"/>
      <c r="N31" s="98">
        <f>SUM(N29:N30)</f>
        <v>38731.25</v>
      </c>
    </row>
    <row r="32" spans="1:20" x14ac:dyDescent="0.2">
      <c r="B32" s="221" t="s">
        <v>32</v>
      </c>
      <c r="C32" s="222"/>
      <c r="D32" s="222"/>
      <c r="E32" s="223"/>
      <c r="F32" s="100">
        <v>130000</v>
      </c>
      <c r="J32" s="221" t="s">
        <v>31</v>
      </c>
      <c r="K32" s="222"/>
      <c r="L32" s="222"/>
      <c r="M32" s="223"/>
      <c r="N32" s="99">
        <f>SUM(N31/N33)</f>
        <v>0.276651785714286</v>
      </c>
    </row>
    <row r="33" spans="2:14" x14ac:dyDescent="0.2">
      <c r="J33" s="221" t="s">
        <v>32</v>
      </c>
      <c r="K33" s="222"/>
      <c r="L33" s="222"/>
      <c r="M33" s="223"/>
      <c r="N33" s="100">
        <v>140000</v>
      </c>
    </row>
    <row r="36" spans="2:14" x14ac:dyDescent="0.2">
      <c r="B36" s="235" t="s">
        <v>670</v>
      </c>
      <c r="C36" s="236"/>
      <c r="D36" s="236"/>
      <c r="E36" s="236"/>
      <c r="F36" s="237"/>
      <c r="J36" s="227" t="s">
        <v>671</v>
      </c>
      <c r="K36" s="228"/>
      <c r="L36" s="228"/>
      <c r="M36" s="228"/>
      <c r="N36" s="229"/>
    </row>
    <row r="37" spans="2:14" x14ac:dyDescent="0.2">
      <c r="B37" s="71" t="s">
        <v>1</v>
      </c>
      <c r="C37" s="215" t="s">
        <v>2</v>
      </c>
      <c r="D37" s="216"/>
      <c r="E37" s="72" t="s">
        <v>3</v>
      </c>
      <c r="F37" s="73" t="s">
        <v>4</v>
      </c>
      <c r="J37" s="71" t="s">
        <v>1</v>
      </c>
      <c r="K37" s="215" t="s">
        <v>2</v>
      </c>
      <c r="L37" s="216"/>
      <c r="M37" s="72" t="s">
        <v>3</v>
      </c>
      <c r="N37" s="73" t="s">
        <v>4</v>
      </c>
    </row>
    <row r="38" spans="2:14" x14ac:dyDescent="0.2">
      <c r="B38" s="184" t="s">
        <v>677</v>
      </c>
      <c r="C38" s="141">
        <v>30</v>
      </c>
      <c r="D38" s="141" t="s">
        <v>6</v>
      </c>
      <c r="E38" s="77">
        <f>PREPARATION!L44</f>
        <v>481.81818181818198</v>
      </c>
      <c r="F38" s="78">
        <f>SUM(E38*C38)</f>
        <v>14454.5454545455</v>
      </c>
      <c r="J38" s="95" t="s">
        <v>679</v>
      </c>
      <c r="K38" s="95">
        <v>35</v>
      </c>
      <c r="L38" s="95" t="s">
        <v>6</v>
      </c>
      <c r="M38" s="85">
        <f>'SUPPLIER &amp; PRICE'!F77</f>
        <v>833.33333333333303</v>
      </c>
      <c r="N38" s="85">
        <f>SUM(M38*K38)</f>
        <v>29166.666666666701</v>
      </c>
    </row>
    <row r="39" spans="2:14" x14ac:dyDescent="0.2">
      <c r="B39" s="185" t="s">
        <v>10</v>
      </c>
      <c r="C39" s="95">
        <v>20</v>
      </c>
      <c r="D39" s="95" t="s">
        <v>6</v>
      </c>
      <c r="E39" s="85">
        <f>'SUPPLIER &amp; PRICE'!F91</f>
        <v>666.66666666666697</v>
      </c>
      <c r="F39" s="82">
        <f>SUM(C39*E39)</f>
        <v>13333.333333333299</v>
      </c>
      <c r="J39" s="95" t="s">
        <v>34</v>
      </c>
      <c r="K39" s="95">
        <v>30</v>
      </c>
      <c r="L39" s="95" t="s">
        <v>6</v>
      </c>
      <c r="M39" s="85">
        <f>'SUPPLIER &amp; PRICE'!F88</f>
        <v>560</v>
      </c>
      <c r="N39" s="85">
        <f>SUM(M39*K39)</f>
        <v>16800</v>
      </c>
    </row>
    <row r="40" spans="2:14" x14ac:dyDescent="0.2">
      <c r="B40" s="185" t="s">
        <v>41</v>
      </c>
      <c r="C40" s="95">
        <v>10</v>
      </c>
      <c r="D40" s="95" t="s">
        <v>6</v>
      </c>
      <c r="E40" s="85">
        <f>'SUPPLIER &amp; PRICE'!L16</f>
        <v>407.142857142857</v>
      </c>
      <c r="F40" s="82">
        <f>SUM(C40*E40)</f>
        <v>4071.4285714285702</v>
      </c>
      <c r="J40" s="95" t="s">
        <v>42</v>
      </c>
      <c r="K40" s="95">
        <v>60</v>
      </c>
      <c r="L40" s="95" t="s">
        <v>6</v>
      </c>
      <c r="M40" s="85">
        <f>PREPARATION!L109</f>
        <v>69.333228676085795</v>
      </c>
      <c r="N40" s="85">
        <f>SUM(K40*M40)</f>
        <v>4159.9937205651504</v>
      </c>
    </row>
    <row r="41" spans="2:14" x14ac:dyDescent="0.2">
      <c r="B41" s="186" t="s">
        <v>43</v>
      </c>
      <c r="C41" s="187">
        <v>60</v>
      </c>
      <c r="D41" s="187" t="s">
        <v>6</v>
      </c>
      <c r="E41" s="147">
        <f>PREPARATION!L99</f>
        <v>69.333228676085795</v>
      </c>
      <c r="F41" s="89">
        <f>SUM(C41*E41)</f>
        <v>4159.9937205651504</v>
      </c>
      <c r="J41" s="97" t="s">
        <v>20</v>
      </c>
      <c r="K41" s="97">
        <v>125</v>
      </c>
      <c r="L41" s="97" t="s">
        <v>6</v>
      </c>
      <c r="M41" s="94"/>
      <c r="N41" s="162"/>
    </row>
    <row r="42" spans="2:14" x14ac:dyDescent="0.2">
      <c r="B42" s="90" t="s">
        <v>20</v>
      </c>
      <c r="C42" s="90">
        <v>120</v>
      </c>
      <c r="D42" s="90" t="s">
        <v>6</v>
      </c>
      <c r="E42" s="157"/>
      <c r="F42" s="91"/>
      <c r="J42" s="221" t="s">
        <v>29</v>
      </c>
      <c r="K42" s="222"/>
      <c r="L42" s="223"/>
      <c r="M42" s="164" t="s">
        <v>44</v>
      </c>
      <c r="N42" s="123">
        <f>'SUPPLIER &amp; PRICE'!F151</f>
        <v>1250</v>
      </c>
    </row>
    <row r="43" spans="2:14" x14ac:dyDescent="0.2">
      <c r="B43" s="221" t="s">
        <v>29</v>
      </c>
      <c r="C43" s="222"/>
      <c r="D43" s="223"/>
      <c r="E43" s="164" t="s">
        <v>45</v>
      </c>
      <c r="F43" s="123">
        <f>SUM('SUPPLIER &amp; PRICE'!F40*2)</f>
        <v>2240</v>
      </c>
      <c r="J43" s="217" t="s">
        <v>23</v>
      </c>
      <c r="K43" s="218"/>
      <c r="L43" s="218"/>
      <c r="M43" s="219"/>
      <c r="N43" s="96">
        <f>SUM(N38:N42)</f>
        <v>51376.660387231903</v>
      </c>
    </row>
    <row r="44" spans="2:14" x14ac:dyDescent="0.2">
      <c r="B44" s="217" t="s">
        <v>23</v>
      </c>
      <c r="C44" s="218"/>
      <c r="D44" s="218"/>
      <c r="E44" s="219"/>
      <c r="F44" s="96">
        <f>SUM(F38:F43)</f>
        <v>38259.301079872501</v>
      </c>
      <c r="J44" s="217" t="s">
        <v>26</v>
      </c>
      <c r="K44" s="218"/>
      <c r="L44" s="218"/>
      <c r="M44" s="219"/>
      <c r="N44" s="98">
        <f>SUM(N43*0.05)</f>
        <v>2568.8330193615898</v>
      </c>
    </row>
    <row r="45" spans="2:14" x14ac:dyDescent="0.2">
      <c r="B45" s="217" t="s">
        <v>26</v>
      </c>
      <c r="C45" s="218"/>
      <c r="D45" s="218"/>
      <c r="E45" s="219"/>
      <c r="F45" s="98">
        <f>SUM(F44*0.05)</f>
        <v>1912.9650539936299</v>
      </c>
      <c r="J45" s="217" t="s">
        <v>28</v>
      </c>
      <c r="K45" s="218"/>
      <c r="L45" s="218"/>
      <c r="M45" s="219"/>
      <c r="N45" s="98">
        <f>SUM(N43:N44)</f>
        <v>53945.493406593399</v>
      </c>
    </row>
    <row r="46" spans="2:14" x14ac:dyDescent="0.2">
      <c r="B46" s="217" t="s">
        <v>28</v>
      </c>
      <c r="C46" s="218"/>
      <c r="D46" s="218"/>
      <c r="E46" s="219"/>
      <c r="F46" s="98">
        <f>SUM(F44:F45)</f>
        <v>40172.266133866098</v>
      </c>
      <c r="J46" s="221" t="s">
        <v>31</v>
      </c>
      <c r="K46" s="222"/>
      <c r="L46" s="222"/>
      <c r="M46" s="223"/>
      <c r="N46" s="99">
        <f>SUM(N45/N47)</f>
        <v>0.35963662271062302</v>
      </c>
    </row>
    <row r="47" spans="2:14" x14ac:dyDescent="0.2">
      <c r="B47" s="221" t="s">
        <v>31</v>
      </c>
      <c r="C47" s="222"/>
      <c r="D47" s="222"/>
      <c r="E47" s="223"/>
      <c r="F47" s="99">
        <f>SUM(F46/F48)</f>
        <v>0.28694475809904402</v>
      </c>
      <c r="J47" s="221" t="s">
        <v>32</v>
      </c>
      <c r="K47" s="222"/>
      <c r="L47" s="222"/>
      <c r="M47" s="223"/>
      <c r="N47" s="100">
        <v>150000</v>
      </c>
    </row>
    <row r="48" spans="2:14" x14ac:dyDescent="0.2">
      <c r="B48" s="221" t="s">
        <v>32</v>
      </c>
      <c r="C48" s="222"/>
      <c r="D48" s="222"/>
      <c r="E48" s="223"/>
      <c r="F48" s="100">
        <v>140000</v>
      </c>
    </row>
    <row r="51" spans="2:14" x14ac:dyDescent="0.2">
      <c r="B51" s="227" t="s">
        <v>46</v>
      </c>
      <c r="C51" s="228"/>
      <c r="D51" s="228"/>
      <c r="E51" s="228"/>
      <c r="F51" s="229"/>
      <c r="J51" s="227" t="s">
        <v>47</v>
      </c>
      <c r="K51" s="228"/>
      <c r="L51" s="228"/>
      <c r="M51" s="228"/>
      <c r="N51" s="229"/>
    </row>
    <row r="52" spans="2:14" x14ac:dyDescent="0.2">
      <c r="B52" s="71" t="s">
        <v>1</v>
      </c>
      <c r="C52" s="215" t="s">
        <v>2</v>
      </c>
      <c r="D52" s="216"/>
      <c r="E52" s="72" t="s">
        <v>3</v>
      </c>
      <c r="F52" s="73" t="s">
        <v>4</v>
      </c>
      <c r="J52" s="71" t="s">
        <v>1</v>
      </c>
      <c r="K52" s="215" t="s">
        <v>2</v>
      </c>
      <c r="L52" s="216"/>
      <c r="M52" s="72" t="s">
        <v>3</v>
      </c>
      <c r="N52" s="73" t="s">
        <v>4</v>
      </c>
    </row>
    <row r="53" spans="2:14" x14ac:dyDescent="0.2">
      <c r="B53" s="95" t="s">
        <v>7</v>
      </c>
      <c r="C53" s="95">
        <v>240</v>
      </c>
      <c r="D53" s="95" t="s">
        <v>6</v>
      </c>
      <c r="E53" s="85">
        <f>'SUPPLIER &amp; PRICE'!F97</f>
        <v>400</v>
      </c>
      <c r="F53" s="85">
        <f>SUM(E53*C53)</f>
        <v>96000</v>
      </c>
      <c r="J53" s="95" t="s">
        <v>48</v>
      </c>
      <c r="K53" s="95">
        <v>240</v>
      </c>
      <c r="L53" s="95" t="s">
        <v>6</v>
      </c>
      <c r="M53" s="85">
        <f>'SUPPLIER &amp; PRICE'!F79</f>
        <v>785.71428571428601</v>
      </c>
      <c r="N53" s="85">
        <f>SUM(M53*K53)</f>
        <v>188571.42857142899</v>
      </c>
    </row>
    <row r="54" spans="2:14" x14ac:dyDescent="0.2">
      <c r="B54" s="95" t="s">
        <v>49</v>
      </c>
      <c r="C54" s="95">
        <v>120</v>
      </c>
      <c r="D54" s="95" t="s">
        <v>6</v>
      </c>
      <c r="E54" s="85">
        <f>'SUPPLIER &amp; PRICE'!L14</f>
        <v>290</v>
      </c>
      <c r="F54" s="85">
        <f>SUM(E54*C54)</f>
        <v>34800</v>
      </c>
      <c r="J54" s="95" t="s">
        <v>50</v>
      </c>
      <c r="K54" s="95">
        <v>120</v>
      </c>
      <c r="L54" s="95" t="s">
        <v>6</v>
      </c>
      <c r="M54" s="85">
        <f>'SUPPLIER &amp; PRICE'!F76</f>
        <v>566.66666666666697</v>
      </c>
      <c r="N54" s="85">
        <f>SUM(M54*K54)</f>
        <v>68000</v>
      </c>
    </row>
    <row r="55" spans="2:14" x14ac:dyDescent="0.2">
      <c r="B55" s="95" t="s">
        <v>51</v>
      </c>
      <c r="C55" s="95">
        <v>90</v>
      </c>
      <c r="D55" s="95" t="s">
        <v>6</v>
      </c>
      <c r="E55" s="85">
        <f>'SUPPLIER &amp; PRICE'!F138</f>
        <v>158.57142857142901</v>
      </c>
      <c r="F55" s="85">
        <f>SUM(C55*E55)</f>
        <v>14271.4285714286</v>
      </c>
      <c r="J55" s="95" t="s">
        <v>52</v>
      </c>
      <c r="K55" s="95">
        <v>90</v>
      </c>
      <c r="L55" s="95" t="s">
        <v>6</v>
      </c>
      <c r="M55" s="85">
        <f>'SUPPLIER &amp; PRICE'!F136</f>
        <v>158.57142857142901</v>
      </c>
      <c r="N55" s="85">
        <f>SUM(K55*M55)</f>
        <v>14271.4285714286</v>
      </c>
    </row>
    <row r="56" spans="2:14" x14ac:dyDescent="0.2">
      <c r="B56" s="95" t="s">
        <v>53</v>
      </c>
      <c r="C56" s="95">
        <v>120</v>
      </c>
      <c r="D56" s="95" t="s">
        <v>6</v>
      </c>
      <c r="E56" s="85">
        <f>'SUPPLIER &amp; PRICE'!L20</f>
        <v>650</v>
      </c>
      <c r="F56" s="85">
        <f>SUM(C56*E56)</f>
        <v>78000</v>
      </c>
      <c r="J56" s="95" t="s">
        <v>54</v>
      </c>
      <c r="K56" s="95">
        <v>120</v>
      </c>
      <c r="L56" s="95" t="s">
        <v>6</v>
      </c>
      <c r="M56" s="85">
        <f>'SUPPLIER &amp; PRICE'!L19</f>
        <v>650</v>
      </c>
      <c r="N56" s="85">
        <f>SUM(K56*M56)</f>
        <v>78000</v>
      </c>
    </row>
    <row r="57" spans="2:14" x14ac:dyDescent="0.2">
      <c r="B57" s="95" t="s">
        <v>55</v>
      </c>
      <c r="C57" s="95">
        <v>380</v>
      </c>
      <c r="D57" s="95" t="s">
        <v>6</v>
      </c>
      <c r="E57" s="182">
        <f>PREPARATION!L79</f>
        <v>33.637948717948703</v>
      </c>
      <c r="F57" s="183">
        <f>SUM(C57*E57)</f>
        <v>12782.420512820499</v>
      </c>
      <c r="J57" s="95" t="s">
        <v>55</v>
      </c>
      <c r="K57" s="95">
        <v>370</v>
      </c>
      <c r="L57" s="95" t="s">
        <v>6</v>
      </c>
      <c r="M57" s="94">
        <f>PREPARATION!L79</f>
        <v>33.637948717948703</v>
      </c>
      <c r="N57" s="85">
        <f>SUM(K57*M57)</f>
        <v>12446.041025641</v>
      </c>
    </row>
    <row r="58" spans="2:14" x14ac:dyDescent="0.2">
      <c r="B58" s="95" t="s">
        <v>56</v>
      </c>
      <c r="C58" s="95">
        <v>2</v>
      </c>
      <c r="D58" s="95" t="s">
        <v>39</v>
      </c>
      <c r="E58" s="188">
        <f>'SUPPLIER &amp; PRICE'!F160</f>
        <v>8000</v>
      </c>
      <c r="F58" s="122">
        <f>SUM(C58*E58)</f>
        <v>16000</v>
      </c>
      <c r="J58" s="95" t="s">
        <v>57</v>
      </c>
      <c r="K58" s="95">
        <v>2</v>
      </c>
      <c r="L58" s="95" t="s">
        <v>39</v>
      </c>
      <c r="M58" s="94">
        <f>'SUPPLIER &amp; PRICE'!F59</f>
        <v>5208.3333333333303</v>
      </c>
      <c r="N58" s="85">
        <f>SUM(K58*M58)</f>
        <v>10416.666666666701</v>
      </c>
    </row>
    <row r="59" spans="2:14" x14ac:dyDescent="0.2">
      <c r="B59" s="97" t="s">
        <v>20</v>
      </c>
      <c r="C59" s="97">
        <v>1500</v>
      </c>
      <c r="D59" s="97" t="s">
        <v>6</v>
      </c>
      <c r="E59" s="238"/>
      <c r="F59" s="238"/>
      <c r="J59" s="97" t="s">
        <v>20</v>
      </c>
      <c r="K59" s="97">
        <v>1500</v>
      </c>
      <c r="L59" s="97" t="s">
        <v>6</v>
      </c>
      <c r="M59" s="238"/>
      <c r="N59" s="238"/>
    </row>
    <row r="60" spans="2:14" x14ac:dyDescent="0.2">
      <c r="B60" s="221" t="s">
        <v>29</v>
      </c>
      <c r="C60" s="222"/>
      <c r="D60" s="223"/>
      <c r="E60" s="164" t="s">
        <v>58</v>
      </c>
      <c r="F60" s="123">
        <f>SUM('SUPPLIER &amp; PRICE'!F8*30)</f>
        <v>3500.00000000001</v>
      </c>
      <c r="J60" s="221" t="s">
        <v>29</v>
      </c>
      <c r="K60" s="222"/>
      <c r="L60" s="223"/>
      <c r="M60" s="164" t="s">
        <v>58</v>
      </c>
      <c r="N60" s="123">
        <f>F60</f>
        <v>3500.00000000001</v>
      </c>
    </row>
    <row r="61" spans="2:14" x14ac:dyDescent="0.2">
      <c r="B61" s="217" t="s">
        <v>23</v>
      </c>
      <c r="C61" s="218"/>
      <c r="D61" s="218"/>
      <c r="E61" s="219"/>
      <c r="F61" s="96">
        <f>SUM(F53:F60)</f>
        <v>255353.849084249</v>
      </c>
      <c r="J61" s="217" t="s">
        <v>23</v>
      </c>
      <c r="K61" s="218"/>
      <c r="L61" s="218"/>
      <c r="M61" s="219"/>
      <c r="N61" s="96">
        <f>SUM(N53:N60)</f>
        <v>375205.56483516499</v>
      </c>
    </row>
    <row r="62" spans="2:14" x14ac:dyDescent="0.2">
      <c r="B62" s="217" t="s">
        <v>26</v>
      </c>
      <c r="C62" s="218"/>
      <c r="D62" s="218"/>
      <c r="E62" s="219"/>
      <c r="F62" s="98">
        <f>SUM(F61*0.05)</f>
        <v>12767.6924542125</v>
      </c>
      <c r="J62" s="217" t="s">
        <v>26</v>
      </c>
      <c r="K62" s="218"/>
      <c r="L62" s="218"/>
      <c r="M62" s="219"/>
      <c r="N62" s="98">
        <f>SUM(N61*0.05)</f>
        <v>18760.2782417583</v>
      </c>
    </row>
    <row r="63" spans="2:14" x14ac:dyDescent="0.2">
      <c r="B63" s="217" t="s">
        <v>28</v>
      </c>
      <c r="C63" s="218"/>
      <c r="D63" s="218"/>
      <c r="E63" s="219"/>
      <c r="F63" s="98">
        <f>SUM(F61:F62)</f>
        <v>268121.54153846198</v>
      </c>
      <c r="J63" s="217" t="s">
        <v>28</v>
      </c>
      <c r="K63" s="218"/>
      <c r="L63" s="218"/>
      <c r="M63" s="219"/>
      <c r="N63" s="98">
        <f>SUM(N61:N62)</f>
        <v>393965.84307692398</v>
      </c>
    </row>
    <row r="64" spans="2:14" x14ac:dyDescent="0.2">
      <c r="B64" s="221" t="s">
        <v>31</v>
      </c>
      <c r="C64" s="222"/>
      <c r="D64" s="222"/>
      <c r="E64" s="223"/>
      <c r="F64" s="99">
        <f>SUM(F63/F65)</f>
        <v>0.28223320161943299</v>
      </c>
      <c r="J64" s="221" t="s">
        <v>31</v>
      </c>
      <c r="K64" s="222"/>
      <c r="L64" s="222"/>
      <c r="M64" s="223"/>
      <c r="N64" s="99">
        <f>SUM(N63/N65)</f>
        <v>0.43773982564102598</v>
      </c>
    </row>
    <row r="65" spans="2:14" x14ac:dyDescent="0.2">
      <c r="B65" s="221" t="s">
        <v>32</v>
      </c>
      <c r="C65" s="222"/>
      <c r="D65" s="222"/>
      <c r="E65" s="223"/>
      <c r="F65" s="100">
        <v>950000</v>
      </c>
      <c r="J65" s="221" t="s">
        <v>32</v>
      </c>
      <c r="K65" s="222"/>
      <c r="L65" s="222"/>
      <c r="M65" s="223"/>
      <c r="N65" s="100">
        <v>900000</v>
      </c>
    </row>
    <row r="68" spans="2:14" x14ac:dyDescent="0.2">
      <c r="B68" s="227" t="s">
        <v>674</v>
      </c>
      <c r="C68" s="228"/>
      <c r="D68" s="228"/>
      <c r="E68" s="228"/>
      <c r="F68" s="229"/>
      <c r="J68" s="227" t="s">
        <v>59</v>
      </c>
      <c r="K68" s="228"/>
      <c r="L68" s="228"/>
      <c r="M68" s="228"/>
      <c r="N68" s="229"/>
    </row>
    <row r="69" spans="2:14" x14ac:dyDescent="0.2">
      <c r="B69" s="71" t="s">
        <v>1</v>
      </c>
      <c r="C69" s="215" t="s">
        <v>2</v>
      </c>
      <c r="D69" s="216"/>
      <c r="E69" s="72" t="s">
        <v>3</v>
      </c>
      <c r="F69" s="73" t="s">
        <v>4</v>
      </c>
      <c r="J69" s="71" t="s">
        <v>1</v>
      </c>
      <c r="K69" s="215" t="s">
        <v>2</v>
      </c>
      <c r="L69" s="216"/>
      <c r="M69" s="72" t="s">
        <v>3</v>
      </c>
      <c r="N69" s="73" t="s">
        <v>4</v>
      </c>
    </row>
    <row r="70" spans="2:14" x14ac:dyDescent="0.2">
      <c r="B70" s="95" t="s">
        <v>60</v>
      </c>
      <c r="C70" s="95">
        <v>20</v>
      </c>
      <c r="D70" s="95" t="s">
        <v>6</v>
      </c>
      <c r="E70" s="85">
        <f>'SUPPLIER &amp; PRICE'!F80</f>
        <v>714.28571428571399</v>
      </c>
      <c r="F70" s="85">
        <f>SUM(E70*C70)</f>
        <v>14285.714285714301</v>
      </c>
      <c r="J70" s="95" t="s">
        <v>61</v>
      </c>
      <c r="K70" s="95">
        <v>20</v>
      </c>
      <c r="L70" s="95" t="s">
        <v>6</v>
      </c>
      <c r="M70" s="85">
        <f>'SUPPLIER &amp; PRICE'!L14</f>
        <v>290</v>
      </c>
      <c r="N70" s="85">
        <f>SUM(M70*K70)</f>
        <v>5800</v>
      </c>
    </row>
    <row r="71" spans="2:14" x14ac:dyDescent="0.2">
      <c r="B71" s="95" t="s">
        <v>62</v>
      </c>
      <c r="C71" s="95">
        <v>15</v>
      </c>
      <c r="D71" s="95" t="s">
        <v>6</v>
      </c>
      <c r="E71" s="85">
        <f>'SUPPLIER &amp; PRICE'!L20</f>
        <v>650</v>
      </c>
      <c r="F71" s="85">
        <f>SUM(E71*C71)</f>
        <v>9750</v>
      </c>
      <c r="J71" s="95" t="s">
        <v>51</v>
      </c>
      <c r="K71" s="95">
        <v>10</v>
      </c>
      <c r="L71" s="95" t="s">
        <v>6</v>
      </c>
      <c r="M71" s="85">
        <f>'SUPPLIER &amp; PRICE'!F138</f>
        <v>158.57142857142901</v>
      </c>
      <c r="N71" s="85">
        <f>SUM(M71*K71)</f>
        <v>1585.7142857142901</v>
      </c>
    </row>
    <row r="72" spans="2:14" x14ac:dyDescent="0.2">
      <c r="B72" s="95" t="s">
        <v>19</v>
      </c>
      <c r="C72" s="95">
        <v>5</v>
      </c>
      <c r="D72" s="95" t="s">
        <v>6</v>
      </c>
      <c r="E72" s="85">
        <f>'SUPPLIER &amp; PRICE'!F140</f>
        <v>158.57142857142901</v>
      </c>
      <c r="F72" s="85">
        <f>SUM(C72*E72)</f>
        <v>792.857142857143</v>
      </c>
      <c r="J72" s="95" t="s">
        <v>63</v>
      </c>
      <c r="K72" s="95">
        <v>25</v>
      </c>
      <c r="L72" s="95" t="s">
        <v>6</v>
      </c>
      <c r="M72" s="85">
        <f>'SUPPLIER &amp; PRICE'!F135</f>
        <v>100</v>
      </c>
      <c r="N72" s="85">
        <f>SUM(K72*M72)</f>
        <v>2500</v>
      </c>
    </row>
    <row r="73" spans="2:14" x14ac:dyDescent="0.2">
      <c r="B73" s="95" t="s">
        <v>64</v>
      </c>
      <c r="C73" s="95">
        <v>10</v>
      </c>
      <c r="D73" s="95" t="s">
        <v>6</v>
      </c>
      <c r="E73" s="85">
        <f>'SUPPLIER &amp; PRICE'!F8</f>
        <v>116.666666666667</v>
      </c>
      <c r="F73" s="85">
        <f>SUM(C73*E73)</f>
        <v>1166.6666666666699</v>
      </c>
      <c r="J73" s="97" t="s">
        <v>20</v>
      </c>
      <c r="K73" s="97">
        <v>50</v>
      </c>
      <c r="L73" s="97" t="s">
        <v>6</v>
      </c>
      <c r="M73" s="238"/>
      <c r="N73" s="238"/>
    </row>
    <row r="74" spans="2:14" x14ac:dyDescent="0.2">
      <c r="B74" s="97" t="s">
        <v>20</v>
      </c>
      <c r="C74" s="97">
        <v>50</v>
      </c>
      <c r="D74" s="97" t="s">
        <v>6</v>
      </c>
      <c r="E74" s="94"/>
      <c r="F74" s="162"/>
      <c r="J74" s="217" t="s">
        <v>23</v>
      </c>
      <c r="K74" s="218"/>
      <c r="L74" s="218"/>
      <c r="M74" s="219"/>
      <c r="N74" s="96">
        <f>SUM(N70:N72)</f>
        <v>9885.7142857142899</v>
      </c>
    </row>
    <row r="75" spans="2:14" x14ac:dyDescent="0.2">
      <c r="B75" s="217" t="s">
        <v>23</v>
      </c>
      <c r="C75" s="218"/>
      <c r="D75" s="218"/>
      <c r="E75" s="219"/>
      <c r="F75" s="96">
        <f>SUM(F70:F73)</f>
        <v>25995.238095238099</v>
      </c>
      <c r="J75" s="217" t="s">
        <v>26</v>
      </c>
      <c r="K75" s="218"/>
      <c r="L75" s="218"/>
      <c r="M75" s="219"/>
      <c r="N75" s="98">
        <f>SUM(N74*0.05)</f>
        <v>494.28571428571399</v>
      </c>
    </row>
    <row r="76" spans="2:14" x14ac:dyDescent="0.2">
      <c r="B76" s="217" t="s">
        <v>26</v>
      </c>
      <c r="C76" s="218"/>
      <c r="D76" s="218"/>
      <c r="E76" s="219"/>
      <c r="F76" s="98">
        <f>SUM(F75*0.05)</f>
        <v>1299.76190476191</v>
      </c>
      <c r="J76" s="217" t="s">
        <v>28</v>
      </c>
      <c r="K76" s="218"/>
      <c r="L76" s="218"/>
      <c r="M76" s="219"/>
      <c r="N76" s="98">
        <f>SUM(N74:N75)</f>
        <v>10380</v>
      </c>
    </row>
    <row r="77" spans="2:14" x14ac:dyDescent="0.2">
      <c r="B77" s="217" t="s">
        <v>28</v>
      </c>
      <c r="C77" s="218"/>
      <c r="D77" s="218"/>
      <c r="E77" s="219"/>
      <c r="F77" s="98">
        <f>SUM(F75:F76)</f>
        <v>27295</v>
      </c>
      <c r="J77" s="221" t="s">
        <v>31</v>
      </c>
      <c r="K77" s="222"/>
      <c r="L77" s="222"/>
      <c r="M77" s="223"/>
      <c r="N77" s="99">
        <f>SUM(N76/N78)</f>
        <v>0.14828571428571399</v>
      </c>
    </row>
    <row r="78" spans="2:14" x14ac:dyDescent="0.2">
      <c r="B78" s="221" t="s">
        <v>31</v>
      </c>
      <c r="C78" s="222"/>
      <c r="D78" s="222"/>
      <c r="E78" s="223"/>
      <c r="F78" s="99">
        <f>SUM(F77/F79)</f>
        <v>0.38992857142857101</v>
      </c>
      <c r="J78" s="221" t="s">
        <v>32</v>
      </c>
      <c r="K78" s="222"/>
      <c r="L78" s="222"/>
      <c r="M78" s="223"/>
      <c r="N78" s="100">
        <v>70000</v>
      </c>
    </row>
    <row r="79" spans="2:14" x14ac:dyDescent="0.2">
      <c r="B79" s="221" t="s">
        <v>32</v>
      </c>
      <c r="C79" s="222"/>
      <c r="D79" s="222"/>
      <c r="E79" s="223"/>
      <c r="F79" s="100">
        <v>70000</v>
      </c>
    </row>
    <row r="85" spans="2:20" ht="43" customHeight="1" x14ac:dyDescent="0.2">
      <c r="B85" s="253" t="s">
        <v>65</v>
      </c>
      <c r="C85" s="253"/>
      <c r="D85" s="253"/>
      <c r="E85" s="253"/>
      <c r="F85" s="253"/>
      <c r="G85" s="253"/>
      <c r="H85" s="253"/>
      <c r="I85" s="253"/>
      <c r="J85" s="253"/>
      <c r="K85" s="253"/>
      <c r="L85" s="253"/>
      <c r="M85" s="253"/>
      <c r="N85" s="253"/>
      <c r="O85" s="253"/>
      <c r="P85" s="253"/>
      <c r="Q85" s="253"/>
      <c r="R85" s="253"/>
      <c r="S85" s="253"/>
      <c r="T85" s="253"/>
    </row>
    <row r="86" spans="2:20" ht="11" customHeight="1" x14ac:dyDescent="0.2">
      <c r="B86" s="253"/>
      <c r="C86" s="253"/>
      <c r="D86" s="253"/>
      <c r="E86" s="253"/>
      <c r="F86" s="253"/>
      <c r="G86" s="253"/>
      <c r="H86" s="253"/>
      <c r="I86" s="253"/>
      <c r="J86" s="253"/>
      <c r="K86" s="253"/>
      <c r="L86" s="253"/>
      <c r="M86" s="253"/>
      <c r="N86" s="253"/>
      <c r="O86" s="253"/>
      <c r="P86" s="253"/>
      <c r="Q86" s="253"/>
      <c r="R86" s="253"/>
      <c r="S86" s="253"/>
      <c r="T86" s="253"/>
    </row>
    <row r="87" spans="2:20" ht="11" customHeight="1" x14ac:dyDescent="0.2">
      <c r="B87" s="253"/>
      <c r="C87" s="253"/>
      <c r="D87" s="253"/>
      <c r="E87" s="253"/>
      <c r="F87" s="253"/>
      <c r="G87" s="253"/>
      <c r="H87" s="253"/>
      <c r="I87" s="253"/>
      <c r="J87" s="253"/>
      <c r="K87" s="253"/>
      <c r="L87" s="253"/>
      <c r="M87" s="253"/>
      <c r="N87" s="253"/>
      <c r="O87" s="253"/>
      <c r="P87" s="253"/>
      <c r="Q87" s="253"/>
      <c r="R87" s="253"/>
      <c r="S87" s="253"/>
      <c r="T87" s="253"/>
    </row>
    <row r="89" spans="2:20" x14ac:dyDescent="0.2">
      <c r="B89" s="239" t="s">
        <v>66</v>
      </c>
      <c r="C89" s="240"/>
      <c r="D89" s="240"/>
      <c r="E89" s="240"/>
      <c r="F89" s="240"/>
      <c r="J89" s="239" t="s">
        <v>67</v>
      </c>
      <c r="K89" s="228"/>
      <c r="L89" s="228"/>
      <c r="M89" s="228"/>
      <c r="N89" s="229"/>
      <c r="P89" s="239" t="s">
        <v>68</v>
      </c>
      <c r="Q89" s="228"/>
      <c r="R89" s="228"/>
      <c r="S89" s="228"/>
      <c r="T89" s="229"/>
    </row>
    <row r="90" spans="2:20" x14ac:dyDescent="0.2">
      <c r="B90" s="71" t="s">
        <v>1</v>
      </c>
      <c r="C90" s="215" t="s">
        <v>2</v>
      </c>
      <c r="D90" s="216"/>
      <c r="E90" s="72" t="s">
        <v>3</v>
      </c>
      <c r="F90" s="73" t="s">
        <v>4</v>
      </c>
      <c r="J90" s="71" t="s">
        <v>1</v>
      </c>
      <c r="K90" s="215" t="s">
        <v>2</v>
      </c>
      <c r="L90" s="216"/>
      <c r="M90" s="72" t="s">
        <v>3</v>
      </c>
      <c r="N90" s="73" t="s">
        <v>4</v>
      </c>
      <c r="P90" s="71" t="s">
        <v>1</v>
      </c>
      <c r="Q90" s="215" t="s">
        <v>2</v>
      </c>
      <c r="R90" s="216"/>
      <c r="S90" s="72" t="s">
        <v>3</v>
      </c>
      <c r="T90" s="73" t="s">
        <v>4</v>
      </c>
    </row>
    <row r="91" spans="2:20" x14ac:dyDescent="0.2">
      <c r="B91" s="140" t="s">
        <v>69</v>
      </c>
      <c r="C91" s="196">
        <v>35</v>
      </c>
      <c r="D91" s="141" t="s">
        <v>6</v>
      </c>
      <c r="E91" s="77">
        <f>'SUPPLIER &amp; PRICE'!F97</f>
        <v>400</v>
      </c>
      <c r="F91" s="78">
        <f>SUM(E91*C91)</f>
        <v>14000</v>
      </c>
      <c r="J91" s="140" t="s">
        <v>70</v>
      </c>
      <c r="K91" s="196">
        <v>60</v>
      </c>
      <c r="L91" s="141" t="s">
        <v>6</v>
      </c>
      <c r="M91" s="77">
        <f>'SUPPLIER &amp; PRICE'!F77</f>
        <v>833.33333333333303</v>
      </c>
      <c r="N91" s="78">
        <f>SUM(M91*K91)</f>
        <v>50000</v>
      </c>
      <c r="P91" s="140" t="s">
        <v>71</v>
      </c>
      <c r="Q91" s="196">
        <v>50</v>
      </c>
      <c r="R91" s="141" t="s">
        <v>6</v>
      </c>
      <c r="S91" s="77">
        <f>'SUPPLIER &amp; PRICE'!F96</f>
        <v>328</v>
      </c>
      <c r="T91" s="78">
        <f>SUM(S91*Q91)</f>
        <v>16400</v>
      </c>
    </row>
    <row r="92" spans="2:20" x14ac:dyDescent="0.2">
      <c r="B92" s="143" t="s">
        <v>72</v>
      </c>
      <c r="C92" s="144">
        <v>35</v>
      </c>
      <c r="D92" s="95" t="s">
        <v>6</v>
      </c>
      <c r="E92" s="85">
        <f>'SUPPLIER &amp; PRICE'!F89</f>
        <v>666.66666666666697</v>
      </c>
      <c r="F92" s="82">
        <f>SUM(E92*C92)</f>
        <v>23333.333333333299</v>
      </c>
      <c r="J92" s="143" t="s">
        <v>16</v>
      </c>
      <c r="K92" s="144">
        <v>25</v>
      </c>
      <c r="L92" s="95" t="s">
        <v>6</v>
      </c>
      <c r="M92" s="85">
        <f>'SUPPLIER &amp; PRICE'!F8</f>
        <v>116.666666666667</v>
      </c>
      <c r="N92" s="82">
        <f>SUM(M92*K92)</f>
        <v>2916.6666666666802</v>
      </c>
      <c r="P92" s="143" t="s">
        <v>73</v>
      </c>
      <c r="Q92" s="144">
        <v>30</v>
      </c>
      <c r="R92" s="95" t="s">
        <v>6</v>
      </c>
      <c r="S92" s="85">
        <f>'SUPPLIER &amp; PRICE'!L4</f>
        <v>560</v>
      </c>
      <c r="T92" s="82">
        <f>SUM(S92*Q92)</f>
        <v>16800</v>
      </c>
    </row>
    <row r="93" spans="2:20" x14ac:dyDescent="0.2">
      <c r="B93" s="197" t="s">
        <v>74</v>
      </c>
      <c r="C93" s="198">
        <v>35</v>
      </c>
      <c r="D93" s="187" t="s">
        <v>6</v>
      </c>
      <c r="E93" s="88">
        <f>'SUPPLIER &amp; PRICE'!F103</f>
        <v>600</v>
      </c>
      <c r="F93" s="89">
        <f>SUM(C93*E93)</f>
        <v>21000</v>
      </c>
      <c r="J93" s="199" t="s">
        <v>75</v>
      </c>
      <c r="K93" s="200">
        <v>1</v>
      </c>
      <c r="L93" s="161" t="s">
        <v>76</v>
      </c>
      <c r="M93" s="201">
        <f>'SUPPLIER &amp; PRICE'!F152</f>
        <v>2000</v>
      </c>
      <c r="N93" s="202">
        <f>SUM(K93*M93)</f>
        <v>2000</v>
      </c>
      <c r="P93" s="199" t="s">
        <v>77</v>
      </c>
      <c r="Q93" s="200">
        <v>30</v>
      </c>
      <c r="R93" s="161" t="s">
        <v>6</v>
      </c>
      <c r="S93" s="201">
        <f>'NON ALCOHOL'!F10</f>
        <v>5715.78947368421</v>
      </c>
      <c r="T93" s="202">
        <f>S93</f>
        <v>5715.78947368421</v>
      </c>
    </row>
    <row r="94" spans="2:20" x14ac:dyDescent="0.2">
      <c r="B94" s="90" t="s">
        <v>20</v>
      </c>
      <c r="C94" s="90">
        <v>240</v>
      </c>
      <c r="D94" s="90" t="s">
        <v>6</v>
      </c>
      <c r="E94" s="241"/>
      <c r="F94" s="241"/>
      <c r="J94" s="197" t="s">
        <v>18</v>
      </c>
      <c r="K94" s="203">
        <v>15</v>
      </c>
      <c r="L94" s="203" t="s">
        <v>6</v>
      </c>
      <c r="M94" s="204">
        <f>PREPARATION!L148</f>
        <v>18.7368421052632</v>
      </c>
      <c r="N94" s="148">
        <f>SUM(K94*M94)</f>
        <v>281.052631578947</v>
      </c>
      <c r="P94" s="197" t="s">
        <v>18</v>
      </c>
      <c r="Q94" s="203">
        <v>20</v>
      </c>
      <c r="R94" s="203" t="s">
        <v>6</v>
      </c>
      <c r="S94" s="204">
        <f>PREPARATION!L148</f>
        <v>18.7368421052632</v>
      </c>
      <c r="T94" s="148">
        <f>SUM(Q94*S94)</f>
        <v>374.73684210526301</v>
      </c>
    </row>
    <row r="95" spans="2:20" x14ac:dyDescent="0.2">
      <c r="B95" s="221" t="s">
        <v>29</v>
      </c>
      <c r="C95" s="222"/>
      <c r="D95" s="223"/>
      <c r="E95" s="93" t="s">
        <v>30</v>
      </c>
      <c r="F95" s="94">
        <f>SUM('SUPPLIER &amp; PRICE'!F11*20)</f>
        <v>1200</v>
      </c>
      <c r="J95" s="90" t="s">
        <v>20</v>
      </c>
      <c r="K95" s="90">
        <v>240</v>
      </c>
      <c r="L95" s="90" t="s">
        <v>6</v>
      </c>
      <c r="M95" s="157"/>
      <c r="N95" s="91"/>
      <c r="P95" s="90" t="s">
        <v>20</v>
      </c>
      <c r="Q95" s="90">
        <v>180</v>
      </c>
      <c r="R95" s="90" t="s">
        <v>6</v>
      </c>
      <c r="S95" s="157"/>
      <c r="T95" s="91"/>
    </row>
    <row r="96" spans="2:20" x14ac:dyDescent="0.2">
      <c r="B96" s="217" t="s">
        <v>23</v>
      </c>
      <c r="C96" s="218"/>
      <c r="D96" s="218"/>
      <c r="E96" s="219"/>
      <c r="F96" s="96">
        <f>SUM(F91:F95)</f>
        <v>59533.333333333299</v>
      </c>
      <c r="J96" s="221" t="s">
        <v>29</v>
      </c>
      <c r="K96" s="222"/>
      <c r="L96" s="223"/>
      <c r="M96" s="93" t="s">
        <v>78</v>
      </c>
      <c r="N96" s="94">
        <f>SUM('SUPPLIER &amp; PRICE'!F8*10)</f>
        <v>1166.6666666666699</v>
      </c>
      <c r="P96" s="221" t="s">
        <v>29</v>
      </c>
      <c r="Q96" s="222"/>
      <c r="R96" s="223"/>
      <c r="S96" s="93" t="s">
        <v>79</v>
      </c>
      <c r="T96" s="94">
        <v>200</v>
      </c>
    </row>
    <row r="97" spans="2:20" x14ac:dyDescent="0.2">
      <c r="B97" s="217" t="s">
        <v>26</v>
      </c>
      <c r="C97" s="218"/>
      <c r="D97" s="218"/>
      <c r="E97" s="219"/>
      <c r="F97" s="98">
        <f>SUM(F96*0.05)</f>
        <v>2976.6666666666702</v>
      </c>
      <c r="J97" s="217" t="s">
        <v>23</v>
      </c>
      <c r="K97" s="218"/>
      <c r="L97" s="218"/>
      <c r="M97" s="219"/>
      <c r="N97" s="96">
        <f>SUM(N91:N96)</f>
        <v>56364.385964912297</v>
      </c>
      <c r="P97" s="217" t="s">
        <v>23</v>
      </c>
      <c r="Q97" s="218"/>
      <c r="R97" s="218"/>
      <c r="S97" s="219"/>
      <c r="T97" s="96">
        <f>SUM(T91:T96)</f>
        <v>39490.526315789502</v>
      </c>
    </row>
    <row r="98" spans="2:20" x14ac:dyDescent="0.2">
      <c r="B98" s="217" t="s">
        <v>28</v>
      </c>
      <c r="C98" s="218"/>
      <c r="D98" s="218"/>
      <c r="E98" s="219"/>
      <c r="F98" s="98">
        <f>SUM(F96:F97)</f>
        <v>62510</v>
      </c>
      <c r="J98" s="217" t="s">
        <v>26</v>
      </c>
      <c r="K98" s="218"/>
      <c r="L98" s="218"/>
      <c r="M98" s="219"/>
      <c r="N98" s="98">
        <f>SUM(N97*0.05)</f>
        <v>2818.2192982456099</v>
      </c>
      <c r="P98" s="217" t="s">
        <v>26</v>
      </c>
      <c r="Q98" s="218"/>
      <c r="R98" s="218"/>
      <c r="S98" s="219"/>
      <c r="T98" s="98">
        <f>SUM(T97*0.05)</f>
        <v>1974.5263157894699</v>
      </c>
    </row>
    <row r="99" spans="2:20" x14ac:dyDescent="0.2">
      <c r="B99" s="221" t="s">
        <v>31</v>
      </c>
      <c r="C99" s="222"/>
      <c r="D99" s="222"/>
      <c r="E99" s="223"/>
      <c r="F99" s="99">
        <f>SUM(F98/F100)</f>
        <v>0.41673333333333301</v>
      </c>
      <c r="J99" s="217" t="s">
        <v>28</v>
      </c>
      <c r="K99" s="218"/>
      <c r="L99" s="218"/>
      <c r="M99" s="219"/>
      <c r="N99" s="98">
        <f>SUM(N97:N98)</f>
        <v>59182.6052631579</v>
      </c>
      <c r="P99" s="217" t="s">
        <v>28</v>
      </c>
      <c r="Q99" s="218"/>
      <c r="R99" s="218"/>
      <c r="S99" s="219"/>
      <c r="T99" s="98">
        <f>SUM(T97:T98)</f>
        <v>41465.052631578903</v>
      </c>
    </row>
    <row r="100" spans="2:20" x14ac:dyDescent="0.2">
      <c r="B100" s="221" t="s">
        <v>32</v>
      </c>
      <c r="C100" s="222"/>
      <c r="D100" s="222"/>
      <c r="E100" s="223"/>
      <c r="F100" s="100">
        <v>150000</v>
      </c>
      <c r="J100" s="221" t="s">
        <v>31</v>
      </c>
      <c r="K100" s="222"/>
      <c r="L100" s="222"/>
      <c r="M100" s="223"/>
      <c r="N100" s="99">
        <f>SUM(N99/N101)</f>
        <v>0.394550701754386</v>
      </c>
      <c r="P100" s="221" t="s">
        <v>31</v>
      </c>
      <c r="Q100" s="222"/>
      <c r="R100" s="222"/>
      <c r="S100" s="223"/>
      <c r="T100" s="99">
        <f>SUM(T99/T101)</f>
        <v>0.276433684210526</v>
      </c>
    </row>
    <row r="101" spans="2:20" x14ac:dyDescent="0.2">
      <c r="J101" s="221" t="s">
        <v>32</v>
      </c>
      <c r="K101" s="222"/>
      <c r="L101" s="222"/>
      <c r="M101" s="223"/>
      <c r="N101" s="100">
        <v>150000</v>
      </c>
      <c r="P101" s="221" t="s">
        <v>32</v>
      </c>
      <c r="Q101" s="222"/>
      <c r="R101" s="222"/>
      <c r="S101" s="223"/>
      <c r="T101" s="100">
        <v>150000</v>
      </c>
    </row>
    <row r="103" spans="2:20" x14ac:dyDescent="0.2">
      <c r="B103" s="239" t="s">
        <v>80</v>
      </c>
      <c r="C103" s="228"/>
      <c r="D103" s="228"/>
      <c r="E103" s="228"/>
      <c r="F103" s="229"/>
    </row>
    <row r="104" spans="2:20" x14ac:dyDescent="0.2">
      <c r="B104" s="71" t="s">
        <v>1</v>
      </c>
      <c r="C104" s="215" t="s">
        <v>2</v>
      </c>
      <c r="D104" s="216"/>
      <c r="E104" s="72" t="s">
        <v>3</v>
      </c>
      <c r="F104" s="73" t="s">
        <v>4</v>
      </c>
      <c r="J104" s="239" t="s">
        <v>81</v>
      </c>
      <c r="K104" s="228"/>
      <c r="L104" s="228"/>
      <c r="M104" s="228"/>
      <c r="N104" s="229"/>
      <c r="P104" s="239" t="s">
        <v>82</v>
      </c>
      <c r="Q104" s="228"/>
      <c r="R104" s="228"/>
      <c r="S104" s="228"/>
      <c r="T104" s="229"/>
    </row>
    <row r="105" spans="2:20" x14ac:dyDescent="0.2">
      <c r="B105" s="133" t="s">
        <v>83</v>
      </c>
      <c r="C105" s="144">
        <v>50</v>
      </c>
      <c r="D105" s="95" t="s">
        <v>6</v>
      </c>
      <c r="E105" s="85">
        <f>'SUPPLIER &amp; PRICE'!F104</f>
        <v>580</v>
      </c>
      <c r="F105" s="85">
        <f>SUM(E105*C105)</f>
        <v>29000</v>
      </c>
      <c r="J105" s="71" t="s">
        <v>1</v>
      </c>
      <c r="K105" s="215" t="s">
        <v>2</v>
      </c>
      <c r="L105" s="216"/>
      <c r="M105" s="72" t="s">
        <v>3</v>
      </c>
      <c r="N105" s="73" t="s">
        <v>4</v>
      </c>
      <c r="P105" s="71" t="s">
        <v>1</v>
      </c>
      <c r="Q105" s="215" t="s">
        <v>2</v>
      </c>
      <c r="R105" s="216"/>
      <c r="S105" s="72" t="s">
        <v>3</v>
      </c>
      <c r="T105" s="73" t="s">
        <v>4</v>
      </c>
    </row>
    <row r="106" spans="2:20" x14ac:dyDescent="0.2">
      <c r="B106" s="133" t="s">
        <v>84</v>
      </c>
      <c r="C106" s="144">
        <v>1</v>
      </c>
      <c r="D106" s="95" t="s">
        <v>39</v>
      </c>
      <c r="E106" s="85">
        <f>'SUPPLIER &amp; PRICE'!F68</f>
        <v>5208.3333333333303</v>
      </c>
      <c r="F106" s="85">
        <f>SUM(E106*C106)</f>
        <v>5208.3333333333303</v>
      </c>
      <c r="J106" s="140" t="s">
        <v>48</v>
      </c>
      <c r="K106" s="196">
        <v>50</v>
      </c>
      <c r="L106" s="141" t="s">
        <v>6</v>
      </c>
      <c r="M106" s="77">
        <f>'SUPPLIER &amp; PRICE'!F79</f>
        <v>785.71428571428601</v>
      </c>
      <c r="N106" s="78">
        <f>SUM(M106*K106)</f>
        <v>39285.714285714297</v>
      </c>
      <c r="P106" s="140" t="s">
        <v>48</v>
      </c>
      <c r="Q106" s="196">
        <v>60</v>
      </c>
      <c r="R106" s="141" t="s">
        <v>6</v>
      </c>
      <c r="S106" s="77">
        <f>'SUPPLIER &amp; PRICE'!F79</f>
        <v>785.71428571428601</v>
      </c>
      <c r="T106" s="78">
        <f>SUM(S106*Q106)</f>
        <v>47142.857142857101</v>
      </c>
    </row>
    <row r="107" spans="2:20" x14ac:dyDescent="0.2">
      <c r="B107" s="133" t="s">
        <v>85</v>
      </c>
      <c r="C107" s="144">
        <v>80</v>
      </c>
      <c r="D107" s="95" t="s">
        <v>6</v>
      </c>
      <c r="E107" s="85">
        <f>'SUPPLIER &amp; PRICE'!L7</f>
        <v>228</v>
      </c>
      <c r="F107" s="85">
        <f>SUM(C107*E107)</f>
        <v>18240</v>
      </c>
      <c r="J107" s="143" t="s">
        <v>86</v>
      </c>
      <c r="K107" s="144">
        <v>10</v>
      </c>
      <c r="L107" s="95" t="s">
        <v>6</v>
      </c>
      <c r="M107" s="85">
        <f>'SUPPLIER &amp; PRICE'!F80</f>
        <v>714.28571428571399</v>
      </c>
      <c r="N107" s="82">
        <f>SUM(M107*K107)</f>
        <v>7142.8571428571404</v>
      </c>
      <c r="P107" s="143" t="s">
        <v>87</v>
      </c>
      <c r="Q107" s="144">
        <v>5</v>
      </c>
      <c r="R107" s="95" t="s">
        <v>17</v>
      </c>
      <c r="S107" s="85">
        <f>'SUPPLIER &amp; PRICE'!F21</f>
        <v>60</v>
      </c>
      <c r="T107" s="82">
        <f>SUM(S107*Q107)</f>
        <v>300</v>
      </c>
    </row>
    <row r="108" spans="2:20" x14ac:dyDescent="0.2">
      <c r="B108" s="97" t="s">
        <v>20</v>
      </c>
      <c r="C108" s="97">
        <v>240</v>
      </c>
      <c r="D108" s="97" t="s">
        <v>6</v>
      </c>
      <c r="E108" s="94"/>
      <c r="F108" s="162"/>
      <c r="J108" s="199" t="s">
        <v>88</v>
      </c>
      <c r="K108" s="200">
        <v>25</v>
      </c>
      <c r="L108" s="161" t="s">
        <v>6</v>
      </c>
      <c r="M108" s="201">
        <f>'SUPPLIER &amp; PRICE'!F8</f>
        <v>116.666666666667</v>
      </c>
      <c r="N108" s="202">
        <f>SUM(K108*M108)</f>
        <v>2916.6666666666802</v>
      </c>
      <c r="P108" s="199" t="s">
        <v>89</v>
      </c>
      <c r="Q108" s="200">
        <v>20</v>
      </c>
      <c r="R108" s="161" t="s">
        <v>6</v>
      </c>
      <c r="S108" s="201">
        <f>'SUPPLIER &amp; PRICE'!F8</f>
        <v>116.666666666667</v>
      </c>
      <c r="T108" s="202">
        <f>SUM(Q108*S108)</f>
        <v>2333.3333333333399</v>
      </c>
    </row>
    <row r="109" spans="2:20" x14ac:dyDescent="0.2">
      <c r="B109" s="221" t="s">
        <v>29</v>
      </c>
      <c r="C109" s="222"/>
      <c r="D109" s="223"/>
      <c r="E109" s="164" t="s">
        <v>30</v>
      </c>
      <c r="F109" s="123">
        <f>F95</f>
        <v>1200</v>
      </c>
      <c r="J109" s="197" t="s">
        <v>18</v>
      </c>
      <c r="K109" s="203">
        <v>15</v>
      </c>
      <c r="L109" s="203" t="s">
        <v>6</v>
      </c>
      <c r="M109" s="204">
        <f>M94</f>
        <v>18.7368421052632</v>
      </c>
      <c r="N109" s="148">
        <f>SUM(K109*M109)</f>
        <v>281.052631578947</v>
      </c>
      <c r="P109" s="197" t="s">
        <v>18</v>
      </c>
      <c r="Q109" s="203">
        <v>15</v>
      </c>
      <c r="R109" s="203" t="s">
        <v>6</v>
      </c>
      <c r="S109" s="204">
        <f>PREPARATION!L148</f>
        <v>18.7368421052632</v>
      </c>
      <c r="T109" s="148">
        <f>SUM(Q109*S109)</f>
        <v>281.052631578947</v>
      </c>
    </row>
    <row r="110" spans="2:20" x14ac:dyDescent="0.2">
      <c r="B110" s="217" t="s">
        <v>23</v>
      </c>
      <c r="C110" s="218"/>
      <c r="D110" s="218"/>
      <c r="E110" s="219"/>
      <c r="F110" s="96">
        <f>SUM(F105:F109)</f>
        <v>53648.333333333299</v>
      </c>
      <c r="J110" s="90" t="s">
        <v>20</v>
      </c>
      <c r="K110" s="90">
        <v>120</v>
      </c>
      <c r="L110" s="90" t="s">
        <v>6</v>
      </c>
      <c r="M110" s="157"/>
      <c r="N110" s="91"/>
      <c r="P110" s="90" t="s">
        <v>20</v>
      </c>
      <c r="Q110" s="90">
        <v>120</v>
      </c>
      <c r="R110" s="90" t="s">
        <v>6</v>
      </c>
      <c r="S110" s="157"/>
      <c r="T110" s="91"/>
    </row>
    <row r="111" spans="2:20" x14ac:dyDescent="0.2">
      <c r="B111" s="217" t="s">
        <v>26</v>
      </c>
      <c r="C111" s="218"/>
      <c r="D111" s="218"/>
      <c r="E111" s="219"/>
      <c r="F111" s="98">
        <f>SUM(F110*0.05)</f>
        <v>2682.4166666666702</v>
      </c>
      <c r="J111" s="221" t="s">
        <v>29</v>
      </c>
      <c r="K111" s="222"/>
      <c r="L111" s="223"/>
      <c r="M111" s="164" t="s">
        <v>90</v>
      </c>
      <c r="N111" s="123">
        <f>SUM('SUPPLIER &amp; PRICE'!F24*10)</f>
        <v>180</v>
      </c>
      <c r="P111" s="221" t="s">
        <v>29</v>
      </c>
      <c r="Q111" s="222"/>
      <c r="R111" s="223"/>
      <c r="S111" s="164" t="s">
        <v>90</v>
      </c>
      <c r="T111" s="123">
        <f>N111</f>
        <v>180</v>
      </c>
    </row>
    <row r="112" spans="2:20" x14ac:dyDescent="0.2">
      <c r="B112" s="217" t="s">
        <v>28</v>
      </c>
      <c r="C112" s="218"/>
      <c r="D112" s="218"/>
      <c r="E112" s="219"/>
      <c r="F112" s="98">
        <f>SUM(F110:F111)</f>
        <v>56330.75</v>
      </c>
      <c r="J112" s="217" t="s">
        <v>23</v>
      </c>
      <c r="K112" s="218"/>
      <c r="L112" s="218"/>
      <c r="M112" s="219"/>
      <c r="N112" s="96">
        <f>SUM(N106:N111)</f>
        <v>49806.290726817097</v>
      </c>
      <c r="P112" s="217" t="s">
        <v>23</v>
      </c>
      <c r="Q112" s="218"/>
      <c r="R112" s="218"/>
      <c r="S112" s="219"/>
      <c r="T112" s="96">
        <f>SUM(T106:T111)</f>
        <v>50237.243107769398</v>
      </c>
    </row>
    <row r="113" spans="2:20" x14ac:dyDescent="0.2">
      <c r="B113" s="221" t="s">
        <v>31</v>
      </c>
      <c r="C113" s="222"/>
      <c r="D113" s="222"/>
      <c r="E113" s="223"/>
      <c r="F113" s="99">
        <f>SUM(F112/F114)</f>
        <v>0.37553833333333297</v>
      </c>
      <c r="J113" s="217" t="s">
        <v>26</v>
      </c>
      <c r="K113" s="218"/>
      <c r="L113" s="218"/>
      <c r="M113" s="219"/>
      <c r="N113" s="98">
        <f>SUM(N112*0.05)</f>
        <v>2490.3145363408498</v>
      </c>
      <c r="P113" s="217" t="s">
        <v>26</v>
      </c>
      <c r="Q113" s="218"/>
      <c r="R113" s="218"/>
      <c r="S113" s="219"/>
      <c r="T113" s="98">
        <f>SUM(T112*0.05)</f>
        <v>2511.86215538847</v>
      </c>
    </row>
    <row r="114" spans="2:20" x14ac:dyDescent="0.2">
      <c r="B114" s="221" t="s">
        <v>32</v>
      </c>
      <c r="C114" s="222"/>
      <c r="D114" s="222"/>
      <c r="E114" s="223"/>
      <c r="F114" s="100">
        <v>150000</v>
      </c>
      <c r="J114" s="217" t="s">
        <v>28</v>
      </c>
      <c r="K114" s="218"/>
      <c r="L114" s="218"/>
      <c r="M114" s="219"/>
      <c r="N114" s="98">
        <f>SUM(N112:N113)</f>
        <v>52296.6052631579</v>
      </c>
      <c r="P114" s="217" t="s">
        <v>28</v>
      </c>
      <c r="Q114" s="218"/>
      <c r="R114" s="218"/>
      <c r="S114" s="219"/>
      <c r="T114" s="98">
        <f>SUM(T112:T113)</f>
        <v>52749.1052631579</v>
      </c>
    </row>
    <row r="115" spans="2:20" x14ac:dyDescent="0.2">
      <c r="J115" s="221" t="s">
        <v>31</v>
      </c>
      <c r="K115" s="222"/>
      <c r="L115" s="222"/>
      <c r="M115" s="223"/>
      <c r="N115" s="99">
        <f>SUM(N114/N116)</f>
        <v>0.34864403508771902</v>
      </c>
      <c r="P115" s="221" t="s">
        <v>31</v>
      </c>
      <c r="Q115" s="222"/>
      <c r="R115" s="222"/>
      <c r="S115" s="223"/>
      <c r="T115" s="99">
        <f>SUM(T114/T116)</f>
        <v>0.35166070175438602</v>
      </c>
    </row>
    <row r="116" spans="2:20" x14ac:dyDescent="0.2">
      <c r="J116" s="221" t="s">
        <v>32</v>
      </c>
      <c r="K116" s="222"/>
      <c r="L116" s="222"/>
      <c r="M116" s="223"/>
      <c r="N116" s="100">
        <v>150000</v>
      </c>
      <c r="P116" s="221" t="s">
        <v>32</v>
      </c>
      <c r="Q116" s="222"/>
      <c r="R116" s="222"/>
      <c r="S116" s="223"/>
      <c r="T116" s="100">
        <v>150000</v>
      </c>
    </row>
    <row r="117" spans="2:20" x14ac:dyDescent="0.2">
      <c r="B117" s="239" t="s">
        <v>91</v>
      </c>
      <c r="C117" s="228"/>
      <c r="D117" s="228"/>
      <c r="E117" s="228"/>
      <c r="F117" s="229"/>
    </row>
    <row r="118" spans="2:20" x14ac:dyDescent="0.2">
      <c r="B118" s="71" t="s">
        <v>1</v>
      </c>
      <c r="C118" s="215" t="s">
        <v>2</v>
      </c>
      <c r="D118" s="216"/>
      <c r="E118" s="72" t="s">
        <v>3</v>
      </c>
      <c r="F118" s="73" t="s">
        <v>4</v>
      </c>
    </row>
    <row r="119" spans="2:20" x14ac:dyDescent="0.2">
      <c r="B119" s="140" t="s">
        <v>8</v>
      </c>
      <c r="C119" s="196">
        <v>60</v>
      </c>
      <c r="D119" s="141" t="s">
        <v>6</v>
      </c>
      <c r="E119" s="77">
        <f>'SUPPLIER &amp; PRICE'!F76</f>
        <v>566.66666666666697</v>
      </c>
      <c r="F119" s="78">
        <f>SUM(E119*C119)</f>
        <v>34000</v>
      </c>
      <c r="J119" s="239" t="s">
        <v>92</v>
      </c>
      <c r="K119" s="228"/>
      <c r="L119" s="228"/>
      <c r="M119" s="228"/>
      <c r="N119" s="229"/>
    </row>
    <row r="120" spans="2:20" x14ac:dyDescent="0.2">
      <c r="B120" s="143" t="s">
        <v>11</v>
      </c>
      <c r="C120" s="144">
        <v>25</v>
      </c>
      <c r="D120" s="95" t="s">
        <v>6</v>
      </c>
      <c r="E120" s="85">
        <f>'SUPPLIER &amp; PRICE'!L16</f>
        <v>407.142857142857</v>
      </c>
      <c r="F120" s="82">
        <f>SUM(E120*C120)</f>
        <v>10178.5714285714</v>
      </c>
      <c r="J120" s="71" t="s">
        <v>1</v>
      </c>
      <c r="K120" s="215" t="s">
        <v>2</v>
      </c>
      <c r="L120" s="216"/>
      <c r="M120" s="72" t="s">
        <v>3</v>
      </c>
      <c r="N120" s="73" t="s">
        <v>4</v>
      </c>
    </row>
    <row r="121" spans="2:20" x14ac:dyDescent="0.2">
      <c r="B121" s="197" t="s">
        <v>93</v>
      </c>
      <c r="C121" s="198">
        <v>20</v>
      </c>
      <c r="D121" s="187" t="s">
        <v>6</v>
      </c>
      <c r="E121" s="88">
        <f>'SUPPLIER &amp; PRICE'!F8</f>
        <v>116.666666666667</v>
      </c>
      <c r="F121" s="89">
        <f>SUM(C121*E121)</f>
        <v>2333.3333333333399</v>
      </c>
      <c r="J121" s="133" t="s">
        <v>94</v>
      </c>
      <c r="K121" s="144">
        <v>50</v>
      </c>
      <c r="L121" s="95" t="s">
        <v>6</v>
      </c>
      <c r="M121" s="119">
        <f>'SUPPLIER &amp; PRICE'!F77</f>
        <v>833.33333333333303</v>
      </c>
      <c r="N121" s="119">
        <f t="shared" ref="N121:N123" si="2">SUM(M121*K121)</f>
        <v>41666.666666666701</v>
      </c>
    </row>
    <row r="122" spans="2:20" x14ac:dyDescent="0.2">
      <c r="B122" s="90" t="s">
        <v>20</v>
      </c>
      <c r="C122" s="90">
        <v>120</v>
      </c>
      <c r="D122" s="90" t="s">
        <v>6</v>
      </c>
      <c r="E122" s="241"/>
      <c r="F122" s="241"/>
      <c r="J122" s="133" t="s">
        <v>72</v>
      </c>
      <c r="K122" s="144">
        <v>25</v>
      </c>
      <c r="L122" s="95" t="s">
        <v>6</v>
      </c>
      <c r="M122" s="119">
        <f>'SUPPLIER &amp; PRICE'!F89</f>
        <v>666.66666666666697</v>
      </c>
      <c r="N122" s="119">
        <f t="shared" si="2"/>
        <v>16666.666666666701</v>
      </c>
    </row>
    <row r="123" spans="2:20" x14ac:dyDescent="0.2">
      <c r="B123" s="221" t="s">
        <v>29</v>
      </c>
      <c r="C123" s="222"/>
      <c r="D123" s="223"/>
      <c r="E123" s="164" t="s">
        <v>90</v>
      </c>
      <c r="F123" s="123">
        <f>N111</f>
        <v>180</v>
      </c>
      <c r="J123" s="133" t="s">
        <v>95</v>
      </c>
      <c r="K123" s="144">
        <v>2</v>
      </c>
      <c r="L123" s="95" t="s">
        <v>6</v>
      </c>
      <c r="M123" s="119">
        <f>'SUPPLIER &amp; PRICE'!L6</f>
        <v>1485</v>
      </c>
      <c r="N123" s="119">
        <f t="shared" si="2"/>
        <v>2970</v>
      </c>
    </row>
    <row r="124" spans="2:20" x14ac:dyDescent="0.2">
      <c r="B124" s="217" t="s">
        <v>23</v>
      </c>
      <c r="C124" s="218"/>
      <c r="D124" s="218"/>
      <c r="E124" s="219"/>
      <c r="F124" s="96">
        <f>SUM(F119:F123)</f>
        <v>46691.9047619048</v>
      </c>
      <c r="J124" s="97" t="s">
        <v>20</v>
      </c>
      <c r="K124" s="97">
        <v>120</v>
      </c>
      <c r="L124" s="97" t="s">
        <v>6</v>
      </c>
      <c r="M124" s="238"/>
      <c r="N124" s="238"/>
    </row>
    <row r="125" spans="2:20" x14ac:dyDescent="0.2">
      <c r="B125" s="217" t="s">
        <v>26</v>
      </c>
      <c r="C125" s="218"/>
      <c r="D125" s="218"/>
      <c r="E125" s="219"/>
      <c r="F125" s="98">
        <f>SUM(F124*0.05)</f>
        <v>2334.5952380952399</v>
      </c>
      <c r="J125" s="221" t="s">
        <v>29</v>
      </c>
      <c r="K125" s="222"/>
      <c r="L125" s="223"/>
      <c r="M125" s="164" t="s">
        <v>30</v>
      </c>
      <c r="N125" s="123">
        <f>N111</f>
        <v>180</v>
      </c>
    </row>
    <row r="126" spans="2:20" x14ac:dyDescent="0.2">
      <c r="B126" s="217" t="s">
        <v>28</v>
      </c>
      <c r="C126" s="218"/>
      <c r="D126" s="218"/>
      <c r="E126" s="219"/>
      <c r="F126" s="98">
        <f>SUM(F124:F125)</f>
        <v>49026.5</v>
      </c>
      <c r="J126" s="217" t="s">
        <v>23</v>
      </c>
      <c r="K126" s="218"/>
      <c r="L126" s="218"/>
      <c r="M126" s="219"/>
      <c r="N126" s="96">
        <f>SUM(N121:N125)</f>
        <v>61483.333333333299</v>
      </c>
    </row>
    <row r="127" spans="2:20" x14ac:dyDescent="0.2">
      <c r="B127" s="221" t="s">
        <v>31</v>
      </c>
      <c r="C127" s="222"/>
      <c r="D127" s="222"/>
      <c r="E127" s="223"/>
      <c r="F127" s="99">
        <f>SUM(F126/F128)</f>
        <v>0.32684333333333299</v>
      </c>
      <c r="J127" s="217" t="s">
        <v>26</v>
      </c>
      <c r="K127" s="218"/>
      <c r="L127" s="218"/>
      <c r="M127" s="219"/>
      <c r="N127" s="98">
        <f>SUM(N126*0.05)</f>
        <v>3074.1666666666702</v>
      </c>
    </row>
    <row r="128" spans="2:20" x14ac:dyDescent="0.2">
      <c r="B128" s="221" t="s">
        <v>32</v>
      </c>
      <c r="C128" s="222"/>
      <c r="D128" s="222"/>
      <c r="E128" s="223"/>
      <c r="F128" s="100">
        <v>150000</v>
      </c>
      <c r="J128" s="217" t="s">
        <v>28</v>
      </c>
      <c r="K128" s="218"/>
      <c r="L128" s="218"/>
      <c r="M128" s="219"/>
      <c r="N128" s="98">
        <f>SUM(N126:N127)</f>
        <v>64557.5</v>
      </c>
    </row>
    <row r="129" spans="2:14" x14ac:dyDescent="0.2">
      <c r="J129" s="221" t="s">
        <v>31</v>
      </c>
      <c r="K129" s="222"/>
      <c r="L129" s="222"/>
      <c r="M129" s="223"/>
      <c r="N129" s="99">
        <f>SUM(N128/N130)</f>
        <v>0.43038333333333301</v>
      </c>
    </row>
    <row r="130" spans="2:14" x14ac:dyDescent="0.2">
      <c r="J130" s="221" t="s">
        <v>32</v>
      </c>
      <c r="K130" s="222"/>
      <c r="L130" s="222"/>
      <c r="M130" s="223"/>
      <c r="N130" s="100">
        <v>150000</v>
      </c>
    </row>
    <row r="131" spans="2:14" x14ac:dyDescent="0.2">
      <c r="B131" s="242" t="s">
        <v>96</v>
      </c>
      <c r="C131" s="236"/>
      <c r="D131" s="236"/>
      <c r="E131" s="236"/>
      <c r="F131" s="237"/>
    </row>
    <row r="132" spans="2:14" x14ac:dyDescent="0.2">
      <c r="B132" s="140" t="s">
        <v>1</v>
      </c>
      <c r="C132" s="243" t="s">
        <v>2</v>
      </c>
      <c r="D132" s="244"/>
      <c r="E132" s="141" t="s">
        <v>3</v>
      </c>
      <c r="F132" s="142" t="s">
        <v>4</v>
      </c>
    </row>
    <row r="133" spans="2:14" x14ac:dyDescent="0.2">
      <c r="B133" s="143" t="s">
        <v>97</v>
      </c>
      <c r="C133" s="144">
        <v>15</v>
      </c>
      <c r="D133" s="95" t="s">
        <v>6</v>
      </c>
      <c r="E133" s="119">
        <f>'SUPPLIER &amp; PRICE'!F96</f>
        <v>328</v>
      </c>
      <c r="F133" s="145">
        <f t="shared" ref="F133:F140" si="3">SUM(E133*C133)</f>
        <v>4920</v>
      </c>
    </row>
    <row r="134" spans="2:14" x14ac:dyDescent="0.2">
      <c r="B134" s="143" t="s">
        <v>48</v>
      </c>
      <c r="C134" s="144">
        <v>15</v>
      </c>
      <c r="D134" s="95" t="s">
        <v>6</v>
      </c>
      <c r="E134" s="119">
        <f>'SUPPLIER &amp; PRICE'!F79</f>
        <v>785.71428571428601</v>
      </c>
      <c r="F134" s="145">
        <f t="shared" si="3"/>
        <v>11785.714285714301</v>
      </c>
    </row>
    <row r="135" spans="2:14" x14ac:dyDescent="0.2">
      <c r="B135" s="143" t="s">
        <v>98</v>
      </c>
      <c r="C135" s="144">
        <v>15</v>
      </c>
      <c r="D135" s="95" t="s">
        <v>6</v>
      </c>
      <c r="E135" s="119">
        <f>'SUPPLIER &amp; PRICE'!L16</f>
        <v>407.142857142857</v>
      </c>
      <c r="F135" s="145">
        <f t="shared" si="3"/>
        <v>6107.1428571428596</v>
      </c>
    </row>
    <row r="136" spans="2:14" x14ac:dyDescent="0.2">
      <c r="B136" s="143" t="s">
        <v>69</v>
      </c>
      <c r="C136" s="144">
        <v>15</v>
      </c>
      <c r="D136" s="95" t="s">
        <v>6</v>
      </c>
      <c r="E136" s="119">
        <f>'SUPPLIER &amp; PRICE'!F97</f>
        <v>400</v>
      </c>
      <c r="F136" s="145">
        <f t="shared" si="3"/>
        <v>6000</v>
      </c>
    </row>
    <row r="137" spans="2:14" x14ac:dyDescent="0.2">
      <c r="B137" s="143" t="s">
        <v>50</v>
      </c>
      <c r="C137" s="144">
        <v>15</v>
      </c>
      <c r="D137" s="95" t="s">
        <v>6</v>
      </c>
      <c r="E137" s="119">
        <f>'SUPPLIER &amp; PRICE'!F76</f>
        <v>566.66666666666697</v>
      </c>
      <c r="F137" s="145">
        <f t="shared" si="3"/>
        <v>8500</v>
      </c>
    </row>
    <row r="138" spans="2:14" x14ac:dyDescent="0.2">
      <c r="B138" s="143" t="s">
        <v>99</v>
      </c>
      <c r="C138" s="144">
        <v>20</v>
      </c>
      <c r="D138" s="95" t="s">
        <v>6</v>
      </c>
      <c r="E138" s="119">
        <f>'SUPPLIER &amp; PRICE'!F8</f>
        <v>116.666666666667</v>
      </c>
      <c r="F138" s="145">
        <f t="shared" si="3"/>
        <v>2333.3333333333399</v>
      </c>
    </row>
    <row r="139" spans="2:14" x14ac:dyDescent="0.2">
      <c r="B139" s="143" t="s">
        <v>100</v>
      </c>
      <c r="C139" s="144">
        <v>10</v>
      </c>
      <c r="D139" s="95" t="s">
        <v>6</v>
      </c>
      <c r="E139" s="119">
        <f>PREPARATION!L148</f>
        <v>18.7368421052632</v>
      </c>
      <c r="F139" s="145">
        <f t="shared" si="3"/>
        <v>187.36842105263199</v>
      </c>
    </row>
    <row r="140" spans="2:14" x14ac:dyDescent="0.2">
      <c r="B140" s="143" t="s">
        <v>101</v>
      </c>
      <c r="C140" s="144">
        <v>1</v>
      </c>
      <c r="D140" s="95" t="s">
        <v>39</v>
      </c>
      <c r="E140" s="119">
        <f>'SUPPLIER &amp; PRICE'!F60</f>
        <v>5625</v>
      </c>
      <c r="F140" s="145">
        <f t="shared" si="3"/>
        <v>5625</v>
      </c>
    </row>
    <row r="141" spans="2:14" x14ac:dyDescent="0.2">
      <c r="B141" s="146" t="s">
        <v>20</v>
      </c>
      <c r="C141" s="146"/>
      <c r="D141" s="146"/>
      <c r="E141" s="147"/>
      <c r="F141" s="148"/>
    </row>
    <row r="142" spans="2:14" x14ac:dyDescent="0.2">
      <c r="B142" s="232" t="s">
        <v>29</v>
      </c>
      <c r="C142" s="233"/>
      <c r="D142" s="234"/>
      <c r="E142" s="149" t="s">
        <v>90</v>
      </c>
      <c r="F142" s="150">
        <f>N111</f>
        <v>180</v>
      </c>
    </row>
    <row r="143" spans="2:14" x14ac:dyDescent="0.2">
      <c r="B143" s="217" t="s">
        <v>23</v>
      </c>
      <c r="C143" s="218"/>
      <c r="D143" s="218"/>
      <c r="E143" s="219"/>
      <c r="F143" s="96">
        <f>SUM(F133:F142)</f>
        <v>45638.5588972431</v>
      </c>
    </row>
    <row r="144" spans="2:14" x14ac:dyDescent="0.2">
      <c r="B144" s="217" t="s">
        <v>26</v>
      </c>
      <c r="C144" s="218"/>
      <c r="D144" s="218"/>
      <c r="E144" s="219"/>
      <c r="F144" s="98">
        <f>SUM(F143*0.05)</f>
        <v>2281.9279448621601</v>
      </c>
    </row>
    <row r="145" spans="2:21" x14ac:dyDescent="0.2">
      <c r="B145" s="217" t="s">
        <v>28</v>
      </c>
      <c r="C145" s="218"/>
      <c r="D145" s="218"/>
      <c r="E145" s="219"/>
      <c r="F145" s="98">
        <f>SUM(F143:F144)</f>
        <v>47920.486842105303</v>
      </c>
    </row>
    <row r="146" spans="2:21" x14ac:dyDescent="0.2">
      <c r="B146" s="221" t="s">
        <v>31</v>
      </c>
      <c r="C146" s="222"/>
      <c r="D146" s="222"/>
      <c r="E146" s="223"/>
      <c r="F146" s="99">
        <f>SUM(F145/F147)</f>
        <v>0.26622492690058502</v>
      </c>
    </row>
    <row r="147" spans="2:21" x14ac:dyDescent="0.2">
      <c r="B147" s="221" t="s">
        <v>32</v>
      </c>
      <c r="C147" s="222"/>
      <c r="D147" s="222"/>
      <c r="E147" s="223"/>
      <c r="F147" s="100">
        <v>180000</v>
      </c>
    </row>
    <row r="150" spans="2:21" x14ac:dyDescent="0.2">
      <c r="B150" s="253" t="s">
        <v>102</v>
      </c>
      <c r="C150" s="253"/>
      <c r="D150" s="253"/>
      <c r="E150" s="253"/>
      <c r="F150" s="253"/>
      <c r="G150" s="253"/>
      <c r="H150" s="253"/>
      <c r="I150" s="253"/>
      <c r="J150" s="253"/>
      <c r="K150" s="253"/>
      <c r="L150" s="253"/>
      <c r="M150" s="253"/>
      <c r="N150" s="253"/>
      <c r="O150" s="253"/>
    </row>
    <row r="151" spans="2:21" x14ac:dyDescent="0.2">
      <c r="B151" s="253"/>
      <c r="C151" s="253"/>
      <c r="D151" s="253"/>
      <c r="E151" s="253"/>
      <c r="F151" s="253"/>
      <c r="G151" s="253"/>
      <c r="H151" s="253"/>
      <c r="I151" s="253"/>
      <c r="J151" s="253"/>
      <c r="K151" s="253"/>
      <c r="L151" s="253"/>
      <c r="M151" s="253"/>
      <c r="N151" s="253"/>
      <c r="O151" s="253"/>
    </row>
    <row r="152" spans="2:21" x14ac:dyDescent="0.2">
      <c r="B152" s="253"/>
      <c r="C152" s="253"/>
      <c r="D152" s="253"/>
      <c r="E152" s="253"/>
      <c r="F152" s="253"/>
      <c r="G152" s="253"/>
      <c r="H152" s="253"/>
      <c r="I152" s="253"/>
      <c r="J152" s="253"/>
      <c r="K152" s="253"/>
      <c r="L152" s="253"/>
      <c r="M152" s="253"/>
      <c r="N152" s="253"/>
      <c r="O152" s="253"/>
    </row>
    <row r="155" spans="2:21" x14ac:dyDescent="0.2">
      <c r="B155" s="227" t="s">
        <v>103</v>
      </c>
      <c r="C155" s="228"/>
      <c r="D155" s="228"/>
      <c r="E155" s="228"/>
      <c r="F155" s="229"/>
      <c r="J155" s="227" t="s">
        <v>104</v>
      </c>
      <c r="K155" s="228"/>
      <c r="L155" s="228"/>
      <c r="M155" s="228"/>
      <c r="N155" s="229"/>
      <c r="Q155" s="227" t="s">
        <v>105</v>
      </c>
      <c r="R155" s="228"/>
      <c r="S155" s="228"/>
      <c r="T155" s="228"/>
      <c r="U155" s="229"/>
    </row>
    <row r="156" spans="2:21" x14ac:dyDescent="0.2">
      <c r="B156" s="95" t="s">
        <v>1</v>
      </c>
      <c r="C156" s="245" t="s">
        <v>2</v>
      </c>
      <c r="D156" s="229"/>
      <c r="E156" s="95" t="s">
        <v>3</v>
      </c>
      <c r="F156" s="95" t="s">
        <v>4</v>
      </c>
      <c r="J156" s="95" t="s">
        <v>1</v>
      </c>
      <c r="K156" s="245" t="s">
        <v>2</v>
      </c>
      <c r="L156" s="229"/>
      <c r="M156" s="95" t="s">
        <v>3</v>
      </c>
      <c r="N156" s="95" t="s">
        <v>4</v>
      </c>
      <c r="Q156" s="95" t="s">
        <v>1</v>
      </c>
      <c r="R156" s="245" t="s">
        <v>2</v>
      </c>
      <c r="S156" s="229"/>
      <c r="T156" s="95" t="s">
        <v>3</v>
      </c>
      <c r="U156" s="95" t="s">
        <v>4</v>
      </c>
    </row>
    <row r="157" spans="2:21" x14ac:dyDescent="0.2">
      <c r="B157" s="95" t="s">
        <v>106</v>
      </c>
      <c r="C157" s="95">
        <v>150</v>
      </c>
      <c r="D157" s="95" t="s">
        <v>6</v>
      </c>
      <c r="E157" s="119">
        <f>'SUPPLIER &amp; PRICE'!F112</f>
        <v>360</v>
      </c>
      <c r="F157" s="119">
        <f>SUM(E157*C157)</f>
        <v>54000</v>
      </c>
      <c r="J157" s="95" t="s">
        <v>107</v>
      </c>
      <c r="K157" s="95">
        <v>150</v>
      </c>
      <c r="L157" s="95" t="s">
        <v>6</v>
      </c>
      <c r="M157" s="119">
        <f>'SUPPLIER &amp; PRICE'!F111</f>
        <v>450</v>
      </c>
      <c r="N157" s="119">
        <f>SUM(M157*K157)</f>
        <v>67500</v>
      </c>
      <c r="Q157" s="95" t="s">
        <v>108</v>
      </c>
      <c r="R157" s="95">
        <v>150</v>
      </c>
      <c r="S157" s="95" t="s">
        <v>6</v>
      </c>
      <c r="T157" s="119">
        <f>'SUPPLIER &amp; PRICE'!L9</f>
        <v>366.66666666666703</v>
      </c>
      <c r="U157" s="119">
        <f>SUM(T157*R157)</f>
        <v>55000</v>
      </c>
    </row>
    <row r="158" spans="2:21" x14ac:dyDescent="0.2">
      <c r="B158" s="97" t="s">
        <v>20</v>
      </c>
      <c r="C158" s="97">
        <v>150</v>
      </c>
      <c r="D158" s="97" t="s">
        <v>6</v>
      </c>
      <c r="E158" s="94"/>
      <c r="F158" s="162"/>
      <c r="J158" s="97" t="s">
        <v>20</v>
      </c>
      <c r="K158" s="97">
        <v>150</v>
      </c>
      <c r="L158" s="97" t="s">
        <v>6</v>
      </c>
      <c r="M158" s="94"/>
      <c r="N158" s="162"/>
      <c r="Q158" s="97" t="s">
        <v>20</v>
      </c>
      <c r="R158" s="97">
        <v>150</v>
      </c>
      <c r="S158" s="97" t="s">
        <v>6</v>
      </c>
      <c r="T158" s="94"/>
      <c r="U158" s="162"/>
    </row>
    <row r="159" spans="2:21" x14ac:dyDescent="0.2">
      <c r="B159" s="217" t="s">
        <v>23</v>
      </c>
      <c r="C159" s="218"/>
      <c r="D159" s="218"/>
      <c r="E159" s="219"/>
      <c r="F159" s="96">
        <f>SUM(F150:F158)</f>
        <v>54000</v>
      </c>
      <c r="J159" s="217" t="s">
        <v>23</v>
      </c>
      <c r="K159" s="218"/>
      <c r="L159" s="218"/>
      <c r="M159" s="219"/>
      <c r="N159" s="96">
        <f>SUM(N150:N158)</f>
        <v>67500</v>
      </c>
      <c r="Q159" s="217" t="s">
        <v>23</v>
      </c>
      <c r="R159" s="218"/>
      <c r="S159" s="218"/>
      <c r="T159" s="219"/>
      <c r="U159" s="96">
        <f>SUM(U150:U158)</f>
        <v>55000</v>
      </c>
    </row>
    <row r="160" spans="2:21" x14ac:dyDescent="0.2">
      <c r="B160" s="217" t="s">
        <v>26</v>
      </c>
      <c r="C160" s="218"/>
      <c r="D160" s="218"/>
      <c r="E160" s="219"/>
      <c r="F160" s="98">
        <f>SUM(F159*0.05)</f>
        <v>2700</v>
      </c>
      <c r="J160" s="217" t="s">
        <v>26</v>
      </c>
      <c r="K160" s="218"/>
      <c r="L160" s="218"/>
      <c r="M160" s="219"/>
      <c r="N160" s="98">
        <f>SUM(N159*0.05)</f>
        <v>3375</v>
      </c>
      <c r="Q160" s="217" t="s">
        <v>26</v>
      </c>
      <c r="R160" s="218"/>
      <c r="S160" s="218"/>
      <c r="T160" s="219"/>
      <c r="U160" s="98">
        <f>SUM(U159*0.05)</f>
        <v>2750</v>
      </c>
    </row>
    <row r="161" spans="2:21" x14ac:dyDescent="0.2">
      <c r="B161" s="217" t="s">
        <v>28</v>
      </c>
      <c r="C161" s="218"/>
      <c r="D161" s="218"/>
      <c r="E161" s="219"/>
      <c r="F161" s="98">
        <f>SUM(F159:F160)</f>
        <v>56700</v>
      </c>
      <c r="J161" s="217" t="s">
        <v>28</v>
      </c>
      <c r="K161" s="218"/>
      <c r="L161" s="218"/>
      <c r="M161" s="219"/>
      <c r="N161" s="98">
        <f>SUM(N159:N160)</f>
        <v>70875</v>
      </c>
      <c r="Q161" s="217" t="s">
        <v>28</v>
      </c>
      <c r="R161" s="218"/>
      <c r="S161" s="218"/>
      <c r="T161" s="219"/>
      <c r="U161" s="98">
        <f>SUM(U159:U160)</f>
        <v>57750</v>
      </c>
    </row>
    <row r="162" spans="2:21" x14ac:dyDescent="0.2">
      <c r="B162" s="221" t="s">
        <v>31</v>
      </c>
      <c r="C162" s="222"/>
      <c r="D162" s="222"/>
      <c r="E162" s="223"/>
      <c r="F162" s="99">
        <f>SUM(F161/F163)</f>
        <v>0.436153846153846</v>
      </c>
      <c r="J162" s="221" t="s">
        <v>31</v>
      </c>
      <c r="K162" s="222"/>
      <c r="L162" s="222"/>
      <c r="M162" s="223"/>
      <c r="N162" s="99">
        <f>SUM(N161/N163)</f>
        <v>0.47249999999999998</v>
      </c>
      <c r="Q162" s="221" t="s">
        <v>31</v>
      </c>
      <c r="R162" s="222"/>
      <c r="S162" s="222"/>
      <c r="T162" s="223"/>
      <c r="U162" s="99">
        <f>SUM(U161/U163)</f>
        <v>0.50217391304347803</v>
      </c>
    </row>
    <row r="163" spans="2:21" x14ac:dyDescent="0.2">
      <c r="B163" s="221" t="s">
        <v>32</v>
      </c>
      <c r="C163" s="222"/>
      <c r="D163" s="222"/>
      <c r="E163" s="223"/>
      <c r="F163" s="100">
        <v>130000</v>
      </c>
      <c r="J163" s="221" t="s">
        <v>32</v>
      </c>
      <c r="K163" s="222"/>
      <c r="L163" s="222"/>
      <c r="M163" s="223"/>
      <c r="N163" s="100">
        <v>150000</v>
      </c>
      <c r="Q163" s="221" t="s">
        <v>32</v>
      </c>
      <c r="R163" s="222"/>
      <c r="S163" s="222"/>
      <c r="T163" s="223"/>
      <c r="U163" s="100">
        <v>115000</v>
      </c>
    </row>
    <row r="165" spans="2:21" x14ac:dyDescent="0.2">
      <c r="B165" s="227" t="s">
        <v>109</v>
      </c>
      <c r="C165" s="228"/>
      <c r="D165" s="228"/>
      <c r="E165" s="228"/>
      <c r="F165" s="229"/>
      <c r="J165" s="227" t="s">
        <v>110</v>
      </c>
      <c r="K165" s="228"/>
      <c r="L165" s="228"/>
      <c r="M165" s="228"/>
      <c r="N165" s="229"/>
      <c r="Q165" s="227" t="s">
        <v>111</v>
      </c>
      <c r="R165" s="228"/>
      <c r="S165" s="228"/>
      <c r="T165" s="228"/>
      <c r="U165" s="229"/>
    </row>
    <row r="166" spans="2:21" x14ac:dyDescent="0.2">
      <c r="B166" s="95" t="s">
        <v>1</v>
      </c>
      <c r="C166" s="245" t="s">
        <v>2</v>
      </c>
      <c r="D166" s="229"/>
      <c r="E166" s="95" t="s">
        <v>3</v>
      </c>
      <c r="F166" s="95" t="s">
        <v>4</v>
      </c>
      <c r="J166" s="95" t="s">
        <v>1</v>
      </c>
      <c r="K166" s="245" t="s">
        <v>2</v>
      </c>
      <c r="L166" s="229"/>
      <c r="M166" s="95" t="s">
        <v>3</v>
      </c>
      <c r="N166" s="95" t="s">
        <v>4</v>
      </c>
      <c r="Q166" s="95" t="s">
        <v>1</v>
      </c>
      <c r="R166" s="245" t="s">
        <v>2</v>
      </c>
      <c r="S166" s="229"/>
      <c r="T166" s="95" t="s">
        <v>3</v>
      </c>
      <c r="U166" s="95" t="s">
        <v>4</v>
      </c>
    </row>
    <row r="167" spans="2:21" x14ac:dyDescent="0.2">
      <c r="B167" s="95" t="s">
        <v>106</v>
      </c>
      <c r="C167" s="95">
        <v>750</v>
      </c>
      <c r="D167" s="95" t="s">
        <v>6</v>
      </c>
      <c r="E167" s="119">
        <f>'SUPPLIER &amp; PRICE'!F112</f>
        <v>360</v>
      </c>
      <c r="F167" s="119">
        <f>SUM(E167*C167)</f>
        <v>270000</v>
      </c>
      <c r="J167" s="95" t="s">
        <v>107</v>
      </c>
      <c r="K167" s="95">
        <v>750</v>
      </c>
      <c r="L167" s="95" t="s">
        <v>6</v>
      </c>
      <c r="M167" s="119">
        <f>M157</f>
        <v>450</v>
      </c>
      <c r="N167" s="119">
        <f>SUM(M167*K167)</f>
        <v>337500</v>
      </c>
      <c r="Q167" s="95" t="s">
        <v>112</v>
      </c>
      <c r="R167" s="95">
        <v>750</v>
      </c>
      <c r="S167" s="95" t="s">
        <v>6</v>
      </c>
      <c r="T167" s="119">
        <f>T157</f>
        <v>366.66666666666703</v>
      </c>
      <c r="U167" s="119">
        <f>SUM(T167*R167)</f>
        <v>275000</v>
      </c>
    </row>
    <row r="168" spans="2:21" x14ac:dyDescent="0.2">
      <c r="B168" s="97" t="s">
        <v>20</v>
      </c>
      <c r="C168" s="97">
        <v>750</v>
      </c>
      <c r="D168" s="97" t="s">
        <v>6</v>
      </c>
      <c r="E168" s="94"/>
      <c r="F168" s="162"/>
      <c r="J168" s="97" t="s">
        <v>20</v>
      </c>
      <c r="K168" s="97">
        <v>750</v>
      </c>
      <c r="L168" s="97" t="s">
        <v>6</v>
      </c>
      <c r="M168" s="94"/>
      <c r="N168" s="162"/>
      <c r="Q168" s="97" t="s">
        <v>20</v>
      </c>
      <c r="R168" s="97">
        <v>750</v>
      </c>
      <c r="S168" s="97" t="s">
        <v>6</v>
      </c>
      <c r="T168" s="94"/>
      <c r="U168" s="162"/>
    </row>
    <row r="169" spans="2:21" x14ac:dyDescent="0.2">
      <c r="B169" s="217" t="s">
        <v>28</v>
      </c>
      <c r="C169" s="218"/>
      <c r="D169" s="218"/>
      <c r="E169" s="219"/>
      <c r="F169" s="98">
        <f>F167</f>
        <v>270000</v>
      </c>
      <c r="J169" s="217" t="s">
        <v>28</v>
      </c>
      <c r="K169" s="218"/>
      <c r="L169" s="218"/>
      <c r="M169" s="219"/>
      <c r="N169" s="98">
        <f>N167</f>
        <v>337500</v>
      </c>
      <c r="Q169" s="217" t="s">
        <v>28</v>
      </c>
      <c r="R169" s="218"/>
      <c r="S169" s="218"/>
      <c r="T169" s="219"/>
      <c r="U169" s="98">
        <f>U167</f>
        <v>275000</v>
      </c>
    </row>
    <row r="170" spans="2:21" x14ac:dyDescent="0.2">
      <c r="B170" s="221" t="s">
        <v>31</v>
      </c>
      <c r="C170" s="222"/>
      <c r="D170" s="222"/>
      <c r="E170" s="223"/>
      <c r="F170" s="99">
        <f>SUM(F169/F171)</f>
        <v>0.41538461538461502</v>
      </c>
      <c r="J170" s="221" t="s">
        <v>31</v>
      </c>
      <c r="K170" s="222"/>
      <c r="L170" s="222"/>
      <c r="M170" s="223"/>
      <c r="N170" s="99">
        <f>SUM(N169/N171)</f>
        <v>0.45</v>
      </c>
      <c r="Q170" s="221" t="s">
        <v>31</v>
      </c>
      <c r="R170" s="222"/>
      <c r="S170" s="222"/>
      <c r="T170" s="223"/>
      <c r="U170" s="99">
        <f>SUM(U169/U171)</f>
        <v>0.47826086956521702</v>
      </c>
    </row>
    <row r="171" spans="2:21" x14ac:dyDescent="0.2">
      <c r="B171" s="221" t="s">
        <v>32</v>
      </c>
      <c r="C171" s="222"/>
      <c r="D171" s="222"/>
      <c r="E171" s="223"/>
      <c r="F171" s="100">
        <v>650000</v>
      </c>
      <c r="J171" s="221" t="s">
        <v>32</v>
      </c>
      <c r="K171" s="222"/>
      <c r="L171" s="222"/>
      <c r="M171" s="223"/>
      <c r="N171" s="100">
        <v>750000</v>
      </c>
      <c r="Q171" s="221" t="s">
        <v>32</v>
      </c>
      <c r="R171" s="222"/>
      <c r="S171" s="222"/>
      <c r="T171" s="223"/>
      <c r="U171" s="100">
        <v>575000</v>
      </c>
    </row>
    <row r="173" spans="2:21" x14ac:dyDescent="0.2">
      <c r="B173" s="227" t="s">
        <v>113</v>
      </c>
      <c r="C173" s="228"/>
      <c r="D173" s="228"/>
      <c r="E173" s="228"/>
      <c r="F173" s="229"/>
      <c r="J173" s="227" t="s">
        <v>114</v>
      </c>
      <c r="K173" s="228"/>
      <c r="L173" s="228"/>
      <c r="M173" s="228"/>
      <c r="N173" s="229"/>
      <c r="Q173" s="227" t="s">
        <v>115</v>
      </c>
      <c r="R173" s="228"/>
      <c r="S173" s="228"/>
      <c r="T173" s="228"/>
      <c r="U173" s="229"/>
    </row>
    <row r="174" spans="2:21" x14ac:dyDescent="0.2">
      <c r="B174" s="95" t="s">
        <v>1</v>
      </c>
      <c r="C174" s="245" t="s">
        <v>2</v>
      </c>
      <c r="D174" s="229"/>
      <c r="E174" s="95" t="s">
        <v>3</v>
      </c>
      <c r="F174" s="95" t="s">
        <v>4</v>
      </c>
      <c r="J174" s="95" t="s">
        <v>1</v>
      </c>
      <c r="K174" s="245" t="s">
        <v>2</v>
      </c>
      <c r="L174" s="229"/>
      <c r="M174" s="95" t="s">
        <v>3</v>
      </c>
      <c r="N174" s="95" t="s">
        <v>4</v>
      </c>
      <c r="Q174" s="95" t="s">
        <v>1</v>
      </c>
      <c r="R174" s="245" t="s">
        <v>2</v>
      </c>
      <c r="S174" s="229"/>
      <c r="T174" s="95" t="s">
        <v>3</v>
      </c>
      <c r="U174" s="95" t="s">
        <v>4</v>
      </c>
    </row>
    <row r="175" spans="2:21" x14ac:dyDescent="0.2">
      <c r="B175" s="95" t="s">
        <v>116</v>
      </c>
      <c r="C175" s="95">
        <v>150</v>
      </c>
      <c r="D175" s="95" t="s">
        <v>6</v>
      </c>
      <c r="E175" s="119">
        <f>'SUPPLIER &amp; PRICE'!F106</f>
        <v>360</v>
      </c>
      <c r="F175" s="119">
        <f>SUM(E175*C175)</f>
        <v>54000</v>
      </c>
      <c r="J175" s="95" t="s">
        <v>117</v>
      </c>
      <c r="K175" s="95">
        <v>150</v>
      </c>
      <c r="L175" s="95" t="s">
        <v>6</v>
      </c>
      <c r="M175" s="119">
        <f>'SUPPLIER &amp; PRICE'!F107</f>
        <v>462</v>
      </c>
      <c r="N175" s="119">
        <f>SUM(M175*K175)</f>
        <v>69300</v>
      </c>
      <c r="Q175" s="95" t="s">
        <v>118</v>
      </c>
      <c r="R175" s="95">
        <v>150</v>
      </c>
      <c r="S175" s="95" t="s">
        <v>6</v>
      </c>
      <c r="T175" s="119">
        <f>'SUPPLIER &amp; PRICE'!L8</f>
        <v>205.92</v>
      </c>
      <c r="U175" s="119">
        <f>SUM(T175*R175)</f>
        <v>30888</v>
      </c>
    </row>
    <row r="176" spans="2:21" x14ac:dyDescent="0.2">
      <c r="B176" s="97" t="s">
        <v>20</v>
      </c>
      <c r="C176" s="97">
        <v>150</v>
      </c>
      <c r="D176" s="97" t="s">
        <v>6</v>
      </c>
      <c r="E176" s="94"/>
      <c r="F176" s="162"/>
      <c r="J176" s="97" t="s">
        <v>20</v>
      </c>
      <c r="K176" s="97">
        <v>150</v>
      </c>
      <c r="L176" s="97" t="s">
        <v>6</v>
      </c>
      <c r="M176" s="94"/>
      <c r="N176" s="162"/>
      <c r="Q176" s="97" t="s">
        <v>20</v>
      </c>
      <c r="R176" s="97">
        <v>150</v>
      </c>
      <c r="S176" s="97" t="s">
        <v>6</v>
      </c>
      <c r="T176" s="94"/>
      <c r="U176" s="162"/>
    </row>
    <row r="177" spans="2:21" x14ac:dyDescent="0.2">
      <c r="B177" s="217" t="s">
        <v>23</v>
      </c>
      <c r="C177" s="218"/>
      <c r="D177" s="218"/>
      <c r="E177" s="219"/>
      <c r="F177" s="96">
        <f>F175</f>
        <v>54000</v>
      </c>
      <c r="J177" s="217" t="s">
        <v>23</v>
      </c>
      <c r="K177" s="218"/>
      <c r="L177" s="218"/>
      <c r="M177" s="219"/>
      <c r="N177" s="96">
        <f>N175</f>
        <v>69300</v>
      </c>
      <c r="Q177" s="217" t="s">
        <v>23</v>
      </c>
      <c r="R177" s="218"/>
      <c r="S177" s="218"/>
      <c r="T177" s="219"/>
      <c r="U177" s="96">
        <f>U175</f>
        <v>30888</v>
      </c>
    </row>
    <row r="178" spans="2:21" x14ac:dyDescent="0.2">
      <c r="B178" s="217" t="s">
        <v>26</v>
      </c>
      <c r="C178" s="218"/>
      <c r="D178" s="218"/>
      <c r="E178" s="219"/>
      <c r="F178" s="98">
        <f>SUM(F177*0.05)</f>
        <v>2700</v>
      </c>
      <c r="J178" s="217" t="s">
        <v>26</v>
      </c>
      <c r="K178" s="218"/>
      <c r="L178" s="218"/>
      <c r="M178" s="219"/>
      <c r="N178" s="98">
        <f>SUM(N177*0.05)</f>
        <v>3465</v>
      </c>
      <c r="Q178" s="217" t="s">
        <v>26</v>
      </c>
      <c r="R178" s="218"/>
      <c r="S178" s="218"/>
      <c r="T178" s="219"/>
      <c r="U178" s="98">
        <f>SUM(U177*0.05)</f>
        <v>1544.4</v>
      </c>
    </row>
    <row r="179" spans="2:21" x14ac:dyDescent="0.2">
      <c r="B179" s="217" t="s">
        <v>28</v>
      </c>
      <c r="C179" s="218"/>
      <c r="D179" s="218"/>
      <c r="E179" s="219"/>
      <c r="F179" s="98">
        <f>SUM(F177:F178)</f>
        <v>56700</v>
      </c>
      <c r="J179" s="217" t="s">
        <v>28</v>
      </c>
      <c r="K179" s="218"/>
      <c r="L179" s="218"/>
      <c r="M179" s="219"/>
      <c r="N179" s="98">
        <f>SUM(N177:N178)</f>
        <v>72765</v>
      </c>
      <c r="Q179" s="217" t="s">
        <v>28</v>
      </c>
      <c r="R179" s="218"/>
      <c r="S179" s="218"/>
      <c r="T179" s="219"/>
      <c r="U179" s="98">
        <f>SUM(U177:U178)</f>
        <v>32432.400000000001</v>
      </c>
    </row>
    <row r="180" spans="2:21" x14ac:dyDescent="0.2">
      <c r="B180" s="221" t="s">
        <v>31</v>
      </c>
      <c r="C180" s="222"/>
      <c r="D180" s="222"/>
      <c r="E180" s="223"/>
      <c r="F180" s="99">
        <f>SUM(F179/F181)</f>
        <v>0.436153846153846</v>
      </c>
      <c r="J180" s="221" t="s">
        <v>31</v>
      </c>
      <c r="K180" s="222"/>
      <c r="L180" s="222"/>
      <c r="M180" s="223"/>
      <c r="N180" s="99">
        <f>SUM(N179/N181)</f>
        <v>0.51975000000000005</v>
      </c>
      <c r="Q180" s="221" t="s">
        <v>31</v>
      </c>
      <c r="R180" s="222"/>
      <c r="S180" s="222"/>
      <c r="T180" s="223"/>
      <c r="U180" s="99">
        <f>SUM(U179/U181)</f>
        <v>0.29483999999999999</v>
      </c>
    </row>
    <row r="181" spans="2:21" x14ac:dyDescent="0.2">
      <c r="B181" s="221" t="s">
        <v>32</v>
      </c>
      <c r="C181" s="222"/>
      <c r="D181" s="222"/>
      <c r="E181" s="223"/>
      <c r="F181" s="100">
        <v>130000</v>
      </c>
      <c r="J181" s="221" t="s">
        <v>32</v>
      </c>
      <c r="K181" s="222"/>
      <c r="L181" s="222"/>
      <c r="M181" s="223"/>
      <c r="N181" s="100">
        <v>140000</v>
      </c>
      <c r="Q181" s="221" t="s">
        <v>32</v>
      </c>
      <c r="R181" s="222"/>
      <c r="S181" s="222"/>
      <c r="T181" s="223"/>
      <c r="U181" s="100">
        <v>110000</v>
      </c>
    </row>
    <row r="183" spans="2:21" x14ac:dyDescent="0.2">
      <c r="B183" s="227" t="s">
        <v>119</v>
      </c>
      <c r="C183" s="228"/>
      <c r="D183" s="228"/>
      <c r="E183" s="228"/>
      <c r="F183" s="229"/>
      <c r="J183" s="227" t="s">
        <v>120</v>
      </c>
      <c r="K183" s="228"/>
      <c r="L183" s="228"/>
      <c r="M183" s="228"/>
      <c r="N183" s="229"/>
      <c r="Q183" s="227" t="s">
        <v>121</v>
      </c>
      <c r="R183" s="228"/>
      <c r="S183" s="228"/>
      <c r="T183" s="228"/>
      <c r="U183" s="229"/>
    </row>
    <row r="184" spans="2:21" x14ac:dyDescent="0.2">
      <c r="B184" s="95" t="s">
        <v>1</v>
      </c>
      <c r="C184" s="245" t="s">
        <v>2</v>
      </c>
      <c r="D184" s="229"/>
      <c r="E184" s="95" t="s">
        <v>3</v>
      </c>
      <c r="F184" s="95" t="s">
        <v>4</v>
      </c>
      <c r="J184" s="95" t="s">
        <v>1</v>
      </c>
      <c r="K184" s="245" t="s">
        <v>2</v>
      </c>
      <c r="L184" s="229"/>
      <c r="M184" s="95" t="s">
        <v>3</v>
      </c>
      <c r="N184" s="95" t="s">
        <v>4</v>
      </c>
      <c r="Q184" s="95" t="s">
        <v>1</v>
      </c>
      <c r="R184" s="245" t="s">
        <v>2</v>
      </c>
      <c r="S184" s="229"/>
      <c r="T184" s="95" t="s">
        <v>3</v>
      </c>
      <c r="U184" s="95" t="s">
        <v>4</v>
      </c>
    </row>
    <row r="185" spans="2:21" x14ac:dyDescent="0.2">
      <c r="B185" s="95" t="s">
        <v>116</v>
      </c>
      <c r="C185" s="95">
        <v>750</v>
      </c>
      <c r="D185" s="95" t="s">
        <v>6</v>
      </c>
      <c r="E185" s="119">
        <f>E175</f>
        <v>360</v>
      </c>
      <c r="F185" s="119">
        <f>SUM(E185*C185)</f>
        <v>270000</v>
      </c>
      <c r="J185" s="95" t="s">
        <v>117</v>
      </c>
      <c r="K185" s="95">
        <v>750</v>
      </c>
      <c r="L185" s="95" t="s">
        <v>6</v>
      </c>
      <c r="M185" s="119">
        <f>M175</f>
        <v>462</v>
      </c>
      <c r="N185" s="119">
        <f>SUM(M185*K185)</f>
        <v>346500</v>
      </c>
      <c r="Q185" s="95" t="s">
        <v>122</v>
      </c>
      <c r="R185" s="95">
        <v>750</v>
      </c>
      <c r="S185" s="95" t="s">
        <v>6</v>
      </c>
      <c r="T185" s="119">
        <f>T175</f>
        <v>205.92</v>
      </c>
      <c r="U185" s="119">
        <f>SUM(T185*R185)</f>
        <v>154440</v>
      </c>
    </row>
    <row r="186" spans="2:21" x14ac:dyDescent="0.2">
      <c r="B186" s="97" t="s">
        <v>20</v>
      </c>
      <c r="C186" s="97">
        <v>750</v>
      </c>
      <c r="D186" s="97" t="s">
        <v>6</v>
      </c>
      <c r="E186" s="94"/>
      <c r="F186" s="162"/>
      <c r="J186" s="97" t="s">
        <v>20</v>
      </c>
      <c r="K186" s="97">
        <v>750</v>
      </c>
      <c r="L186" s="97" t="s">
        <v>6</v>
      </c>
      <c r="M186" s="94"/>
      <c r="N186" s="162"/>
      <c r="Q186" s="97" t="s">
        <v>20</v>
      </c>
      <c r="R186" s="97">
        <v>750</v>
      </c>
      <c r="S186" s="97" t="s">
        <v>6</v>
      </c>
      <c r="T186" s="94"/>
      <c r="U186" s="162"/>
    </row>
    <row r="187" spans="2:21" x14ac:dyDescent="0.2">
      <c r="B187" s="217" t="s">
        <v>28</v>
      </c>
      <c r="C187" s="218"/>
      <c r="D187" s="218"/>
      <c r="E187" s="219"/>
      <c r="F187" s="98">
        <f>F185</f>
        <v>270000</v>
      </c>
      <c r="J187" s="217" t="s">
        <v>28</v>
      </c>
      <c r="K187" s="218"/>
      <c r="L187" s="218"/>
      <c r="M187" s="219"/>
      <c r="N187" s="98">
        <f>N185</f>
        <v>346500</v>
      </c>
      <c r="Q187" s="217" t="s">
        <v>28</v>
      </c>
      <c r="R187" s="218"/>
      <c r="S187" s="218"/>
      <c r="T187" s="219"/>
      <c r="U187" s="98">
        <f>U185</f>
        <v>154440</v>
      </c>
    </row>
    <row r="188" spans="2:21" x14ac:dyDescent="0.2">
      <c r="B188" s="221" t="s">
        <v>31</v>
      </c>
      <c r="C188" s="222"/>
      <c r="D188" s="222"/>
      <c r="E188" s="223"/>
      <c r="F188" s="99">
        <f>SUM(F187/F189)</f>
        <v>0.41538461538461502</v>
      </c>
      <c r="J188" s="221" t="s">
        <v>31</v>
      </c>
      <c r="K188" s="222"/>
      <c r="L188" s="222"/>
      <c r="M188" s="223"/>
      <c r="N188" s="99">
        <f>SUM(N187/N189)</f>
        <v>0.46200000000000002</v>
      </c>
      <c r="Q188" s="221" t="s">
        <v>31</v>
      </c>
      <c r="R188" s="222"/>
      <c r="S188" s="222"/>
      <c r="T188" s="223"/>
      <c r="U188" s="99">
        <f>SUM(U187/U189)</f>
        <v>0.28079999999999999</v>
      </c>
    </row>
    <row r="189" spans="2:21" x14ac:dyDescent="0.2">
      <c r="B189" s="221" t="s">
        <v>32</v>
      </c>
      <c r="C189" s="222"/>
      <c r="D189" s="222"/>
      <c r="E189" s="223"/>
      <c r="F189" s="100">
        <v>650000</v>
      </c>
      <c r="J189" s="221" t="s">
        <v>32</v>
      </c>
      <c r="K189" s="222"/>
      <c r="L189" s="222"/>
      <c r="M189" s="223"/>
      <c r="N189" s="100">
        <v>750000</v>
      </c>
      <c r="Q189" s="221" t="s">
        <v>32</v>
      </c>
      <c r="R189" s="222"/>
      <c r="S189" s="222"/>
      <c r="T189" s="223"/>
      <c r="U189" s="100">
        <v>550000</v>
      </c>
    </row>
    <row r="191" spans="2:21" x14ac:dyDescent="0.2">
      <c r="B191" s="227" t="s">
        <v>123</v>
      </c>
      <c r="C191" s="228"/>
      <c r="D191" s="228"/>
      <c r="E191" s="228"/>
      <c r="F191" s="229"/>
      <c r="J191" s="227" t="s">
        <v>124</v>
      </c>
      <c r="K191" s="228"/>
      <c r="L191" s="228"/>
      <c r="M191" s="228"/>
      <c r="N191" s="229"/>
      <c r="Q191" s="227" t="s">
        <v>125</v>
      </c>
      <c r="R191" s="228"/>
      <c r="S191" s="228"/>
      <c r="T191" s="228"/>
      <c r="U191" s="229"/>
    </row>
    <row r="192" spans="2:21" x14ac:dyDescent="0.2">
      <c r="B192" s="95" t="s">
        <v>1</v>
      </c>
      <c r="C192" s="245" t="s">
        <v>2</v>
      </c>
      <c r="D192" s="229"/>
      <c r="E192" s="95" t="s">
        <v>3</v>
      </c>
      <c r="F192" s="95" t="s">
        <v>4</v>
      </c>
      <c r="J192" s="95" t="s">
        <v>1</v>
      </c>
      <c r="K192" s="245" t="s">
        <v>2</v>
      </c>
      <c r="L192" s="229"/>
      <c r="M192" s="95" t="s">
        <v>3</v>
      </c>
      <c r="N192" s="95" t="s">
        <v>4</v>
      </c>
      <c r="Q192" s="95" t="s">
        <v>1</v>
      </c>
      <c r="R192" s="245" t="s">
        <v>2</v>
      </c>
      <c r="S192" s="229"/>
      <c r="T192" s="95" t="s">
        <v>3</v>
      </c>
      <c r="U192" s="95" t="s">
        <v>4</v>
      </c>
    </row>
    <row r="193" spans="2:21" x14ac:dyDescent="0.2">
      <c r="B193" s="95" t="s">
        <v>126</v>
      </c>
      <c r="C193" s="95">
        <v>150</v>
      </c>
      <c r="D193" s="95" t="s">
        <v>6</v>
      </c>
      <c r="E193" s="119">
        <f>'SUPPLIER &amp; PRICE'!F113</f>
        <v>468</v>
      </c>
      <c r="F193" s="119">
        <f>SUM(E193*C193)</f>
        <v>70200</v>
      </c>
      <c r="J193" s="95" t="s">
        <v>127</v>
      </c>
      <c r="K193" s="95">
        <v>750</v>
      </c>
      <c r="L193" s="95" t="s">
        <v>6</v>
      </c>
      <c r="M193" s="119">
        <f>'SUPPLIER &amp; PRICE'!F116</f>
        <v>414</v>
      </c>
      <c r="N193" s="119">
        <f>SUM(M193*K193)</f>
        <v>310500</v>
      </c>
      <c r="Q193" s="95" t="s">
        <v>128</v>
      </c>
      <c r="R193" s="95">
        <v>750</v>
      </c>
      <c r="S193" s="95" t="s">
        <v>6</v>
      </c>
      <c r="T193" s="119">
        <f>'SUPPLIER &amp; PRICE'!F114</f>
        <v>1320</v>
      </c>
      <c r="U193" s="119">
        <f>SUM(T193*R193)</f>
        <v>990000</v>
      </c>
    </row>
    <row r="194" spans="2:21" x14ac:dyDescent="0.2">
      <c r="B194" s="97" t="s">
        <v>20</v>
      </c>
      <c r="C194" s="97">
        <v>150</v>
      </c>
      <c r="D194" s="97" t="s">
        <v>6</v>
      </c>
      <c r="E194" s="94"/>
      <c r="F194" s="162"/>
      <c r="J194" s="97" t="s">
        <v>20</v>
      </c>
      <c r="K194" s="97">
        <v>750</v>
      </c>
      <c r="L194" s="97" t="s">
        <v>6</v>
      </c>
      <c r="M194" s="94"/>
      <c r="N194" s="162"/>
      <c r="Q194" s="97" t="s">
        <v>20</v>
      </c>
      <c r="R194" s="97">
        <v>750</v>
      </c>
      <c r="S194" s="97" t="s">
        <v>6</v>
      </c>
      <c r="T194" s="94"/>
      <c r="U194" s="162"/>
    </row>
    <row r="195" spans="2:21" x14ac:dyDescent="0.2">
      <c r="B195" s="217" t="s">
        <v>23</v>
      </c>
      <c r="C195" s="218"/>
      <c r="D195" s="218"/>
      <c r="E195" s="219"/>
      <c r="F195" s="96">
        <f>F193</f>
        <v>70200</v>
      </c>
      <c r="J195" s="217" t="s">
        <v>28</v>
      </c>
      <c r="K195" s="218"/>
      <c r="L195" s="218"/>
      <c r="M195" s="219"/>
      <c r="N195" s="98">
        <f>N193</f>
        <v>310500</v>
      </c>
      <c r="Q195" s="217" t="s">
        <v>28</v>
      </c>
      <c r="R195" s="218"/>
      <c r="S195" s="218"/>
      <c r="T195" s="219"/>
      <c r="U195" s="98">
        <f>U193</f>
        <v>990000</v>
      </c>
    </row>
    <row r="196" spans="2:21" x14ac:dyDescent="0.2">
      <c r="B196" s="217" t="s">
        <v>26</v>
      </c>
      <c r="C196" s="218"/>
      <c r="D196" s="218"/>
      <c r="E196" s="219"/>
      <c r="F196" s="98">
        <f>SUM(F195*0.05)</f>
        <v>3510</v>
      </c>
      <c r="J196" s="221" t="s">
        <v>31</v>
      </c>
      <c r="K196" s="222"/>
      <c r="L196" s="222"/>
      <c r="M196" s="223"/>
      <c r="N196" s="99">
        <f>SUM(N195/N197)</f>
        <v>0.44357142857142901</v>
      </c>
      <c r="Q196" s="221" t="s">
        <v>31</v>
      </c>
      <c r="R196" s="222"/>
      <c r="S196" s="222"/>
      <c r="T196" s="223"/>
      <c r="U196" s="99">
        <f>SUM(U195/U197)</f>
        <v>0.45</v>
      </c>
    </row>
    <row r="197" spans="2:21" x14ac:dyDescent="0.2">
      <c r="B197" s="217" t="s">
        <v>28</v>
      </c>
      <c r="C197" s="218"/>
      <c r="D197" s="218"/>
      <c r="E197" s="219"/>
      <c r="F197" s="98">
        <f>SUM(F195:F196)</f>
        <v>73710</v>
      </c>
      <c r="J197" s="221" t="s">
        <v>32</v>
      </c>
      <c r="K197" s="222"/>
      <c r="L197" s="222"/>
      <c r="M197" s="223"/>
      <c r="N197" s="100">
        <v>700000</v>
      </c>
      <c r="Q197" s="221" t="s">
        <v>32</v>
      </c>
      <c r="R197" s="222"/>
      <c r="S197" s="222"/>
      <c r="T197" s="223"/>
      <c r="U197" s="100">
        <v>2200000</v>
      </c>
    </row>
    <row r="198" spans="2:21" x14ac:dyDescent="0.2">
      <c r="B198" s="221" t="s">
        <v>31</v>
      </c>
      <c r="C198" s="222"/>
      <c r="D198" s="222"/>
      <c r="E198" s="223"/>
      <c r="F198" s="99">
        <f>SUM(F197/F199)</f>
        <v>0.56699999999999995</v>
      </c>
    </row>
    <row r="199" spans="2:21" x14ac:dyDescent="0.2">
      <c r="B199" s="221" t="s">
        <v>32</v>
      </c>
      <c r="C199" s="222"/>
      <c r="D199" s="222"/>
      <c r="E199" s="223"/>
      <c r="F199" s="100">
        <v>130000</v>
      </c>
      <c r="J199" s="227" t="s">
        <v>129</v>
      </c>
      <c r="K199" s="228"/>
      <c r="L199" s="228"/>
      <c r="M199" s="228"/>
      <c r="N199" s="229"/>
    </row>
    <row r="200" spans="2:21" x14ac:dyDescent="0.2">
      <c r="J200" s="95" t="s">
        <v>1</v>
      </c>
      <c r="K200" s="245" t="s">
        <v>2</v>
      </c>
      <c r="L200" s="229"/>
      <c r="M200" s="95" t="s">
        <v>3</v>
      </c>
      <c r="N200" s="95" t="s">
        <v>4</v>
      </c>
    </row>
    <row r="201" spans="2:21" x14ac:dyDescent="0.2">
      <c r="B201" s="227" t="s">
        <v>130</v>
      </c>
      <c r="C201" s="228"/>
      <c r="D201" s="228"/>
      <c r="E201" s="228"/>
      <c r="F201" s="229"/>
      <c r="J201" s="95" t="s">
        <v>131</v>
      </c>
      <c r="K201" s="95">
        <v>750</v>
      </c>
      <c r="L201" s="95" t="s">
        <v>6</v>
      </c>
      <c r="M201" s="119">
        <f>'SUPPLIER &amp; PRICE'!F115</f>
        <v>1602</v>
      </c>
      <c r="N201" s="119">
        <f>SUM(M201*K201)</f>
        <v>1201500</v>
      </c>
    </row>
    <row r="202" spans="2:21" x14ac:dyDescent="0.2">
      <c r="B202" s="95" t="s">
        <v>1</v>
      </c>
      <c r="C202" s="245" t="s">
        <v>2</v>
      </c>
      <c r="D202" s="229"/>
      <c r="E202" s="95" t="s">
        <v>3</v>
      </c>
      <c r="F202" s="95" t="s">
        <v>4</v>
      </c>
      <c r="J202" s="97" t="s">
        <v>20</v>
      </c>
      <c r="K202" s="97">
        <v>750</v>
      </c>
      <c r="L202" s="97" t="s">
        <v>6</v>
      </c>
      <c r="M202" s="94"/>
      <c r="N202" s="162"/>
    </row>
    <row r="203" spans="2:21" x14ac:dyDescent="0.2">
      <c r="B203" s="95" t="s">
        <v>126</v>
      </c>
      <c r="C203" s="95">
        <v>750</v>
      </c>
      <c r="D203" s="95" t="s">
        <v>6</v>
      </c>
      <c r="E203" s="119">
        <f>E193</f>
        <v>468</v>
      </c>
      <c r="F203" s="119">
        <f>SUM(E203*C203)</f>
        <v>351000</v>
      </c>
      <c r="J203" s="217" t="s">
        <v>28</v>
      </c>
      <c r="K203" s="218"/>
      <c r="L203" s="218"/>
      <c r="M203" s="219"/>
      <c r="N203" s="98">
        <f>N201</f>
        <v>1201500</v>
      </c>
    </row>
    <row r="204" spans="2:21" x14ac:dyDescent="0.2">
      <c r="B204" s="97" t="s">
        <v>20</v>
      </c>
      <c r="C204" s="97">
        <v>750</v>
      </c>
      <c r="D204" s="97" t="s">
        <v>6</v>
      </c>
      <c r="E204" s="94"/>
      <c r="F204" s="162"/>
      <c r="J204" s="221" t="s">
        <v>31</v>
      </c>
      <c r="K204" s="222"/>
      <c r="L204" s="222"/>
      <c r="M204" s="223"/>
      <c r="N204" s="99">
        <f>SUM(N203/N205)</f>
        <v>0.40050000000000002</v>
      </c>
    </row>
    <row r="205" spans="2:21" x14ac:dyDescent="0.2">
      <c r="B205" s="217" t="s">
        <v>28</v>
      </c>
      <c r="C205" s="218"/>
      <c r="D205" s="218"/>
      <c r="E205" s="219"/>
      <c r="F205" s="98">
        <f>F203</f>
        <v>351000</v>
      </c>
      <c r="J205" s="221" t="s">
        <v>32</v>
      </c>
      <c r="K205" s="222"/>
      <c r="L205" s="222"/>
      <c r="M205" s="223"/>
      <c r="N205" s="100">
        <v>3000000</v>
      </c>
    </row>
    <row r="206" spans="2:21" x14ac:dyDescent="0.2">
      <c r="B206" s="221" t="s">
        <v>31</v>
      </c>
      <c r="C206" s="222"/>
      <c r="D206" s="222"/>
      <c r="E206" s="223"/>
      <c r="F206" s="99">
        <f>SUM(F205/F207)</f>
        <v>0.501428571428571</v>
      </c>
    </row>
    <row r="207" spans="2:21" x14ac:dyDescent="0.2">
      <c r="B207" s="221" t="s">
        <v>32</v>
      </c>
      <c r="C207" s="222"/>
      <c r="D207" s="222"/>
      <c r="E207" s="223"/>
      <c r="F207" s="100">
        <v>700000</v>
      </c>
    </row>
    <row r="208" spans="2:21" x14ac:dyDescent="0.2">
      <c r="B208" s="168"/>
      <c r="C208" s="168"/>
      <c r="D208" s="168"/>
      <c r="E208" s="168"/>
      <c r="F208" s="2"/>
      <c r="J208" s="227" t="s">
        <v>132</v>
      </c>
      <c r="K208" s="228"/>
      <c r="L208" s="228"/>
      <c r="M208" s="228"/>
      <c r="N208" s="229"/>
    </row>
    <row r="209" spans="2:14" x14ac:dyDescent="0.2">
      <c r="J209" s="95" t="s">
        <v>1</v>
      </c>
      <c r="K209" s="245" t="s">
        <v>2</v>
      </c>
      <c r="L209" s="229"/>
      <c r="M209" s="95" t="s">
        <v>3</v>
      </c>
      <c r="N209" s="95" t="s">
        <v>4</v>
      </c>
    </row>
    <row r="210" spans="2:14" x14ac:dyDescent="0.2">
      <c r="B210" s="227" t="s">
        <v>133</v>
      </c>
      <c r="C210" s="228"/>
      <c r="D210" s="228"/>
      <c r="E210" s="228"/>
      <c r="F210" s="229"/>
      <c r="J210" s="95" t="s">
        <v>134</v>
      </c>
      <c r="K210" s="95">
        <v>150</v>
      </c>
      <c r="L210" s="95" t="s">
        <v>6</v>
      </c>
      <c r="M210" s="119">
        <f>'SUPPLIER &amp; PRICE'!F108</f>
        <v>620.66666666666697</v>
      </c>
      <c r="N210" s="119">
        <f>SUM(M210*K210)</f>
        <v>93100</v>
      </c>
    </row>
    <row r="211" spans="2:14" x14ac:dyDescent="0.2">
      <c r="B211" s="95" t="s">
        <v>1</v>
      </c>
      <c r="C211" s="245" t="s">
        <v>2</v>
      </c>
      <c r="D211" s="229"/>
      <c r="E211" s="95" t="s">
        <v>3</v>
      </c>
      <c r="F211" s="95" t="s">
        <v>4</v>
      </c>
      <c r="J211" s="97" t="s">
        <v>20</v>
      </c>
      <c r="K211" s="97">
        <v>150</v>
      </c>
      <c r="L211" s="97" t="s">
        <v>6</v>
      </c>
      <c r="M211" s="94"/>
      <c r="N211" s="162"/>
    </row>
    <row r="212" spans="2:14" x14ac:dyDescent="0.2">
      <c r="B212" s="95" t="s">
        <v>135</v>
      </c>
      <c r="C212" s="95">
        <v>150</v>
      </c>
      <c r="D212" s="95" t="s">
        <v>6</v>
      </c>
      <c r="E212" s="119">
        <f>'SUPPLIER &amp; PRICE'!F109</f>
        <v>324</v>
      </c>
      <c r="F212" s="119">
        <f>SUM(E212*C212)</f>
        <v>48600</v>
      </c>
      <c r="J212" s="217" t="s">
        <v>23</v>
      </c>
      <c r="K212" s="218"/>
      <c r="L212" s="218"/>
      <c r="M212" s="219"/>
      <c r="N212" s="96">
        <f>N210</f>
        <v>93100</v>
      </c>
    </row>
    <row r="213" spans="2:14" x14ac:dyDescent="0.2">
      <c r="B213" s="97" t="s">
        <v>20</v>
      </c>
      <c r="C213" s="97">
        <v>150</v>
      </c>
      <c r="D213" s="97" t="s">
        <v>6</v>
      </c>
      <c r="E213" s="94"/>
      <c r="F213" s="162"/>
      <c r="J213" s="217" t="s">
        <v>26</v>
      </c>
      <c r="K213" s="218"/>
      <c r="L213" s="218"/>
      <c r="M213" s="219"/>
      <c r="N213" s="98">
        <f>SUM(N212*0.05)</f>
        <v>4655</v>
      </c>
    </row>
    <row r="214" spans="2:14" x14ac:dyDescent="0.2">
      <c r="B214" s="217" t="s">
        <v>23</v>
      </c>
      <c r="C214" s="218"/>
      <c r="D214" s="218"/>
      <c r="E214" s="219"/>
      <c r="F214" s="96">
        <f>F212</f>
        <v>48600</v>
      </c>
      <c r="J214" s="217" t="s">
        <v>28</v>
      </c>
      <c r="K214" s="218"/>
      <c r="L214" s="218"/>
      <c r="M214" s="219"/>
      <c r="N214" s="98">
        <f>SUM(N212:N213)</f>
        <v>97755</v>
      </c>
    </row>
    <row r="215" spans="2:14" x14ac:dyDescent="0.2">
      <c r="B215" s="217" t="s">
        <v>26</v>
      </c>
      <c r="C215" s="218"/>
      <c r="D215" s="218"/>
      <c r="E215" s="219"/>
      <c r="F215" s="98">
        <f>SUM(F214*0.05)</f>
        <v>2430</v>
      </c>
      <c r="J215" s="221" t="s">
        <v>31</v>
      </c>
      <c r="K215" s="222"/>
      <c r="L215" s="222"/>
      <c r="M215" s="223"/>
      <c r="N215" s="99">
        <f>SUM(N214/N216)</f>
        <v>0.65169999999999995</v>
      </c>
    </row>
    <row r="216" spans="2:14" x14ac:dyDescent="0.2">
      <c r="B216" s="217" t="s">
        <v>28</v>
      </c>
      <c r="C216" s="218"/>
      <c r="D216" s="218"/>
      <c r="E216" s="219"/>
      <c r="F216" s="98">
        <f>SUM(F214:F215)</f>
        <v>51030</v>
      </c>
      <c r="J216" s="221" t="s">
        <v>32</v>
      </c>
      <c r="K216" s="222"/>
      <c r="L216" s="222"/>
      <c r="M216" s="223"/>
      <c r="N216" s="100">
        <v>150000</v>
      </c>
    </row>
    <row r="217" spans="2:14" x14ac:dyDescent="0.2">
      <c r="B217" s="221" t="s">
        <v>31</v>
      </c>
      <c r="C217" s="222"/>
      <c r="D217" s="222"/>
      <c r="E217" s="223"/>
      <c r="F217" s="99">
        <f>SUM(F216/F218)</f>
        <v>0.392538461538462</v>
      </c>
    </row>
    <row r="218" spans="2:14" x14ac:dyDescent="0.2">
      <c r="B218" s="221" t="s">
        <v>32</v>
      </c>
      <c r="C218" s="222"/>
      <c r="D218" s="222"/>
      <c r="E218" s="223"/>
      <c r="F218" s="100">
        <v>130000</v>
      </c>
    </row>
    <row r="219" spans="2:14" x14ac:dyDescent="0.2">
      <c r="J219" s="227" t="s">
        <v>136</v>
      </c>
      <c r="K219" s="228"/>
      <c r="L219" s="228"/>
      <c r="M219" s="228"/>
      <c r="N219" s="229"/>
    </row>
    <row r="220" spans="2:14" x14ac:dyDescent="0.2">
      <c r="B220" s="227" t="s">
        <v>137</v>
      </c>
      <c r="C220" s="228"/>
      <c r="D220" s="228"/>
      <c r="E220" s="228"/>
      <c r="F220" s="229"/>
      <c r="J220" s="95" t="s">
        <v>1</v>
      </c>
      <c r="K220" s="245" t="s">
        <v>2</v>
      </c>
      <c r="L220" s="229"/>
      <c r="M220" s="95" t="s">
        <v>3</v>
      </c>
      <c r="N220" s="95" t="s">
        <v>4</v>
      </c>
    </row>
    <row r="221" spans="2:14" x14ac:dyDescent="0.2">
      <c r="B221" s="95" t="s">
        <v>1</v>
      </c>
      <c r="C221" s="245" t="s">
        <v>2</v>
      </c>
      <c r="D221" s="229"/>
      <c r="E221" s="95" t="s">
        <v>3</v>
      </c>
      <c r="F221" s="95" t="s">
        <v>4</v>
      </c>
      <c r="J221" s="95" t="s">
        <v>134</v>
      </c>
      <c r="K221" s="95">
        <v>750</v>
      </c>
      <c r="L221" s="95" t="s">
        <v>6</v>
      </c>
      <c r="M221" s="119">
        <f>M210</f>
        <v>620.66666666666697</v>
      </c>
      <c r="N221" s="119">
        <f>SUM(M221*K221)</f>
        <v>465500</v>
      </c>
    </row>
    <row r="222" spans="2:14" x14ac:dyDescent="0.2">
      <c r="B222" s="95" t="s">
        <v>135</v>
      </c>
      <c r="C222" s="95">
        <v>750</v>
      </c>
      <c r="D222" s="95" t="s">
        <v>6</v>
      </c>
      <c r="E222" s="119">
        <f>E212</f>
        <v>324</v>
      </c>
      <c r="F222" s="119">
        <f>SUM(E222*C222)</f>
        <v>243000</v>
      </c>
      <c r="J222" s="97" t="s">
        <v>20</v>
      </c>
      <c r="K222" s="97">
        <v>750</v>
      </c>
      <c r="L222" s="97" t="s">
        <v>6</v>
      </c>
      <c r="M222" s="94"/>
      <c r="N222" s="162"/>
    </row>
    <row r="223" spans="2:14" x14ac:dyDescent="0.2">
      <c r="B223" s="97" t="s">
        <v>20</v>
      </c>
      <c r="C223" s="97">
        <v>750</v>
      </c>
      <c r="D223" s="97" t="s">
        <v>6</v>
      </c>
      <c r="E223" s="94"/>
      <c r="F223" s="162"/>
      <c r="J223" s="217" t="s">
        <v>28</v>
      </c>
      <c r="K223" s="218"/>
      <c r="L223" s="218"/>
      <c r="M223" s="219"/>
      <c r="N223" s="98">
        <f>N221</f>
        <v>465500</v>
      </c>
    </row>
    <row r="224" spans="2:14" x14ac:dyDescent="0.2">
      <c r="B224" s="217" t="s">
        <v>28</v>
      </c>
      <c r="C224" s="218"/>
      <c r="D224" s="218"/>
      <c r="E224" s="219"/>
      <c r="F224" s="98">
        <f>F222</f>
        <v>243000</v>
      </c>
      <c r="J224" s="221" t="s">
        <v>31</v>
      </c>
      <c r="K224" s="222"/>
      <c r="L224" s="222"/>
      <c r="M224" s="223"/>
      <c r="N224" s="99">
        <f>SUM(N223/N225)</f>
        <v>0.62066666666666703</v>
      </c>
    </row>
    <row r="225" spans="2:14" x14ac:dyDescent="0.2">
      <c r="B225" s="221" t="s">
        <v>31</v>
      </c>
      <c r="C225" s="222"/>
      <c r="D225" s="222"/>
      <c r="E225" s="223"/>
      <c r="F225" s="99">
        <f>SUM(F224/F226)</f>
        <v>0.37384615384615399</v>
      </c>
      <c r="J225" s="221" t="s">
        <v>32</v>
      </c>
      <c r="K225" s="222"/>
      <c r="L225" s="222"/>
      <c r="M225" s="223"/>
      <c r="N225" s="100">
        <v>750000</v>
      </c>
    </row>
    <row r="226" spans="2:14" x14ac:dyDescent="0.2">
      <c r="B226" s="221" t="s">
        <v>32</v>
      </c>
      <c r="C226" s="222"/>
      <c r="D226" s="222"/>
      <c r="E226" s="223"/>
      <c r="F226" s="100">
        <v>650000</v>
      </c>
    </row>
    <row r="241" spans="2:20" x14ac:dyDescent="0.2">
      <c r="B241" s="253" t="s">
        <v>138</v>
      </c>
      <c r="C241" s="253"/>
      <c r="D241" s="253"/>
      <c r="E241" s="253"/>
      <c r="F241" s="253"/>
      <c r="G241" s="253"/>
      <c r="H241" s="253"/>
      <c r="I241" s="253"/>
      <c r="J241" s="253"/>
      <c r="K241" s="253"/>
      <c r="L241" s="253"/>
      <c r="M241" s="253"/>
      <c r="N241" s="253"/>
      <c r="O241" s="253"/>
    </row>
    <row r="242" spans="2:20" x14ac:dyDescent="0.2">
      <c r="B242" s="253"/>
      <c r="C242" s="253"/>
      <c r="D242" s="253"/>
      <c r="E242" s="253"/>
      <c r="F242" s="253"/>
      <c r="G242" s="253"/>
      <c r="H242" s="253"/>
      <c r="I242" s="253"/>
      <c r="J242" s="253"/>
      <c r="K242" s="253"/>
      <c r="L242" s="253"/>
      <c r="M242" s="253"/>
      <c r="N242" s="253"/>
      <c r="O242" s="253"/>
    </row>
    <row r="243" spans="2:20" x14ac:dyDescent="0.2">
      <c r="B243" s="253"/>
      <c r="C243" s="253"/>
      <c r="D243" s="253"/>
      <c r="E243" s="253"/>
      <c r="F243" s="253"/>
      <c r="G243" s="253"/>
      <c r="H243" s="253"/>
      <c r="I243" s="253"/>
      <c r="J243" s="253"/>
      <c r="K243" s="253"/>
      <c r="L243" s="253"/>
      <c r="M243" s="253"/>
      <c r="N243" s="253"/>
      <c r="O243" s="253"/>
    </row>
    <row r="247" spans="2:20" x14ac:dyDescent="0.2">
      <c r="B247" s="235" t="s">
        <v>139</v>
      </c>
      <c r="C247" s="246"/>
      <c r="D247" s="246"/>
      <c r="E247" s="246"/>
      <c r="F247" s="247"/>
      <c r="J247" s="235" t="s">
        <v>140</v>
      </c>
      <c r="K247" s="246"/>
      <c r="L247" s="246"/>
      <c r="M247" s="246"/>
      <c r="N247" s="247"/>
      <c r="P247" s="227" t="s">
        <v>141</v>
      </c>
      <c r="Q247" s="228"/>
      <c r="R247" s="228"/>
      <c r="S247" s="228"/>
      <c r="T247" s="229"/>
    </row>
    <row r="248" spans="2:20" x14ac:dyDescent="0.2">
      <c r="B248" s="74" t="s">
        <v>1</v>
      </c>
      <c r="C248" s="248" t="s">
        <v>2</v>
      </c>
      <c r="D248" s="249"/>
      <c r="E248" s="74" t="s">
        <v>3</v>
      </c>
      <c r="F248" s="74" t="s">
        <v>4</v>
      </c>
      <c r="J248" s="74" t="s">
        <v>1</v>
      </c>
      <c r="K248" s="248" t="s">
        <v>2</v>
      </c>
      <c r="L248" s="249"/>
      <c r="M248" s="74" t="s">
        <v>3</v>
      </c>
      <c r="N248" s="74" t="s">
        <v>4</v>
      </c>
      <c r="P248" s="95" t="s">
        <v>1</v>
      </c>
      <c r="Q248" s="245" t="s">
        <v>2</v>
      </c>
      <c r="R248" s="229"/>
      <c r="S248" s="95" t="s">
        <v>3</v>
      </c>
      <c r="T248" s="95" t="s">
        <v>4</v>
      </c>
    </row>
    <row r="249" spans="2:20" x14ac:dyDescent="0.2">
      <c r="B249" s="95" t="s">
        <v>142</v>
      </c>
      <c r="C249" s="95">
        <v>40</v>
      </c>
      <c r="D249" s="205" t="s">
        <v>6</v>
      </c>
      <c r="E249" s="206">
        <f>'SUPPLIER &amp; PRICE'!F84</f>
        <v>1114.2857142857099</v>
      </c>
      <c r="F249" s="207">
        <f>SUM(E249*C249)</f>
        <v>44571.428571428602</v>
      </c>
      <c r="J249" s="95" t="s">
        <v>143</v>
      </c>
      <c r="K249" s="95">
        <v>40</v>
      </c>
      <c r="L249" s="205" t="s">
        <v>6</v>
      </c>
      <c r="M249" s="206">
        <f>'SUPPLIER &amp; PRICE'!F85</f>
        <v>1133.3333333333301</v>
      </c>
      <c r="N249" s="207">
        <f>SUM(M249*K249)</f>
        <v>45333.333333333299</v>
      </c>
      <c r="P249" s="95" t="s">
        <v>144</v>
      </c>
      <c r="Q249" s="95">
        <v>40</v>
      </c>
      <c r="R249" s="95" t="s">
        <v>6</v>
      </c>
      <c r="S249" s="119">
        <f>'SUPPLIER &amp; PRICE'!L5</f>
        <v>560</v>
      </c>
      <c r="T249" s="107">
        <f>SUM(S249*Q249)</f>
        <v>22400</v>
      </c>
    </row>
    <row r="250" spans="2:20" x14ac:dyDescent="0.2">
      <c r="B250" s="97" t="s">
        <v>20</v>
      </c>
      <c r="C250" s="97">
        <v>40</v>
      </c>
      <c r="D250" s="97" t="s">
        <v>6</v>
      </c>
      <c r="E250" s="208"/>
      <c r="F250" s="209"/>
      <c r="J250" s="97" t="s">
        <v>20</v>
      </c>
      <c r="K250" s="97">
        <v>40</v>
      </c>
      <c r="L250" s="97" t="s">
        <v>6</v>
      </c>
      <c r="M250" s="208"/>
      <c r="N250" s="209"/>
      <c r="P250" s="97" t="s">
        <v>20</v>
      </c>
      <c r="Q250" s="97">
        <v>40</v>
      </c>
      <c r="R250" s="97" t="s">
        <v>6</v>
      </c>
      <c r="S250" s="94"/>
      <c r="T250" s="162"/>
    </row>
    <row r="251" spans="2:20" x14ac:dyDescent="0.2">
      <c r="B251" s="217" t="s">
        <v>28</v>
      </c>
      <c r="C251" s="218"/>
      <c r="D251" s="218"/>
      <c r="E251" s="219"/>
      <c r="F251" s="98">
        <f>F249</f>
        <v>44571.428571428602</v>
      </c>
      <c r="J251" s="217" t="s">
        <v>28</v>
      </c>
      <c r="K251" s="218"/>
      <c r="L251" s="218"/>
      <c r="M251" s="219"/>
      <c r="N251" s="98">
        <f>N249</f>
        <v>45333.333333333299</v>
      </c>
      <c r="P251" s="217" t="s">
        <v>28</v>
      </c>
      <c r="Q251" s="218"/>
      <c r="R251" s="218"/>
      <c r="S251" s="219"/>
      <c r="T251" s="98">
        <f>T249</f>
        <v>22400</v>
      </c>
    </row>
    <row r="252" spans="2:20" x14ac:dyDescent="0.2">
      <c r="B252" s="221" t="s">
        <v>31</v>
      </c>
      <c r="C252" s="222"/>
      <c r="D252" s="222"/>
      <c r="E252" s="223"/>
      <c r="F252" s="99">
        <f>SUM(F251/F253)</f>
        <v>0.371428571428571</v>
      </c>
      <c r="J252" s="221" t="s">
        <v>31</v>
      </c>
      <c r="K252" s="222"/>
      <c r="L252" s="222"/>
      <c r="M252" s="223"/>
      <c r="N252" s="99">
        <f>SUM(N251/N253)</f>
        <v>0.34871794871794898</v>
      </c>
      <c r="P252" s="221" t="s">
        <v>31</v>
      </c>
      <c r="Q252" s="222"/>
      <c r="R252" s="222"/>
      <c r="S252" s="223"/>
      <c r="T252" s="99">
        <f>SUM(T251/T253)</f>
        <v>0.172307692307692</v>
      </c>
    </row>
    <row r="253" spans="2:20" x14ac:dyDescent="0.2">
      <c r="B253" s="221" t="s">
        <v>32</v>
      </c>
      <c r="C253" s="222"/>
      <c r="D253" s="222"/>
      <c r="E253" s="223"/>
      <c r="F253" s="100">
        <v>120000</v>
      </c>
      <c r="J253" s="221" t="s">
        <v>32</v>
      </c>
      <c r="K253" s="222"/>
      <c r="L253" s="222"/>
      <c r="M253" s="223"/>
      <c r="N253" s="100">
        <v>130000</v>
      </c>
      <c r="P253" s="221" t="s">
        <v>32</v>
      </c>
      <c r="Q253" s="222"/>
      <c r="R253" s="222"/>
      <c r="S253" s="223"/>
      <c r="T253" s="100">
        <v>130000</v>
      </c>
    </row>
    <row r="255" spans="2:20" x14ac:dyDescent="0.2">
      <c r="B255" s="235" t="s">
        <v>145</v>
      </c>
      <c r="C255" s="246"/>
      <c r="D255" s="246"/>
      <c r="E255" s="246"/>
      <c r="F255" s="247"/>
      <c r="J255" s="235" t="s">
        <v>146</v>
      </c>
      <c r="K255" s="246"/>
      <c r="L255" s="246"/>
      <c r="M255" s="246"/>
      <c r="N255" s="247"/>
      <c r="P255" s="235" t="s">
        <v>147</v>
      </c>
      <c r="Q255" s="236"/>
      <c r="R255" s="236"/>
      <c r="S255" s="236"/>
      <c r="T255" s="237"/>
    </row>
    <row r="256" spans="2:20" x14ac:dyDescent="0.2">
      <c r="B256" s="74" t="s">
        <v>1</v>
      </c>
      <c r="C256" s="248" t="s">
        <v>2</v>
      </c>
      <c r="D256" s="249"/>
      <c r="E256" s="74" t="s">
        <v>3</v>
      </c>
      <c r="F256" s="74" t="s">
        <v>4</v>
      </c>
      <c r="J256" s="74" t="s">
        <v>1</v>
      </c>
      <c r="K256" s="248" t="s">
        <v>2</v>
      </c>
      <c r="L256" s="249"/>
      <c r="M256" s="74" t="s">
        <v>3</v>
      </c>
      <c r="N256" s="74" t="s">
        <v>4</v>
      </c>
      <c r="P256" s="184" t="s">
        <v>1</v>
      </c>
      <c r="Q256" s="250" t="s">
        <v>2</v>
      </c>
      <c r="R256" s="244"/>
      <c r="S256" s="141" t="s">
        <v>3</v>
      </c>
      <c r="T256" s="142" t="s">
        <v>4</v>
      </c>
    </row>
    <row r="257" spans="2:20" x14ac:dyDescent="0.2">
      <c r="B257" s="95" t="s">
        <v>142</v>
      </c>
      <c r="C257" s="95">
        <v>700</v>
      </c>
      <c r="D257" s="95" t="s">
        <v>6</v>
      </c>
      <c r="E257" s="119">
        <f>'SUPPLIER &amp; PRICE'!F84</f>
        <v>1114.2857142857099</v>
      </c>
      <c r="F257" s="107">
        <f>SUM(E257*C257)</f>
        <v>780000</v>
      </c>
      <c r="J257" s="95" t="s">
        <v>143</v>
      </c>
      <c r="K257" s="95">
        <v>750</v>
      </c>
      <c r="L257" s="205" t="s">
        <v>6</v>
      </c>
      <c r="M257" s="206">
        <f>M249</f>
        <v>1133.3333333333301</v>
      </c>
      <c r="N257" s="207">
        <f>SUM(M257*K257)</f>
        <v>850000</v>
      </c>
      <c r="P257" s="186" t="s">
        <v>73</v>
      </c>
      <c r="Q257" s="187">
        <v>40</v>
      </c>
      <c r="R257" s="187" t="s">
        <v>6</v>
      </c>
      <c r="S257" s="210">
        <f>'SUPPLIER &amp; PRICE'!L4</f>
        <v>560</v>
      </c>
      <c r="T257" s="211">
        <f>SUM(S257*Q257)</f>
        <v>22400</v>
      </c>
    </row>
    <row r="258" spans="2:20" x14ac:dyDescent="0.2">
      <c r="B258" s="97" t="s">
        <v>20</v>
      </c>
      <c r="C258" s="97">
        <v>700</v>
      </c>
      <c r="D258" s="97" t="s">
        <v>6</v>
      </c>
      <c r="E258" s="208"/>
      <c r="F258" s="209"/>
      <c r="J258" s="97" t="s">
        <v>20</v>
      </c>
      <c r="K258" s="97">
        <v>750</v>
      </c>
      <c r="L258" s="97" t="s">
        <v>6</v>
      </c>
      <c r="M258" s="208"/>
      <c r="N258" s="209"/>
      <c r="P258" s="90" t="s">
        <v>20</v>
      </c>
      <c r="Q258" s="90">
        <v>40</v>
      </c>
      <c r="R258" s="90" t="s">
        <v>6</v>
      </c>
      <c r="S258" s="157"/>
      <c r="T258" s="91"/>
    </row>
    <row r="259" spans="2:20" x14ac:dyDescent="0.2">
      <c r="B259" s="217" t="s">
        <v>28</v>
      </c>
      <c r="C259" s="218"/>
      <c r="D259" s="218"/>
      <c r="E259" s="219"/>
      <c r="F259" s="98">
        <f>F257</f>
        <v>780000</v>
      </c>
      <c r="J259" s="217" t="s">
        <v>28</v>
      </c>
      <c r="K259" s="218"/>
      <c r="L259" s="218"/>
      <c r="M259" s="219"/>
      <c r="N259" s="98">
        <f>N257</f>
        <v>850000</v>
      </c>
      <c r="P259" s="217" t="s">
        <v>28</v>
      </c>
      <c r="Q259" s="218"/>
      <c r="R259" s="218"/>
      <c r="S259" s="219"/>
      <c r="T259" s="98">
        <f>T257</f>
        <v>22400</v>
      </c>
    </row>
    <row r="260" spans="2:20" x14ac:dyDescent="0.2">
      <c r="B260" s="221" t="s">
        <v>31</v>
      </c>
      <c r="C260" s="222"/>
      <c r="D260" s="222"/>
      <c r="E260" s="223"/>
      <c r="F260" s="99">
        <f>SUM(F259/F261)</f>
        <v>0.472727272727273</v>
      </c>
      <c r="J260" s="221" t="s">
        <v>31</v>
      </c>
      <c r="K260" s="222"/>
      <c r="L260" s="222"/>
      <c r="M260" s="223"/>
      <c r="N260" s="99">
        <f>SUM(N259/N261)</f>
        <v>0.47222222222222199</v>
      </c>
      <c r="P260" s="221" t="s">
        <v>31</v>
      </c>
      <c r="Q260" s="222"/>
      <c r="R260" s="222"/>
      <c r="S260" s="223"/>
      <c r="T260" s="99">
        <f>SUM(T259/T261)</f>
        <v>0.172307692307692</v>
      </c>
    </row>
    <row r="261" spans="2:20" x14ac:dyDescent="0.2">
      <c r="B261" s="221" t="s">
        <v>32</v>
      </c>
      <c r="C261" s="222"/>
      <c r="D261" s="222"/>
      <c r="E261" s="223"/>
      <c r="F261" s="100">
        <v>1650000</v>
      </c>
      <c r="J261" s="221" t="s">
        <v>32</v>
      </c>
      <c r="K261" s="222"/>
      <c r="L261" s="222"/>
      <c r="M261" s="223"/>
      <c r="N261" s="100">
        <v>1800000</v>
      </c>
      <c r="P261" s="221" t="s">
        <v>32</v>
      </c>
      <c r="Q261" s="222"/>
      <c r="R261" s="222"/>
      <c r="S261" s="223"/>
      <c r="T261" s="100">
        <v>130000</v>
      </c>
    </row>
    <row r="263" spans="2:20" x14ac:dyDescent="0.2">
      <c r="B263" s="227" t="s">
        <v>148</v>
      </c>
      <c r="C263" s="251"/>
      <c r="D263" s="251"/>
      <c r="E263" s="251"/>
      <c r="F263" s="252"/>
      <c r="J263" s="227" t="s">
        <v>149</v>
      </c>
      <c r="K263" s="251"/>
      <c r="L263" s="251"/>
      <c r="M263" s="251"/>
      <c r="N263" s="252"/>
    </row>
    <row r="264" spans="2:20" x14ac:dyDescent="0.2">
      <c r="B264" s="95" t="s">
        <v>1</v>
      </c>
      <c r="C264" s="245" t="s">
        <v>2</v>
      </c>
      <c r="D264" s="252"/>
      <c r="E264" s="95" t="s">
        <v>3</v>
      </c>
      <c r="F264" s="95" t="s">
        <v>4</v>
      </c>
      <c r="J264" s="95" t="s">
        <v>1</v>
      </c>
      <c r="K264" s="245" t="s">
        <v>2</v>
      </c>
      <c r="L264" s="252"/>
      <c r="M264" s="95" t="s">
        <v>3</v>
      </c>
      <c r="N264" s="95" t="s">
        <v>4</v>
      </c>
    </row>
    <row r="265" spans="2:20" x14ac:dyDescent="0.2">
      <c r="B265" s="95" t="s">
        <v>150</v>
      </c>
      <c r="C265" s="95">
        <v>40</v>
      </c>
      <c r="D265" s="95" t="s">
        <v>6</v>
      </c>
      <c r="E265" s="119">
        <f>'SUPPLIER &amp; PRICE'!F99</f>
        <v>1000</v>
      </c>
      <c r="F265" s="107">
        <f>SUM(E265*C265)</f>
        <v>40000</v>
      </c>
      <c r="J265" s="95" t="s">
        <v>151</v>
      </c>
      <c r="K265" s="95">
        <v>40</v>
      </c>
      <c r="L265" s="95" t="s">
        <v>6</v>
      </c>
      <c r="M265" s="119">
        <f>'SUPPLIER &amp; PRICE'!F86</f>
        <v>1300</v>
      </c>
      <c r="N265" s="107">
        <f>SUM(M265*K265)</f>
        <v>52000</v>
      </c>
    </row>
    <row r="266" spans="2:20" x14ac:dyDescent="0.2">
      <c r="B266" s="97" t="s">
        <v>20</v>
      </c>
      <c r="C266" s="97">
        <v>40</v>
      </c>
      <c r="D266" s="97" t="s">
        <v>6</v>
      </c>
      <c r="E266" s="208"/>
      <c r="F266" s="209"/>
      <c r="J266" s="97" t="s">
        <v>20</v>
      </c>
      <c r="K266" s="97">
        <v>40</v>
      </c>
      <c r="L266" s="97" t="s">
        <v>6</v>
      </c>
      <c r="M266" s="208"/>
      <c r="N266" s="209"/>
    </row>
    <row r="267" spans="2:20" x14ac:dyDescent="0.2">
      <c r="B267" s="217" t="s">
        <v>28</v>
      </c>
      <c r="C267" s="218"/>
      <c r="D267" s="218"/>
      <c r="E267" s="219"/>
      <c r="F267" s="98">
        <f>F265</f>
        <v>40000</v>
      </c>
      <c r="J267" s="217" t="s">
        <v>28</v>
      </c>
      <c r="K267" s="218"/>
      <c r="L267" s="218"/>
      <c r="M267" s="219"/>
      <c r="N267" s="98">
        <f>N265</f>
        <v>52000</v>
      </c>
    </row>
    <row r="268" spans="2:20" x14ac:dyDescent="0.2">
      <c r="B268" s="221" t="s">
        <v>31</v>
      </c>
      <c r="C268" s="222"/>
      <c r="D268" s="222"/>
      <c r="E268" s="223"/>
      <c r="F268" s="99">
        <f>SUM(F267/F269)</f>
        <v>0.24242424242424199</v>
      </c>
      <c r="J268" s="221" t="s">
        <v>31</v>
      </c>
      <c r="K268" s="222"/>
      <c r="L268" s="222"/>
      <c r="M268" s="223"/>
      <c r="N268" s="99">
        <f>SUM(N267/N269)</f>
        <v>0.34666666666666701</v>
      </c>
    </row>
    <row r="269" spans="2:20" x14ac:dyDescent="0.2">
      <c r="B269" s="221" t="s">
        <v>32</v>
      </c>
      <c r="C269" s="222"/>
      <c r="D269" s="222"/>
      <c r="E269" s="223"/>
      <c r="F269" s="100">
        <v>165000</v>
      </c>
      <c r="J269" s="221" t="s">
        <v>32</v>
      </c>
      <c r="K269" s="222"/>
      <c r="L269" s="222"/>
      <c r="M269" s="223"/>
      <c r="N269" s="100">
        <v>150000</v>
      </c>
    </row>
    <row r="271" spans="2:20" x14ac:dyDescent="0.2">
      <c r="B271" s="227" t="s">
        <v>152</v>
      </c>
      <c r="C271" s="228"/>
      <c r="D271" s="228"/>
      <c r="E271" s="228"/>
      <c r="F271" s="229"/>
      <c r="J271" s="227" t="s">
        <v>153</v>
      </c>
      <c r="K271" s="228"/>
      <c r="L271" s="228"/>
      <c r="M271" s="228"/>
      <c r="N271" s="229"/>
    </row>
    <row r="272" spans="2:20" x14ac:dyDescent="0.2">
      <c r="B272" s="95" t="s">
        <v>1</v>
      </c>
      <c r="C272" s="245" t="s">
        <v>2</v>
      </c>
      <c r="D272" s="229"/>
      <c r="E272" s="95" t="s">
        <v>3</v>
      </c>
      <c r="F272" s="95" t="s">
        <v>4</v>
      </c>
      <c r="J272" s="95" t="s">
        <v>1</v>
      </c>
      <c r="K272" s="245" t="s">
        <v>2</v>
      </c>
      <c r="L272" s="229"/>
      <c r="M272" s="95" t="s">
        <v>3</v>
      </c>
      <c r="N272" s="95" t="s">
        <v>4</v>
      </c>
    </row>
    <row r="273" spans="2:14" x14ac:dyDescent="0.2">
      <c r="B273" s="95" t="s">
        <v>150</v>
      </c>
      <c r="C273" s="95">
        <v>700</v>
      </c>
      <c r="D273" s="95" t="s">
        <v>6</v>
      </c>
      <c r="E273" s="119">
        <f>E265</f>
        <v>1000</v>
      </c>
      <c r="F273" s="107">
        <f>SUM(E273*C273)</f>
        <v>700000</v>
      </c>
      <c r="J273" s="95" t="s">
        <v>151</v>
      </c>
      <c r="K273" s="95">
        <v>750</v>
      </c>
      <c r="L273" s="95" t="s">
        <v>6</v>
      </c>
      <c r="M273" s="119">
        <f>M265</f>
        <v>1300</v>
      </c>
      <c r="N273" s="107">
        <f>SUM(M273*K273)</f>
        <v>975000</v>
      </c>
    </row>
    <row r="274" spans="2:14" x14ac:dyDescent="0.2">
      <c r="B274" s="97" t="s">
        <v>20</v>
      </c>
      <c r="C274" s="97">
        <v>700</v>
      </c>
      <c r="D274" s="97" t="s">
        <v>6</v>
      </c>
      <c r="E274" s="94"/>
      <c r="F274" s="162"/>
      <c r="J274" s="97" t="s">
        <v>20</v>
      </c>
      <c r="K274" s="97">
        <v>750</v>
      </c>
      <c r="L274" s="97" t="s">
        <v>6</v>
      </c>
      <c r="M274" s="94"/>
      <c r="N274" s="162"/>
    </row>
    <row r="275" spans="2:14" x14ac:dyDescent="0.2">
      <c r="B275" s="217" t="s">
        <v>28</v>
      </c>
      <c r="C275" s="218"/>
      <c r="D275" s="218"/>
      <c r="E275" s="219"/>
      <c r="F275" s="98">
        <f>F273</f>
        <v>700000</v>
      </c>
      <c r="J275" s="217" t="s">
        <v>28</v>
      </c>
      <c r="K275" s="218"/>
      <c r="L275" s="218"/>
      <c r="M275" s="219"/>
      <c r="N275" s="98">
        <f>N273</f>
        <v>975000</v>
      </c>
    </row>
    <row r="276" spans="2:14" x14ac:dyDescent="0.2">
      <c r="B276" s="221" t="s">
        <v>31</v>
      </c>
      <c r="C276" s="222"/>
      <c r="D276" s="222"/>
      <c r="E276" s="223"/>
      <c r="F276" s="99">
        <f>SUM(F275/F277)</f>
        <v>0.38888888888888901</v>
      </c>
      <c r="J276" s="221" t="s">
        <v>31</v>
      </c>
      <c r="K276" s="222"/>
      <c r="L276" s="222"/>
      <c r="M276" s="223"/>
      <c r="N276" s="99">
        <f>SUM(N275/N277)</f>
        <v>0.48749999999999999</v>
      </c>
    </row>
    <row r="277" spans="2:14" x14ac:dyDescent="0.2">
      <c r="B277" s="221" t="s">
        <v>32</v>
      </c>
      <c r="C277" s="222"/>
      <c r="D277" s="222"/>
      <c r="E277" s="223"/>
      <c r="F277" s="100">
        <v>1800000</v>
      </c>
      <c r="J277" s="221" t="s">
        <v>32</v>
      </c>
      <c r="K277" s="222"/>
      <c r="L277" s="222"/>
      <c r="M277" s="223"/>
      <c r="N277" s="100">
        <v>2000000</v>
      </c>
    </row>
    <row r="279" spans="2:14" x14ac:dyDescent="0.2">
      <c r="B279" s="227" t="s">
        <v>154</v>
      </c>
      <c r="C279" s="228"/>
      <c r="D279" s="228"/>
      <c r="E279" s="228"/>
      <c r="F279" s="229"/>
      <c r="J279" s="227" t="s">
        <v>155</v>
      </c>
      <c r="K279" s="228"/>
      <c r="L279" s="228"/>
      <c r="M279" s="228"/>
      <c r="N279" s="229"/>
    </row>
    <row r="280" spans="2:14" x14ac:dyDescent="0.2">
      <c r="B280" s="95" t="s">
        <v>1</v>
      </c>
      <c r="C280" s="245" t="s">
        <v>2</v>
      </c>
      <c r="D280" s="229"/>
      <c r="E280" s="95" t="s">
        <v>3</v>
      </c>
      <c r="F280" s="95" t="s">
        <v>4</v>
      </c>
      <c r="J280" s="95" t="s">
        <v>1</v>
      </c>
      <c r="K280" s="245" t="s">
        <v>2</v>
      </c>
      <c r="L280" s="229"/>
      <c r="M280" s="95" t="s">
        <v>3</v>
      </c>
      <c r="N280" s="95" t="s">
        <v>4</v>
      </c>
    </row>
    <row r="281" spans="2:14" x14ac:dyDescent="0.2">
      <c r="B281" s="95" t="s">
        <v>156</v>
      </c>
      <c r="C281" s="95">
        <v>40</v>
      </c>
      <c r="D281" s="95" t="s">
        <v>6</v>
      </c>
      <c r="E281" s="119">
        <f>'SUPPLIER &amp; PRICE'!F82</f>
        <v>733.33333333333303</v>
      </c>
      <c r="F281" s="107">
        <f>SUM(E281*C281)</f>
        <v>29333.333333333299</v>
      </c>
      <c r="J281" s="95" t="s">
        <v>157</v>
      </c>
      <c r="K281" s="95">
        <v>40</v>
      </c>
      <c r="L281" s="95" t="s">
        <v>6</v>
      </c>
      <c r="M281" s="119">
        <f>'SUPPLIER &amp; PRICE'!F98</f>
        <v>933.33333333333303</v>
      </c>
      <c r="N281" s="107">
        <f>SUM(M281*K281)</f>
        <v>37333.333333333299</v>
      </c>
    </row>
    <row r="282" spans="2:14" x14ac:dyDescent="0.2">
      <c r="B282" s="97" t="s">
        <v>20</v>
      </c>
      <c r="C282" s="97">
        <v>40</v>
      </c>
      <c r="D282" s="97" t="s">
        <v>6</v>
      </c>
      <c r="E282" s="94"/>
      <c r="F282" s="162"/>
      <c r="J282" s="97" t="s">
        <v>20</v>
      </c>
      <c r="K282" s="97">
        <v>40</v>
      </c>
      <c r="L282" s="97" t="s">
        <v>6</v>
      </c>
      <c r="M282" s="94"/>
      <c r="N282" s="162"/>
    </row>
    <row r="283" spans="2:14" x14ac:dyDescent="0.2">
      <c r="B283" s="217" t="s">
        <v>28</v>
      </c>
      <c r="C283" s="218"/>
      <c r="D283" s="218"/>
      <c r="E283" s="219"/>
      <c r="F283" s="98">
        <f>F281</f>
        <v>29333.333333333299</v>
      </c>
      <c r="J283" s="217" t="s">
        <v>28</v>
      </c>
      <c r="K283" s="218"/>
      <c r="L283" s="218"/>
      <c r="M283" s="219"/>
      <c r="N283" s="98">
        <f>N281</f>
        <v>37333.333333333299</v>
      </c>
    </row>
    <row r="284" spans="2:14" x14ac:dyDescent="0.2">
      <c r="B284" s="221" t="s">
        <v>31</v>
      </c>
      <c r="C284" s="222"/>
      <c r="D284" s="222"/>
      <c r="E284" s="223"/>
      <c r="F284" s="99">
        <f>SUM(F283/F285)</f>
        <v>0.24444444444444399</v>
      </c>
      <c r="J284" s="221" t="s">
        <v>31</v>
      </c>
      <c r="K284" s="222"/>
      <c r="L284" s="222"/>
      <c r="M284" s="223"/>
      <c r="N284" s="99">
        <f>SUM(N283/N285)</f>
        <v>0.31111111111111101</v>
      </c>
    </row>
    <row r="285" spans="2:14" x14ac:dyDescent="0.2">
      <c r="B285" s="221" t="s">
        <v>32</v>
      </c>
      <c r="C285" s="222"/>
      <c r="D285" s="222"/>
      <c r="E285" s="223"/>
      <c r="F285" s="100">
        <v>120000</v>
      </c>
      <c r="J285" s="221" t="s">
        <v>32</v>
      </c>
      <c r="K285" s="222"/>
      <c r="L285" s="222"/>
      <c r="M285" s="223"/>
      <c r="N285" s="100">
        <v>120000</v>
      </c>
    </row>
    <row r="287" spans="2:14" x14ac:dyDescent="0.2">
      <c r="B287" s="227" t="s">
        <v>158</v>
      </c>
      <c r="C287" s="228"/>
      <c r="D287" s="228"/>
      <c r="E287" s="228"/>
      <c r="F287" s="229"/>
      <c r="J287" s="227" t="s">
        <v>159</v>
      </c>
      <c r="K287" s="228"/>
      <c r="L287" s="228"/>
      <c r="M287" s="228"/>
      <c r="N287" s="229"/>
    </row>
    <row r="288" spans="2:14" x14ac:dyDescent="0.2">
      <c r="B288" s="95" t="s">
        <v>1</v>
      </c>
      <c r="C288" s="245" t="s">
        <v>2</v>
      </c>
      <c r="D288" s="229"/>
      <c r="E288" s="95" t="s">
        <v>3</v>
      </c>
      <c r="F288" s="95" t="s">
        <v>4</v>
      </c>
      <c r="J288" s="95" t="s">
        <v>1</v>
      </c>
      <c r="K288" s="245" t="s">
        <v>2</v>
      </c>
      <c r="L288" s="229"/>
      <c r="M288" s="95" t="s">
        <v>3</v>
      </c>
      <c r="N288" s="95" t="s">
        <v>4</v>
      </c>
    </row>
    <row r="289" spans="2:14" x14ac:dyDescent="0.2">
      <c r="B289" s="95" t="s">
        <v>156</v>
      </c>
      <c r="C289" s="95">
        <v>750</v>
      </c>
      <c r="D289" s="95" t="s">
        <v>6</v>
      </c>
      <c r="E289" s="119">
        <f>E281</f>
        <v>733.33333333333303</v>
      </c>
      <c r="F289" s="107">
        <f>SUM(E289*C289)</f>
        <v>550000</v>
      </c>
      <c r="J289" s="95" t="s">
        <v>157</v>
      </c>
      <c r="K289" s="95">
        <v>750</v>
      </c>
      <c r="L289" s="95" t="s">
        <v>6</v>
      </c>
      <c r="M289" s="119">
        <f>M281</f>
        <v>933.33333333333303</v>
      </c>
      <c r="N289" s="107">
        <f>SUM(M289*K289)</f>
        <v>700000</v>
      </c>
    </row>
    <row r="290" spans="2:14" x14ac:dyDescent="0.2">
      <c r="B290" s="97" t="s">
        <v>20</v>
      </c>
      <c r="C290" s="97">
        <v>750</v>
      </c>
      <c r="D290" s="97" t="s">
        <v>6</v>
      </c>
      <c r="E290" s="94"/>
      <c r="F290" s="162"/>
      <c r="J290" s="97" t="s">
        <v>20</v>
      </c>
      <c r="K290" s="97">
        <v>750</v>
      </c>
      <c r="L290" s="97" t="s">
        <v>6</v>
      </c>
      <c r="M290" s="94"/>
      <c r="N290" s="162"/>
    </row>
    <row r="291" spans="2:14" x14ac:dyDescent="0.2">
      <c r="B291" s="217" t="s">
        <v>28</v>
      </c>
      <c r="C291" s="218"/>
      <c r="D291" s="218"/>
      <c r="E291" s="219"/>
      <c r="F291" s="98">
        <f>F289</f>
        <v>550000</v>
      </c>
      <c r="J291" s="217" t="s">
        <v>28</v>
      </c>
      <c r="K291" s="218"/>
      <c r="L291" s="218"/>
      <c r="M291" s="219"/>
      <c r="N291" s="98">
        <f>N289</f>
        <v>700000</v>
      </c>
    </row>
    <row r="292" spans="2:14" x14ac:dyDescent="0.2">
      <c r="B292" s="221" t="s">
        <v>31</v>
      </c>
      <c r="C292" s="222"/>
      <c r="D292" s="222"/>
      <c r="E292" s="223"/>
      <c r="F292" s="99">
        <f>SUM(F291/F293)</f>
        <v>0.42307692307692302</v>
      </c>
      <c r="J292" s="221" t="s">
        <v>31</v>
      </c>
      <c r="K292" s="222"/>
      <c r="L292" s="222"/>
      <c r="M292" s="223"/>
      <c r="N292" s="99">
        <f>SUM(N291/N293)</f>
        <v>0.46666666666666701</v>
      </c>
    </row>
    <row r="293" spans="2:14" x14ac:dyDescent="0.2">
      <c r="B293" s="221" t="s">
        <v>32</v>
      </c>
      <c r="C293" s="222"/>
      <c r="D293" s="222"/>
      <c r="E293" s="223"/>
      <c r="F293" s="100">
        <v>1300000</v>
      </c>
      <c r="J293" s="221" t="s">
        <v>32</v>
      </c>
      <c r="K293" s="222"/>
      <c r="L293" s="222"/>
      <c r="M293" s="223"/>
      <c r="N293" s="100">
        <v>1500000</v>
      </c>
    </row>
    <row r="295" spans="2:14" x14ac:dyDescent="0.2">
      <c r="B295" s="227" t="s">
        <v>160</v>
      </c>
      <c r="C295" s="228"/>
      <c r="D295" s="228"/>
      <c r="E295" s="228"/>
      <c r="F295" s="229"/>
      <c r="J295" s="227" t="s">
        <v>161</v>
      </c>
      <c r="K295" s="228"/>
      <c r="L295" s="228"/>
      <c r="M295" s="228"/>
      <c r="N295" s="229"/>
    </row>
    <row r="296" spans="2:14" x14ac:dyDescent="0.2">
      <c r="B296" s="95" t="s">
        <v>1</v>
      </c>
      <c r="C296" s="245" t="s">
        <v>2</v>
      </c>
      <c r="D296" s="229"/>
      <c r="E296" s="95" t="s">
        <v>3</v>
      </c>
      <c r="F296" s="95" t="s">
        <v>4</v>
      </c>
      <c r="J296" s="95" t="s">
        <v>1</v>
      </c>
      <c r="K296" s="245" t="s">
        <v>2</v>
      </c>
      <c r="L296" s="229"/>
      <c r="M296" s="95" t="s">
        <v>3</v>
      </c>
      <c r="N296" s="95" t="s">
        <v>4</v>
      </c>
    </row>
    <row r="297" spans="2:14" x14ac:dyDescent="0.2">
      <c r="B297" s="95" t="s">
        <v>162</v>
      </c>
      <c r="C297" s="95">
        <v>40</v>
      </c>
      <c r="D297" s="95" t="s">
        <v>6</v>
      </c>
      <c r="E297" s="119">
        <f>'SUPPLIER &amp; PRICE'!F100</f>
        <v>800</v>
      </c>
      <c r="F297" s="107">
        <f>SUM(E297*C297)</f>
        <v>32000</v>
      </c>
      <c r="J297" s="95" t="s">
        <v>163</v>
      </c>
      <c r="K297" s="95">
        <v>40</v>
      </c>
      <c r="L297" s="95" t="s">
        <v>6</v>
      </c>
      <c r="M297" s="119">
        <f>'SUPPLIER &amp; PRICE'!F81</f>
        <v>1035.7142857142901</v>
      </c>
      <c r="N297" s="107">
        <f>SUM(M297*K297)</f>
        <v>41428.571428571398</v>
      </c>
    </row>
    <row r="298" spans="2:14" x14ac:dyDescent="0.2">
      <c r="B298" s="97" t="s">
        <v>20</v>
      </c>
      <c r="C298" s="97">
        <v>40</v>
      </c>
      <c r="D298" s="97" t="s">
        <v>6</v>
      </c>
      <c r="E298" s="94"/>
      <c r="F298" s="162"/>
      <c r="J298" s="97" t="s">
        <v>20</v>
      </c>
      <c r="K298" s="97">
        <v>40</v>
      </c>
      <c r="L298" s="97" t="s">
        <v>6</v>
      </c>
      <c r="M298" s="94"/>
      <c r="N298" s="162"/>
    </row>
    <row r="299" spans="2:14" x14ac:dyDescent="0.2">
      <c r="B299" s="217" t="s">
        <v>28</v>
      </c>
      <c r="C299" s="218"/>
      <c r="D299" s="218"/>
      <c r="E299" s="219"/>
      <c r="F299" s="98">
        <f>F297</f>
        <v>32000</v>
      </c>
      <c r="J299" s="217" t="s">
        <v>28</v>
      </c>
      <c r="K299" s="218"/>
      <c r="L299" s="218"/>
      <c r="M299" s="219"/>
      <c r="N299" s="98">
        <f>N297</f>
        <v>41428.571428571398</v>
      </c>
    </row>
    <row r="300" spans="2:14" x14ac:dyDescent="0.2">
      <c r="B300" s="221" t="s">
        <v>31</v>
      </c>
      <c r="C300" s="222"/>
      <c r="D300" s="222"/>
      <c r="E300" s="223"/>
      <c r="F300" s="99">
        <f>SUM(F299/F301)</f>
        <v>0.29090909090909101</v>
      </c>
      <c r="J300" s="221" t="s">
        <v>31</v>
      </c>
      <c r="K300" s="222"/>
      <c r="L300" s="222"/>
      <c r="M300" s="223"/>
      <c r="N300" s="99">
        <f>SUM(N299/N301)</f>
        <v>0.34523809523809501</v>
      </c>
    </row>
    <row r="301" spans="2:14" x14ac:dyDescent="0.2">
      <c r="B301" s="221" t="s">
        <v>32</v>
      </c>
      <c r="C301" s="222"/>
      <c r="D301" s="222"/>
      <c r="E301" s="223"/>
      <c r="F301" s="100">
        <v>110000</v>
      </c>
      <c r="J301" s="221" t="s">
        <v>32</v>
      </c>
      <c r="K301" s="222"/>
      <c r="L301" s="222"/>
      <c r="M301" s="223"/>
      <c r="N301" s="100">
        <v>120000</v>
      </c>
    </row>
    <row r="303" spans="2:14" x14ac:dyDescent="0.2">
      <c r="B303" s="227" t="s">
        <v>164</v>
      </c>
      <c r="C303" s="228"/>
      <c r="D303" s="228"/>
      <c r="E303" s="228"/>
      <c r="F303" s="229"/>
      <c r="J303" s="227" t="s">
        <v>165</v>
      </c>
      <c r="K303" s="228"/>
      <c r="L303" s="228"/>
      <c r="M303" s="228"/>
      <c r="N303" s="229"/>
    </row>
    <row r="304" spans="2:14" x14ac:dyDescent="0.2">
      <c r="B304" s="95" t="s">
        <v>1</v>
      </c>
      <c r="C304" s="245" t="s">
        <v>2</v>
      </c>
      <c r="D304" s="229"/>
      <c r="E304" s="95" t="s">
        <v>3</v>
      </c>
      <c r="F304" s="95" t="s">
        <v>4</v>
      </c>
      <c r="J304" s="95" t="s">
        <v>1</v>
      </c>
      <c r="K304" s="245" t="s">
        <v>2</v>
      </c>
      <c r="L304" s="229"/>
      <c r="M304" s="95" t="s">
        <v>3</v>
      </c>
      <c r="N304" s="95" t="s">
        <v>4</v>
      </c>
    </row>
    <row r="305" spans="2:14" x14ac:dyDescent="0.2">
      <c r="B305" s="95" t="s">
        <v>162</v>
      </c>
      <c r="C305" s="95">
        <v>750</v>
      </c>
      <c r="D305" s="95" t="s">
        <v>6</v>
      </c>
      <c r="E305" s="119">
        <f>E297</f>
        <v>800</v>
      </c>
      <c r="F305" s="107">
        <f>SUM(E305*C305)</f>
        <v>600000</v>
      </c>
      <c r="J305" s="95" t="s">
        <v>163</v>
      </c>
      <c r="K305" s="95">
        <v>700</v>
      </c>
      <c r="L305" s="95" t="s">
        <v>6</v>
      </c>
      <c r="M305" s="119">
        <f>M297</f>
        <v>1035.7142857142901</v>
      </c>
      <c r="N305" s="107">
        <f>SUM(M305*K305)</f>
        <v>725000</v>
      </c>
    </row>
    <row r="306" spans="2:14" x14ac:dyDescent="0.2">
      <c r="B306" s="97" t="s">
        <v>20</v>
      </c>
      <c r="C306" s="97">
        <v>750</v>
      </c>
      <c r="D306" s="97" t="s">
        <v>6</v>
      </c>
      <c r="E306" s="94"/>
      <c r="F306" s="162"/>
      <c r="J306" s="97" t="s">
        <v>20</v>
      </c>
      <c r="K306" s="97">
        <v>700</v>
      </c>
      <c r="L306" s="97" t="s">
        <v>6</v>
      </c>
      <c r="M306" s="94"/>
      <c r="N306" s="162"/>
    </row>
    <row r="307" spans="2:14" x14ac:dyDescent="0.2">
      <c r="B307" s="217" t="s">
        <v>28</v>
      </c>
      <c r="C307" s="218"/>
      <c r="D307" s="218"/>
      <c r="E307" s="219"/>
      <c r="F307" s="98">
        <f>F305</f>
        <v>600000</v>
      </c>
      <c r="J307" s="217" t="s">
        <v>28</v>
      </c>
      <c r="K307" s="218"/>
      <c r="L307" s="218"/>
      <c r="M307" s="219"/>
      <c r="N307" s="98">
        <f>N305</f>
        <v>725000</v>
      </c>
    </row>
    <row r="308" spans="2:14" x14ac:dyDescent="0.2">
      <c r="B308" s="221" t="s">
        <v>31</v>
      </c>
      <c r="C308" s="222"/>
      <c r="D308" s="222"/>
      <c r="E308" s="223"/>
      <c r="F308" s="99">
        <f>SUM(F307/F309)</f>
        <v>0.46153846153846201</v>
      </c>
      <c r="J308" s="221" t="s">
        <v>31</v>
      </c>
      <c r="K308" s="222"/>
      <c r="L308" s="222"/>
      <c r="M308" s="223"/>
      <c r="N308" s="99">
        <f>SUM(N307/N309)</f>
        <v>0.453125</v>
      </c>
    </row>
    <row r="309" spans="2:14" x14ac:dyDescent="0.2">
      <c r="B309" s="221" t="s">
        <v>32</v>
      </c>
      <c r="C309" s="222"/>
      <c r="D309" s="222"/>
      <c r="E309" s="223"/>
      <c r="F309" s="100">
        <v>1300000</v>
      </c>
      <c r="J309" s="221" t="s">
        <v>32</v>
      </c>
      <c r="K309" s="222"/>
      <c r="L309" s="222"/>
      <c r="M309" s="223"/>
      <c r="N309" s="100">
        <v>1600000</v>
      </c>
    </row>
    <row r="311" spans="2:14" x14ac:dyDescent="0.2">
      <c r="B311" s="227" t="s">
        <v>166</v>
      </c>
      <c r="C311" s="228"/>
      <c r="D311" s="228"/>
      <c r="E311" s="228"/>
      <c r="F311" s="229"/>
      <c r="J311" s="227" t="s">
        <v>167</v>
      </c>
      <c r="K311" s="228"/>
      <c r="L311" s="228"/>
      <c r="M311" s="228"/>
      <c r="N311" s="229"/>
    </row>
    <row r="312" spans="2:14" x14ac:dyDescent="0.2">
      <c r="B312" s="95" t="s">
        <v>1</v>
      </c>
      <c r="C312" s="245" t="s">
        <v>2</v>
      </c>
      <c r="D312" s="229"/>
      <c r="E312" s="95" t="s">
        <v>3</v>
      </c>
      <c r="F312" s="95" t="s">
        <v>4</v>
      </c>
      <c r="J312" s="95" t="s">
        <v>1</v>
      </c>
      <c r="K312" s="245" t="s">
        <v>2</v>
      </c>
      <c r="L312" s="229"/>
      <c r="M312" s="95" t="s">
        <v>3</v>
      </c>
      <c r="N312" s="95" t="s">
        <v>4</v>
      </c>
    </row>
    <row r="313" spans="2:14" x14ac:dyDescent="0.2">
      <c r="B313" s="95" t="s">
        <v>168</v>
      </c>
      <c r="C313" s="95">
        <v>40</v>
      </c>
      <c r="D313" s="95" t="s">
        <v>6</v>
      </c>
      <c r="E313" s="119">
        <f>'SUPPLIER &amp; PRICE'!F77</f>
        <v>833.33333333333303</v>
      </c>
      <c r="F313" s="107">
        <f>SUM(E313*C313)</f>
        <v>33333.333333333299</v>
      </c>
      <c r="J313" s="95" t="s">
        <v>169</v>
      </c>
      <c r="K313" s="95">
        <v>40</v>
      </c>
      <c r="L313" s="95" t="s">
        <v>6</v>
      </c>
      <c r="M313" s="119">
        <f>'SUPPLIER &amp; PRICE'!F83</f>
        <v>1321.42857142857</v>
      </c>
      <c r="N313" s="107">
        <f>SUM(M313*K313)</f>
        <v>52857.142857142899</v>
      </c>
    </row>
    <row r="314" spans="2:14" x14ac:dyDescent="0.2">
      <c r="B314" s="97" t="s">
        <v>20</v>
      </c>
      <c r="C314" s="97">
        <v>40</v>
      </c>
      <c r="D314" s="97" t="s">
        <v>6</v>
      </c>
      <c r="E314" s="94"/>
      <c r="F314" s="162"/>
      <c r="J314" s="97" t="s">
        <v>20</v>
      </c>
      <c r="K314" s="97">
        <v>40</v>
      </c>
      <c r="L314" s="97" t="s">
        <v>6</v>
      </c>
      <c r="M314" s="94"/>
      <c r="N314" s="162"/>
    </row>
    <row r="315" spans="2:14" x14ac:dyDescent="0.2">
      <c r="B315" s="217" t="s">
        <v>28</v>
      </c>
      <c r="C315" s="218"/>
      <c r="D315" s="218"/>
      <c r="E315" s="219"/>
      <c r="F315" s="98">
        <f>F313</f>
        <v>33333.333333333299</v>
      </c>
      <c r="J315" s="217" t="s">
        <v>28</v>
      </c>
      <c r="K315" s="218"/>
      <c r="L315" s="218"/>
      <c r="M315" s="219"/>
      <c r="N315" s="98">
        <f>N313</f>
        <v>52857.142857142899</v>
      </c>
    </row>
    <row r="316" spans="2:14" x14ac:dyDescent="0.2">
      <c r="B316" s="221" t="s">
        <v>31</v>
      </c>
      <c r="C316" s="222"/>
      <c r="D316" s="222"/>
      <c r="E316" s="223"/>
      <c r="F316" s="99">
        <f>SUM(F315/F317)</f>
        <v>0.30303030303030298</v>
      </c>
      <c r="J316" s="221" t="s">
        <v>31</v>
      </c>
      <c r="K316" s="222"/>
      <c r="L316" s="222"/>
      <c r="M316" s="223"/>
      <c r="N316" s="99">
        <f>SUM(N315/N317)</f>
        <v>0.310924369747899</v>
      </c>
    </row>
    <row r="317" spans="2:14" x14ac:dyDescent="0.2">
      <c r="B317" s="221" t="s">
        <v>32</v>
      </c>
      <c r="C317" s="222"/>
      <c r="D317" s="222"/>
      <c r="E317" s="223"/>
      <c r="F317" s="100">
        <v>110000</v>
      </c>
      <c r="J317" s="221" t="s">
        <v>32</v>
      </c>
      <c r="K317" s="222"/>
      <c r="L317" s="222"/>
      <c r="M317" s="223"/>
      <c r="N317" s="100">
        <v>170000</v>
      </c>
    </row>
    <row r="319" spans="2:14" x14ac:dyDescent="0.2">
      <c r="B319" s="227" t="s">
        <v>170</v>
      </c>
      <c r="C319" s="228"/>
      <c r="D319" s="228"/>
      <c r="E319" s="228"/>
      <c r="F319" s="229"/>
      <c r="J319" s="227" t="s">
        <v>171</v>
      </c>
      <c r="K319" s="228"/>
      <c r="L319" s="228"/>
      <c r="M319" s="228"/>
      <c r="N319" s="229"/>
    </row>
    <row r="320" spans="2:14" x14ac:dyDescent="0.2">
      <c r="B320" s="95" t="s">
        <v>1</v>
      </c>
      <c r="C320" s="245" t="s">
        <v>2</v>
      </c>
      <c r="D320" s="229"/>
      <c r="E320" s="95" t="s">
        <v>3</v>
      </c>
      <c r="F320" s="95" t="s">
        <v>4</v>
      </c>
      <c r="J320" s="95" t="s">
        <v>1</v>
      </c>
      <c r="K320" s="245" t="s">
        <v>2</v>
      </c>
      <c r="L320" s="229"/>
      <c r="M320" s="95" t="s">
        <v>3</v>
      </c>
      <c r="N320" s="95" t="s">
        <v>4</v>
      </c>
    </row>
    <row r="321" spans="2:14" x14ac:dyDescent="0.2">
      <c r="B321" s="95" t="s">
        <v>168</v>
      </c>
      <c r="C321" s="95">
        <v>750</v>
      </c>
      <c r="D321" s="95" t="s">
        <v>6</v>
      </c>
      <c r="E321" s="119">
        <f>E313</f>
        <v>833.33333333333303</v>
      </c>
      <c r="F321" s="107">
        <f>SUM(E321*C321)</f>
        <v>625000</v>
      </c>
      <c r="J321" s="95" t="s">
        <v>169</v>
      </c>
      <c r="K321" s="95">
        <v>700</v>
      </c>
      <c r="L321" s="95" t="s">
        <v>6</v>
      </c>
      <c r="M321" s="119">
        <f>M313</f>
        <v>1321.42857142857</v>
      </c>
      <c r="N321" s="107">
        <f>SUM(M321*K321)</f>
        <v>925000</v>
      </c>
    </row>
    <row r="322" spans="2:14" x14ac:dyDescent="0.2">
      <c r="B322" s="97" t="s">
        <v>20</v>
      </c>
      <c r="C322" s="97">
        <v>750</v>
      </c>
      <c r="D322" s="97" t="s">
        <v>6</v>
      </c>
      <c r="E322" s="94"/>
      <c r="F322" s="162"/>
      <c r="J322" s="97" t="s">
        <v>20</v>
      </c>
      <c r="K322" s="97">
        <v>700</v>
      </c>
      <c r="L322" s="97" t="s">
        <v>6</v>
      </c>
      <c r="M322" s="94"/>
      <c r="N322" s="162"/>
    </row>
    <row r="323" spans="2:14" x14ac:dyDescent="0.2">
      <c r="B323" s="217" t="s">
        <v>28</v>
      </c>
      <c r="C323" s="218"/>
      <c r="D323" s="218"/>
      <c r="E323" s="219"/>
      <c r="F323" s="98">
        <f>F321</f>
        <v>625000</v>
      </c>
      <c r="J323" s="217" t="s">
        <v>28</v>
      </c>
      <c r="K323" s="218"/>
      <c r="L323" s="218"/>
      <c r="M323" s="219"/>
      <c r="N323" s="98">
        <f>N321</f>
        <v>925000</v>
      </c>
    </row>
    <row r="324" spans="2:14" x14ac:dyDescent="0.2">
      <c r="B324" s="221" t="s">
        <v>31</v>
      </c>
      <c r="C324" s="222"/>
      <c r="D324" s="222"/>
      <c r="E324" s="223"/>
      <c r="F324" s="99">
        <f>SUM(F323/F325)</f>
        <v>0.44642857142857101</v>
      </c>
      <c r="J324" s="221" t="s">
        <v>31</v>
      </c>
      <c r="K324" s="222"/>
      <c r="L324" s="222"/>
      <c r="M324" s="223"/>
      <c r="N324" s="99">
        <f>SUM(N323/N325)</f>
        <v>0.46250000000000002</v>
      </c>
    </row>
    <row r="325" spans="2:14" x14ac:dyDescent="0.2">
      <c r="B325" s="221" t="s">
        <v>32</v>
      </c>
      <c r="C325" s="222"/>
      <c r="D325" s="222"/>
      <c r="E325" s="223"/>
      <c r="F325" s="100">
        <v>1400000</v>
      </c>
      <c r="J325" s="221" t="s">
        <v>32</v>
      </c>
      <c r="K325" s="222"/>
      <c r="L325" s="222"/>
      <c r="M325" s="223"/>
      <c r="N325" s="100">
        <v>2000000</v>
      </c>
    </row>
    <row r="327" spans="2:14" x14ac:dyDescent="0.2">
      <c r="B327" s="227" t="s">
        <v>172</v>
      </c>
      <c r="C327" s="228"/>
      <c r="D327" s="228"/>
      <c r="E327" s="228"/>
      <c r="F327" s="229"/>
      <c r="J327" s="227" t="s">
        <v>173</v>
      </c>
      <c r="K327" s="228"/>
      <c r="L327" s="228"/>
      <c r="M327" s="228"/>
      <c r="N327" s="229"/>
    </row>
    <row r="328" spans="2:14" x14ac:dyDescent="0.2">
      <c r="B328" s="95" t="s">
        <v>1</v>
      </c>
      <c r="C328" s="245" t="s">
        <v>2</v>
      </c>
      <c r="D328" s="229"/>
      <c r="E328" s="95" t="s">
        <v>3</v>
      </c>
      <c r="F328" s="95" t="s">
        <v>4</v>
      </c>
      <c r="J328" s="95" t="s">
        <v>1</v>
      </c>
      <c r="K328" s="245" t="s">
        <v>2</v>
      </c>
      <c r="L328" s="229"/>
      <c r="M328" s="95" t="s">
        <v>3</v>
      </c>
      <c r="N328" s="95" t="s">
        <v>4</v>
      </c>
    </row>
    <row r="329" spans="2:14" x14ac:dyDescent="0.2">
      <c r="B329" s="95" t="s">
        <v>174</v>
      </c>
      <c r="C329" s="95">
        <v>40</v>
      </c>
      <c r="D329" s="95" t="s">
        <v>6</v>
      </c>
      <c r="E329" s="119">
        <f>'SUPPLIER &amp; PRICE'!F105</f>
        <v>1233.3333333333301</v>
      </c>
      <c r="F329" s="107">
        <f>SUM(E329*C329)</f>
        <v>49333.333333333299</v>
      </c>
      <c r="J329" s="95" t="s">
        <v>174</v>
      </c>
      <c r="K329" s="95">
        <v>750</v>
      </c>
      <c r="L329" s="95" t="s">
        <v>6</v>
      </c>
      <c r="M329" s="119">
        <f>E329</f>
        <v>1233.3333333333301</v>
      </c>
      <c r="N329" s="107">
        <f>SUM(M329*K329)</f>
        <v>925000</v>
      </c>
    </row>
    <row r="330" spans="2:14" x14ac:dyDescent="0.2">
      <c r="B330" s="97" t="s">
        <v>20</v>
      </c>
      <c r="C330" s="97">
        <v>40</v>
      </c>
      <c r="D330" s="97" t="s">
        <v>6</v>
      </c>
      <c r="E330" s="94"/>
      <c r="F330" s="162"/>
      <c r="J330" s="97" t="s">
        <v>20</v>
      </c>
      <c r="K330" s="97">
        <v>750</v>
      </c>
      <c r="L330" s="97" t="s">
        <v>6</v>
      </c>
      <c r="M330" s="94"/>
      <c r="N330" s="162"/>
    </row>
    <row r="331" spans="2:14" x14ac:dyDescent="0.2">
      <c r="B331" s="217" t="s">
        <v>28</v>
      </c>
      <c r="C331" s="218"/>
      <c r="D331" s="218"/>
      <c r="E331" s="219"/>
      <c r="F331" s="98">
        <f>F329</f>
        <v>49333.333333333299</v>
      </c>
      <c r="J331" s="217" t="s">
        <v>28</v>
      </c>
      <c r="K331" s="218"/>
      <c r="L331" s="218"/>
      <c r="M331" s="219"/>
      <c r="N331" s="98">
        <f>N329</f>
        <v>925000</v>
      </c>
    </row>
    <row r="332" spans="2:14" x14ac:dyDescent="0.2">
      <c r="B332" s="221" t="s">
        <v>31</v>
      </c>
      <c r="C332" s="222"/>
      <c r="D332" s="222"/>
      <c r="E332" s="223"/>
      <c r="F332" s="99">
        <f>SUM(F331/F333)</f>
        <v>0.30833333333333302</v>
      </c>
      <c r="J332" s="221" t="s">
        <v>31</v>
      </c>
      <c r="K332" s="222"/>
      <c r="L332" s="222"/>
      <c r="M332" s="223"/>
      <c r="N332" s="99">
        <f>SUM(N331/N333)</f>
        <v>0.46250000000000002</v>
      </c>
    </row>
    <row r="333" spans="2:14" x14ac:dyDescent="0.2">
      <c r="B333" s="221" t="s">
        <v>32</v>
      </c>
      <c r="C333" s="222"/>
      <c r="D333" s="222"/>
      <c r="E333" s="223"/>
      <c r="F333" s="100">
        <v>160000</v>
      </c>
      <c r="J333" s="221" t="s">
        <v>32</v>
      </c>
      <c r="K333" s="222"/>
      <c r="L333" s="222"/>
      <c r="M333" s="223"/>
      <c r="N333" s="100">
        <v>2000000</v>
      </c>
    </row>
    <row r="334" spans="2:14" x14ac:dyDescent="0.2">
      <c r="B334" s="168"/>
      <c r="C334" s="168"/>
      <c r="D334" s="168"/>
      <c r="E334" s="168"/>
      <c r="F334" s="2"/>
      <c r="J334" s="168"/>
      <c r="K334" s="168"/>
      <c r="L334" s="168"/>
      <c r="M334" s="168"/>
      <c r="N334" s="2"/>
    </row>
    <row r="335" spans="2:14" x14ac:dyDescent="0.2">
      <c r="B335" s="227" t="s">
        <v>175</v>
      </c>
      <c r="C335" s="228"/>
      <c r="D335" s="228"/>
      <c r="E335" s="228"/>
      <c r="F335" s="229"/>
      <c r="J335" s="235" t="s">
        <v>176</v>
      </c>
      <c r="K335" s="246"/>
      <c r="L335" s="246"/>
      <c r="M335" s="246"/>
      <c r="N335" s="247"/>
    </row>
    <row r="336" spans="2:14" x14ac:dyDescent="0.2">
      <c r="B336" s="95" t="s">
        <v>1</v>
      </c>
      <c r="C336" s="245" t="s">
        <v>2</v>
      </c>
      <c r="D336" s="229"/>
      <c r="E336" s="95" t="s">
        <v>3</v>
      </c>
      <c r="F336" s="95" t="s">
        <v>4</v>
      </c>
      <c r="J336" s="74" t="s">
        <v>1</v>
      </c>
      <c r="K336" s="248" t="s">
        <v>2</v>
      </c>
      <c r="L336" s="249"/>
      <c r="M336" s="74" t="s">
        <v>3</v>
      </c>
      <c r="N336" s="74" t="s">
        <v>4</v>
      </c>
    </row>
    <row r="337" spans="2:14" x14ac:dyDescent="0.2">
      <c r="B337" s="95" t="s">
        <v>177</v>
      </c>
      <c r="C337" s="95">
        <v>40</v>
      </c>
      <c r="D337" s="95" t="s">
        <v>6</v>
      </c>
      <c r="E337" s="119">
        <f>'SUPPLIER &amp; PRICE'!F101</f>
        <v>446.66666666666703</v>
      </c>
      <c r="F337" s="107">
        <f>SUM(E337*C337)</f>
        <v>17866.666666666701</v>
      </c>
      <c r="J337" s="95" t="s">
        <v>178</v>
      </c>
      <c r="K337" s="95">
        <v>40</v>
      </c>
      <c r="L337" s="205" t="s">
        <v>6</v>
      </c>
      <c r="M337" s="206">
        <f>'SUPPLIER &amp; PRICE'!F87</f>
        <v>1140</v>
      </c>
      <c r="N337" s="207">
        <f>SUM(M337*K337)</f>
        <v>45600</v>
      </c>
    </row>
    <row r="338" spans="2:14" x14ac:dyDescent="0.2">
      <c r="B338" s="97" t="s">
        <v>20</v>
      </c>
      <c r="C338" s="97">
        <v>40</v>
      </c>
      <c r="D338" s="97" t="s">
        <v>6</v>
      </c>
      <c r="E338" s="94"/>
      <c r="F338" s="162"/>
      <c r="J338" s="97" t="s">
        <v>20</v>
      </c>
      <c r="K338" s="97">
        <v>40</v>
      </c>
      <c r="L338" s="97" t="s">
        <v>6</v>
      </c>
      <c r="M338" s="208"/>
      <c r="N338" s="209"/>
    </row>
    <row r="339" spans="2:14" x14ac:dyDescent="0.2">
      <c r="B339" s="217" t="s">
        <v>28</v>
      </c>
      <c r="C339" s="218"/>
      <c r="D339" s="218"/>
      <c r="E339" s="219"/>
      <c r="F339" s="98">
        <f>F337</f>
        <v>17866.666666666701</v>
      </c>
      <c r="J339" s="217" t="s">
        <v>28</v>
      </c>
      <c r="K339" s="218"/>
      <c r="L339" s="218"/>
      <c r="M339" s="219"/>
      <c r="N339" s="98">
        <f>N337</f>
        <v>45600</v>
      </c>
    </row>
    <row r="340" spans="2:14" x14ac:dyDescent="0.2">
      <c r="B340" s="221" t="s">
        <v>31</v>
      </c>
      <c r="C340" s="222"/>
      <c r="D340" s="222"/>
      <c r="E340" s="223"/>
      <c r="F340" s="99">
        <f>SUM(F339/F341)</f>
        <v>0.14888888888888899</v>
      </c>
      <c r="J340" s="221" t="s">
        <v>31</v>
      </c>
      <c r="K340" s="222"/>
      <c r="L340" s="222"/>
      <c r="M340" s="223"/>
      <c r="N340" s="99">
        <f>SUM(N339/N341)</f>
        <v>0.38</v>
      </c>
    </row>
    <row r="341" spans="2:14" x14ac:dyDescent="0.2">
      <c r="B341" s="221" t="s">
        <v>32</v>
      </c>
      <c r="C341" s="222"/>
      <c r="D341" s="222"/>
      <c r="E341" s="223"/>
      <c r="F341" s="100">
        <v>120000</v>
      </c>
      <c r="J341" s="221" t="s">
        <v>32</v>
      </c>
      <c r="K341" s="222"/>
      <c r="L341" s="222"/>
      <c r="M341" s="223"/>
      <c r="N341" s="100">
        <v>120000</v>
      </c>
    </row>
    <row r="342" spans="2:14" x14ac:dyDescent="0.2">
      <c r="J342" s="168"/>
      <c r="K342" s="168"/>
      <c r="L342" s="168"/>
      <c r="M342" s="168"/>
      <c r="N342" s="2"/>
    </row>
    <row r="343" spans="2:14" x14ac:dyDescent="0.2">
      <c r="B343" s="227" t="s">
        <v>179</v>
      </c>
      <c r="C343" s="228"/>
      <c r="D343" s="228"/>
      <c r="E343" s="228"/>
      <c r="F343" s="229"/>
      <c r="J343" s="235" t="s">
        <v>180</v>
      </c>
      <c r="K343" s="246"/>
      <c r="L343" s="246"/>
      <c r="M343" s="246"/>
      <c r="N343" s="247"/>
    </row>
    <row r="344" spans="2:14" x14ac:dyDescent="0.2">
      <c r="B344" s="95" t="s">
        <v>1</v>
      </c>
      <c r="C344" s="245" t="s">
        <v>2</v>
      </c>
      <c r="D344" s="229"/>
      <c r="E344" s="95" t="s">
        <v>3</v>
      </c>
      <c r="F344" s="95" t="s">
        <v>4</v>
      </c>
      <c r="J344" s="74" t="s">
        <v>1</v>
      </c>
      <c r="K344" s="248" t="s">
        <v>2</v>
      </c>
      <c r="L344" s="249"/>
      <c r="M344" s="74" t="s">
        <v>3</v>
      </c>
      <c r="N344" s="74" t="s">
        <v>4</v>
      </c>
    </row>
    <row r="345" spans="2:14" x14ac:dyDescent="0.2">
      <c r="B345" s="95" t="s">
        <v>181</v>
      </c>
      <c r="C345" s="95">
        <v>750</v>
      </c>
      <c r="D345" s="95" t="s">
        <v>6</v>
      </c>
      <c r="E345" s="119">
        <f>E337</f>
        <v>446.66666666666703</v>
      </c>
      <c r="F345" s="107">
        <f>SUM(E345*C345)</f>
        <v>335000</v>
      </c>
      <c r="J345" s="95" t="s">
        <v>178</v>
      </c>
      <c r="K345" s="95">
        <v>750</v>
      </c>
      <c r="L345" s="205" t="s">
        <v>6</v>
      </c>
      <c r="M345" s="206">
        <f>M337</f>
        <v>1140</v>
      </c>
      <c r="N345" s="207">
        <f>SUM(M345*K345)</f>
        <v>855000</v>
      </c>
    </row>
    <row r="346" spans="2:14" x14ac:dyDescent="0.2">
      <c r="B346" s="97" t="s">
        <v>20</v>
      </c>
      <c r="C346" s="97">
        <v>750</v>
      </c>
      <c r="D346" s="97" t="s">
        <v>6</v>
      </c>
      <c r="E346" s="94"/>
      <c r="F346" s="162"/>
      <c r="J346" s="97" t="s">
        <v>20</v>
      </c>
      <c r="K346" s="97">
        <v>40</v>
      </c>
      <c r="L346" s="97" t="s">
        <v>6</v>
      </c>
      <c r="M346" s="208"/>
      <c r="N346" s="209"/>
    </row>
    <row r="347" spans="2:14" x14ac:dyDescent="0.2">
      <c r="B347" s="217" t="s">
        <v>28</v>
      </c>
      <c r="C347" s="218"/>
      <c r="D347" s="218"/>
      <c r="E347" s="219"/>
      <c r="F347" s="98">
        <f>F345</f>
        <v>335000</v>
      </c>
      <c r="J347" s="217" t="s">
        <v>28</v>
      </c>
      <c r="K347" s="218"/>
      <c r="L347" s="218"/>
      <c r="M347" s="219"/>
      <c r="N347" s="98">
        <f>N345</f>
        <v>855000</v>
      </c>
    </row>
    <row r="348" spans="2:14" x14ac:dyDescent="0.2">
      <c r="B348" s="221" t="s">
        <v>31</v>
      </c>
      <c r="C348" s="222"/>
      <c r="D348" s="222"/>
      <c r="E348" s="223"/>
      <c r="F348" s="99">
        <f>SUM(F347/F349)</f>
        <v>0.37222222222222201</v>
      </c>
      <c r="J348" s="221" t="s">
        <v>31</v>
      </c>
      <c r="K348" s="222"/>
      <c r="L348" s="222"/>
      <c r="M348" s="223"/>
      <c r="N348" s="99">
        <f>SUM(N347/N349)</f>
        <v>0.47499999999999998</v>
      </c>
    </row>
    <row r="349" spans="2:14" x14ac:dyDescent="0.2">
      <c r="B349" s="221" t="s">
        <v>32</v>
      </c>
      <c r="C349" s="222"/>
      <c r="D349" s="222"/>
      <c r="E349" s="223"/>
      <c r="F349" s="100">
        <v>900000</v>
      </c>
      <c r="J349" s="221" t="s">
        <v>32</v>
      </c>
      <c r="K349" s="222"/>
      <c r="L349" s="222"/>
      <c r="M349" s="223"/>
      <c r="N349" s="100">
        <v>1800000</v>
      </c>
    </row>
    <row r="350" spans="2:14" x14ac:dyDescent="0.2">
      <c r="B350" s="168"/>
      <c r="C350" s="168"/>
      <c r="D350" s="168"/>
      <c r="E350" s="168"/>
      <c r="F350" s="2"/>
      <c r="J350" s="168"/>
      <c r="K350" s="168"/>
      <c r="L350" s="168"/>
      <c r="M350" s="168"/>
      <c r="N350" s="2"/>
    </row>
    <row r="351" spans="2:14" x14ac:dyDescent="0.2">
      <c r="B351" s="168"/>
      <c r="C351" s="168"/>
      <c r="D351" s="168"/>
      <c r="E351" s="168"/>
      <c r="F351" s="2"/>
      <c r="J351" s="168"/>
      <c r="K351" s="168"/>
      <c r="L351" s="168"/>
      <c r="M351" s="168"/>
      <c r="N351" s="2"/>
    </row>
    <row r="352" spans="2:14" x14ac:dyDescent="0.2">
      <c r="B352" s="168"/>
      <c r="C352" s="168"/>
      <c r="D352" s="168"/>
      <c r="E352" s="168"/>
      <c r="F352" s="2"/>
      <c r="J352" s="168"/>
      <c r="K352" s="168"/>
      <c r="L352" s="168"/>
      <c r="M352" s="168"/>
      <c r="N352" s="2"/>
    </row>
    <row r="353" spans="2:20" x14ac:dyDescent="0.2">
      <c r="B353" s="168"/>
      <c r="C353" s="168"/>
      <c r="D353" s="168"/>
      <c r="E353" s="168"/>
      <c r="F353" s="2"/>
      <c r="J353" s="168"/>
      <c r="K353" s="168"/>
      <c r="L353" s="168"/>
      <c r="M353" s="168"/>
      <c r="N353" s="2"/>
    </row>
    <row r="355" spans="2:20" x14ac:dyDescent="0.2">
      <c r="B355" s="253" t="s">
        <v>182</v>
      </c>
      <c r="C355" s="253"/>
      <c r="D355" s="253"/>
      <c r="E355" s="253"/>
      <c r="F355" s="253"/>
      <c r="G355" s="253"/>
      <c r="H355" s="253"/>
      <c r="I355" s="253"/>
      <c r="J355" s="253"/>
      <c r="K355" s="253"/>
      <c r="L355" s="253"/>
      <c r="M355" s="253"/>
      <c r="N355" s="253"/>
      <c r="O355" s="253"/>
    </row>
    <row r="356" spans="2:20" x14ac:dyDescent="0.2">
      <c r="B356" s="253"/>
      <c r="C356" s="253"/>
      <c r="D356" s="253"/>
      <c r="E356" s="253"/>
      <c r="F356" s="253"/>
      <c r="G356" s="253"/>
      <c r="H356" s="253"/>
      <c r="I356" s="253"/>
      <c r="J356" s="253"/>
      <c r="K356" s="253"/>
      <c r="L356" s="253"/>
      <c r="M356" s="253"/>
      <c r="N356" s="253"/>
      <c r="O356" s="253"/>
    </row>
    <row r="357" spans="2:20" x14ac:dyDescent="0.2">
      <c r="B357" s="253"/>
      <c r="C357" s="253"/>
      <c r="D357" s="253"/>
      <c r="E357" s="253"/>
      <c r="F357" s="253"/>
      <c r="G357" s="253"/>
      <c r="H357" s="253"/>
      <c r="I357" s="253"/>
      <c r="J357" s="253"/>
      <c r="K357" s="253"/>
      <c r="L357" s="253"/>
      <c r="M357" s="253"/>
      <c r="N357" s="253"/>
      <c r="O357" s="253"/>
    </row>
    <row r="359" spans="2:20" x14ac:dyDescent="0.2">
      <c r="B359" s="227" t="s">
        <v>183</v>
      </c>
      <c r="C359" s="228"/>
      <c r="D359" s="228"/>
      <c r="E359" s="228"/>
      <c r="F359" s="229"/>
      <c r="J359" s="227" t="s">
        <v>184</v>
      </c>
      <c r="K359" s="228"/>
      <c r="L359" s="228"/>
      <c r="M359" s="228"/>
      <c r="N359" s="229"/>
      <c r="P359" s="227" t="s">
        <v>185</v>
      </c>
      <c r="Q359" s="228"/>
      <c r="R359" s="228"/>
      <c r="S359" s="228"/>
      <c r="T359" s="229"/>
    </row>
    <row r="360" spans="2:20" x14ac:dyDescent="0.2">
      <c r="B360" s="95" t="s">
        <v>1</v>
      </c>
      <c r="C360" s="245" t="s">
        <v>2</v>
      </c>
      <c r="D360" s="229"/>
      <c r="E360" s="95" t="s">
        <v>3</v>
      </c>
      <c r="F360" s="95" t="s">
        <v>4</v>
      </c>
      <c r="J360" s="95" t="s">
        <v>1</v>
      </c>
      <c r="K360" s="245" t="s">
        <v>2</v>
      </c>
      <c r="L360" s="229"/>
      <c r="M360" s="95" t="s">
        <v>3</v>
      </c>
      <c r="N360" s="95" t="s">
        <v>4</v>
      </c>
      <c r="P360" s="95" t="s">
        <v>1</v>
      </c>
      <c r="Q360" s="245" t="s">
        <v>2</v>
      </c>
      <c r="R360" s="229"/>
      <c r="S360" s="95" t="s">
        <v>3</v>
      </c>
      <c r="T360" s="95" t="s">
        <v>4</v>
      </c>
    </row>
    <row r="361" spans="2:20" x14ac:dyDescent="0.2">
      <c r="B361" s="95" t="s">
        <v>183</v>
      </c>
      <c r="C361" s="95">
        <v>1</v>
      </c>
      <c r="D361" s="95" t="s">
        <v>186</v>
      </c>
      <c r="E361" s="119">
        <f>'SUPPLIER &amp; PRICE'!L11</f>
        <v>49583.333333333299</v>
      </c>
      <c r="F361" s="119">
        <f>SUM(E361*C361)</f>
        <v>49583.333333333299</v>
      </c>
      <c r="J361" s="95" t="s">
        <v>184</v>
      </c>
      <c r="K361" s="95">
        <v>1</v>
      </c>
      <c r="L361" s="95" t="s">
        <v>186</v>
      </c>
      <c r="M361" s="119">
        <f>'SUPPLIER &amp; PRICE'!F67</f>
        <v>18333.333333333299</v>
      </c>
      <c r="N361" s="119">
        <f>SUM(M361*K361)</f>
        <v>18333.333333333299</v>
      </c>
      <c r="P361" s="95" t="s">
        <v>185</v>
      </c>
      <c r="Q361" s="95">
        <v>1</v>
      </c>
      <c r="R361" s="95" t="s">
        <v>186</v>
      </c>
      <c r="S361" s="119">
        <f>'SUPPLIER &amp; PRICE'!L13</f>
        <v>31250</v>
      </c>
      <c r="T361" s="119">
        <f>SUM(S361*Q361)</f>
        <v>31250</v>
      </c>
    </row>
    <row r="362" spans="2:20" x14ac:dyDescent="0.2">
      <c r="B362" s="97" t="s">
        <v>20</v>
      </c>
      <c r="C362" s="97">
        <v>1</v>
      </c>
      <c r="D362" s="97" t="s">
        <v>186</v>
      </c>
      <c r="E362" s="94"/>
      <c r="F362" s="162"/>
      <c r="J362" s="97" t="s">
        <v>20</v>
      </c>
      <c r="K362" s="95">
        <v>1</v>
      </c>
      <c r="L362" s="95" t="s">
        <v>186</v>
      </c>
      <c r="M362" s="94"/>
      <c r="N362" s="162"/>
      <c r="P362" s="97" t="s">
        <v>20</v>
      </c>
      <c r="Q362" s="95">
        <v>1</v>
      </c>
      <c r="R362" s="95" t="s">
        <v>186</v>
      </c>
      <c r="S362" s="94"/>
      <c r="T362" s="162"/>
    </row>
    <row r="363" spans="2:20" x14ac:dyDescent="0.2">
      <c r="B363" s="217" t="s">
        <v>28</v>
      </c>
      <c r="C363" s="218"/>
      <c r="D363" s="218"/>
      <c r="E363" s="219"/>
      <c r="F363" s="98">
        <f>F361</f>
        <v>49583.333333333299</v>
      </c>
      <c r="J363" s="217" t="s">
        <v>28</v>
      </c>
      <c r="K363" s="218"/>
      <c r="L363" s="218"/>
      <c r="M363" s="219"/>
      <c r="N363" s="98">
        <f>N361</f>
        <v>18333.333333333299</v>
      </c>
      <c r="P363" s="217" t="s">
        <v>28</v>
      </c>
      <c r="Q363" s="218"/>
      <c r="R363" s="218"/>
      <c r="S363" s="219"/>
      <c r="T363" s="98">
        <f>T361</f>
        <v>31250</v>
      </c>
    </row>
    <row r="364" spans="2:20" x14ac:dyDescent="0.2">
      <c r="B364" s="221" t="s">
        <v>31</v>
      </c>
      <c r="C364" s="222"/>
      <c r="D364" s="222"/>
      <c r="E364" s="223"/>
      <c r="F364" s="99">
        <f>SUM(F363/F365)</f>
        <v>0.52192982456140302</v>
      </c>
      <c r="J364" s="221" t="s">
        <v>31</v>
      </c>
      <c r="K364" s="222"/>
      <c r="L364" s="222"/>
      <c r="M364" s="223"/>
      <c r="N364" s="99">
        <f>SUM(N363/N365)</f>
        <v>0.24444444444444399</v>
      </c>
      <c r="P364" s="221" t="s">
        <v>31</v>
      </c>
      <c r="Q364" s="222"/>
      <c r="R364" s="222"/>
      <c r="S364" s="223"/>
      <c r="T364" s="99">
        <f>SUM(T363/T365)</f>
        <v>0.390625</v>
      </c>
    </row>
    <row r="365" spans="2:20" x14ac:dyDescent="0.2">
      <c r="B365" s="221" t="s">
        <v>32</v>
      </c>
      <c r="C365" s="222"/>
      <c r="D365" s="222"/>
      <c r="E365" s="223"/>
      <c r="F365" s="100">
        <v>95000</v>
      </c>
      <c r="J365" s="221" t="s">
        <v>32</v>
      </c>
      <c r="K365" s="222"/>
      <c r="L365" s="222"/>
      <c r="M365" s="223"/>
      <c r="N365" s="100">
        <v>75000</v>
      </c>
      <c r="P365" s="221" t="s">
        <v>32</v>
      </c>
      <c r="Q365" s="222"/>
      <c r="R365" s="222"/>
      <c r="S365" s="223"/>
      <c r="T365" s="100">
        <v>80000</v>
      </c>
    </row>
    <row r="367" spans="2:20" x14ac:dyDescent="0.2">
      <c r="B367" s="227" t="s">
        <v>187</v>
      </c>
      <c r="C367" s="228"/>
      <c r="D367" s="228"/>
      <c r="E367" s="228"/>
      <c r="F367" s="229"/>
      <c r="J367" s="227" t="s">
        <v>188</v>
      </c>
      <c r="K367" s="228"/>
      <c r="L367" s="228"/>
      <c r="M367" s="228"/>
      <c r="N367" s="229"/>
    </row>
    <row r="368" spans="2:20" x14ac:dyDescent="0.2">
      <c r="B368" s="95" t="s">
        <v>1</v>
      </c>
      <c r="C368" s="245" t="s">
        <v>2</v>
      </c>
      <c r="D368" s="229"/>
      <c r="E368" s="95" t="s">
        <v>3</v>
      </c>
      <c r="F368" s="95" t="s">
        <v>4</v>
      </c>
      <c r="J368" s="95" t="s">
        <v>1</v>
      </c>
      <c r="K368" s="245" t="s">
        <v>2</v>
      </c>
      <c r="L368" s="229"/>
      <c r="M368" s="95" t="s">
        <v>3</v>
      </c>
      <c r="N368" s="95" t="s">
        <v>4</v>
      </c>
    </row>
    <row r="369" spans="2:14" x14ac:dyDescent="0.2">
      <c r="B369" s="95" t="s">
        <v>187</v>
      </c>
      <c r="C369" s="95">
        <v>1</v>
      </c>
      <c r="D369" s="95" t="s">
        <v>186</v>
      </c>
      <c r="E369" s="119">
        <f>'SUPPLIER &amp; PRICE'!L10</f>
        <v>35000</v>
      </c>
      <c r="F369" s="119">
        <f>SUM(E369*C369)</f>
        <v>35000</v>
      </c>
      <c r="J369" s="95" t="s">
        <v>188</v>
      </c>
      <c r="K369" s="95">
        <v>1</v>
      </c>
      <c r="L369" s="95" t="s">
        <v>186</v>
      </c>
      <c r="M369" s="119">
        <f>'SUPPLIER &amp; PRICE'!F70</f>
        <v>19791.666666666701</v>
      </c>
      <c r="N369" s="119">
        <f>SUM(M369*K369)</f>
        <v>19791.666666666701</v>
      </c>
    </row>
    <row r="370" spans="2:14" x14ac:dyDescent="0.2">
      <c r="B370" s="97" t="s">
        <v>20</v>
      </c>
      <c r="C370" s="95">
        <v>1</v>
      </c>
      <c r="D370" s="95" t="s">
        <v>186</v>
      </c>
      <c r="E370" s="94"/>
      <c r="F370" s="162"/>
      <c r="J370" s="97" t="s">
        <v>20</v>
      </c>
      <c r="K370" s="95">
        <v>1</v>
      </c>
      <c r="L370" s="95" t="s">
        <v>186</v>
      </c>
      <c r="M370" s="94"/>
      <c r="N370" s="162"/>
    </row>
    <row r="371" spans="2:14" x14ac:dyDescent="0.2">
      <c r="B371" s="217" t="s">
        <v>28</v>
      </c>
      <c r="C371" s="218"/>
      <c r="D371" s="218"/>
      <c r="E371" s="219"/>
      <c r="F371" s="98">
        <f>F369</f>
        <v>35000</v>
      </c>
      <c r="J371" s="217" t="s">
        <v>28</v>
      </c>
      <c r="K371" s="218"/>
      <c r="L371" s="218"/>
      <c r="M371" s="219"/>
      <c r="N371" s="98">
        <f>N369</f>
        <v>19791.666666666701</v>
      </c>
    </row>
    <row r="372" spans="2:14" x14ac:dyDescent="0.2">
      <c r="B372" s="221" t="s">
        <v>31</v>
      </c>
      <c r="C372" s="222"/>
      <c r="D372" s="222"/>
      <c r="E372" s="223"/>
      <c r="F372" s="99">
        <f>SUM(F371/F373)</f>
        <v>0.46666666666666701</v>
      </c>
      <c r="J372" s="221" t="s">
        <v>31</v>
      </c>
      <c r="K372" s="222"/>
      <c r="L372" s="222"/>
      <c r="M372" s="223"/>
      <c r="N372" s="99">
        <f>SUM(N371/N373)</f>
        <v>0.26388888888888901</v>
      </c>
    </row>
    <row r="373" spans="2:14" x14ac:dyDescent="0.2">
      <c r="B373" s="221" t="s">
        <v>32</v>
      </c>
      <c r="C373" s="222"/>
      <c r="D373" s="222"/>
      <c r="E373" s="223"/>
      <c r="F373" s="100">
        <v>75000</v>
      </c>
      <c r="J373" s="221" t="s">
        <v>32</v>
      </c>
      <c r="K373" s="222"/>
      <c r="L373" s="222"/>
      <c r="M373" s="223"/>
      <c r="N373" s="100">
        <v>75000</v>
      </c>
    </row>
  </sheetData>
  <mergeCells count="456">
    <mergeCell ref="B371:E371"/>
    <mergeCell ref="J371:M371"/>
    <mergeCell ref="B372:E372"/>
    <mergeCell ref="J372:M372"/>
    <mergeCell ref="B373:E373"/>
    <mergeCell ref="J373:M373"/>
    <mergeCell ref="B150:O152"/>
    <mergeCell ref="A1:T3"/>
    <mergeCell ref="B85:T87"/>
    <mergeCell ref="B241:O243"/>
    <mergeCell ref="B355:O357"/>
    <mergeCell ref="B364:E364"/>
    <mergeCell ref="J364:M364"/>
    <mergeCell ref="P364:S364"/>
    <mergeCell ref="B365:E365"/>
    <mergeCell ref="J365:M365"/>
    <mergeCell ref="P365:S365"/>
    <mergeCell ref="B367:F367"/>
    <mergeCell ref="J367:N367"/>
    <mergeCell ref="C368:D368"/>
    <mergeCell ref="K368:L368"/>
    <mergeCell ref="B359:F359"/>
    <mergeCell ref="J359:N359"/>
    <mergeCell ref="P359:T359"/>
    <mergeCell ref="C360:D360"/>
    <mergeCell ref="K360:L360"/>
    <mergeCell ref="Q360:R360"/>
    <mergeCell ref="B363:E363"/>
    <mergeCell ref="J363:M363"/>
    <mergeCell ref="P363:S363"/>
    <mergeCell ref="B343:F343"/>
    <mergeCell ref="J343:N343"/>
    <mergeCell ref="C344:D344"/>
    <mergeCell ref="K344:L344"/>
    <mergeCell ref="B347:E347"/>
    <mergeCell ref="J347:M347"/>
    <mergeCell ref="B348:E348"/>
    <mergeCell ref="J348:M348"/>
    <mergeCell ref="B349:E349"/>
    <mergeCell ref="J349:M349"/>
    <mergeCell ref="B335:F335"/>
    <mergeCell ref="J335:N335"/>
    <mergeCell ref="C336:D336"/>
    <mergeCell ref="K336:L336"/>
    <mergeCell ref="B339:E339"/>
    <mergeCell ref="J339:M339"/>
    <mergeCell ref="B340:E340"/>
    <mergeCell ref="J340:M340"/>
    <mergeCell ref="B341:E341"/>
    <mergeCell ref="J341:M341"/>
    <mergeCell ref="B327:F327"/>
    <mergeCell ref="J327:N327"/>
    <mergeCell ref="C328:D328"/>
    <mergeCell ref="K328:L328"/>
    <mergeCell ref="B331:E331"/>
    <mergeCell ref="J331:M331"/>
    <mergeCell ref="B332:E332"/>
    <mergeCell ref="J332:M332"/>
    <mergeCell ref="B333:E333"/>
    <mergeCell ref="J333:M333"/>
    <mergeCell ref="B319:F319"/>
    <mergeCell ref="J319:N319"/>
    <mergeCell ref="C320:D320"/>
    <mergeCell ref="K320:L320"/>
    <mergeCell ref="B323:E323"/>
    <mergeCell ref="J323:M323"/>
    <mergeCell ref="B324:E324"/>
    <mergeCell ref="J324:M324"/>
    <mergeCell ref="B325:E325"/>
    <mergeCell ref="J325:M325"/>
    <mergeCell ref="B311:F311"/>
    <mergeCell ref="J311:N311"/>
    <mergeCell ref="C312:D312"/>
    <mergeCell ref="K312:L312"/>
    <mergeCell ref="B315:E315"/>
    <mergeCell ref="J315:M315"/>
    <mergeCell ref="B316:E316"/>
    <mergeCell ref="J316:M316"/>
    <mergeCell ref="B317:E317"/>
    <mergeCell ref="J317:M317"/>
    <mergeCell ref="B303:F303"/>
    <mergeCell ref="J303:N303"/>
    <mergeCell ref="C304:D304"/>
    <mergeCell ref="K304:L304"/>
    <mergeCell ref="B307:E307"/>
    <mergeCell ref="J307:M307"/>
    <mergeCell ref="B308:E308"/>
    <mergeCell ref="J308:M308"/>
    <mergeCell ref="B309:E309"/>
    <mergeCell ref="J309:M309"/>
    <mergeCell ref="B295:F295"/>
    <mergeCell ref="J295:N295"/>
    <mergeCell ref="C296:D296"/>
    <mergeCell ref="K296:L296"/>
    <mergeCell ref="B299:E299"/>
    <mergeCell ref="J299:M299"/>
    <mergeCell ref="B300:E300"/>
    <mergeCell ref="J300:M300"/>
    <mergeCell ref="B301:E301"/>
    <mergeCell ref="J301:M301"/>
    <mergeCell ref="B287:F287"/>
    <mergeCell ref="J287:N287"/>
    <mergeCell ref="C288:D288"/>
    <mergeCell ref="K288:L288"/>
    <mergeCell ref="B291:E291"/>
    <mergeCell ref="J291:M291"/>
    <mergeCell ref="B292:E292"/>
    <mergeCell ref="J292:M292"/>
    <mergeCell ref="B293:E293"/>
    <mergeCell ref="J293:M293"/>
    <mergeCell ref="B279:F279"/>
    <mergeCell ref="J279:N279"/>
    <mergeCell ref="C280:D280"/>
    <mergeCell ref="K280:L280"/>
    <mergeCell ref="B283:E283"/>
    <mergeCell ref="J283:M283"/>
    <mergeCell ref="B284:E284"/>
    <mergeCell ref="J284:M284"/>
    <mergeCell ref="B285:E285"/>
    <mergeCell ref="J285:M285"/>
    <mergeCell ref="B271:F271"/>
    <mergeCell ref="J271:N271"/>
    <mergeCell ref="C272:D272"/>
    <mergeCell ref="K272:L272"/>
    <mergeCell ref="B275:E275"/>
    <mergeCell ref="J275:M275"/>
    <mergeCell ref="B276:E276"/>
    <mergeCell ref="J276:M276"/>
    <mergeCell ref="B277:E277"/>
    <mergeCell ref="J277:M277"/>
    <mergeCell ref="B263:F263"/>
    <mergeCell ref="J263:N263"/>
    <mergeCell ref="C264:D264"/>
    <mergeCell ref="K264:L264"/>
    <mergeCell ref="B267:E267"/>
    <mergeCell ref="J267:M267"/>
    <mergeCell ref="B268:E268"/>
    <mergeCell ref="J268:M268"/>
    <mergeCell ref="B269:E269"/>
    <mergeCell ref="J269:M269"/>
    <mergeCell ref="B259:E259"/>
    <mergeCell ref="J259:M259"/>
    <mergeCell ref="P259:S259"/>
    <mergeCell ref="B260:E260"/>
    <mergeCell ref="J260:M260"/>
    <mergeCell ref="P260:S260"/>
    <mergeCell ref="B261:E261"/>
    <mergeCell ref="J261:M261"/>
    <mergeCell ref="P261:S261"/>
    <mergeCell ref="B253:E253"/>
    <mergeCell ref="J253:M253"/>
    <mergeCell ref="P253:S253"/>
    <mergeCell ref="B255:F255"/>
    <mergeCell ref="J255:N255"/>
    <mergeCell ref="P255:T255"/>
    <mergeCell ref="C256:D256"/>
    <mergeCell ref="K256:L256"/>
    <mergeCell ref="Q256:R256"/>
    <mergeCell ref="P247:T247"/>
    <mergeCell ref="C248:D248"/>
    <mergeCell ref="K248:L248"/>
    <mergeCell ref="Q248:R248"/>
    <mergeCell ref="B251:E251"/>
    <mergeCell ref="J251:M251"/>
    <mergeCell ref="P251:S251"/>
    <mergeCell ref="B252:E252"/>
    <mergeCell ref="J252:M252"/>
    <mergeCell ref="P252:S252"/>
    <mergeCell ref="C221:D221"/>
    <mergeCell ref="J223:M223"/>
    <mergeCell ref="B224:E224"/>
    <mergeCell ref="J224:M224"/>
    <mergeCell ref="B225:E225"/>
    <mergeCell ref="J225:M225"/>
    <mergeCell ref="B226:E226"/>
    <mergeCell ref="B247:F247"/>
    <mergeCell ref="J247:N247"/>
    <mergeCell ref="B215:E215"/>
    <mergeCell ref="J215:M215"/>
    <mergeCell ref="B216:E216"/>
    <mergeCell ref="J216:M216"/>
    <mergeCell ref="B217:E217"/>
    <mergeCell ref="B218:E218"/>
    <mergeCell ref="J219:N219"/>
    <mergeCell ref="B220:F220"/>
    <mergeCell ref="K220:L220"/>
    <mergeCell ref="B206:E206"/>
    <mergeCell ref="B207:E207"/>
    <mergeCell ref="J208:N208"/>
    <mergeCell ref="K209:L209"/>
    <mergeCell ref="B210:F210"/>
    <mergeCell ref="C211:D211"/>
    <mergeCell ref="J212:M212"/>
    <mergeCell ref="J213:M213"/>
    <mergeCell ref="B214:E214"/>
    <mergeCell ref="J214:M214"/>
    <mergeCell ref="B198:E198"/>
    <mergeCell ref="B199:E199"/>
    <mergeCell ref="J199:N199"/>
    <mergeCell ref="K200:L200"/>
    <mergeCell ref="B201:F201"/>
    <mergeCell ref="C202:D202"/>
    <mergeCell ref="J203:M203"/>
    <mergeCell ref="J204:M204"/>
    <mergeCell ref="B205:E205"/>
    <mergeCell ref="J205:M205"/>
    <mergeCell ref="B195:E195"/>
    <mergeCell ref="J195:M195"/>
    <mergeCell ref="Q195:T195"/>
    <mergeCell ref="B196:E196"/>
    <mergeCell ref="J196:M196"/>
    <mergeCell ref="Q196:T196"/>
    <mergeCell ref="B197:E197"/>
    <mergeCell ref="J197:M197"/>
    <mergeCell ref="Q197:T197"/>
    <mergeCell ref="B189:E189"/>
    <mergeCell ref="J189:M189"/>
    <mergeCell ref="Q189:T189"/>
    <mergeCell ref="B191:F191"/>
    <mergeCell ref="J191:N191"/>
    <mergeCell ref="Q191:U191"/>
    <mergeCell ref="C192:D192"/>
    <mergeCell ref="K192:L192"/>
    <mergeCell ref="R192:S192"/>
    <mergeCell ref="C184:D184"/>
    <mergeCell ref="K184:L184"/>
    <mergeCell ref="R184:S184"/>
    <mergeCell ref="B187:E187"/>
    <mergeCell ref="J187:M187"/>
    <mergeCell ref="Q187:T187"/>
    <mergeCell ref="B188:E188"/>
    <mergeCell ref="J188:M188"/>
    <mergeCell ref="Q188:T188"/>
    <mergeCell ref="B180:E180"/>
    <mergeCell ref="J180:M180"/>
    <mergeCell ref="Q180:T180"/>
    <mergeCell ref="B181:E181"/>
    <mergeCell ref="J181:M181"/>
    <mergeCell ref="Q181:T181"/>
    <mergeCell ref="B183:F183"/>
    <mergeCell ref="J183:N183"/>
    <mergeCell ref="Q183:U183"/>
    <mergeCell ref="B177:E177"/>
    <mergeCell ref="J177:M177"/>
    <mergeCell ref="Q177:T177"/>
    <mergeCell ref="B178:E178"/>
    <mergeCell ref="J178:M178"/>
    <mergeCell ref="Q178:T178"/>
    <mergeCell ref="B179:E179"/>
    <mergeCell ref="J179:M179"/>
    <mergeCell ref="Q179:T179"/>
    <mergeCell ref="B171:E171"/>
    <mergeCell ref="J171:M171"/>
    <mergeCell ref="Q171:T171"/>
    <mergeCell ref="B173:F173"/>
    <mergeCell ref="J173:N173"/>
    <mergeCell ref="Q173:U173"/>
    <mergeCell ref="C174:D174"/>
    <mergeCell ref="K174:L174"/>
    <mergeCell ref="R174:S174"/>
    <mergeCell ref="C166:D166"/>
    <mergeCell ref="K166:L166"/>
    <mergeCell ref="R166:S166"/>
    <mergeCell ref="B169:E169"/>
    <mergeCell ref="J169:M169"/>
    <mergeCell ref="Q169:T169"/>
    <mergeCell ref="B170:E170"/>
    <mergeCell ref="J170:M170"/>
    <mergeCell ref="Q170:T170"/>
    <mergeCell ref="B162:E162"/>
    <mergeCell ref="J162:M162"/>
    <mergeCell ref="Q162:T162"/>
    <mergeCell ref="B163:E163"/>
    <mergeCell ref="J163:M163"/>
    <mergeCell ref="Q163:T163"/>
    <mergeCell ref="B165:F165"/>
    <mergeCell ref="J165:N165"/>
    <mergeCell ref="Q165:U165"/>
    <mergeCell ref="B159:E159"/>
    <mergeCell ref="J159:M159"/>
    <mergeCell ref="Q159:T159"/>
    <mergeCell ref="B160:E160"/>
    <mergeCell ref="J160:M160"/>
    <mergeCell ref="Q160:T160"/>
    <mergeCell ref="B161:E161"/>
    <mergeCell ref="J161:M161"/>
    <mergeCell ref="Q161:T161"/>
    <mergeCell ref="B145:E145"/>
    <mergeCell ref="B146:E146"/>
    <mergeCell ref="B147:E147"/>
    <mergeCell ref="B155:F155"/>
    <mergeCell ref="J155:N155"/>
    <mergeCell ref="Q155:U155"/>
    <mergeCell ref="C156:D156"/>
    <mergeCell ref="K156:L156"/>
    <mergeCell ref="R156:S156"/>
    <mergeCell ref="B128:E128"/>
    <mergeCell ref="J128:M128"/>
    <mergeCell ref="J129:M129"/>
    <mergeCell ref="J130:M130"/>
    <mergeCell ref="B131:F131"/>
    <mergeCell ref="C132:D132"/>
    <mergeCell ref="B142:D142"/>
    <mergeCell ref="B143:E143"/>
    <mergeCell ref="B144:E144"/>
    <mergeCell ref="B123:D123"/>
    <mergeCell ref="B124:E124"/>
    <mergeCell ref="M124:N124"/>
    <mergeCell ref="B125:E125"/>
    <mergeCell ref="J125:L125"/>
    <mergeCell ref="B126:E126"/>
    <mergeCell ref="J126:M126"/>
    <mergeCell ref="B127:E127"/>
    <mergeCell ref="J127:M127"/>
    <mergeCell ref="J115:M115"/>
    <mergeCell ref="P115:S115"/>
    <mergeCell ref="J116:M116"/>
    <mergeCell ref="P116:S116"/>
    <mergeCell ref="B117:F117"/>
    <mergeCell ref="C118:D118"/>
    <mergeCell ref="J119:N119"/>
    <mergeCell ref="K120:L120"/>
    <mergeCell ref="E122:F122"/>
    <mergeCell ref="B112:E112"/>
    <mergeCell ref="J112:M112"/>
    <mergeCell ref="P112:S112"/>
    <mergeCell ref="B113:E113"/>
    <mergeCell ref="J113:M113"/>
    <mergeCell ref="P113:S113"/>
    <mergeCell ref="B114:E114"/>
    <mergeCell ref="J114:M114"/>
    <mergeCell ref="P114:S114"/>
    <mergeCell ref="C104:D104"/>
    <mergeCell ref="J104:N104"/>
    <mergeCell ref="P104:T104"/>
    <mergeCell ref="K105:L105"/>
    <mergeCell ref="Q105:R105"/>
    <mergeCell ref="B109:D109"/>
    <mergeCell ref="B110:E110"/>
    <mergeCell ref="B111:E111"/>
    <mergeCell ref="J111:L111"/>
    <mergeCell ref="P111:R111"/>
    <mergeCell ref="B99:E99"/>
    <mergeCell ref="J99:M99"/>
    <mergeCell ref="P99:S99"/>
    <mergeCell ref="B100:E100"/>
    <mergeCell ref="J100:M100"/>
    <mergeCell ref="P100:S100"/>
    <mergeCell ref="J101:M101"/>
    <mergeCell ref="P101:S101"/>
    <mergeCell ref="B103:F103"/>
    <mergeCell ref="B96:E96"/>
    <mergeCell ref="J96:L96"/>
    <mergeCell ref="P96:R96"/>
    <mergeCell ref="B97:E97"/>
    <mergeCell ref="J97:M97"/>
    <mergeCell ref="P97:S97"/>
    <mergeCell ref="B98:E98"/>
    <mergeCell ref="J98:M98"/>
    <mergeCell ref="P98:S98"/>
    <mergeCell ref="B79:E79"/>
    <mergeCell ref="B89:F89"/>
    <mergeCell ref="J89:N89"/>
    <mergeCell ref="P89:T89"/>
    <mergeCell ref="C90:D90"/>
    <mergeCell ref="K90:L90"/>
    <mergeCell ref="Q90:R90"/>
    <mergeCell ref="E94:F94"/>
    <mergeCell ref="B95:D95"/>
    <mergeCell ref="M73:N73"/>
    <mergeCell ref="J74:M74"/>
    <mergeCell ref="B75:E75"/>
    <mergeCell ref="J75:M75"/>
    <mergeCell ref="B76:E76"/>
    <mergeCell ref="J76:M76"/>
    <mergeCell ref="B77:E77"/>
    <mergeCell ref="J77:M77"/>
    <mergeCell ref="B78:E78"/>
    <mergeCell ref="J78:M78"/>
    <mergeCell ref="B63:E63"/>
    <mergeCell ref="J63:M63"/>
    <mergeCell ref="B64:E64"/>
    <mergeCell ref="J64:M64"/>
    <mergeCell ref="B65:E65"/>
    <mergeCell ref="J65:M65"/>
    <mergeCell ref="B68:F68"/>
    <mergeCell ref="J68:N68"/>
    <mergeCell ref="C69:D69"/>
    <mergeCell ref="K69:L69"/>
    <mergeCell ref="C52:D52"/>
    <mergeCell ref="K52:L52"/>
    <mergeCell ref="E59:F59"/>
    <mergeCell ref="M59:N59"/>
    <mergeCell ref="B60:D60"/>
    <mergeCell ref="J60:L60"/>
    <mergeCell ref="B61:E61"/>
    <mergeCell ref="J61:M61"/>
    <mergeCell ref="B62:E62"/>
    <mergeCell ref="J62:M62"/>
    <mergeCell ref="B45:E45"/>
    <mergeCell ref="J45:M45"/>
    <mergeCell ref="B46:E46"/>
    <mergeCell ref="J46:M46"/>
    <mergeCell ref="B47:E47"/>
    <mergeCell ref="J47:M47"/>
    <mergeCell ref="B48:E48"/>
    <mergeCell ref="B51:F51"/>
    <mergeCell ref="J51:N51"/>
    <mergeCell ref="B36:F36"/>
    <mergeCell ref="J36:N36"/>
    <mergeCell ref="C37:D37"/>
    <mergeCell ref="K37:L37"/>
    <mergeCell ref="J42:L42"/>
    <mergeCell ref="B43:D43"/>
    <mergeCell ref="J43:M43"/>
    <mergeCell ref="B44:E44"/>
    <mergeCell ref="J44:M44"/>
    <mergeCell ref="B29:E29"/>
    <mergeCell ref="J29:M29"/>
    <mergeCell ref="B30:E30"/>
    <mergeCell ref="J30:M30"/>
    <mergeCell ref="B31:E31"/>
    <mergeCell ref="J31:M31"/>
    <mergeCell ref="B32:E32"/>
    <mergeCell ref="J32:M32"/>
    <mergeCell ref="J33:M33"/>
    <mergeCell ref="B19:E19"/>
    <mergeCell ref="P19:S19"/>
    <mergeCell ref="B21:F21"/>
    <mergeCell ref="J21:N21"/>
    <mergeCell ref="C22:D22"/>
    <mergeCell ref="K22:L22"/>
    <mergeCell ref="E27:F27"/>
    <mergeCell ref="B28:E28"/>
    <mergeCell ref="J28:L28"/>
    <mergeCell ref="B15:E15"/>
    <mergeCell ref="J15:M15"/>
    <mergeCell ref="P15:S15"/>
    <mergeCell ref="B16:E16"/>
    <mergeCell ref="J16:M16"/>
    <mergeCell ref="P16:S16"/>
    <mergeCell ref="B17:E17"/>
    <mergeCell ref="P17:S17"/>
    <mergeCell ref="B18:E18"/>
    <mergeCell ref="P18:S18"/>
    <mergeCell ref="B5:F5"/>
    <mergeCell ref="J5:N5"/>
    <mergeCell ref="P5:T5"/>
    <mergeCell ref="C6:D6"/>
    <mergeCell ref="K6:L6"/>
    <mergeCell ref="Q6:R6"/>
    <mergeCell ref="J12:M12"/>
    <mergeCell ref="J13:M13"/>
    <mergeCell ref="E14:F14"/>
    <mergeCell ref="J14:M14"/>
    <mergeCell ref="P14:R14"/>
  </mergeCells>
  <pageMargins left="0.74791666666666701" right="0.23611111111111099" top="0.90486111111111101" bottom="1.37777777777778" header="0.51180555555555596"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Y404"/>
  <sheetViews>
    <sheetView topLeftCell="F1" zoomScale="85" zoomScaleNormal="85" workbookViewId="0">
      <selection activeCell="A369" sqref="A369"/>
    </sheetView>
  </sheetViews>
  <sheetFormatPr baseColWidth="10" defaultColWidth="9.1640625" defaultRowHeight="15" x14ac:dyDescent="0.2"/>
  <cols>
    <col min="1" max="1" width="2.6640625" customWidth="1"/>
    <col min="2" max="2" width="21.83203125" customWidth="1"/>
    <col min="3" max="3" width="5.6640625" customWidth="1"/>
    <col min="4" max="4" width="4.1640625" customWidth="1"/>
    <col min="5" max="5" width="13.83203125" customWidth="1"/>
    <col min="6" max="6" width="21.1640625" customWidth="1"/>
    <col min="7" max="7" width="3.5" customWidth="1"/>
    <col min="8" max="8" width="7.1640625" customWidth="1"/>
    <col min="9" max="9" width="24" customWidth="1"/>
    <col min="10" max="10" width="5.5" customWidth="1"/>
    <col min="11" max="11" width="4.1640625" customWidth="1"/>
    <col min="12" max="12" width="18.83203125" customWidth="1"/>
    <col min="13" max="13" width="18.6640625" customWidth="1"/>
    <col min="15" max="15" width="18" customWidth="1"/>
    <col min="18" max="18" width="19.6640625" customWidth="1"/>
    <col min="19" max="19" width="14.33203125" customWidth="1"/>
    <col min="21" max="21" width="13.6640625" customWidth="1"/>
    <col min="24" max="24" width="15.5" customWidth="1"/>
    <col min="25" max="25" width="12.83203125" customWidth="1"/>
  </cols>
  <sheetData>
    <row r="2" spans="2:17" ht="62" x14ac:dyDescent="0.2">
      <c r="B2" s="267" t="s">
        <v>189</v>
      </c>
      <c r="C2" s="268"/>
      <c r="D2" s="268"/>
      <c r="E2" s="268"/>
      <c r="F2" s="268"/>
      <c r="G2" s="268"/>
      <c r="H2" s="268"/>
      <c r="I2" s="268"/>
      <c r="J2" s="268"/>
      <c r="K2" s="268"/>
      <c r="L2" s="268"/>
      <c r="M2" s="269"/>
      <c r="N2" s="158"/>
      <c r="O2" s="159"/>
      <c r="P2" s="159"/>
      <c r="Q2" s="159"/>
    </row>
    <row r="3" spans="2:17" ht="62" x14ac:dyDescent="0.2">
      <c r="B3" s="270"/>
      <c r="C3" s="271"/>
      <c r="D3" s="271"/>
      <c r="E3" s="271"/>
      <c r="F3" s="271"/>
      <c r="G3" s="271"/>
      <c r="H3" s="271"/>
      <c r="I3" s="271"/>
      <c r="J3" s="271"/>
      <c r="K3" s="271"/>
      <c r="L3" s="271"/>
      <c r="M3" s="272"/>
      <c r="N3" s="158"/>
      <c r="O3" s="159"/>
      <c r="P3" s="159"/>
      <c r="Q3" s="159"/>
    </row>
    <row r="5" spans="2:17" x14ac:dyDescent="0.2">
      <c r="B5" s="235" t="s">
        <v>190</v>
      </c>
      <c r="C5" s="236"/>
      <c r="D5" s="236"/>
      <c r="E5" s="236"/>
      <c r="F5" s="237"/>
      <c r="I5" s="235" t="s">
        <v>191</v>
      </c>
      <c r="J5" s="236"/>
      <c r="K5" s="236"/>
      <c r="L5" s="236"/>
      <c r="M5" s="237"/>
    </row>
    <row r="6" spans="2:17" x14ac:dyDescent="0.2">
      <c r="B6" s="74" t="s">
        <v>1</v>
      </c>
      <c r="C6" s="248" t="s">
        <v>2</v>
      </c>
      <c r="D6" s="254"/>
      <c r="E6" s="74" t="s">
        <v>3</v>
      </c>
      <c r="F6" s="74" t="s">
        <v>4</v>
      </c>
      <c r="I6" s="74" t="s">
        <v>1</v>
      </c>
      <c r="J6" s="248" t="s">
        <v>2</v>
      </c>
      <c r="K6" s="254"/>
      <c r="L6" s="74" t="s">
        <v>3</v>
      </c>
      <c r="M6" s="74" t="s">
        <v>4</v>
      </c>
    </row>
    <row r="7" spans="2:17" x14ac:dyDescent="0.2">
      <c r="B7" s="74" t="s">
        <v>192</v>
      </c>
      <c r="C7" s="152">
        <v>20</v>
      </c>
      <c r="D7" s="103" t="s">
        <v>17</v>
      </c>
      <c r="E7" s="106">
        <f>'SUPPLIER &amp; PRICE'!F128</f>
        <v>280</v>
      </c>
      <c r="F7" s="107">
        <f>SUM(E7*C7)</f>
        <v>5600</v>
      </c>
      <c r="I7" s="74" t="s">
        <v>192</v>
      </c>
      <c r="J7" s="152">
        <v>20</v>
      </c>
      <c r="K7" s="103" t="s">
        <v>17</v>
      </c>
      <c r="L7" s="106">
        <f>E7</f>
        <v>280</v>
      </c>
      <c r="M7" s="107">
        <f>SUM(L7*J7)</f>
        <v>5600</v>
      </c>
    </row>
    <row r="8" spans="2:17" x14ac:dyDescent="0.2">
      <c r="B8" s="95" t="s">
        <v>193</v>
      </c>
      <c r="C8" s="95">
        <v>100</v>
      </c>
      <c r="D8" s="95" t="s">
        <v>6</v>
      </c>
      <c r="E8" s="119">
        <f>'SUPPLIER &amp; PRICE'!F57</f>
        <v>1.15789473684211</v>
      </c>
      <c r="F8" s="107">
        <f>SUM(E8*C8)</f>
        <v>115.789473684211</v>
      </c>
      <c r="I8" s="95" t="s">
        <v>193</v>
      </c>
      <c r="J8" s="95">
        <v>400</v>
      </c>
      <c r="K8" s="95" t="s">
        <v>6</v>
      </c>
      <c r="L8" s="119">
        <f>E8</f>
        <v>1.15789473684211</v>
      </c>
      <c r="M8" s="107">
        <f>SUM(L8*J8)</f>
        <v>463.15789473684202</v>
      </c>
    </row>
    <row r="9" spans="2:17" x14ac:dyDescent="0.2">
      <c r="B9" s="97" t="s">
        <v>20</v>
      </c>
      <c r="C9" s="97">
        <v>50</v>
      </c>
      <c r="D9" s="97" t="s">
        <v>6</v>
      </c>
      <c r="E9" s="238"/>
      <c r="F9" s="238"/>
      <c r="I9" s="97" t="s">
        <v>20</v>
      </c>
      <c r="J9" s="97">
        <v>320</v>
      </c>
      <c r="K9" s="97" t="s">
        <v>6</v>
      </c>
      <c r="L9" s="238"/>
      <c r="M9" s="238"/>
    </row>
    <row r="10" spans="2:17" ht="14" customHeight="1" x14ac:dyDescent="0.2">
      <c r="B10" s="217" t="s">
        <v>23</v>
      </c>
      <c r="C10" s="218"/>
      <c r="D10" s="218"/>
      <c r="E10" s="219"/>
      <c r="F10" s="96">
        <f>SUM(F5:F8)</f>
        <v>5715.78947368421</v>
      </c>
      <c r="I10" s="217" t="s">
        <v>23</v>
      </c>
      <c r="J10" s="218"/>
      <c r="K10" s="218"/>
      <c r="L10" s="219"/>
      <c r="M10" s="96">
        <f>SUM(M5:M8)</f>
        <v>6063.1578947368398</v>
      </c>
    </row>
    <row r="11" spans="2:17" ht="14" customHeight="1" x14ac:dyDescent="0.2">
      <c r="B11" s="217" t="s">
        <v>26</v>
      </c>
      <c r="C11" s="218"/>
      <c r="D11" s="218"/>
      <c r="E11" s="219"/>
      <c r="F11" s="98">
        <f>SUM(F10*0.05)</f>
        <v>285.78947368421098</v>
      </c>
      <c r="I11" s="217" t="s">
        <v>26</v>
      </c>
      <c r="J11" s="218"/>
      <c r="K11" s="218"/>
      <c r="L11" s="219"/>
      <c r="M11" s="98">
        <f>SUM(M10*0.05)</f>
        <v>303.15789473684202</v>
      </c>
    </row>
    <row r="12" spans="2:17" x14ac:dyDescent="0.2">
      <c r="B12" s="217" t="s">
        <v>28</v>
      </c>
      <c r="C12" s="218"/>
      <c r="D12" s="218"/>
      <c r="E12" s="219"/>
      <c r="F12" s="98">
        <f>SUM(F10:F11)</f>
        <v>6001.5789473684199</v>
      </c>
      <c r="I12" s="217" t="s">
        <v>28</v>
      </c>
      <c r="J12" s="218"/>
      <c r="K12" s="218"/>
      <c r="L12" s="219"/>
      <c r="M12" s="98">
        <f>SUM(M10:M11)</f>
        <v>6366.3157894736896</v>
      </c>
    </row>
    <row r="13" spans="2:17" ht="14" customHeight="1" x14ac:dyDescent="0.2">
      <c r="B13" s="221" t="s">
        <v>31</v>
      </c>
      <c r="C13" s="222"/>
      <c r="D13" s="222"/>
      <c r="E13" s="223"/>
      <c r="F13" s="99">
        <f>SUM(F12/F14)</f>
        <v>0.20005263157894701</v>
      </c>
      <c r="I13" s="221" t="s">
        <v>31</v>
      </c>
      <c r="J13" s="222"/>
      <c r="K13" s="222"/>
      <c r="L13" s="223"/>
      <c r="M13" s="99">
        <f>SUM(M12/M14)</f>
        <v>0.21221052631578999</v>
      </c>
    </row>
    <row r="14" spans="2:17" x14ac:dyDescent="0.2">
      <c r="B14" s="221" t="s">
        <v>32</v>
      </c>
      <c r="C14" s="222"/>
      <c r="D14" s="222"/>
      <c r="E14" s="223"/>
      <c r="F14" s="100">
        <v>30000</v>
      </c>
      <c r="I14" s="221" t="s">
        <v>32</v>
      </c>
      <c r="J14" s="222"/>
      <c r="K14" s="222"/>
      <c r="L14" s="223"/>
      <c r="M14" s="100">
        <v>30000</v>
      </c>
    </row>
    <row r="16" spans="2:17" x14ac:dyDescent="0.2">
      <c r="B16" s="235" t="s">
        <v>194</v>
      </c>
      <c r="C16" s="236"/>
      <c r="D16" s="236"/>
      <c r="E16" s="236"/>
      <c r="F16" s="237"/>
      <c r="I16" s="235" t="s">
        <v>195</v>
      </c>
      <c r="J16" s="236"/>
      <c r="K16" s="236"/>
      <c r="L16" s="236"/>
      <c r="M16" s="237"/>
    </row>
    <row r="17" spans="2:13" x14ac:dyDescent="0.2">
      <c r="B17" s="74" t="s">
        <v>1</v>
      </c>
      <c r="C17" s="248" t="s">
        <v>2</v>
      </c>
      <c r="D17" s="254"/>
      <c r="E17" s="74" t="s">
        <v>3</v>
      </c>
      <c r="F17" s="74" t="s">
        <v>4</v>
      </c>
      <c r="I17" s="74" t="s">
        <v>1</v>
      </c>
      <c r="J17" s="248" t="s">
        <v>2</v>
      </c>
      <c r="K17" s="254"/>
      <c r="L17" s="74" t="s">
        <v>3</v>
      </c>
      <c r="M17" s="74" t="s">
        <v>4</v>
      </c>
    </row>
    <row r="18" spans="2:13" x14ac:dyDescent="0.2">
      <c r="B18" s="74" t="s">
        <v>192</v>
      </c>
      <c r="C18" s="152">
        <v>20</v>
      </c>
      <c r="D18" s="103" t="s">
        <v>17</v>
      </c>
      <c r="E18" s="106">
        <f>E7</f>
        <v>280</v>
      </c>
      <c r="F18" s="107">
        <f>SUM(E18*C18)</f>
        <v>5600</v>
      </c>
      <c r="I18" s="74" t="s">
        <v>192</v>
      </c>
      <c r="J18" s="152">
        <v>20</v>
      </c>
      <c r="K18" s="103" t="s">
        <v>17</v>
      </c>
      <c r="L18" s="106">
        <f>L7</f>
        <v>280</v>
      </c>
      <c r="M18" s="107">
        <f t="shared" ref="M18:M20" si="0">SUM(L18*J18)</f>
        <v>5600</v>
      </c>
    </row>
    <row r="19" spans="2:13" x14ac:dyDescent="0.2">
      <c r="B19" s="95" t="s">
        <v>193</v>
      </c>
      <c r="C19" s="95">
        <v>100</v>
      </c>
      <c r="D19" s="95" t="s">
        <v>6</v>
      </c>
      <c r="E19" s="119">
        <f>E8</f>
        <v>1.15789473684211</v>
      </c>
      <c r="F19" s="107">
        <f>SUM(E19*C19)</f>
        <v>115.789473684211</v>
      </c>
      <c r="I19" s="95" t="s">
        <v>193</v>
      </c>
      <c r="J19" s="95">
        <v>100</v>
      </c>
      <c r="K19" s="95" t="s">
        <v>6</v>
      </c>
      <c r="L19" s="119">
        <f>L8</f>
        <v>1.15789473684211</v>
      </c>
      <c r="M19" s="107">
        <f t="shared" si="0"/>
        <v>115.789473684211</v>
      </c>
    </row>
    <row r="20" spans="2:13" x14ac:dyDescent="0.2">
      <c r="B20" s="153" t="s">
        <v>196</v>
      </c>
      <c r="C20" s="153">
        <v>250</v>
      </c>
      <c r="D20" s="153" t="s">
        <v>6</v>
      </c>
      <c r="E20" s="154">
        <f>'SUPPLIER &amp; PRICE'!F4</f>
        <v>24</v>
      </c>
      <c r="F20" s="124">
        <f>SUM(E20*C20)</f>
        <v>6000</v>
      </c>
      <c r="I20" s="153" t="s">
        <v>196</v>
      </c>
      <c r="J20" s="153">
        <v>250</v>
      </c>
      <c r="K20" s="153" t="s">
        <v>6</v>
      </c>
      <c r="L20" s="154">
        <f>E20</f>
        <v>24</v>
      </c>
      <c r="M20" s="107">
        <f t="shared" si="0"/>
        <v>6000</v>
      </c>
    </row>
    <row r="21" spans="2:13" x14ac:dyDescent="0.2">
      <c r="B21" s="146" t="s">
        <v>20</v>
      </c>
      <c r="C21" s="97">
        <v>320</v>
      </c>
      <c r="D21" s="97" t="s">
        <v>6</v>
      </c>
      <c r="E21" s="125"/>
      <c r="F21" s="155"/>
      <c r="I21" s="146" t="s">
        <v>20</v>
      </c>
      <c r="J21" s="146">
        <v>320</v>
      </c>
      <c r="K21" s="146" t="s">
        <v>6</v>
      </c>
      <c r="L21" s="241"/>
      <c r="M21" s="255"/>
    </row>
    <row r="22" spans="2:13" x14ac:dyDescent="0.2">
      <c r="B22" s="146" t="s">
        <v>29</v>
      </c>
      <c r="C22" s="221" t="s">
        <v>197</v>
      </c>
      <c r="D22" s="222"/>
      <c r="E22" s="222"/>
      <c r="F22" s="122">
        <v>1500</v>
      </c>
      <c r="I22" s="146" t="s">
        <v>29</v>
      </c>
      <c r="J22" s="221" t="s">
        <v>197</v>
      </c>
      <c r="K22" s="222"/>
      <c r="L22" s="222"/>
      <c r="M22" s="122">
        <v>1500</v>
      </c>
    </row>
    <row r="23" spans="2:13" x14ac:dyDescent="0.2">
      <c r="B23" s="217" t="s">
        <v>23</v>
      </c>
      <c r="C23" s="225"/>
      <c r="D23" s="225"/>
      <c r="E23" s="226"/>
      <c r="F23" s="156">
        <f>SUM(F18:F22)</f>
        <v>13215.789473684201</v>
      </c>
      <c r="I23" s="217" t="s">
        <v>23</v>
      </c>
      <c r="J23" s="218"/>
      <c r="K23" s="218"/>
      <c r="L23" s="219"/>
      <c r="M23" s="96">
        <f>SUM(M18:M22)</f>
        <v>13215.789473684201</v>
      </c>
    </row>
    <row r="24" spans="2:13" x14ac:dyDescent="0.2">
      <c r="B24" s="217" t="s">
        <v>26</v>
      </c>
      <c r="C24" s="218"/>
      <c r="D24" s="218"/>
      <c r="E24" s="219"/>
      <c r="F24" s="98">
        <f>SUM(F23*0.05)</f>
        <v>660.78947368421098</v>
      </c>
      <c r="I24" s="217" t="s">
        <v>26</v>
      </c>
      <c r="J24" s="218"/>
      <c r="K24" s="218"/>
      <c r="L24" s="219"/>
      <c r="M24" s="98">
        <f>SUM(M23*0.05)</f>
        <v>660.78947368421098</v>
      </c>
    </row>
    <row r="25" spans="2:13" x14ac:dyDescent="0.2">
      <c r="B25" s="217" t="s">
        <v>28</v>
      </c>
      <c r="C25" s="218"/>
      <c r="D25" s="218"/>
      <c r="E25" s="219"/>
      <c r="F25" s="98">
        <f>SUM(F23:F24)</f>
        <v>13876.5789473684</v>
      </c>
      <c r="I25" s="217" t="s">
        <v>28</v>
      </c>
      <c r="J25" s="218"/>
      <c r="K25" s="218"/>
      <c r="L25" s="219"/>
      <c r="M25" s="98">
        <f>SUM(M23:M24)</f>
        <v>13876.5789473684</v>
      </c>
    </row>
    <row r="26" spans="2:13" x14ac:dyDescent="0.2">
      <c r="B26" s="221" t="s">
        <v>31</v>
      </c>
      <c r="C26" s="222"/>
      <c r="D26" s="222"/>
      <c r="E26" s="223"/>
      <c r="F26" s="99">
        <f>SUM(F25/F27)</f>
        <v>0.34691447368421102</v>
      </c>
      <c r="I26" s="221" t="s">
        <v>31</v>
      </c>
      <c r="J26" s="222"/>
      <c r="K26" s="222"/>
      <c r="L26" s="223"/>
      <c r="M26" s="99">
        <f>SUM(M25/M27)</f>
        <v>0.30836842105263201</v>
      </c>
    </row>
    <row r="27" spans="2:13" x14ac:dyDescent="0.2">
      <c r="B27" s="221" t="s">
        <v>32</v>
      </c>
      <c r="C27" s="222"/>
      <c r="D27" s="222"/>
      <c r="E27" s="223"/>
      <c r="F27" s="100">
        <v>40000</v>
      </c>
      <c r="I27" s="221" t="s">
        <v>32</v>
      </c>
      <c r="J27" s="222"/>
      <c r="K27" s="222"/>
      <c r="L27" s="223"/>
      <c r="M27" s="100">
        <v>45000</v>
      </c>
    </row>
    <row r="29" spans="2:13" x14ac:dyDescent="0.2">
      <c r="B29" s="235" t="s">
        <v>198</v>
      </c>
      <c r="C29" s="236"/>
      <c r="D29" s="236"/>
      <c r="E29" s="236"/>
      <c r="F29" s="237"/>
      <c r="I29" s="235" t="s">
        <v>199</v>
      </c>
      <c r="J29" s="236"/>
      <c r="K29" s="236"/>
      <c r="L29" s="236"/>
      <c r="M29" s="237"/>
    </row>
    <row r="30" spans="2:13" x14ac:dyDescent="0.2">
      <c r="B30" s="74" t="s">
        <v>1</v>
      </c>
      <c r="C30" s="248" t="s">
        <v>2</v>
      </c>
      <c r="D30" s="254"/>
      <c r="E30" s="74" t="s">
        <v>3</v>
      </c>
      <c r="F30" s="74" t="s">
        <v>4</v>
      </c>
      <c r="I30" s="74" t="s">
        <v>1</v>
      </c>
      <c r="J30" s="248" t="s">
        <v>2</v>
      </c>
      <c r="K30" s="254"/>
      <c r="L30" s="74" t="s">
        <v>3</v>
      </c>
      <c r="M30" s="74" t="s">
        <v>4</v>
      </c>
    </row>
    <row r="31" spans="2:13" x14ac:dyDescent="0.2">
      <c r="B31" s="74" t="s">
        <v>192</v>
      </c>
      <c r="C31" s="152">
        <v>20</v>
      </c>
      <c r="D31" s="103" t="s">
        <v>17</v>
      </c>
      <c r="E31" s="106">
        <f>E18</f>
        <v>280</v>
      </c>
      <c r="F31" s="107">
        <f t="shared" ref="F31:F33" si="1">SUM(E31*C31)</f>
        <v>5600</v>
      </c>
      <c r="I31" s="74" t="s">
        <v>200</v>
      </c>
      <c r="J31" s="152">
        <v>5</v>
      </c>
      <c r="K31" s="103" t="s">
        <v>17</v>
      </c>
      <c r="L31" s="106">
        <f>'SUPPLIER &amp; PRICE'!F127</f>
        <v>1080</v>
      </c>
      <c r="M31" s="107">
        <f t="shared" ref="M31:M33" si="2">SUM(L31*J31)</f>
        <v>5400</v>
      </c>
    </row>
    <row r="32" spans="2:13" x14ac:dyDescent="0.2">
      <c r="B32" s="95" t="s">
        <v>193</v>
      </c>
      <c r="C32" s="95">
        <v>100</v>
      </c>
      <c r="D32" s="95" t="s">
        <v>6</v>
      </c>
      <c r="E32" s="119">
        <f>E19</f>
        <v>1.15789473684211</v>
      </c>
      <c r="F32" s="107">
        <f t="shared" si="1"/>
        <v>115.789473684211</v>
      </c>
      <c r="I32" s="95" t="s">
        <v>193</v>
      </c>
      <c r="J32" s="95">
        <v>100</v>
      </c>
      <c r="K32" s="95" t="s">
        <v>6</v>
      </c>
      <c r="L32" s="119">
        <f>'SUPPLIER &amp; PRICE'!F56</f>
        <v>1.0526315789473699</v>
      </c>
      <c r="M32" s="107">
        <f t="shared" si="2"/>
        <v>105.26315789473701</v>
      </c>
    </row>
    <row r="33" spans="2:13" x14ac:dyDescent="0.2">
      <c r="B33" s="153" t="s">
        <v>196</v>
      </c>
      <c r="C33" s="153">
        <v>250</v>
      </c>
      <c r="D33" s="153" t="s">
        <v>6</v>
      </c>
      <c r="E33" s="154">
        <f>E20</f>
        <v>24</v>
      </c>
      <c r="F33" s="124">
        <f t="shared" si="1"/>
        <v>6000</v>
      </c>
      <c r="I33" s="153" t="s">
        <v>196</v>
      </c>
      <c r="J33" s="153">
        <v>250</v>
      </c>
      <c r="K33" s="153" t="s">
        <v>6</v>
      </c>
      <c r="L33" s="154">
        <f>E33</f>
        <v>24</v>
      </c>
      <c r="M33" s="124">
        <f t="shared" si="2"/>
        <v>6000</v>
      </c>
    </row>
    <row r="34" spans="2:13" x14ac:dyDescent="0.2">
      <c r="B34" s="146" t="s">
        <v>20</v>
      </c>
      <c r="C34" s="146">
        <v>320</v>
      </c>
      <c r="D34" s="146" t="s">
        <v>6</v>
      </c>
      <c r="E34" s="241"/>
      <c r="F34" s="255"/>
      <c r="I34" s="146" t="s">
        <v>20</v>
      </c>
      <c r="J34" s="146">
        <v>320</v>
      </c>
      <c r="K34" s="146" t="s">
        <v>6</v>
      </c>
      <c r="L34" s="241"/>
      <c r="M34" s="255"/>
    </row>
    <row r="35" spans="2:13" x14ac:dyDescent="0.2">
      <c r="B35" s="146" t="s">
        <v>29</v>
      </c>
      <c r="C35" s="221" t="s">
        <v>197</v>
      </c>
      <c r="D35" s="222"/>
      <c r="E35" s="222"/>
      <c r="F35" s="122">
        <v>1500</v>
      </c>
      <c r="I35" s="146" t="s">
        <v>29</v>
      </c>
      <c r="J35" s="221" t="s">
        <v>197</v>
      </c>
      <c r="K35" s="222"/>
      <c r="L35" s="222"/>
      <c r="M35" s="122">
        <v>1500</v>
      </c>
    </row>
    <row r="36" spans="2:13" ht="18" customHeight="1" x14ac:dyDescent="0.2">
      <c r="B36" s="217" t="s">
        <v>23</v>
      </c>
      <c r="C36" s="218"/>
      <c r="D36" s="218"/>
      <c r="E36" s="219"/>
      <c r="F36" s="96">
        <f>SUM(F31:F35)</f>
        <v>13215.789473684201</v>
      </c>
      <c r="I36" s="217" t="s">
        <v>23</v>
      </c>
      <c r="J36" s="218"/>
      <c r="K36" s="218"/>
      <c r="L36" s="219"/>
      <c r="M36" s="96">
        <f>SUM(M31:M35)</f>
        <v>13005.2631578947</v>
      </c>
    </row>
    <row r="37" spans="2:13" ht="18" customHeight="1" x14ac:dyDescent="0.2">
      <c r="B37" s="217" t="s">
        <v>26</v>
      </c>
      <c r="C37" s="218"/>
      <c r="D37" s="218"/>
      <c r="E37" s="219"/>
      <c r="F37" s="98">
        <f>SUM(F36*0.05)</f>
        <v>660.78947368421098</v>
      </c>
      <c r="I37" s="217" t="s">
        <v>26</v>
      </c>
      <c r="J37" s="218"/>
      <c r="K37" s="218"/>
      <c r="L37" s="219"/>
      <c r="M37" s="98">
        <f>SUM(M36*0.05)</f>
        <v>650.26315789473699</v>
      </c>
    </row>
    <row r="38" spans="2:13" x14ac:dyDescent="0.2">
      <c r="B38" s="217" t="s">
        <v>28</v>
      </c>
      <c r="C38" s="218"/>
      <c r="D38" s="218"/>
      <c r="E38" s="219"/>
      <c r="F38" s="98">
        <f>SUM(F36:F37)</f>
        <v>13876.5789473684</v>
      </c>
      <c r="I38" s="217" t="s">
        <v>28</v>
      </c>
      <c r="J38" s="218"/>
      <c r="K38" s="218"/>
      <c r="L38" s="219"/>
      <c r="M38" s="98">
        <f>SUM(M36:M37)</f>
        <v>13655.526315789501</v>
      </c>
    </row>
    <row r="39" spans="2:13" x14ac:dyDescent="0.2">
      <c r="B39" s="221" t="s">
        <v>31</v>
      </c>
      <c r="C39" s="222"/>
      <c r="D39" s="222"/>
      <c r="E39" s="223"/>
      <c r="F39" s="99">
        <f>SUM(F38/F40)</f>
        <v>0.30836842105263201</v>
      </c>
      <c r="I39" s="221" t="s">
        <v>31</v>
      </c>
      <c r="J39" s="222"/>
      <c r="K39" s="222"/>
      <c r="L39" s="223"/>
      <c r="M39" s="99">
        <f>SUM(M38/M40)</f>
        <v>0.34138815789473698</v>
      </c>
    </row>
    <row r="40" spans="2:13" x14ac:dyDescent="0.2">
      <c r="B40" s="221" t="s">
        <v>32</v>
      </c>
      <c r="C40" s="222"/>
      <c r="D40" s="222"/>
      <c r="E40" s="223"/>
      <c r="F40" s="100">
        <v>45000</v>
      </c>
      <c r="I40" s="221" t="s">
        <v>32</v>
      </c>
      <c r="J40" s="222"/>
      <c r="K40" s="222"/>
      <c r="L40" s="223"/>
      <c r="M40" s="100">
        <v>40000</v>
      </c>
    </row>
    <row r="42" spans="2:13" x14ac:dyDescent="0.2">
      <c r="B42" s="235" t="s">
        <v>201</v>
      </c>
      <c r="C42" s="236"/>
      <c r="D42" s="236"/>
      <c r="E42" s="236"/>
      <c r="F42" s="237"/>
      <c r="I42" s="235" t="s">
        <v>202</v>
      </c>
      <c r="J42" s="236"/>
      <c r="K42" s="236"/>
      <c r="L42" s="236"/>
      <c r="M42" s="237"/>
    </row>
    <row r="43" spans="2:13" x14ac:dyDescent="0.2">
      <c r="B43" s="74" t="s">
        <v>1</v>
      </c>
      <c r="C43" s="248" t="s">
        <v>2</v>
      </c>
      <c r="D43" s="254"/>
      <c r="E43" s="74" t="s">
        <v>3</v>
      </c>
      <c r="F43" s="74" t="s">
        <v>4</v>
      </c>
      <c r="I43" s="74" t="s">
        <v>1</v>
      </c>
      <c r="J43" s="248" t="s">
        <v>2</v>
      </c>
      <c r="K43" s="254"/>
      <c r="L43" s="74" t="s">
        <v>3</v>
      </c>
      <c r="M43" s="74" t="s">
        <v>4</v>
      </c>
    </row>
    <row r="44" spans="2:13" x14ac:dyDescent="0.2">
      <c r="B44" s="74" t="s">
        <v>203</v>
      </c>
      <c r="C44" s="152">
        <v>20</v>
      </c>
      <c r="D44" s="103" t="s">
        <v>6</v>
      </c>
      <c r="E44" s="106">
        <f>'SUPPLIER &amp; PRICE'!F147</f>
        <v>158.57142857142901</v>
      </c>
      <c r="F44" s="107">
        <f>SUM(E44*C44)</f>
        <v>3171.4285714285702</v>
      </c>
      <c r="I44" s="74" t="s">
        <v>204</v>
      </c>
      <c r="J44" s="152">
        <v>200</v>
      </c>
      <c r="K44" s="103" t="s">
        <v>6</v>
      </c>
      <c r="L44" s="106">
        <f>'SUPPLIER &amp; PRICE'!F6</f>
        <v>42</v>
      </c>
      <c r="M44" s="107">
        <f>SUM(L44*J44)</f>
        <v>8400</v>
      </c>
    </row>
    <row r="45" spans="2:13" x14ac:dyDescent="0.2">
      <c r="B45" s="146" t="s">
        <v>20</v>
      </c>
      <c r="C45" s="146">
        <v>20</v>
      </c>
      <c r="D45" s="146" t="s">
        <v>6</v>
      </c>
      <c r="E45" s="241"/>
      <c r="F45" s="255"/>
      <c r="I45" s="146" t="s">
        <v>20</v>
      </c>
      <c r="J45" s="146">
        <v>200</v>
      </c>
      <c r="K45" s="146" t="s">
        <v>6</v>
      </c>
      <c r="L45" s="241"/>
      <c r="M45" s="255"/>
    </row>
    <row r="46" spans="2:13" ht="16" customHeight="1" x14ac:dyDescent="0.2">
      <c r="B46" s="217" t="s">
        <v>23</v>
      </c>
      <c r="C46" s="218"/>
      <c r="D46" s="218"/>
      <c r="E46" s="219"/>
      <c r="F46" s="96">
        <f>SUM(F42:F44)</f>
        <v>3171.4285714285702</v>
      </c>
      <c r="I46" s="217" t="s">
        <v>23</v>
      </c>
      <c r="J46" s="218"/>
      <c r="K46" s="218"/>
      <c r="L46" s="219"/>
      <c r="M46" s="96">
        <f>SUM(M42:M44)</f>
        <v>8400</v>
      </c>
    </row>
    <row r="47" spans="2:13" ht="18" customHeight="1" x14ac:dyDescent="0.2">
      <c r="B47" s="217" t="s">
        <v>26</v>
      </c>
      <c r="C47" s="218"/>
      <c r="D47" s="218"/>
      <c r="E47" s="219"/>
      <c r="F47" s="98">
        <f>SUM(F46*0.05)</f>
        <v>158.57142857142901</v>
      </c>
      <c r="I47" s="217" t="s">
        <v>26</v>
      </c>
      <c r="J47" s="218"/>
      <c r="K47" s="218"/>
      <c r="L47" s="219"/>
      <c r="M47" s="98">
        <f>SUM(M46*0.05)</f>
        <v>420</v>
      </c>
    </row>
    <row r="48" spans="2:13" x14ac:dyDescent="0.2">
      <c r="B48" s="217" t="s">
        <v>28</v>
      </c>
      <c r="C48" s="218"/>
      <c r="D48" s="218"/>
      <c r="E48" s="219"/>
      <c r="F48" s="98">
        <f>SUM(F46:F47)</f>
        <v>3330</v>
      </c>
      <c r="I48" s="217" t="s">
        <v>28</v>
      </c>
      <c r="J48" s="218"/>
      <c r="K48" s="218"/>
      <c r="L48" s="219"/>
      <c r="M48" s="98">
        <f>SUM(M46:M47)</f>
        <v>8820</v>
      </c>
    </row>
    <row r="49" spans="2:13" x14ac:dyDescent="0.2">
      <c r="B49" s="221" t="s">
        <v>31</v>
      </c>
      <c r="C49" s="222"/>
      <c r="D49" s="222"/>
      <c r="E49" s="223"/>
      <c r="F49" s="99">
        <f>SUM(F48/F50)</f>
        <v>0.66600000000000004</v>
      </c>
      <c r="I49" s="221" t="s">
        <v>31</v>
      </c>
      <c r="J49" s="222"/>
      <c r="K49" s="222"/>
      <c r="L49" s="223"/>
      <c r="M49" s="99">
        <f>SUM(M48/M50)</f>
        <v>0.88200000000000001</v>
      </c>
    </row>
    <row r="50" spans="2:13" x14ac:dyDescent="0.2">
      <c r="B50" s="221" t="s">
        <v>32</v>
      </c>
      <c r="C50" s="222"/>
      <c r="D50" s="222"/>
      <c r="E50" s="223"/>
      <c r="F50" s="100">
        <v>5000</v>
      </c>
      <c r="I50" s="221" t="s">
        <v>32</v>
      </c>
      <c r="J50" s="222"/>
      <c r="K50" s="222"/>
      <c r="L50" s="223"/>
      <c r="M50" s="100">
        <v>10000</v>
      </c>
    </row>
    <row r="52" spans="2:13" x14ac:dyDescent="0.2">
      <c r="B52" s="235" t="s">
        <v>205</v>
      </c>
      <c r="C52" s="236"/>
      <c r="D52" s="236"/>
      <c r="E52" s="236"/>
      <c r="F52" s="237"/>
      <c r="I52" s="235" t="s">
        <v>206</v>
      </c>
      <c r="J52" s="236"/>
      <c r="K52" s="236"/>
      <c r="L52" s="236"/>
      <c r="M52" s="237"/>
    </row>
    <row r="53" spans="2:13" x14ac:dyDescent="0.2">
      <c r="B53" s="74" t="s">
        <v>1</v>
      </c>
      <c r="C53" s="248" t="s">
        <v>2</v>
      </c>
      <c r="D53" s="254"/>
      <c r="E53" s="74" t="s">
        <v>3</v>
      </c>
      <c r="F53" s="74" t="s">
        <v>4</v>
      </c>
      <c r="I53" s="74" t="s">
        <v>1</v>
      </c>
      <c r="J53" s="248" t="s">
        <v>2</v>
      </c>
      <c r="K53" s="254"/>
      <c r="L53" s="74" t="s">
        <v>3</v>
      </c>
      <c r="M53" s="74" t="s">
        <v>4</v>
      </c>
    </row>
    <row r="54" spans="2:13" x14ac:dyDescent="0.2">
      <c r="B54" s="74" t="s">
        <v>207</v>
      </c>
      <c r="C54" s="152">
        <v>200</v>
      </c>
      <c r="D54" s="103" t="s">
        <v>6</v>
      </c>
      <c r="E54" s="106">
        <f>'SUPPLIER &amp; PRICE'!F5</f>
        <v>35</v>
      </c>
      <c r="F54" s="107">
        <f>SUM(E54*C54)</f>
        <v>7000</v>
      </c>
      <c r="I54" s="74" t="s">
        <v>208</v>
      </c>
      <c r="J54" s="152">
        <v>200</v>
      </c>
      <c r="K54" s="103" t="s">
        <v>6</v>
      </c>
      <c r="L54" s="106">
        <f>'SUPPLIER &amp; PRICE'!F7</f>
        <v>48</v>
      </c>
      <c r="M54" s="107">
        <f>SUM(L54*J54)</f>
        <v>9600</v>
      </c>
    </row>
    <row r="55" spans="2:13" x14ac:dyDescent="0.2">
      <c r="B55" s="146" t="s">
        <v>20</v>
      </c>
      <c r="C55" s="146">
        <v>200</v>
      </c>
      <c r="D55" s="146" t="s">
        <v>6</v>
      </c>
      <c r="E55" s="241"/>
      <c r="F55" s="255"/>
      <c r="I55" s="146" t="s">
        <v>20</v>
      </c>
      <c r="J55" s="146">
        <v>200</v>
      </c>
      <c r="K55" s="146" t="s">
        <v>6</v>
      </c>
      <c r="L55" s="241"/>
      <c r="M55" s="255"/>
    </row>
    <row r="56" spans="2:13" ht="21" customHeight="1" x14ac:dyDescent="0.2">
      <c r="B56" s="217" t="s">
        <v>23</v>
      </c>
      <c r="C56" s="218"/>
      <c r="D56" s="218"/>
      <c r="E56" s="219"/>
      <c r="F56" s="96">
        <f>SUM(F52:F54)</f>
        <v>7000</v>
      </c>
      <c r="I56" s="217" t="s">
        <v>23</v>
      </c>
      <c r="J56" s="218"/>
      <c r="K56" s="218"/>
      <c r="L56" s="219"/>
      <c r="M56" s="96">
        <f>SUM(M52:M54)</f>
        <v>9600</v>
      </c>
    </row>
    <row r="57" spans="2:13" ht="16" customHeight="1" x14ac:dyDescent="0.2">
      <c r="B57" s="217" t="s">
        <v>26</v>
      </c>
      <c r="C57" s="218"/>
      <c r="D57" s="218"/>
      <c r="E57" s="219"/>
      <c r="F57" s="98">
        <f>SUM(F56*0.05)</f>
        <v>350</v>
      </c>
      <c r="I57" s="217" t="s">
        <v>26</v>
      </c>
      <c r="J57" s="218"/>
      <c r="K57" s="218"/>
      <c r="L57" s="219"/>
      <c r="M57" s="98">
        <f>SUM(M56*0.05)</f>
        <v>480</v>
      </c>
    </row>
    <row r="58" spans="2:13" x14ac:dyDescent="0.2">
      <c r="B58" s="217" t="s">
        <v>28</v>
      </c>
      <c r="C58" s="218"/>
      <c r="D58" s="218"/>
      <c r="E58" s="219"/>
      <c r="F58" s="98">
        <f>SUM(F56:F57)</f>
        <v>7350</v>
      </c>
      <c r="I58" s="217" t="s">
        <v>28</v>
      </c>
      <c r="J58" s="218"/>
      <c r="K58" s="218"/>
      <c r="L58" s="219"/>
      <c r="M58" s="98">
        <f>SUM(M56:M57)</f>
        <v>10080</v>
      </c>
    </row>
    <row r="59" spans="2:13" x14ac:dyDescent="0.2">
      <c r="B59" s="221" t="s">
        <v>31</v>
      </c>
      <c r="C59" s="222"/>
      <c r="D59" s="222"/>
      <c r="E59" s="223"/>
      <c r="F59" s="99">
        <f>SUM(F58/F60)</f>
        <v>0.73499999999999999</v>
      </c>
      <c r="I59" s="221" t="s">
        <v>31</v>
      </c>
      <c r="J59" s="222"/>
      <c r="K59" s="222"/>
      <c r="L59" s="223"/>
      <c r="M59" s="99">
        <f>SUM(M58/M60)</f>
        <v>0.84</v>
      </c>
    </row>
    <row r="60" spans="2:13" x14ac:dyDescent="0.2">
      <c r="B60" s="221" t="s">
        <v>32</v>
      </c>
      <c r="C60" s="222"/>
      <c r="D60" s="222"/>
      <c r="E60" s="223"/>
      <c r="F60" s="100">
        <v>10000</v>
      </c>
      <c r="I60" s="221" t="s">
        <v>32</v>
      </c>
      <c r="J60" s="222"/>
      <c r="K60" s="222"/>
      <c r="L60" s="223"/>
      <c r="M60" s="100">
        <v>12000</v>
      </c>
    </row>
    <row r="63" spans="2:13" x14ac:dyDescent="0.2">
      <c r="B63" s="273" t="s">
        <v>209</v>
      </c>
      <c r="C63" s="274"/>
      <c r="D63" s="274"/>
      <c r="E63" s="274"/>
      <c r="F63" s="274"/>
      <c r="G63" s="274"/>
      <c r="H63" s="274"/>
      <c r="I63" s="274"/>
      <c r="J63" s="274"/>
      <c r="K63" s="274"/>
      <c r="L63" s="274"/>
      <c r="M63" s="274"/>
    </row>
    <row r="64" spans="2:13" x14ac:dyDescent="0.2">
      <c r="B64" s="275"/>
      <c r="C64" s="276"/>
      <c r="D64" s="276"/>
      <c r="E64" s="276"/>
      <c r="F64" s="276"/>
      <c r="G64" s="276"/>
      <c r="H64" s="276"/>
      <c r="I64" s="276"/>
      <c r="J64" s="276"/>
      <c r="K64" s="276"/>
      <c r="L64" s="276"/>
      <c r="M64" s="276"/>
    </row>
    <row r="65" spans="2:13" x14ac:dyDescent="0.2">
      <c r="B65" s="275"/>
      <c r="C65" s="276"/>
      <c r="D65" s="276"/>
      <c r="E65" s="276"/>
      <c r="F65" s="276"/>
      <c r="G65" s="276"/>
      <c r="H65" s="276"/>
      <c r="I65" s="276"/>
      <c r="J65" s="276"/>
      <c r="K65" s="276"/>
      <c r="L65" s="276"/>
      <c r="M65" s="276"/>
    </row>
    <row r="66" spans="2:13" x14ac:dyDescent="0.2">
      <c r="B66" s="277"/>
      <c r="C66" s="278"/>
      <c r="D66" s="278"/>
      <c r="E66" s="278"/>
      <c r="F66" s="278"/>
      <c r="G66" s="278"/>
      <c r="H66" s="278"/>
      <c r="I66" s="278"/>
      <c r="J66" s="278"/>
      <c r="K66" s="278"/>
      <c r="L66" s="278"/>
      <c r="M66" s="278"/>
    </row>
    <row r="68" spans="2:13" x14ac:dyDescent="0.2">
      <c r="B68" s="235" t="s">
        <v>210</v>
      </c>
      <c r="C68" s="236"/>
      <c r="D68" s="236"/>
      <c r="E68" s="236"/>
      <c r="F68" s="237"/>
      <c r="I68" s="235" t="s">
        <v>211</v>
      </c>
      <c r="J68" s="236"/>
      <c r="K68" s="236"/>
      <c r="L68" s="236"/>
      <c r="M68" s="237"/>
    </row>
    <row r="69" spans="2:13" x14ac:dyDescent="0.2">
      <c r="B69" s="74" t="s">
        <v>1</v>
      </c>
      <c r="C69" s="248" t="s">
        <v>2</v>
      </c>
      <c r="D69" s="254"/>
      <c r="E69" s="74" t="s">
        <v>3</v>
      </c>
      <c r="F69" s="74" t="s">
        <v>4</v>
      </c>
      <c r="I69" s="74" t="s">
        <v>1</v>
      </c>
      <c r="J69" s="248" t="s">
        <v>2</v>
      </c>
      <c r="K69" s="254"/>
      <c r="L69" s="74" t="s">
        <v>3</v>
      </c>
      <c r="M69" s="74" t="s">
        <v>4</v>
      </c>
    </row>
    <row r="70" spans="2:13" x14ac:dyDescent="0.2">
      <c r="B70" s="74" t="s">
        <v>212</v>
      </c>
      <c r="C70" s="104">
        <v>10</v>
      </c>
      <c r="D70" s="105" t="s">
        <v>17</v>
      </c>
      <c r="E70" s="106">
        <f>'SUPPLIER &amp; PRICE'!F17</f>
        <v>22</v>
      </c>
      <c r="F70" s="107">
        <f t="shared" ref="F70:F77" si="3">SUM(E70*C70)</f>
        <v>220</v>
      </c>
      <c r="I70" s="74" t="s">
        <v>213</v>
      </c>
      <c r="J70" s="104">
        <v>200</v>
      </c>
      <c r="K70" s="105" t="s">
        <v>17</v>
      </c>
      <c r="L70" s="106">
        <f>'SUPPLIER &amp; PRICE'!F19</f>
        <v>30</v>
      </c>
      <c r="M70" s="107">
        <f>SUM(L70*J70)</f>
        <v>6000</v>
      </c>
    </row>
    <row r="71" spans="2:13" x14ac:dyDescent="0.2">
      <c r="B71" s="74" t="s">
        <v>214</v>
      </c>
      <c r="C71" s="109">
        <v>5</v>
      </c>
      <c r="D71" s="110" t="s">
        <v>17</v>
      </c>
      <c r="E71" s="106">
        <f>'SUPPLIER &amp; PRICE'!F21</f>
        <v>60</v>
      </c>
      <c r="F71" s="107">
        <f t="shared" si="3"/>
        <v>300</v>
      </c>
      <c r="I71" s="74" t="s">
        <v>215</v>
      </c>
      <c r="J71" s="109">
        <v>200</v>
      </c>
      <c r="K71" s="110" t="s">
        <v>17</v>
      </c>
      <c r="L71" s="106">
        <f>'SUPPLIER &amp; PRICE'!F16</f>
        <v>22.2222222222222</v>
      </c>
      <c r="M71" s="107">
        <f>SUM(L71*J71)</f>
        <v>4444.4444444444398</v>
      </c>
    </row>
    <row r="72" spans="2:13" x14ac:dyDescent="0.2">
      <c r="B72" s="74" t="s">
        <v>216</v>
      </c>
      <c r="C72" s="109">
        <v>100</v>
      </c>
      <c r="D72" s="110" t="s">
        <v>17</v>
      </c>
      <c r="E72" s="106">
        <f>'SUPPLIER &amp; PRICE'!F20</f>
        <v>10</v>
      </c>
      <c r="F72" s="107">
        <f t="shared" si="3"/>
        <v>1000</v>
      </c>
      <c r="I72" s="74" t="s">
        <v>217</v>
      </c>
      <c r="J72" s="109">
        <v>100</v>
      </c>
      <c r="K72" s="110" t="s">
        <v>17</v>
      </c>
      <c r="L72" s="106">
        <f>'SUPPLIER &amp; PRICE'!F23</f>
        <v>35</v>
      </c>
      <c r="M72" s="107">
        <f>SUM(L72*J72)</f>
        <v>3500</v>
      </c>
    </row>
    <row r="73" spans="2:13" x14ac:dyDescent="0.2">
      <c r="B73" s="74" t="s">
        <v>215</v>
      </c>
      <c r="C73" s="109">
        <v>200</v>
      </c>
      <c r="D73" s="110" t="s">
        <v>17</v>
      </c>
      <c r="E73" s="106">
        <f>'SUPPLIER &amp; PRICE'!F16</f>
        <v>22.2222222222222</v>
      </c>
      <c r="F73" s="107">
        <f t="shared" si="3"/>
        <v>4444.4444444444398</v>
      </c>
      <c r="I73" s="101" t="s">
        <v>218</v>
      </c>
      <c r="J73" s="109">
        <v>60</v>
      </c>
      <c r="K73" s="110" t="s">
        <v>6</v>
      </c>
      <c r="L73" s="106">
        <f>'SUPPLIER &amp; PRICE'!F9</f>
        <v>66.6666666666667</v>
      </c>
      <c r="M73" s="107">
        <f>SUM(L73*J73)</f>
        <v>4000</v>
      </c>
    </row>
    <row r="74" spans="2:13" x14ac:dyDescent="0.2">
      <c r="B74" s="74" t="s">
        <v>217</v>
      </c>
      <c r="C74" s="109">
        <v>100</v>
      </c>
      <c r="D74" s="110" t="s">
        <v>17</v>
      </c>
      <c r="E74" s="106">
        <f>'SUPPLIER &amp; PRICE'!F23</f>
        <v>35</v>
      </c>
      <c r="F74" s="107">
        <f t="shared" si="3"/>
        <v>3500</v>
      </c>
      <c r="I74" s="74" t="s">
        <v>89</v>
      </c>
      <c r="J74" s="118">
        <v>20</v>
      </c>
      <c r="K74" s="103" t="s">
        <v>6</v>
      </c>
      <c r="L74" s="106">
        <f>'SUPPLIER &amp; PRICE'!F8</f>
        <v>116.666666666667</v>
      </c>
      <c r="M74" s="107">
        <f>SUM(L74*J74)</f>
        <v>2333.3333333333399</v>
      </c>
    </row>
    <row r="75" spans="2:13" x14ac:dyDescent="0.2">
      <c r="B75" s="74" t="s">
        <v>218</v>
      </c>
      <c r="C75" s="109">
        <v>60</v>
      </c>
      <c r="D75" s="110" t="s">
        <v>6</v>
      </c>
      <c r="E75" s="106">
        <f>'SUPPLIER &amp; PRICE'!F9</f>
        <v>66.6666666666667</v>
      </c>
      <c r="F75" s="107">
        <f t="shared" si="3"/>
        <v>4000</v>
      </c>
      <c r="I75" s="97" t="s">
        <v>20</v>
      </c>
      <c r="J75" s="97">
        <v>300</v>
      </c>
      <c r="K75" s="97" t="s">
        <v>6</v>
      </c>
      <c r="L75" s="160"/>
      <c r="M75" s="160"/>
    </row>
    <row r="76" spans="2:13" x14ac:dyDescent="0.2">
      <c r="B76" s="74" t="s">
        <v>89</v>
      </c>
      <c r="C76" s="118">
        <v>20</v>
      </c>
      <c r="D76" s="103" t="s">
        <v>6</v>
      </c>
      <c r="E76" s="106">
        <f>'SUPPLIER &amp; PRICE'!F8</f>
        <v>116.666666666667</v>
      </c>
      <c r="F76" s="107">
        <f t="shared" si="3"/>
        <v>2333.3333333333399</v>
      </c>
      <c r="I76" s="221" t="s">
        <v>29</v>
      </c>
      <c r="J76" s="222"/>
      <c r="K76" s="223"/>
      <c r="L76" s="93" t="s">
        <v>219</v>
      </c>
      <c r="M76" s="94">
        <f>SUM(L72*50)</f>
        <v>1750</v>
      </c>
    </row>
    <row r="77" spans="2:13" x14ac:dyDescent="0.2">
      <c r="B77" s="95" t="s">
        <v>193</v>
      </c>
      <c r="C77" s="95">
        <v>50</v>
      </c>
      <c r="D77" s="95" t="s">
        <v>6</v>
      </c>
      <c r="E77" s="119">
        <f>'SUPPLIER &amp; PRICE'!F56</f>
        <v>1.0526315789473699</v>
      </c>
      <c r="F77" s="107">
        <f t="shared" si="3"/>
        <v>52.631578947368503</v>
      </c>
      <c r="I77" s="217" t="s">
        <v>23</v>
      </c>
      <c r="J77" s="218"/>
      <c r="K77" s="218"/>
      <c r="L77" s="219"/>
      <c r="M77" s="96">
        <f>SUM(M70:M76)</f>
        <v>22027.777777777799</v>
      </c>
    </row>
    <row r="78" spans="2:13" x14ac:dyDescent="0.2">
      <c r="B78" s="97" t="s">
        <v>20</v>
      </c>
      <c r="C78" s="97">
        <v>300</v>
      </c>
      <c r="D78" s="97" t="s">
        <v>6</v>
      </c>
      <c r="E78" s="238"/>
      <c r="F78" s="238"/>
      <c r="I78" s="217" t="s">
        <v>26</v>
      </c>
      <c r="J78" s="218"/>
      <c r="K78" s="218"/>
      <c r="L78" s="219"/>
      <c r="M78" s="98">
        <f>SUM(M77*0.05)</f>
        <v>1101.3888888888901</v>
      </c>
    </row>
    <row r="79" spans="2:13" x14ac:dyDescent="0.2">
      <c r="B79" s="256" t="s">
        <v>29</v>
      </c>
      <c r="C79" s="257"/>
      <c r="D79" s="258"/>
      <c r="E79" s="121" t="s">
        <v>220</v>
      </c>
      <c r="F79" s="122">
        <f>E70*5</f>
        <v>110</v>
      </c>
      <c r="I79" s="217" t="s">
        <v>28</v>
      </c>
      <c r="J79" s="218"/>
      <c r="K79" s="218"/>
      <c r="L79" s="219"/>
      <c r="M79" s="98">
        <f>SUM(M77:M78)</f>
        <v>23129.166666666701</v>
      </c>
    </row>
    <row r="80" spans="2:13" x14ac:dyDescent="0.2">
      <c r="B80" s="232"/>
      <c r="C80" s="233"/>
      <c r="D80" s="234"/>
      <c r="E80" s="121" t="s">
        <v>221</v>
      </c>
      <c r="F80" s="123">
        <f>SUM(E72*10)</f>
        <v>100</v>
      </c>
      <c r="I80" s="221" t="s">
        <v>31</v>
      </c>
      <c r="J80" s="222"/>
      <c r="K80" s="222"/>
      <c r="L80" s="223"/>
      <c r="M80" s="99">
        <f>SUM(M79/M81)</f>
        <v>0.30838888888888899</v>
      </c>
    </row>
    <row r="81" spans="2:13" x14ac:dyDescent="0.2">
      <c r="B81" s="217" t="s">
        <v>23</v>
      </c>
      <c r="C81" s="218"/>
      <c r="D81" s="218"/>
      <c r="E81" s="219"/>
      <c r="F81" s="96">
        <f>SUM(F70:F80)</f>
        <v>16060.4093567251</v>
      </c>
      <c r="I81" s="221" t="s">
        <v>32</v>
      </c>
      <c r="J81" s="222"/>
      <c r="K81" s="222"/>
      <c r="L81" s="223"/>
      <c r="M81" s="100">
        <v>75000</v>
      </c>
    </row>
    <row r="82" spans="2:13" x14ac:dyDescent="0.2">
      <c r="B82" s="217" t="s">
        <v>26</v>
      </c>
      <c r="C82" s="218"/>
      <c r="D82" s="218"/>
      <c r="E82" s="219"/>
      <c r="F82" s="98">
        <f>SUM(F81*0.05)</f>
        <v>803.02046783625701</v>
      </c>
    </row>
    <row r="83" spans="2:13" x14ac:dyDescent="0.2">
      <c r="B83" s="217" t="s">
        <v>28</v>
      </c>
      <c r="C83" s="218"/>
      <c r="D83" s="218"/>
      <c r="E83" s="219"/>
      <c r="F83" s="98">
        <f>SUM(F81:F82)</f>
        <v>16863.429824561401</v>
      </c>
    </row>
    <row r="84" spans="2:13" x14ac:dyDescent="0.2">
      <c r="B84" s="221" t="s">
        <v>31</v>
      </c>
      <c r="C84" s="222"/>
      <c r="D84" s="222"/>
      <c r="E84" s="223"/>
      <c r="F84" s="99">
        <f>SUM(F83/F85)</f>
        <v>0.224845730994152</v>
      </c>
    </row>
    <row r="85" spans="2:13" x14ac:dyDescent="0.2">
      <c r="B85" s="221" t="s">
        <v>32</v>
      </c>
      <c r="C85" s="222"/>
      <c r="D85" s="222"/>
      <c r="E85" s="223"/>
      <c r="F85" s="100">
        <v>75000</v>
      </c>
    </row>
    <row r="87" spans="2:13" x14ac:dyDescent="0.2">
      <c r="B87" s="235" t="s">
        <v>222</v>
      </c>
      <c r="C87" s="236"/>
      <c r="D87" s="236"/>
      <c r="E87" s="236"/>
      <c r="F87" s="237"/>
    </row>
    <row r="88" spans="2:13" x14ac:dyDescent="0.2">
      <c r="B88" s="74" t="s">
        <v>1</v>
      </c>
      <c r="C88" s="248" t="s">
        <v>2</v>
      </c>
      <c r="D88" s="254"/>
      <c r="E88" s="74" t="s">
        <v>3</v>
      </c>
      <c r="F88" s="74" t="s">
        <v>4</v>
      </c>
    </row>
    <row r="89" spans="2:13" x14ac:dyDescent="0.2">
      <c r="B89" s="74" t="s">
        <v>215</v>
      </c>
      <c r="C89" s="109">
        <v>450</v>
      </c>
      <c r="D89" s="110" t="s">
        <v>17</v>
      </c>
      <c r="E89" s="106">
        <f>'SUPPLIER &amp; PRICE'!F16</f>
        <v>22.2222222222222</v>
      </c>
      <c r="F89" s="107">
        <f>SUM(E89*C89)</f>
        <v>10000</v>
      </c>
    </row>
    <row r="90" spans="2:13" x14ac:dyDescent="0.2">
      <c r="B90" s="74" t="s">
        <v>223</v>
      </c>
      <c r="C90" s="109">
        <v>100</v>
      </c>
      <c r="D90" s="110" t="s">
        <v>17</v>
      </c>
      <c r="E90" s="106">
        <f>'SUPPLIER &amp; PRICE'!F25</f>
        <v>85</v>
      </c>
      <c r="F90" s="107">
        <f>SUM(E90*C90)</f>
        <v>8500</v>
      </c>
    </row>
    <row r="91" spans="2:13" x14ac:dyDescent="0.2">
      <c r="B91" s="101" t="s">
        <v>218</v>
      </c>
      <c r="C91" s="109">
        <v>120</v>
      </c>
      <c r="D91" s="110" t="s">
        <v>6</v>
      </c>
      <c r="E91" s="106">
        <f>'SUPPLIER &amp; PRICE'!F9</f>
        <v>66.6666666666667</v>
      </c>
      <c r="F91" s="107">
        <f>SUM(E91*C91)</f>
        <v>8000</v>
      </c>
    </row>
    <row r="92" spans="2:13" x14ac:dyDescent="0.2">
      <c r="B92" s="74" t="s">
        <v>89</v>
      </c>
      <c r="C92" s="118">
        <v>30</v>
      </c>
      <c r="D92" s="103" t="s">
        <v>6</v>
      </c>
      <c r="E92" s="106">
        <f>'SUPPLIER &amp; PRICE'!F8</f>
        <v>116.666666666667</v>
      </c>
      <c r="F92" s="107">
        <f>SUM(E92*C92)</f>
        <v>3500.00000000001</v>
      </c>
    </row>
    <row r="93" spans="2:13" x14ac:dyDescent="0.2">
      <c r="B93" s="97" t="s">
        <v>20</v>
      </c>
      <c r="C93" s="97">
        <v>300</v>
      </c>
      <c r="D93" s="97" t="s">
        <v>6</v>
      </c>
      <c r="E93" s="160"/>
      <c r="F93" s="160"/>
    </row>
    <row r="94" spans="2:13" x14ac:dyDescent="0.2">
      <c r="B94" s="221" t="s">
        <v>29</v>
      </c>
      <c r="C94" s="222"/>
      <c r="D94" s="223"/>
      <c r="E94" s="93" t="s">
        <v>224</v>
      </c>
      <c r="F94" s="94">
        <f>SUM(E90*20)</f>
        <v>1700</v>
      </c>
    </row>
    <row r="95" spans="2:13" x14ac:dyDescent="0.2">
      <c r="B95" s="217" t="s">
        <v>23</v>
      </c>
      <c r="C95" s="218"/>
      <c r="D95" s="218"/>
      <c r="E95" s="219"/>
      <c r="F95" s="96">
        <f>SUM(F89:F94)</f>
        <v>31700</v>
      </c>
    </row>
    <row r="96" spans="2:13" x14ac:dyDescent="0.2">
      <c r="B96" s="217" t="s">
        <v>26</v>
      </c>
      <c r="C96" s="218"/>
      <c r="D96" s="218"/>
      <c r="E96" s="219"/>
      <c r="F96" s="98">
        <f>SUM(F95*0.05)</f>
        <v>1585</v>
      </c>
    </row>
    <row r="97" spans="2:19" x14ac:dyDescent="0.2">
      <c r="B97" s="217" t="s">
        <v>28</v>
      </c>
      <c r="C97" s="218"/>
      <c r="D97" s="218"/>
      <c r="E97" s="219"/>
      <c r="F97" s="98">
        <f>SUM(F95:F96)</f>
        <v>33285</v>
      </c>
    </row>
    <row r="98" spans="2:19" x14ac:dyDescent="0.2">
      <c r="B98" s="221" t="s">
        <v>31</v>
      </c>
      <c r="C98" s="222"/>
      <c r="D98" s="222"/>
      <c r="E98" s="223"/>
      <c r="F98" s="99">
        <f>SUM(F97/F99)</f>
        <v>0.44379999999999997</v>
      </c>
    </row>
    <row r="99" spans="2:19" x14ac:dyDescent="0.2">
      <c r="B99" s="221" t="s">
        <v>32</v>
      </c>
      <c r="C99" s="222"/>
      <c r="D99" s="222"/>
      <c r="E99" s="223"/>
      <c r="F99" s="100">
        <v>75000</v>
      </c>
    </row>
    <row r="102" spans="2:19" x14ac:dyDescent="0.2">
      <c r="B102" s="273" t="s">
        <v>225</v>
      </c>
      <c r="C102" s="274"/>
      <c r="D102" s="274"/>
      <c r="E102" s="274"/>
      <c r="F102" s="274"/>
      <c r="G102" s="274"/>
      <c r="H102" s="274"/>
      <c r="I102" s="274"/>
      <c r="J102" s="274"/>
      <c r="K102" s="274"/>
      <c r="L102" s="274"/>
      <c r="M102" s="274"/>
    </row>
    <row r="103" spans="2:19" x14ac:dyDescent="0.2">
      <c r="B103" s="275"/>
      <c r="C103" s="276"/>
      <c r="D103" s="276"/>
      <c r="E103" s="276"/>
      <c r="F103" s="276"/>
      <c r="G103" s="276"/>
      <c r="H103" s="276"/>
      <c r="I103" s="276"/>
      <c r="J103" s="276"/>
      <c r="K103" s="276"/>
      <c r="L103" s="276"/>
      <c r="M103" s="276"/>
    </row>
    <row r="104" spans="2:19" x14ac:dyDescent="0.2">
      <c r="B104" s="275"/>
      <c r="C104" s="276"/>
      <c r="D104" s="276"/>
      <c r="E104" s="276"/>
      <c r="F104" s="276"/>
      <c r="G104" s="276"/>
      <c r="H104" s="276"/>
      <c r="I104" s="276"/>
      <c r="J104" s="276"/>
      <c r="K104" s="276"/>
      <c r="L104" s="276"/>
      <c r="M104" s="276"/>
    </row>
    <row r="105" spans="2:19" x14ac:dyDescent="0.2">
      <c r="B105" s="277"/>
      <c r="C105" s="278"/>
      <c r="D105" s="278"/>
      <c r="E105" s="278"/>
      <c r="F105" s="278"/>
      <c r="G105" s="278"/>
      <c r="H105" s="278"/>
      <c r="I105" s="278"/>
      <c r="J105" s="278"/>
      <c r="K105" s="278"/>
      <c r="L105" s="278"/>
      <c r="M105" s="278"/>
    </row>
    <row r="107" spans="2:19" x14ac:dyDescent="0.2">
      <c r="B107" s="235" t="s">
        <v>226</v>
      </c>
      <c r="C107" s="236"/>
      <c r="D107" s="236"/>
      <c r="E107" s="236"/>
      <c r="F107" s="237"/>
      <c r="I107" s="235" t="s">
        <v>227</v>
      </c>
      <c r="J107" s="236"/>
      <c r="K107" s="236"/>
      <c r="L107" s="236"/>
      <c r="M107" s="237"/>
      <c r="O107" s="235" t="s">
        <v>228</v>
      </c>
      <c r="P107" s="236"/>
      <c r="Q107" s="236"/>
      <c r="R107" s="236"/>
      <c r="S107" s="237"/>
    </row>
    <row r="108" spans="2:19" x14ac:dyDescent="0.2">
      <c r="B108" s="74" t="s">
        <v>1</v>
      </c>
      <c r="C108" s="248" t="s">
        <v>2</v>
      </c>
      <c r="D108" s="254"/>
      <c r="E108" s="74" t="s">
        <v>3</v>
      </c>
      <c r="F108" s="74" t="s">
        <v>4</v>
      </c>
      <c r="I108" s="74" t="s">
        <v>1</v>
      </c>
      <c r="J108" s="248" t="s">
        <v>2</v>
      </c>
      <c r="K108" s="254"/>
      <c r="L108" s="74" t="s">
        <v>3</v>
      </c>
      <c r="M108" s="74" t="s">
        <v>4</v>
      </c>
      <c r="O108" s="74" t="s">
        <v>1</v>
      </c>
      <c r="P108" s="248" t="s">
        <v>2</v>
      </c>
      <c r="Q108" s="254"/>
      <c r="R108" s="74" t="s">
        <v>3</v>
      </c>
      <c r="S108" s="74" t="s">
        <v>4</v>
      </c>
    </row>
    <row r="109" spans="2:19" x14ac:dyDescent="0.2">
      <c r="B109" s="74" t="s">
        <v>229</v>
      </c>
      <c r="C109" s="152">
        <v>200</v>
      </c>
      <c r="D109" s="103" t="s">
        <v>17</v>
      </c>
      <c r="E109" s="106">
        <f>'SUPPLIER &amp; PRICE'!F11</f>
        <v>60</v>
      </c>
      <c r="F109" s="107">
        <f>SUM(E109*C109)</f>
        <v>12000</v>
      </c>
      <c r="I109" s="74" t="s">
        <v>230</v>
      </c>
      <c r="J109" s="152">
        <v>700</v>
      </c>
      <c r="K109" s="103" t="s">
        <v>17</v>
      </c>
      <c r="L109" s="106">
        <f>'SUPPLIER &amp; PRICE'!F12</f>
        <v>15</v>
      </c>
      <c r="M109" s="107">
        <f>SUM(L109*J109)</f>
        <v>10500</v>
      </c>
      <c r="O109" s="74" t="s">
        <v>231</v>
      </c>
      <c r="P109" s="152">
        <v>100</v>
      </c>
      <c r="Q109" s="103" t="s">
        <v>17</v>
      </c>
      <c r="R109" s="106">
        <f>'SUPPLIER &amp; PRICE'!F19</f>
        <v>30</v>
      </c>
      <c r="S109" s="107">
        <f>SUM(R109*P109)</f>
        <v>3000</v>
      </c>
    </row>
    <row r="110" spans="2:19" x14ac:dyDescent="0.2">
      <c r="B110" s="95" t="s">
        <v>193</v>
      </c>
      <c r="C110" s="95">
        <v>100</v>
      </c>
      <c r="D110" s="95" t="s">
        <v>6</v>
      </c>
      <c r="E110" s="119">
        <f>'SUPPLIER &amp; PRICE'!F56</f>
        <v>1.0526315789473699</v>
      </c>
      <c r="F110" s="107">
        <f>SUM(E110*C110)</f>
        <v>105.26315789473701</v>
      </c>
      <c r="I110" s="95" t="s">
        <v>193</v>
      </c>
      <c r="J110" s="95">
        <v>50</v>
      </c>
      <c r="K110" s="95" t="s">
        <v>6</v>
      </c>
      <c r="L110" s="119">
        <f>E110</f>
        <v>1.0526315789473699</v>
      </c>
      <c r="M110" s="107">
        <f>SUM(L110*J110)</f>
        <v>52.631578947368403</v>
      </c>
      <c r="O110" s="95" t="s">
        <v>193</v>
      </c>
      <c r="P110" s="95">
        <v>50</v>
      </c>
      <c r="Q110" s="95" t="s">
        <v>6</v>
      </c>
      <c r="R110" s="119">
        <f>L110</f>
        <v>1.0526315789473699</v>
      </c>
      <c r="S110" s="107">
        <f>SUM(R110*P110)</f>
        <v>52.631578947368503</v>
      </c>
    </row>
    <row r="111" spans="2:19" x14ac:dyDescent="0.2">
      <c r="B111" s="97" t="s">
        <v>20</v>
      </c>
      <c r="C111" s="97">
        <v>240</v>
      </c>
      <c r="D111" s="97" t="s">
        <v>6</v>
      </c>
      <c r="E111" s="238"/>
      <c r="F111" s="238"/>
      <c r="I111" s="97" t="s">
        <v>20</v>
      </c>
      <c r="J111" s="97">
        <v>240</v>
      </c>
      <c r="K111" s="97" t="s">
        <v>6</v>
      </c>
      <c r="L111" s="238"/>
      <c r="M111" s="238"/>
      <c r="O111" s="97" t="s">
        <v>20</v>
      </c>
      <c r="P111" s="97">
        <v>240</v>
      </c>
      <c r="Q111" s="97" t="s">
        <v>6</v>
      </c>
      <c r="R111" s="238"/>
      <c r="S111" s="238"/>
    </row>
    <row r="112" spans="2:19" x14ac:dyDescent="0.2">
      <c r="B112" s="217" t="s">
        <v>23</v>
      </c>
      <c r="C112" s="218"/>
      <c r="D112" s="218"/>
      <c r="E112" s="219"/>
      <c r="F112" s="96">
        <f>SUM(F107:F110)</f>
        <v>12105.2631578947</v>
      </c>
      <c r="I112" s="217" t="s">
        <v>23</v>
      </c>
      <c r="J112" s="218"/>
      <c r="K112" s="218"/>
      <c r="L112" s="219"/>
      <c r="M112" s="96">
        <f>SUM(M107:M110)</f>
        <v>10552.631578947399</v>
      </c>
      <c r="O112" s="217" t="s">
        <v>23</v>
      </c>
      <c r="P112" s="218"/>
      <c r="Q112" s="218"/>
      <c r="R112" s="219"/>
      <c r="S112" s="96">
        <f>SUM(S107:S110)</f>
        <v>3052.6315789473701</v>
      </c>
    </row>
    <row r="113" spans="2:19" x14ac:dyDescent="0.2">
      <c r="B113" s="217" t="s">
        <v>26</v>
      </c>
      <c r="C113" s="218"/>
      <c r="D113" s="218"/>
      <c r="E113" s="219"/>
      <c r="F113" s="98">
        <f>SUM(F112*0.05)</f>
        <v>605.26315789473699</v>
      </c>
      <c r="I113" s="217" t="s">
        <v>26</v>
      </c>
      <c r="J113" s="218"/>
      <c r="K113" s="218"/>
      <c r="L113" s="219"/>
      <c r="M113" s="98">
        <f>SUM(M112*0.05)</f>
        <v>527.63157894736798</v>
      </c>
      <c r="O113" s="217" t="s">
        <v>26</v>
      </c>
      <c r="P113" s="218"/>
      <c r="Q113" s="218"/>
      <c r="R113" s="219"/>
      <c r="S113" s="98">
        <f>SUM(S112*0.05)</f>
        <v>152.63157894736801</v>
      </c>
    </row>
    <row r="114" spans="2:19" x14ac:dyDescent="0.2">
      <c r="B114" s="217" t="s">
        <v>28</v>
      </c>
      <c r="C114" s="218"/>
      <c r="D114" s="218"/>
      <c r="E114" s="219"/>
      <c r="F114" s="98">
        <f>SUM(F112:F113)</f>
        <v>12710.526315789501</v>
      </c>
      <c r="I114" s="217" t="s">
        <v>28</v>
      </c>
      <c r="J114" s="218"/>
      <c r="K114" s="218"/>
      <c r="L114" s="219"/>
      <c r="M114" s="98">
        <f>SUM(M112:M113)</f>
        <v>11080.2631578947</v>
      </c>
      <c r="O114" s="217" t="s">
        <v>28</v>
      </c>
      <c r="P114" s="218"/>
      <c r="Q114" s="218"/>
      <c r="R114" s="219"/>
      <c r="S114" s="98">
        <f>SUM(S112:S113)</f>
        <v>3205.2631578947398</v>
      </c>
    </row>
    <row r="115" spans="2:19" x14ac:dyDescent="0.2">
      <c r="B115" s="221" t="s">
        <v>31</v>
      </c>
      <c r="C115" s="222"/>
      <c r="D115" s="222"/>
      <c r="E115" s="223"/>
      <c r="F115" s="99">
        <f>SUM(F114/F116)</f>
        <v>0.25421052631579</v>
      </c>
      <c r="I115" s="221" t="s">
        <v>31</v>
      </c>
      <c r="J115" s="222"/>
      <c r="K115" s="222"/>
      <c r="L115" s="223"/>
      <c r="M115" s="99">
        <f>SUM(M114/M116)</f>
        <v>0.221605263157894</v>
      </c>
      <c r="O115" s="221" t="s">
        <v>31</v>
      </c>
      <c r="P115" s="222"/>
      <c r="Q115" s="222"/>
      <c r="R115" s="223"/>
      <c r="S115" s="99">
        <f>SUM(S114/S116)</f>
        <v>6.4105263157894707E-2</v>
      </c>
    </row>
    <row r="116" spans="2:19" x14ac:dyDescent="0.2">
      <c r="B116" s="221" t="s">
        <v>32</v>
      </c>
      <c r="C116" s="222"/>
      <c r="D116" s="222"/>
      <c r="E116" s="223"/>
      <c r="F116" s="100">
        <v>50000</v>
      </c>
      <c r="I116" s="221" t="s">
        <v>32</v>
      </c>
      <c r="J116" s="222"/>
      <c r="K116" s="222"/>
      <c r="L116" s="223"/>
      <c r="M116" s="100">
        <v>50000</v>
      </c>
      <c r="O116" s="221" t="s">
        <v>32</v>
      </c>
      <c r="P116" s="222"/>
      <c r="Q116" s="222"/>
      <c r="R116" s="223"/>
      <c r="S116" s="100">
        <v>50000</v>
      </c>
    </row>
    <row r="118" spans="2:19" x14ac:dyDescent="0.2">
      <c r="B118" s="235" t="s">
        <v>232</v>
      </c>
      <c r="C118" s="236"/>
      <c r="D118" s="236"/>
      <c r="E118" s="236"/>
      <c r="F118" s="237"/>
      <c r="I118" s="235" t="s">
        <v>233</v>
      </c>
      <c r="J118" s="236"/>
      <c r="K118" s="236"/>
      <c r="L118" s="236"/>
      <c r="M118" s="237"/>
      <c r="O118" s="235" t="s">
        <v>234</v>
      </c>
      <c r="P118" s="236"/>
      <c r="Q118" s="236"/>
      <c r="R118" s="236"/>
      <c r="S118" s="237"/>
    </row>
    <row r="119" spans="2:19" x14ac:dyDescent="0.2">
      <c r="B119" s="74" t="s">
        <v>1</v>
      </c>
      <c r="C119" s="248" t="s">
        <v>2</v>
      </c>
      <c r="D119" s="254"/>
      <c r="E119" s="74" t="s">
        <v>3</v>
      </c>
      <c r="F119" s="74" t="s">
        <v>4</v>
      </c>
      <c r="I119" s="74" t="s">
        <v>1</v>
      </c>
      <c r="J119" s="248" t="s">
        <v>2</v>
      </c>
      <c r="K119" s="254"/>
      <c r="L119" s="74" t="s">
        <v>3</v>
      </c>
      <c r="M119" s="74" t="s">
        <v>4</v>
      </c>
      <c r="O119" s="74" t="s">
        <v>1</v>
      </c>
      <c r="P119" s="248" t="s">
        <v>2</v>
      </c>
      <c r="Q119" s="254"/>
      <c r="R119" s="74" t="s">
        <v>3</v>
      </c>
      <c r="S119" s="74" t="s">
        <v>4</v>
      </c>
    </row>
    <row r="120" spans="2:19" x14ac:dyDescent="0.2">
      <c r="B120" s="74" t="s">
        <v>218</v>
      </c>
      <c r="C120" s="152">
        <v>200</v>
      </c>
      <c r="D120" s="103" t="s">
        <v>6</v>
      </c>
      <c r="E120" s="106">
        <f>'SUPPLIER &amp; PRICE'!F9</f>
        <v>66.6666666666667</v>
      </c>
      <c r="F120" s="107">
        <f>SUM(E120*C120)</f>
        <v>13333.333333333299</v>
      </c>
      <c r="I120" s="74" t="s">
        <v>89</v>
      </c>
      <c r="J120" s="152">
        <v>40</v>
      </c>
      <c r="K120" s="103" t="s">
        <v>6</v>
      </c>
      <c r="L120" s="106">
        <f>'SUPPLIER &amp; PRICE'!F8</f>
        <v>116.666666666667</v>
      </c>
      <c r="M120" s="107">
        <f>SUM(L120*J120)</f>
        <v>4666.6666666666797</v>
      </c>
      <c r="O120" s="74" t="s">
        <v>235</v>
      </c>
      <c r="P120" s="152">
        <v>300</v>
      </c>
      <c r="Q120" s="103" t="s">
        <v>17</v>
      </c>
      <c r="R120" s="106">
        <f>'SUPPLIER &amp; PRICE'!F23</f>
        <v>35</v>
      </c>
      <c r="S120" s="107">
        <f>SUM(R120*P120)</f>
        <v>10500</v>
      </c>
    </row>
    <row r="121" spans="2:19" x14ac:dyDescent="0.2">
      <c r="B121" s="95" t="s">
        <v>193</v>
      </c>
      <c r="C121" s="95">
        <v>100</v>
      </c>
      <c r="D121" s="95" t="s">
        <v>6</v>
      </c>
      <c r="E121" s="119">
        <f>E110</f>
        <v>1.0526315789473699</v>
      </c>
      <c r="F121" s="107">
        <f>SUM(E121*C121)</f>
        <v>105.26315789473701</v>
      </c>
      <c r="I121" s="95" t="s">
        <v>193</v>
      </c>
      <c r="J121" s="95">
        <v>200</v>
      </c>
      <c r="K121" s="95" t="s">
        <v>6</v>
      </c>
      <c r="L121" s="119">
        <f>E121</f>
        <v>1.0526315789473699</v>
      </c>
      <c r="M121" s="107">
        <f>SUM(L121*J121)</f>
        <v>210.52631578947401</v>
      </c>
      <c r="O121" s="95" t="s">
        <v>193</v>
      </c>
      <c r="P121" s="95">
        <v>50</v>
      </c>
      <c r="Q121" s="95" t="s">
        <v>6</v>
      </c>
      <c r="R121" s="119">
        <f>L121</f>
        <v>1.0526315789473699</v>
      </c>
      <c r="S121" s="107">
        <f>SUM(R121*P121)</f>
        <v>52.631578947368503</v>
      </c>
    </row>
    <row r="122" spans="2:19" x14ac:dyDescent="0.2">
      <c r="B122" s="97" t="s">
        <v>20</v>
      </c>
      <c r="C122" s="97">
        <v>240</v>
      </c>
      <c r="D122" s="97" t="s">
        <v>6</v>
      </c>
      <c r="E122" s="238"/>
      <c r="F122" s="238"/>
      <c r="I122" s="97" t="s">
        <v>20</v>
      </c>
      <c r="J122" s="97">
        <v>240</v>
      </c>
      <c r="K122" s="97" t="s">
        <v>6</v>
      </c>
      <c r="L122" s="238"/>
      <c r="M122" s="238"/>
      <c r="O122" s="97" t="s">
        <v>20</v>
      </c>
      <c r="P122" s="97">
        <v>240</v>
      </c>
      <c r="Q122" s="97" t="s">
        <v>6</v>
      </c>
      <c r="R122" s="238"/>
      <c r="S122" s="238"/>
    </row>
    <row r="123" spans="2:19" x14ac:dyDescent="0.2">
      <c r="B123" s="221" t="s">
        <v>29</v>
      </c>
      <c r="C123" s="222"/>
      <c r="D123" s="223"/>
      <c r="E123" s="93" t="s">
        <v>30</v>
      </c>
      <c r="F123" s="94">
        <f>ALCOHOL!F95</f>
        <v>1200</v>
      </c>
      <c r="I123" s="217" t="s">
        <v>23</v>
      </c>
      <c r="J123" s="218"/>
      <c r="K123" s="218"/>
      <c r="L123" s="219"/>
      <c r="M123" s="96">
        <f>SUM(M118:M121)</f>
        <v>4877.1929824561503</v>
      </c>
      <c r="O123" s="217" t="s">
        <v>23</v>
      </c>
      <c r="P123" s="218"/>
      <c r="Q123" s="218"/>
      <c r="R123" s="219"/>
      <c r="S123" s="96">
        <f>SUM(S118:S121)</f>
        <v>10552.631578947399</v>
      </c>
    </row>
    <row r="124" spans="2:19" x14ac:dyDescent="0.2">
      <c r="B124" s="217" t="s">
        <v>23</v>
      </c>
      <c r="C124" s="218"/>
      <c r="D124" s="218"/>
      <c r="E124" s="219"/>
      <c r="F124" s="96">
        <f>SUM(F118:F123)</f>
        <v>14638.5964912281</v>
      </c>
      <c r="I124" s="217" t="s">
        <v>26</v>
      </c>
      <c r="J124" s="218"/>
      <c r="K124" s="218"/>
      <c r="L124" s="219"/>
      <c r="M124" s="98">
        <f>SUM(M123*0.05)</f>
        <v>243.85964912280801</v>
      </c>
      <c r="O124" s="217" t="s">
        <v>26</v>
      </c>
      <c r="P124" s="218"/>
      <c r="Q124" s="218"/>
      <c r="R124" s="219"/>
      <c r="S124" s="98">
        <f>SUM(S123*0.05)</f>
        <v>527.63157894736798</v>
      </c>
    </row>
    <row r="125" spans="2:19" x14ac:dyDescent="0.2">
      <c r="B125" s="217" t="s">
        <v>26</v>
      </c>
      <c r="C125" s="218"/>
      <c r="D125" s="218"/>
      <c r="E125" s="219"/>
      <c r="F125" s="98">
        <f>SUM(F124*0.05)</f>
        <v>731.92982456140396</v>
      </c>
      <c r="I125" s="217" t="s">
        <v>28</v>
      </c>
      <c r="J125" s="218"/>
      <c r="K125" s="218"/>
      <c r="L125" s="219"/>
      <c r="M125" s="98">
        <f>SUM(M123:M124)</f>
        <v>5121.0526315789602</v>
      </c>
      <c r="O125" s="217" t="s">
        <v>28</v>
      </c>
      <c r="P125" s="218"/>
      <c r="Q125" s="218"/>
      <c r="R125" s="219"/>
      <c r="S125" s="98">
        <f>SUM(S123:S124)</f>
        <v>11080.2631578947</v>
      </c>
    </row>
    <row r="126" spans="2:19" x14ac:dyDescent="0.2">
      <c r="B126" s="217" t="s">
        <v>28</v>
      </c>
      <c r="C126" s="218"/>
      <c r="D126" s="218"/>
      <c r="E126" s="219"/>
      <c r="F126" s="98">
        <f>SUM(F124:F125)</f>
        <v>15370.526315789501</v>
      </c>
      <c r="I126" s="221" t="s">
        <v>31</v>
      </c>
      <c r="J126" s="222"/>
      <c r="K126" s="222"/>
      <c r="L126" s="223"/>
      <c r="M126" s="99">
        <f>SUM(M125/M127)</f>
        <v>0.102421052631579</v>
      </c>
      <c r="O126" s="221" t="s">
        <v>31</v>
      </c>
      <c r="P126" s="222"/>
      <c r="Q126" s="222"/>
      <c r="R126" s="223"/>
      <c r="S126" s="99">
        <f>SUM(S125/S127)</f>
        <v>0.221605263157895</v>
      </c>
    </row>
    <row r="127" spans="2:19" x14ac:dyDescent="0.2">
      <c r="B127" s="221" t="s">
        <v>31</v>
      </c>
      <c r="C127" s="222"/>
      <c r="D127" s="222"/>
      <c r="E127" s="223"/>
      <c r="F127" s="99">
        <f>SUM(F126/F128)</f>
        <v>0.30741052631579002</v>
      </c>
      <c r="I127" s="221" t="s">
        <v>32</v>
      </c>
      <c r="J127" s="222"/>
      <c r="K127" s="222"/>
      <c r="L127" s="223"/>
      <c r="M127" s="100">
        <v>50000</v>
      </c>
      <c r="O127" s="221" t="s">
        <v>32</v>
      </c>
      <c r="P127" s="222"/>
      <c r="Q127" s="222"/>
      <c r="R127" s="223"/>
      <c r="S127" s="100">
        <v>50000</v>
      </c>
    </row>
    <row r="128" spans="2:19" x14ac:dyDescent="0.2">
      <c r="B128" s="221" t="s">
        <v>32</v>
      </c>
      <c r="C128" s="222"/>
      <c r="D128" s="222"/>
      <c r="E128" s="223"/>
      <c r="F128" s="100">
        <v>50000</v>
      </c>
    </row>
    <row r="130" spans="2:13" x14ac:dyDescent="0.2">
      <c r="B130" s="235" t="s">
        <v>236</v>
      </c>
      <c r="C130" s="236"/>
      <c r="D130" s="236"/>
      <c r="E130" s="236"/>
      <c r="F130" s="237"/>
      <c r="I130" s="235" t="s">
        <v>237</v>
      </c>
      <c r="J130" s="236"/>
      <c r="K130" s="236"/>
      <c r="L130" s="236"/>
      <c r="M130" s="237"/>
    </row>
    <row r="131" spans="2:13" x14ac:dyDescent="0.2">
      <c r="B131" s="74" t="s">
        <v>1</v>
      </c>
      <c r="C131" s="248" t="s">
        <v>2</v>
      </c>
      <c r="D131" s="254"/>
      <c r="E131" s="74" t="s">
        <v>3</v>
      </c>
      <c r="F131" s="74" t="s">
        <v>4</v>
      </c>
      <c r="I131" s="74" t="s">
        <v>1</v>
      </c>
      <c r="J131" s="248" t="s">
        <v>2</v>
      </c>
      <c r="K131" s="254"/>
      <c r="L131" s="74" t="s">
        <v>3</v>
      </c>
      <c r="M131" s="74" t="s">
        <v>4</v>
      </c>
    </row>
    <row r="132" spans="2:13" x14ac:dyDescent="0.2">
      <c r="B132" s="74" t="s">
        <v>238</v>
      </c>
      <c r="C132" s="152">
        <v>450</v>
      </c>
      <c r="D132" s="103" t="s">
        <v>17</v>
      </c>
      <c r="E132" s="106">
        <f>'SUPPLIER &amp; PRICE'!F16</f>
        <v>22.2222222222222</v>
      </c>
      <c r="F132" s="107">
        <f>SUM(E132*C132)</f>
        <v>10000</v>
      </c>
      <c r="I132" s="74" t="s">
        <v>239</v>
      </c>
      <c r="J132" s="152">
        <v>100</v>
      </c>
      <c r="K132" s="103" t="s">
        <v>17</v>
      </c>
      <c r="L132" s="106">
        <f>'SUPPLIER &amp; PRICE'!F25</f>
        <v>85</v>
      </c>
      <c r="M132" s="107">
        <f>SUM(L132*J132)</f>
        <v>8500</v>
      </c>
    </row>
    <row r="133" spans="2:13" x14ac:dyDescent="0.2">
      <c r="B133" s="95" t="s">
        <v>193</v>
      </c>
      <c r="C133" s="95">
        <v>50</v>
      </c>
      <c r="D133" s="95" t="s">
        <v>6</v>
      </c>
      <c r="E133" s="119">
        <f>E121</f>
        <v>1.0526315789473699</v>
      </c>
      <c r="F133" s="107">
        <f>SUM(E133*C133)</f>
        <v>52.631578947368403</v>
      </c>
      <c r="I133" s="95" t="s">
        <v>193</v>
      </c>
      <c r="J133" s="95">
        <v>50</v>
      </c>
      <c r="K133" s="95" t="s">
        <v>6</v>
      </c>
      <c r="L133" s="119">
        <f>L121</f>
        <v>1.0526315789473699</v>
      </c>
      <c r="M133" s="107">
        <f>SUM(L133*J133)</f>
        <v>52.631578947368403</v>
      </c>
    </row>
    <row r="134" spans="2:13" x14ac:dyDescent="0.2">
      <c r="B134" s="97" t="s">
        <v>20</v>
      </c>
      <c r="C134" s="97">
        <v>240</v>
      </c>
      <c r="D134" s="97" t="s">
        <v>6</v>
      </c>
      <c r="E134" s="238"/>
      <c r="F134" s="238"/>
      <c r="I134" s="97" t="s">
        <v>20</v>
      </c>
      <c r="J134" s="97">
        <v>240</v>
      </c>
      <c r="K134" s="97" t="s">
        <v>6</v>
      </c>
      <c r="L134" s="238"/>
      <c r="M134" s="238"/>
    </row>
    <row r="135" spans="2:13" x14ac:dyDescent="0.2">
      <c r="B135" s="217" t="s">
        <v>23</v>
      </c>
      <c r="C135" s="218"/>
      <c r="D135" s="218"/>
      <c r="E135" s="219"/>
      <c r="F135" s="96">
        <f>SUM(F130:F133)</f>
        <v>10052.631578947399</v>
      </c>
      <c r="I135" s="217" t="s">
        <v>23</v>
      </c>
      <c r="J135" s="218"/>
      <c r="K135" s="218"/>
      <c r="L135" s="219"/>
      <c r="M135" s="96">
        <f>SUM(M130:M133)</f>
        <v>8552.6315789473701</v>
      </c>
    </row>
    <row r="136" spans="2:13" x14ac:dyDescent="0.2">
      <c r="B136" s="217" t="s">
        <v>26</v>
      </c>
      <c r="C136" s="218"/>
      <c r="D136" s="218"/>
      <c r="E136" s="219"/>
      <c r="F136" s="98">
        <f>SUM(F135*0.05)</f>
        <v>502.63157894736798</v>
      </c>
      <c r="I136" s="217" t="s">
        <v>26</v>
      </c>
      <c r="J136" s="218"/>
      <c r="K136" s="218"/>
      <c r="L136" s="219"/>
      <c r="M136" s="98">
        <f>SUM(M135*0.05)</f>
        <v>427.63157894736798</v>
      </c>
    </row>
    <row r="137" spans="2:13" x14ac:dyDescent="0.2">
      <c r="B137" s="217" t="s">
        <v>28</v>
      </c>
      <c r="C137" s="218"/>
      <c r="D137" s="218"/>
      <c r="E137" s="219"/>
      <c r="F137" s="98">
        <f>SUM(F135:F136)</f>
        <v>10555.2631578947</v>
      </c>
      <c r="I137" s="217" t="s">
        <v>28</v>
      </c>
      <c r="J137" s="218"/>
      <c r="K137" s="218"/>
      <c r="L137" s="219"/>
      <c r="M137" s="98">
        <f>SUM(M135:M136)</f>
        <v>8980.2631578947403</v>
      </c>
    </row>
    <row r="138" spans="2:13" x14ac:dyDescent="0.2">
      <c r="B138" s="221" t="s">
        <v>31</v>
      </c>
      <c r="C138" s="222"/>
      <c r="D138" s="222"/>
      <c r="E138" s="223"/>
      <c r="F138" s="99">
        <f>SUM(F137/F139)</f>
        <v>0.21110526315789399</v>
      </c>
      <c r="I138" s="221" t="s">
        <v>31</v>
      </c>
      <c r="J138" s="222"/>
      <c r="K138" s="222"/>
      <c r="L138" s="223"/>
      <c r="M138" s="99">
        <f>SUM(M137/M139)</f>
        <v>0.17960526315789499</v>
      </c>
    </row>
    <row r="139" spans="2:13" x14ac:dyDescent="0.2">
      <c r="B139" s="221" t="s">
        <v>32</v>
      </c>
      <c r="C139" s="222"/>
      <c r="D139" s="222"/>
      <c r="E139" s="223"/>
      <c r="F139" s="100">
        <v>50000</v>
      </c>
      <c r="I139" s="221" t="s">
        <v>32</v>
      </c>
      <c r="J139" s="222"/>
      <c r="K139" s="222"/>
      <c r="L139" s="223"/>
      <c r="M139" s="100">
        <v>50000</v>
      </c>
    </row>
    <row r="143" spans="2:13" x14ac:dyDescent="0.2">
      <c r="B143" s="273" t="s">
        <v>240</v>
      </c>
      <c r="C143" s="274"/>
      <c r="D143" s="274"/>
      <c r="E143" s="274"/>
      <c r="F143" s="274"/>
      <c r="G143" s="274"/>
      <c r="H143" s="274"/>
      <c r="I143" s="274"/>
      <c r="J143" s="274"/>
      <c r="K143" s="274"/>
      <c r="L143" s="274"/>
      <c r="M143" s="274"/>
    </row>
    <row r="144" spans="2:13" x14ac:dyDescent="0.2">
      <c r="B144" s="275"/>
      <c r="C144" s="276"/>
      <c r="D144" s="276"/>
      <c r="E144" s="276"/>
      <c r="F144" s="276"/>
      <c r="G144" s="276"/>
      <c r="H144" s="276"/>
      <c r="I144" s="276"/>
      <c r="J144" s="276"/>
      <c r="K144" s="276"/>
      <c r="L144" s="276"/>
      <c r="M144" s="276"/>
    </row>
    <row r="145" spans="2:13" x14ac:dyDescent="0.2">
      <c r="B145" s="275"/>
      <c r="C145" s="276"/>
      <c r="D145" s="276"/>
      <c r="E145" s="276"/>
      <c r="F145" s="276"/>
      <c r="G145" s="276"/>
      <c r="H145" s="276"/>
      <c r="I145" s="276"/>
      <c r="J145" s="276"/>
      <c r="K145" s="276"/>
      <c r="L145" s="276"/>
      <c r="M145" s="276"/>
    </row>
    <row r="146" spans="2:13" x14ac:dyDescent="0.2">
      <c r="B146" s="277"/>
      <c r="C146" s="278"/>
      <c r="D146" s="278"/>
      <c r="E146" s="278"/>
      <c r="F146" s="278"/>
      <c r="G146" s="278"/>
      <c r="H146" s="278"/>
      <c r="I146" s="278"/>
      <c r="J146" s="278"/>
      <c r="K146" s="278"/>
      <c r="L146" s="278"/>
      <c r="M146" s="278"/>
    </row>
    <row r="148" spans="2:13" x14ac:dyDescent="0.2">
      <c r="B148" s="235" t="s">
        <v>241</v>
      </c>
      <c r="C148" s="236"/>
      <c r="D148" s="236"/>
      <c r="E148" s="236"/>
      <c r="F148" s="237"/>
      <c r="I148" s="235" t="s">
        <v>242</v>
      </c>
      <c r="J148" s="236"/>
      <c r="K148" s="236"/>
      <c r="L148" s="236"/>
      <c r="M148" s="237"/>
    </row>
    <row r="149" spans="2:13" x14ac:dyDescent="0.2">
      <c r="B149" s="74" t="s">
        <v>1</v>
      </c>
      <c r="C149" s="248" t="s">
        <v>2</v>
      </c>
      <c r="D149" s="254"/>
      <c r="E149" s="74" t="s">
        <v>3</v>
      </c>
      <c r="F149" s="74" t="s">
        <v>4</v>
      </c>
      <c r="I149" s="74" t="s">
        <v>1</v>
      </c>
      <c r="J149" s="248" t="s">
        <v>2</v>
      </c>
      <c r="K149" s="254"/>
      <c r="L149" s="74" t="s">
        <v>3</v>
      </c>
      <c r="M149" s="74" t="s">
        <v>4</v>
      </c>
    </row>
    <row r="150" spans="2:13" x14ac:dyDescent="0.2">
      <c r="B150" s="74" t="s">
        <v>243</v>
      </c>
      <c r="C150" s="152">
        <v>5</v>
      </c>
      <c r="D150" s="103" t="s">
        <v>17</v>
      </c>
      <c r="E150" s="106">
        <f>'SUPPLIER &amp; PRICE'!F121</f>
        <v>6160</v>
      </c>
      <c r="F150" s="107">
        <f>SUM(E150*C150)</f>
        <v>30800</v>
      </c>
      <c r="I150" s="74" t="s">
        <v>244</v>
      </c>
      <c r="J150" s="152">
        <v>5</v>
      </c>
      <c r="K150" s="103" t="s">
        <v>17</v>
      </c>
      <c r="L150" s="106">
        <f>'SUPPLIER &amp; PRICE'!F126</f>
        <v>2222.2222222222199</v>
      </c>
      <c r="M150" s="107">
        <f>SUM(L150*J150)</f>
        <v>11111.1111111111</v>
      </c>
    </row>
    <row r="151" spans="2:13" x14ac:dyDescent="0.2">
      <c r="B151" s="95" t="s">
        <v>193</v>
      </c>
      <c r="C151" s="95">
        <v>1000</v>
      </c>
      <c r="D151" s="95" t="s">
        <v>6</v>
      </c>
      <c r="E151" s="119">
        <f>'SUPPLIER &amp; PRICE'!F56</f>
        <v>1.0526315789473699</v>
      </c>
      <c r="F151" s="107">
        <f>SUM(E151*C151)</f>
        <v>1052.6315789473699</v>
      </c>
      <c r="I151" s="95" t="s">
        <v>193</v>
      </c>
      <c r="J151" s="95">
        <v>1000</v>
      </c>
      <c r="K151" s="95" t="s">
        <v>6</v>
      </c>
      <c r="L151" s="119">
        <f>E151</f>
        <v>1.0526315789473699</v>
      </c>
      <c r="M151" s="107">
        <f>SUM(L151*J151)</f>
        <v>1052.6315789473699</v>
      </c>
    </row>
    <row r="152" spans="2:13" x14ac:dyDescent="0.2">
      <c r="B152" s="97" t="s">
        <v>20</v>
      </c>
      <c r="C152" s="97">
        <v>1000</v>
      </c>
      <c r="D152" s="97" t="s">
        <v>6</v>
      </c>
      <c r="E152" s="238"/>
      <c r="F152" s="238"/>
      <c r="I152" s="97" t="s">
        <v>20</v>
      </c>
      <c r="J152" s="97">
        <v>1000</v>
      </c>
      <c r="K152" s="97" t="s">
        <v>6</v>
      </c>
      <c r="L152" s="238"/>
      <c r="M152" s="238"/>
    </row>
    <row r="153" spans="2:13" x14ac:dyDescent="0.2">
      <c r="B153" s="217" t="s">
        <v>23</v>
      </c>
      <c r="C153" s="218"/>
      <c r="D153" s="218"/>
      <c r="E153" s="219"/>
      <c r="F153" s="96">
        <f>SUM(F148:F151)</f>
        <v>31852.631578947399</v>
      </c>
      <c r="I153" s="217" t="s">
        <v>23</v>
      </c>
      <c r="J153" s="218"/>
      <c r="K153" s="218"/>
      <c r="L153" s="219"/>
      <c r="M153" s="96">
        <f>SUM(M148:M151)</f>
        <v>12163.7426900585</v>
      </c>
    </row>
    <row r="154" spans="2:13" x14ac:dyDescent="0.2">
      <c r="B154" s="217" t="s">
        <v>26</v>
      </c>
      <c r="C154" s="218"/>
      <c r="D154" s="218"/>
      <c r="E154" s="219"/>
      <c r="F154" s="98">
        <f>SUM(F153*0.05)</f>
        <v>1592.6315789473699</v>
      </c>
      <c r="I154" s="217" t="s">
        <v>26</v>
      </c>
      <c r="J154" s="218"/>
      <c r="K154" s="218"/>
      <c r="L154" s="219"/>
      <c r="M154" s="98">
        <f>SUM(M153*0.05)</f>
        <v>608.18713450292398</v>
      </c>
    </row>
    <row r="155" spans="2:13" x14ac:dyDescent="0.2">
      <c r="B155" s="217" t="s">
        <v>28</v>
      </c>
      <c r="C155" s="218"/>
      <c r="D155" s="218"/>
      <c r="E155" s="219"/>
      <c r="F155" s="98">
        <f>SUM(F153:F154)</f>
        <v>33445.263157894697</v>
      </c>
      <c r="I155" s="217" t="s">
        <v>28</v>
      </c>
      <c r="J155" s="218"/>
      <c r="K155" s="218"/>
      <c r="L155" s="219"/>
      <c r="M155" s="98">
        <f>SUM(M153:M154)</f>
        <v>12771.929824561401</v>
      </c>
    </row>
    <row r="156" spans="2:13" x14ac:dyDescent="0.2">
      <c r="B156" s="221" t="s">
        <v>31</v>
      </c>
      <c r="C156" s="222"/>
      <c r="D156" s="222"/>
      <c r="E156" s="223"/>
      <c r="F156" s="99">
        <f>SUM(F155/F157)</f>
        <v>0.39347368421052598</v>
      </c>
      <c r="I156" s="221" t="s">
        <v>31</v>
      </c>
      <c r="J156" s="222"/>
      <c r="K156" s="222"/>
      <c r="L156" s="223"/>
      <c r="M156" s="99">
        <f>SUM(M155/M157)</f>
        <v>0.15025799793601699</v>
      </c>
    </row>
    <row r="157" spans="2:13" x14ac:dyDescent="0.2">
      <c r="B157" s="221" t="s">
        <v>32</v>
      </c>
      <c r="C157" s="222"/>
      <c r="D157" s="222"/>
      <c r="E157" s="223"/>
      <c r="F157" s="100">
        <v>85000</v>
      </c>
      <c r="I157" s="221" t="s">
        <v>32</v>
      </c>
      <c r="J157" s="222"/>
      <c r="K157" s="222"/>
      <c r="L157" s="223"/>
      <c r="M157" s="100">
        <v>85000</v>
      </c>
    </row>
    <row r="159" spans="2:13" x14ac:dyDescent="0.2">
      <c r="B159" s="235" t="s">
        <v>245</v>
      </c>
      <c r="C159" s="236"/>
      <c r="D159" s="236"/>
      <c r="E159" s="236"/>
      <c r="F159" s="237"/>
      <c r="I159" s="235" t="s">
        <v>246</v>
      </c>
      <c r="J159" s="236"/>
      <c r="K159" s="236"/>
      <c r="L159" s="236"/>
      <c r="M159" s="237"/>
    </row>
    <row r="160" spans="2:13" x14ac:dyDescent="0.2">
      <c r="B160" s="74" t="s">
        <v>1</v>
      </c>
      <c r="C160" s="248" t="s">
        <v>2</v>
      </c>
      <c r="D160" s="254"/>
      <c r="E160" s="74" t="s">
        <v>3</v>
      </c>
      <c r="F160" s="74" t="s">
        <v>4</v>
      </c>
      <c r="I160" s="74" t="s">
        <v>1</v>
      </c>
      <c r="J160" s="248" t="s">
        <v>2</v>
      </c>
      <c r="K160" s="254"/>
      <c r="L160" s="74" t="s">
        <v>3</v>
      </c>
      <c r="M160" s="74" t="s">
        <v>4</v>
      </c>
    </row>
    <row r="161" spans="2:13" x14ac:dyDescent="0.2">
      <c r="B161" s="74" t="s">
        <v>247</v>
      </c>
      <c r="C161" s="152">
        <v>5</v>
      </c>
      <c r="D161" s="103" t="s">
        <v>17</v>
      </c>
      <c r="E161" s="106">
        <f>'SUPPLIER &amp; PRICE'!F120</f>
        <v>3920</v>
      </c>
      <c r="F161" s="107">
        <f>SUM(E161*C161)</f>
        <v>19600</v>
      </c>
      <c r="I161" s="74" t="s">
        <v>248</v>
      </c>
      <c r="J161" s="152">
        <v>5</v>
      </c>
      <c r="K161" s="103" t="s">
        <v>17</v>
      </c>
      <c r="L161" s="106">
        <f>'SUPPLIER &amp; PRICE'!F122</f>
        <v>3920</v>
      </c>
      <c r="M161" s="107">
        <f>SUM(L161*J161)</f>
        <v>19600</v>
      </c>
    </row>
    <row r="162" spans="2:13" x14ac:dyDescent="0.2">
      <c r="B162" s="95" t="s">
        <v>193</v>
      </c>
      <c r="C162" s="95">
        <v>1000</v>
      </c>
      <c r="D162" s="95" t="s">
        <v>6</v>
      </c>
      <c r="E162" s="119">
        <f>E151</f>
        <v>1.0526315789473699</v>
      </c>
      <c r="F162" s="107">
        <f>SUM(E162*C162)</f>
        <v>1052.6315789473699</v>
      </c>
      <c r="I162" s="95" t="s">
        <v>193</v>
      </c>
      <c r="J162" s="95">
        <v>1000</v>
      </c>
      <c r="K162" s="95" t="s">
        <v>6</v>
      </c>
      <c r="L162" s="119">
        <f>L151</f>
        <v>1.0526315789473699</v>
      </c>
      <c r="M162" s="107">
        <f>SUM(L162*J162)</f>
        <v>1052.6315789473699</v>
      </c>
    </row>
    <row r="163" spans="2:13" x14ac:dyDescent="0.2">
      <c r="B163" s="97" t="s">
        <v>20</v>
      </c>
      <c r="C163" s="97">
        <v>1000</v>
      </c>
      <c r="D163" s="97" t="s">
        <v>6</v>
      </c>
      <c r="E163" s="238"/>
      <c r="F163" s="238"/>
      <c r="I163" s="97" t="s">
        <v>20</v>
      </c>
      <c r="J163" s="97">
        <v>1000</v>
      </c>
      <c r="K163" s="97" t="s">
        <v>6</v>
      </c>
      <c r="L163" s="238"/>
      <c r="M163" s="238"/>
    </row>
    <row r="164" spans="2:13" x14ac:dyDescent="0.2">
      <c r="B164" s="217" t="s">
        <v>23</v>
      </c>
      <c r="C164" s="218"/>
      <c r="D164" s="218"/>
      <c r="E164" s="219"/>
      <c r="F164" s="96">
        <f>SUM(F159:F162)</f>
        <v>20652.631578947399</v>
      </c>
      <c r="I164" s="217" t="s">
        <v>23</v>
      </c>
      <c r="J164" s="218"/>
      <c r="K164" s="218"/>
      <c r="L164" s="219"/>
      <c r="M164" s="96">
        <f>SUM(M159:M162)</f>
        <v>20652.631578947399</v>
      </c>
    </row>
    <row r="165" spans="2:13" x14ac:dyDescent="0.2">
      <c r="B165" s="217" t="s">
        <v>26</v>
      </c>
      <c r="C165" s="218"/>
      <c r="D165" s="218"/>
      <c r="E165" s="219"/>
      <c r="F165" s="98">
        <f>SUM(F164*0.05)</f>
        <v>1032.6315789473699</v>
      </c>
      <c r="I165" s="217" t="s">
        <v>26</v>
      </c>
      <c r="J165" s="218"/>
      <c r="K165" s="218"/>
      <c r="L165" s="219"/>
      <c r="M165" s="98">
        <f>SUM(M164*0.05)</f>
        <v>1032.6315789473699</v>
      </c>
    </row>
    <row r="166" spans="2:13" x14ac:dyDescent="0.2">
      <c r="B166" s="217" t="s">
        <v>28</v>
      </c>
      <c r="C166" s="218"/>
      <c r="D166" s="218"/>
      <c r="E166" s="219"/>
      <c r="F166" s="98">
        <f>SUM(F164:F165)</f>
        <v>21685.2631578947</v>
      </c>
      <c r="I166" s="217" t="s">
        <v>28</v>
      </c>
      <c r="J166" s="218"/>
      <c r="K166" s="218"/>
      <c r="L166" s="219"/>
      <c r="M166" s="98">
        <f>SUM(M164:M165)</f>
        <v>21685.2631578947</v>
      </c>
    </row>
    <row r="167" spans="2:13" x14ac:dyDescent="0.2">
      <c r="B167" s="221" t="s">
        <v>31</v>
      </c>
      <c r="C167" s="222"/>
      <c r="D167" s="222"/>
      <c r="E167" s="223"/>
      <c r="F167" s="99">
        <f>SUM(F166/F168)</f>
        <v>0.28913684210526303</v>
      </c>
      <c r="I167" s="221" t="s">
        <v>31</v>
      </c>
      <c r="J167" s="222"/>
      <c r="K167" s="222"/>
      <c r="L167" s="223"/>
      <c r="M167" s="99">
        <f>SUM(M166/M168)</f>
        <v>0.28913684210526303</v>
      </c>
    </row>
    <row r="168" spans="2:13" x14ac:dyDescent="0.2">
      <c r="B168" s="221" t="s">
        <v>32</v>
      </c>
      <c r="C168" s="222"/>
      <c r="D168" s="222"/>
      <c r="E168" s="223"/>
      <c r="F168" s="100">
        <v>75000</v>
      </c>
      <c r="I168" s="221" t="s">
        <v>32</v>
      </c>
      <c r="J168" s="222"/>
      <c r="K168" s="222"/>
      <c r="L168" s="223"/>
      <c r="M168" s="100">
        <v>75000</v>
      </c>
    </row>
    <row r="170" spans="2:13" x14ac:dyDescent="0.2">
      <c r="B170" s="235" t="s">
        <v>249</v>
      </c>
      <c r="C170" s="236"/>
      <c r="D170" s="236"/>
      <c r="E170" s="236"/>
      <c r="F170" s="237"/>
      <c r="I170" s="235" t="s">
        <v>250</v>
      </c>
      <c r="J170" s="236"/>
      <c r="K170" s="236"/>
      <c r="L170" s="236"/>
      <c r="M170" s="237"/>
    </row>
    <row r="171" spans="2:13" x14ac:dyDescent="0.2">
      <c r="B171" s="74" t="s">
        <v>1</v>
      </c>
      <c r="C171" s="248" t="s">
        <v>2</v>
      </c>
      <c r="D171" s="254"/>
      <c r="E171" s="74" t="s">
        <v>3</v>
      </c>
      <c r="F171" s="74" t="s">
        <v>4</v>
      </c>
      <c r="I171" s="74" t="s">
        <v>1</v>
      </c>
      <c r="J171" s="248" t="s">
        <v>2</v>
      </c>
      <c r="K171" s="254"/>
      <c r="L171" s="74" t="s">
        <v>3</v>
      </c>
      <c r="M171" s="74" t="s">
        <v>4</v>
      </c>
    </row>
    <row r="172" spans="2:13" x14ac:dyDescent="0.2">
      <c r="B172" s="74" t="s">
        <v>251</v>
      </c>
      <c r="C172" s="152">
        <v>5</v>
      </c>
      <c r="D172" s="103" t="s">
        <v>17</v>
      </c>
      <c r="E172" s="106">
        <f>'SUPPLIER &amp; PRICE'!F124</f>
        <v>2660</v>
      </c>
      <c r="F172" s="107">
        <f>SUM(E172*C172)</f>
        <v>13300</v>
      </c>
      <c r="I172" s="74" t="s">
        <v>252</v>
      </c>
      <c r="J172" s="152">
        <v>5</v>
      </c>
      <c r="K172" s="103" t="s">
        <v>17</v>
      </c>
      <c r="L172" s="106">
        <f>'SUPPLIER &amp; PRICE'!F125</f>
        <v>1540</v>
      </c>
      <c r="M172" s="107">
        <f>SUM(L172*J172)</f>
        <v>7700</v>
      </c>
    </row>
    <row r="173" spans="2:13" x14ac:dyDescent="0.2">
      <c r="B173" s="95" t="s">
        <v>193</v>
      </c>
      <c r="C173" s="95">
        <v>1000</v>
      </c>
      <c r="D173" s="95" t="s">
        <v>6</v>
      </c>
      <c r="E173" s="119">
        <f>E162</f>
        <v>1.0526315789473699</v>
      </c>
      <c r="F173" s="107">
        <f>SUM(E173*C173)</f>
        <v>1052.6315789473699</v>
      </c>
      <c r="I173" s="95" t="s">
        <v>193</v>
      </c>
      <c r="J173" s="95">
        <v>1000</v>
      </c>
      <c r="K173" s="95" t="s">
        <v>6</v>
      </c>
      <c r="L173" s="119">
        <f>L162</f>
        <v>1.0526315789473699</v>
      </c>
      <c r="M173" s="107">
        <f>SUM(L173*J173)</f>
        <v>1052.6315789473699</v>
      </c>
    </row>
    <row r="174" spans="2:13" x14ac:dyDescent="0.2">
      <c r="B174" s="97" t="s">
        <v>20</v>
      </c>
      <c r="C174" s="97">
        <v>1000</v>
      </c>
      <c r="D174" s="97" t="s">
        <v>6</v>
      </c>
      <c r="E174" s="238"/>
      <c r="F174" s="238"/>
      <c r="I174" s="97" t="s">
        <v>20</v>
      </c>
      <c r="J174" s="97">
        <v>1000</v>
      </c>
      <c r="K174" s="97" t="s">
        <v>6</v>
      </c>
      <c r="L174" s="238"/>
      <c r="M174" s="238"/>
    </row>
    <row r="175" spans="2:13" x14ac:dyDescent="0.2">
      <c r="B175" s="217" t="s">
        <v>23</v>
      </c>
      <c r="C175" s="218"/>
      <c r="D175" s="218"/>
      <c r="E175" s="219"/>
      <c r="F175" s="96">
        <f>SUM(F170:F173)</f>
        <v>14352.631578947399</v>
      </c>
      <c r="I175" s="217" t="s">
        <v>23</v>
      </c>
      <c r="J175" s="218"/>
      <c r="K175" s="218"/>
      <c r="L175" s="219"/>
      <c r="M175" s="96">
        <f>SUM(M170:M173)</f>
        <v>8752.6315789473701</v>
      </c>
    </row>
    <row r="176" spans="2:13" x14ac:dyDescent="0.2">
      <c r="B176" s="217" t="s">
        <v>26</v>
      </c>
      <c r="C176" s="218"/>
      <c r="D176" s="218"/>
      <c r="E176" s="219"/>
      <c r="F176" s="98">
        <f>SUM(F175*0.05)</f>
        <v>717.63157894736798</v>
      </c>
      <c r="I176" s="217" t="s">
        <v>26</v>
      </c>
      <c r="J176" s="218"/>
      <c r="K176" s="218"/>
      <c r="L176" s="219"/>
      <c r="M176" s="98">
        <f>SUM(M175*0.05)</f>
        <v>437.63157894736798</v>
      </c>
    </row>
    <row r="177" spans="2:13" x14ac:dyDescent="0.2">
      <c r="B177" s="217" t="s">
        <v>28</v>
      </c>
      <c r="C177" s="218"/>
      <c r="D177" s="218"/>
      <c r="E177" s="219"/>
      <c r="F177" s="98">
        <f>SUM(F175:F176)</f>
        <v>15070.2631578947</v>
      </c>
      <c r="I177" s="217" t="s">
        <v>28</v>
      </c>
      <c r="J177" s="218"/>
      <c r="K177" s="218"/>
      <c r="L177" s="219"/>
      <c r="M177" s="98">
        <f>SUM(M175:M176)</f>
        <v>9190.2631578947403</v>
      </c>
    </row>
    <row r="178" spans="2:13" x14ac:dyDescent="0.2">
      <c r="B178" s="221" t="s">
        <v>31</v>
      </c>
      <c r="C178" s="222"/>
      <c r="D178" s="222"/>
      <c r="E178" s="223"/>
      <c r="F178" s="99">
        <f>SUM(F177/F179)</f>
        <v>0.200936842105263</v>
      </c>
      <c r="I178" s="221" t="s">
        <v>31</v>
      </c>
      <c r="J178" s="222"/>
      <c r="K178" s="222"/>
      <c r="L178" s="223"/>
      <c r="M178" s="99">
        <f>SUM(M177/M179)</f>
        <v>0.183805263157895</v>
      </c>
    </row>
    <row r="179" spans="2:13" x14ac:dyDescent="0.2">
      <c r="B179" s="221" t="s">
        <v>32</v>
      </c>
      <c r="C179" s="222"/>
      <c r="D179" s="222"/>
      <c r="E179" s="223"/>
      <c r="F179" s="100">
        <v>75000</v>
      </c>
      <c r="I179" s="221" t="s">
        <v>32</v>
      </c>
      <c r="J179" s="222"/>
      <c r="K179" s="222"/>
      <c r="L179" s="223"/>
      <c r="M179" s="100">
        <v>50000</v>
      </c>
    </row>
    <row r="181" spans="2:13" x14ac:dyDescent="0.2">
      <c r="B181" s="235" t="s">
        <v>253</v>
      </c>
      <c r="C181" s="236"/>
      <c r="D181" s="236"/>
      <c r="E181" s="236"/>
      <c r="F181" s="237"/>
      <c r="I181" s="235" t="s">
        <v>254</v>
      </c>
      <c r="J181" s="236"/>
      <c r="K181" s="236"/>
      <c r="L181" s="236"/>
      <c r="M181" s="237"/>
    </row>
    <row r="182" spans="2:13" x14ac:dyDescent="0.2">
      <c r="B182" s="74" t="s">
        <v>1</v>
      </c>
      <c r="C182" s="248" t="s">
        <v>2</v>
      </c>
      <c r="D182" s="254"/>
      <c r="E182" s="74" t="s">
        <v>3</v>
      </c>
      <c r="F182" s="74" t="s">
        <v>4</v>
      </c>
      <c r="I182" s="74" t="s">
        <v>1</v>
      </c>
      <c r="J182" s="248" t="s">
        <v>2</v>
      </c>
      <c r="K182" s="254"/>
      <c r="L182" s="74" t="s">
        <v>3</v>
      </c>
      <c r="M182" s="74" t="s">
        <v>4</v>
      </c>
    </row>
    <row r="183" spans="2:13" x14ac:dyDescent="0.2">
      <c r="B183" s="74" t="s">
        <v>255</v>
      </c>
      <c r="C183" s="152">
        <v>5</v>
      </c>
      <c r="D183" s="103" t="s">
        <v>17</v>
      </c>
      <c r="E183" s="106">
        <f>'SUPPLIER &amp; PRICE'!F123</f>
        <v>3920</v>
      </c>
      <c r="F183" s="107">
        <f>SUM(E183*C183)</f>
        <v>19600</v>
      </c>
      <c r="I183" s="74" t="s">
        <v>256</v>
      </c>
      <c r="J183" s="152">
        <v>2</v>
      </c>
      <c r="K183" s="103" t="s">
        <v>17</v>
      </c>
      <c r="L183" s="106">
        <f>'SUPPLIER &amp; PRICE'!F41</f>
        <v>250</v>
      </c>
      <c r="M183" s="107">
        <f>SUM(L183*J183)</f>
        <v>500</v>
      </c>
    </row>
    <row r="184" spans="2:13" x14ac:dyDescent="0.2">
      <c r="B184" s="95" t="s">
        <v>193</v>
      </c>
      <c r="C184" s="95">
        <v>1000</v>
      </c>
      <c r="D184" s="95" t="s">
        <v>6</v>
      </c>
      <c r="E184" s="119">
        <f>E173</f>
        <v>1.0526315789473699</v>
      </c>
      <c r="F184" s="107">
        <f>SUM(E184*C184)</f>
        <v>1052.6315789473699</v>
      </c>
      <c r="I184" s="95" t="s">
        <v>193</v>
      </c>
      <c r="J184" s="95">
        <v>1000</v>
      </c>
      <c r="K184" s="95" t="s">
        <v>6</v>
      </c>
      <c r="L184" s="119">
        <f>L173</f>
        <v>1.0526315789473699</v>
      </c>
      <c r="M184" s="107">
        <f>SUM(L184*J184)</f>
        <v>1052.6315789473699</v>
      </c>
    </row>
    <row r="185" spans="2:13" x14ac:dyDescent="0.2">
      <c r="B185" s="97" t="s">
        <v>20</v>
      </c>
      <c r="C185" s="97">
        <v>1000</v>
      </c>
      <c r="D185" s="97" t="s">
        <v>6</v>
      </c>
      <c r="E185" s="238"/>
      <c r="F185" s="238"/>
      <c r="I185" s="97" t="s">
        <v>20</v>
      </c>
      <c r="J185" s="97">
        <v>1000</v>
      </c>
      <c r="K185" s="97" t="s">
        <v>6</v>
      </c>
      <c r="L185" s="238"/>
      <c r="M185" s="238"/>
    </row>
    <row r="186" spans="2:13" x14ac:dyDescent="0.2">
      <c r="B186" s="217" t="s">
        <v>23</v>
      </c>
      <c r="C186" s="218"/>
      <c r="D186" s="218"/>
      <c r="E186" s="219"/>
      <c r="F186" s="96">
        <f>SUM(F181:F184)</f>
        <v>20652.631578947399</v>
      </c>
      <c r="I186" s="217" t="s">
        <v>23</v>
      </c>
      <c r="J186" s="218"/>
      <c r="K186" s="218"/>
      <c r="L186" s="219"/>
      <c r="M186" s="96">
        <f>SUM(M181:M184)</f>
        <v>1552.6315789473699</v>
      </c>
    </row>
    <row r="187" spans="2:13" x14ac:dyDescent="0.2">
      <c r="B187" s="217" t="s">
        <v>26</v>
      </c>
      <c r="C187" s="218"/>
      <c r="D187" s="218"/>
      <c r="E187" s="219"/>
      <c r="F187" s="98">
        <f>SUM(F186*0.05)</f>
        <v>1032.6315789473699</v>
      </c>
      <c r="I187" s="217" t="s">
        <v>26</v>
      </c>
      <c r="J187" s="218"/>
      <c r="K187" s="218"/>
      <c r="L187" s="219"/>
      <c r="M187" s="98">
        <f>SUM(M186*0.05)</f>
        <v>77.631578947368396</v>
      </c>
    </row>
    <row r="188" spans="2:13" x14ac:dyDescent="0.2">
      <c r="B188" s="217" t="s">
        <v>28</v>
      </c>
      <c r="C188" s="218"/>
      <c r="D188" s="218"/>
      <c r="E188" s="219"/>
      <c r="F188" s="98">
        <f>SUM(F186:F187)</f>
        <v>21685.2631578947</v>
      </c>
      <c r="I188" s="217" t="s">
        <v>28</v>
      </c>
      <c r="J188" s="218"/>
      <c r="K188" s="218"/>
      <c r="L188" s="219"/>
      <c r="M188" s="98">
        <f>SUM(M186:M187)</f>
        <v>1630.2631578947401</v>
      </c>
    </row>
    <row r="189" spans="2:13" x14ac:dyDescent="0.2">
      <c r="B189" s="221" t="s">
        <v>31</v>
      </c>
      <c r="C189" s="222"/>
      <c r="D189" s="222"/>
      <c r="E189" s="223"/>
      <c r="F189" s="99">
        <f>SUM(F188/F190)</f>
        <v>0.28913684210526303</v>
      </c>
      <c r="I189" s="221" t="s">
        <v>31</v>
      </c>
      <c r="J189" s="222"/>
      <c r="K189" s="222"/>
      <c r="L189" s="223"/>
      <c r="M189" s="99">
        <f>SUM(M188/M190)</f>
        <v>2.03782894736842E-2</v>
      </c>
    </row>
    <row r="190" spans="2:13" x14ac:dyDescent="0.2">
      <c r="B190" s="221" t="s">
        <v>32</v>
      </c>
      <c r="C190" s="222"/>
      <c r="D190" s="222"/>
      <c r="E190" s="223"/>
      <c r="F190" s="100">
        <v>75000</v>
      </c>
      <c r="I190" s="221" t="s">
        <v>32</v>
      </c>
      <c r="J190" s="222"/>
      <c r="K190" s="222"/>
      <c r="L190" s="223"/>
      <c r="M190" s="100">
        <v>80000</v>
      </c>
    </row>
    <row r="192" spans="2:13" x14ac:dyDescent="0.2">
      <c r="B192" s="273" t="s">
        <v>257</v>
      </c>
      <c r="C192" s="274"/>
      <c r="D192" s="274"/>
      <c r="E192" s="274"/>
      <c r="F192" s="274"/>
      <c r="G192" s="274"/>
      <c r="H192" s="274"/>
      <c r="I192" s="274"/>
      <c r="J192" s="274"/>
      <c r="K192" s="274"/>
      <c r="L192" s="274"/>
      <c r="M192" s="274"/>
    </row>
    <row r="193" spans="2:13" x14ac:dyDescent="0.2">
      <c r="B193" s="275"/>
      <c r="C193" s="276"/>
      <c r="D193" s="276"/>
      <c r="E193" s="276"/>
      <c r="F193" s="276"/>
      <c r="G193" s="276"/>
      <c r="H193" s="276"/>
      <c r="I193" s="276"/>
      <c r="J193" s="276"/>
      <c r="K193" s="276"/>
      <c r="L193" s="276"/>
      <c r="M193" s="276"/>
    </row>
    <row r="194" spans="2:13" x14ac:dyDescent="0.2">
      <c r="B194" s="275"/>
      <c r="C194" s="276"/>
      <c r="D194" s="276"/>
      <c r="E194" s="276"/>
      <c r="F194" s="276"/>
      <c r="G194" s="276"/>
      <c r="H194" s="276"/>
      <c r="I194" s="276"/>
      <c r="J194" s="276"/>
      <c r="K194" s="276"/>
      <c r="L194" s="276"/>
      <c r="M194" s="276"/>
    </row>
    <row r="195" spans="2:13" x14ac:dyDescent="0.2">
      <c r="B195" s="277"/>
      <c r="C195" s="278"/>
      <c r="D195" s="278"/>
      <c r="E195" s="278"/>
      <c r="F195" s="278"/>
      <c r="G195" s="278"/>
      <c r="H195" s="278"/>
      <c r="I195" s="278"/>
      <c r="J195" s="278"/>
      <c r="K195" s="278"/>
      <c r="L195" s="278"/>
      <c r="M195" s="278"/>
    </row>
    <row r="197" spans="2:13" x14ac:dyDescent="0.2">
      <c r="B197" s="235" t="s">
        <v>258</v>
      </c>
      <c r="C197" s="236"/>
      <c r="D197" s="236"/>
      <c r="E197" s="236"/>
      <c r="F197" s="237"/>
      <c r="I197" s="235" t="s">
        <v>259</v>
      </c>
      <c r="J197" s="236"/>
      <c r="K197" s="236"/>
      <c r="L197" s="236"/>
      <c r="M197" s="237"/>
    </row>
    <row r="198" spans="2:13" x14ac:dyDescent="0.2">
      <c r="B198" s="74" t="s">
        <v>1</v>
      </c>
      <c r="C198" s="248" t="s">
        <v>2</v>
      </c>
      <c r="D198" s="254"/>
      <c r="E198" s="74" t="s">
        <v>3</v>
      </c>
      <c r="F198" s="74" t="s">
        <v>4</v>
      </c>
      <c r="I198" s="74" t="s">
        <v>1</v>
      </c>
      <c r="J198" s="248" t="s">
        <v>2</v>
      </c>
      <c r="K198" s="254"/>
      <c r="L198" s="74" t="s">
        <v>3</v>
      </c>
      <c r="M198" s="74" t="s">
        <v>4</v>
      </c>
    </row>
    <row r="199" spans="2:13" x14ac:dyDescent="0.2">
      <c r="B199" s="95" t="s">
        <v>258</v>
      </c>
      <c r="C199" s="161">
        <v>1</v>
      </c>
      <c r="D199" s="95" t="s">
        <v>39</v>
      </c>
      <c r="E199" s="119">
        <f>'SUPPLIER &amp; PRICE'!F60</f>
        <v>5625</v>
      </c>
      <c r="F199" s="107">
        <f>SUM(E199*C199)</f>
        <v>5625</v>
      </c>
      <c r="I199" s="95" t="s">
        <v>259</v>
      </c>
      <c r="J199" s="161">
        <v>1</v>
      </c>
      <c r="K199" s="95" t="s">
        <v>39</v>
      </c>
      <c r="L199" s="119">
        <f>'SUPPLIER &amp; PRICE'!F59</f>
        <v>5208.3333333333303</v>
      </c>
      <c r="M199" s="107">
        <f>SUM(L199*J199)</f>
        <v>5208.3333333333303</v>
      </c>
    </row>
    <row r="200" spans="2:13" x14ac:dyDescent="0.2">
      <c r="B200" s="97" t="s">
        <v>20</v>
      </c>
      <c r="C200" s="97">
        <v>1</v>
      </c>
      <c r="D200" s="97" t="s">
        <v>39</v>
      </c>
      <c r="E200" s="94"/>
      <c r="F200" s="162"/>
      <c r="I200" s="97" t="s">
        <v>20</v>
      </c>
      <c r="J200" s="97">
        <v>1</v>
      </c>
      <c r="K200" s="97" t="s">
        <v>39</v>
      </c>
      <c r="L200" s="94"/>
      <c r="M200" s="162"/>
    </row>
    <row r="201" spans="2:13" x14ac:dyDescent="0.2">
      <c r="B201" s="221" t="s">
        <v>29</v>
      </c>
      <c r="C201" s="222"/>
      <c r="D201" s="223"/>
      <c r="E201" s="163" t="s">
        <v>90</v>
      </c>
      <c r="F201" s="164">
        <f>ALCOHOL!N111</f>
        <v>180</v>
      </c>
      <c r="I201" s="221" t="s">
        <v>29</v>
      </c>
      <c r="J201" s="222"/>
      <c r="K201" s="223"/>
      <c r="L201" s="163" t="s">
        <v>90</v>
      </c>
      <c r="M201" s="164">
        <f>F201</f>
        <v>180</v>
      </c>
    </row>
    <row r="202" spans="2:13" x14ac:dyDescent="0.2">
      <c r="B202" s="224" t="s">
        <v>28</v>
      </c>
      <c r="C202" s="225"/>
      <c r="D202" s="225"/>
      <c r="E202" s="219"/>
      <c r="F202" s="98">
        <f>SUM(F199:F201)</f>
        <v>5805</v>
      </c>
      <c r="I202" s="224" t="s">
        <v>28</v>
      </c>
      <c r="J202" s="225"/>
      <c r="K202" s="225"/>
      <c r="L202" s="219"/>
      <c r="M202" s="98">
        <f>SUM(M199:M201)</f>
        <v>5388.3333333333303</v>
      </c>
    </row>
    <row r="203" spans="2:13" x14ac:dyDescent="0.2">
      <c r="B203" s="221" t="s">
        <v>31</v>
      </c>
      <c r="C203" s="222"/>
      <c r="D203" s="222"/>
      <c r="E203" s="223"/>
      <c r="F203" s="99">
        <f>SUM(F202/F204)</f>
        <v>0.145125</v>
      </c>
      <c r="I203" s="221" t="s">
        <v>31</v>
      </c>
      <c r="J203" s="222"/>
      <c r="K203" s="222"/>
      <c r="L203" s="223"/>
      <c r="M203" s="99">
        <f>SUM(M202/M204)</f>
        <v>0.13470833333333301</v>
      </c>
    </row>
    <row r="204" spans="2:13" x14ac:dyDescent="0.2">
      <c r="B204" s="221" t="s">
        <v>32</v>
      </c>
      <c r="C204" s="222"/>
      <c r="D204" s="222"/>
      <c r="E204" s="223"/>
      <c r="F204" s="100">
        <v>40000</v>
      </c>
      <c r="I204" s="221" t="s">
        <v>32</v>
      </c>
      <c r="J204" s="222"/>
      <c r="K204" s="222"/>
      <c r="L204" s="223"/>
      <c r="M204" s="100">
        <v>40000</v>
      </c>
    </row>
    <row r="206" spans="2:13" x14ac:dyDescent="0.2">
      <c r="B206" s="235" t="s">
        <v>260</v>
      </c>
      <c r="C206" s="236"/>
      <c r="D206" s="236"/>
      <c r="E206" s="236"/>
      <c r="F206" s="237"/>
      <c r="I206" s="235" t="s">
        <v>261</v>
      </c>
      <c r="J206" s="236"/>
      <c r="K206" s="236"/>
      <c r="L206" s="236"/>
      <c r="M206" s="237"/>
    </row>
    <row r="207" spans="2:13" x14ac:dyDescent="0.2">
      <c r="B207" s="74" t="s">
        <v>1</v>
      </c>
      <c r="C207" s="248" t="s">
        <v>2</v>
      </c>
      <c r="D207" s="254"/>
      <c r="E207" s="74" t="s">
        <v>3</v>
      </c>
      <c r="F207" s="74" t="s">
        <v>4</v>
      </c>
      <c r="I207" s="74" t="s">
        <v>1</v>
      </c>
      <c r="J207" s="248" t="s">
        <v>2</v>
      </c>
      <c r="K207" s="254"/>
      <c r="L207" s="74" t="s">
        <v>3</v>
      </c>
      <c r="M207" s="74" t="s">
        <v>4</v>
      </c>
    </row>
    <row r="208" spans="2:13" x14ac:dyDescent="0.2">
      <c r="B208" s="95" t="s">
        <v>260</v>
      </c>
      <c r="C208" s="161">
        <v>1</v>
      </c>
      <c r="D208" s="95" t="s">
        <v>39</v>
      </c>
      <c r="E208" s="119">
        <f>'SUPPLIER &amp; PRICE'!F68</f>
        <v>5208.3333333333303</v>
      </c>
      <c r="F208" s="107">
        <f>SUM(E208*C208)</f>
        <v>5208.3333333333303</v>
      </c>
      <c r="I208" s="95" t="s">
        <v>261</v>
      </c>
      <c r="J208" s="161">
        <v>1</v>
      </c>
      <c r="K208" s="95" t="s">
        <v>39</v>
      </c>
      <c r="L208" s="119">
        <f>'SUPPLIER &amp; PRICE'!F62</f>
        <v>5041.6666666666697</v>
      </c>
      <c r="M208" s="107">
        <f>SUM(L208*J208)</f>
        <v>5041.6666666666697</v>
      </c>
    </row>
    <row r="209" spans="2:13" x14ac:dyDescent="0.2">
      <c r="B209" s="97" t="s">
        <v>20</v>
      </c>
      <c r="C209" s="97">
        <v>1</v>
      </c>
      <c r="D209" s="97" t="s">
        <v>39</v>
      </c>
      <c r="E209" s="94"/>
      <c r="F209" s="162"/>
      <c r="I209" s="97" t="s">
        <v>20</v>
      </c>
      <c r="J209" s="97">
        <v>1</v>
      </c>
      <c r="K209" s="97" t="s">
        <v>39</v>
      </c>
      <c r="L209" s="94"/>
      <c r="M209" s="162"/>
    </row>
    <row r="210" spans="2:13" x14ac:dyDescent="0.2">
      <c r="B210" s="221" t="s">
        <v>29</v>
      </c>
      <c r="C210" s="222"/>
      <c r="D210" s="223"/>
      <c r="E210" s="163" t="s">
        <v>90</v>
      </c>
      <c r="F210" s="164">
        <f>F201</f>
        <v>180</v>
      </c>
      <c r="I210" s="221" t="s">
        <v>29</v>
      </c>
      <c r="J210" s="222"/>
      <c r="K210" s="223"/>
      <c r="L210" s="163" t="s">
        <v>90</v>
      </c>
      <c r="M210" s="164">
        <f>M201</f>
        <v>180</v>
      </c>
    </row>
    <row r="211" spans="2:13" x14ac:dyDescent="0.2">
      <c r="B211" s="224" t="s">
        <v>28</v>
      </c>
      <c r="C211" s="225"/>
      <c r="D211" s="225"/>
      <c r="E211" s="219"/>
      <c r="F211" s="98">
        <f>SUM(F208:F210)</f>
        <v>5388.3333333333303</v>
      </c>
      <c r="I211" s="224" t="s">
        <v>28</v>
      </c>
      <c r="J211" s="225"/>
      <c r="K211" s="225"/>
      <c r="L211" s="219"/>
      <c r="M211" s="98">
        <f>SUM(M208:M210)</f>
        <v>5221.6666666666697</v>
      </c>
    </row>
    <row r="212" spans="2:13" x14ac:dyDescent="0.2">
      <c r="B212" s="221" t="s">
        <v>31</v>
      </c>
      <c r="C212" s="222"/>
      <c r="D212" s="222"/>
      <c r="E212" s="223"/>
      <c r="F212" s="99">
        <f>SUM(F211/F213)</f>
        <v>0.13470833333333301</v>
      </c>
      <c r="I212" s="256" t="s">
        <v>31</v>
      </c>
      <c r="J212" s="257"/>
      <c r="K212" s="257"/>
      <c r="L212" s="258"/>
      <c r="M212" s="166">
        <f>SUM(M211/M213)</f>
        <v>0.130541666666667</v>
      </c>
    </row>
    <row r="213" spans="2:13" x14ac:dyDescent="0.2">
      <c r="B213" s="221" t="s">
        <v>32</v>
      </c>
      <c r="C213" s="222"/>
      <c r="D213" s="222"/>
      <c r="E213" s="223"/>
      <c r="F213" s="100">
        <v>40000</v>
      </c>
      <c r="I213" s="259" t="s">
        <v>32</v>
      </c>
      <c r="J213" s="260"/>
      <c r="K213" s="260"/>
      <c r="L213" s="261"/>
      <c r="M213" s="167">
        <v>40000</v>
      </c>
    </row>
    <row r="214" spans="2:13" x14ac:dyDescent="0.2">
      <c r="I214" s="262"/>
      <c r="J214" s="263"/>
      <c r="K214" s="263"/>
      <c r="L214" s="263"/>
      <c r="M214" s="263"/>
    </row>
    <row r="215" spans="2:13" x14ac:dyDescent="0.2">
      <c r="B215" s="235" t="s">
        <v>262</v>
      </c>
      <c r="C215" s="236"/>
      <c r="D215" s="236"/>
      <c r="E215" s="236"/>
      <c r="F215" s="237"/>
      <c r="I215" s="264" t="s">
        <v>263</v>
      </c>
      <c r="J215" s="265"/>
      <c r="K215" s="265"/>
      <c r="L215" s="265"/>
      <c r="M215" s="266"/>
    </row>
    <row r="216" spans="2:13" x14ac:dyDescent="0.2">
      <c r="B216" s="74" t="s">
        <v>1</v>
      </c>
      <c r="C216" s="248" t="s">
        <v>2</v>
      </c>
      <c r="D216" s="254"/>
      <c r="E216" s="74" t="s">
        <v>3</v>
      </c>
      <c r="F216" s="74" t="s">
        <v>4</v>
      </c>
      <c r="I216" s="74" t="s">
        <v>1</v>
      </c>
      <c r="J216" s="248" t="s">
        <v>2</v>
      </c>
      <c r="K216" s="254"/>
      <c r="L216" s="74" t="s">
        <v>3</v>
      </c>
      <c r="M216" s="74" t="s">
        <v>4</v>
      </c>
    </row>
    <row r="217" spans="2:13" x14ac:dyDescent="0.2">
      <c r="B217" s="95" t="s">
        <v>262</v>
      </c>
      <c r="C217" s="161">
        <v>1</v>
      </c>
      <c r="D217" s="95" t="s">
        <v>39</v>
      </c>
      <c r="E217" s="119">
        <f>'SUPPLIER &amp; PRICE'!F71</f>
        <v>20833.333333333299</v>
      </c>
      <c r="F217" s="107">
        <f>SUM(E217*C217)</f>
        <v>20833.333333333299</v>
      </c>
      <c r="I217" s="95" t="s">
        <v>263</v>
      </c>
      <c r="J217" s="161">
        <v>1</v>
      </c>
      <c r="K217" s="95" t="s">
        <v>39</v>
      </c>
      <c r="L217" s="119">
        <f>'SUPPLIER &amp; PRICE'!F134</f>
        <v>12000</v>
      </c>
      <c r="M217" s="107">
        <f>SUM(L217*J217)</f>
        <v>12000</v>
      </c>
    </row>
    <row r="218" spans="2:13" x14ac:dyDescent="0.2">
      <c r="B218" s="97" t="s">
        <v>20</v>
      </c>
      <c r="C218" s="97">
        <v>1</v>
      </c>
      <c r="D218" s="97" t="s">
        <v>39</v>
      </c>
      <c r="E218" s="94"/>
      <c r="F218" s="162"/>
      <c r="I218" s="97" t="s">
        <v>20</v>
      </c>
      <c r="J218" s="97">
        <v>1</v>
      </c>
      <c r="K218" s="97" t="s">
        <v>39</v>
      </c>
      <c r="L218" s="94"/>
      <c r="M218" s="162"/>
    </row>
    <row r="219" spans="2:13" x14ac:dyDescent="0.2">
      <c r="B219" s="217" t="s">
        <v>28</v>
      </c>
      <c r="C219" s="218"/>
      <c r="D219" s="218"/>
      <c r="E219" s="219"/>
      <c r="F219" s="98">
        <f>SUM(F216:F218)</f>
        <v>20833.333333333299</v>
      </c>
      <c r="I219" s="221" t="s">
        <v>29</v>
      </c>
      <c r="J219" s="222"/>
      <c r="K219" s="223"/>
      <c r="L219" s="163" t="s">
        <v>90</v>
      </c>
      <c r="M219" s="164">
        <f>M210</f>
        <v>180</v>
      </c>
    </row>
    <row r="220" spans="2:13" x14ac:dyDescent="0.2">
      <c r="B220" s="221" t="s">
        <v>31</v>
      </c>
      <c r="C220" s="222"/>
      <c r="D220" s="222"/>
      <c r="E220" s="223"/>
      <c r="F220" s="99">
        <f>SUM(F219/F221)</f>
        <v>0.34722222222222199</v>
      </c>
      <c r="I220" s="224" t="s">
        <v>28</v>
      </c>
      <c r="J220" s="225"/>
      <c r="K220" s="225"/>
      <c r="L220" s="219"/>
      <c r="M220" s="98">
        <f>SUM(M217:M219)</f>
        <v>12180</v>
      </c>
    </row>
    <row r="221" spans="2:13" x14ac:dyDescent="0.2">
      <c r="B221" s="221" t="s">
        <v>32</v>
      </c>
      <c r="C221" s="222"/>
      <c r="D221" s="222"/>
      <c r="E221" s="223"/>
      <c r="F221" s="100">
        <v>60000</v>
      </c>
      <c r="I221" s="221" t="s">
        <v>31</v>
      </c>
      <c r="J221" s="222"/>
      <c r="K221" s="222"/>
      <c r="L221" s="223"/>
      <c r="M221" s="99">
        <f>SUM(M220/M222)</f>
        <v>0.30449999999999999</v>
      </c>
    </row>
    <row r="222" spans="2:13" x14ac:dyDescent="0.2">
      <c r="I222" s="221" t="s">
        <v>32</v>
      </c>
      <c r="J222" s="222"/>
      <c r="K222" s="222"/>
      <c r="L222" s="223"/>
      <c r="M222" s="100">
        <v>40000</v>
      </c>
    </row>
    <row r="223" spans="2:13" x14ac:dyDescent="0.2">
      <c r="I223" s="168"/>
      <c r="J223" s="168"/>
      <c r="K223" s="168"/>
      <c r="L223" s="168"/>
      <c r="M223" s="2"/>
    </row>
    <row r="224" spans="2:13" x14ac:dyDescent="0.2">
      <c r="B224" s="235" t="s">
        <v>264</v>
      </c>
      <c r="C224" s="236"/>
      <c r="D224" s="236"/>
      <c r="E224" s="236"/>
      <c r="F224" s="237"/>
      <c r="I224" s="264" t="s">
        <v>265</v>
      </c>
      <c r="J224" s="265"/>
      <c r="K224" s="265"/>
      <c r="L224" s="265"/>
      <c r="M224" s="266"/>
    </row>
    <row r="225" spans="2:13" x14ac:dyDescent="0.2">
      <c r="B225" s="74" t="s">
        <v>1</v>
      </c>
      <c r="C225" s="248" t="s">
        <v>2</v>
      </c>
      <c r="D225" s="254"/>
      <c r="E225" s="74" t="s">
        <v>3</v>
      </c>
      <c r="F225" s="74" t="s">
        <v>4</v>
      </c>
      <c r="I225" s="74" t="s">
        <v>1</v>
      </c>
      <c r="J225" s="248" t="s">
        <v>2</v>
      </c>
      <c r="K225" s="254"/>
      <c r="L225" s="74" t="s">
        <v>3</v>
      </c>
      <c r="M225" s="74" t="s">
        <v>4</v>
      </c>
    </row>
    <row r="226" spans="2:13" x14ac:dyDescent="0.2">
      <c r="B226" s="161" t="s">
        <v>264</v>
      </c>
      <c r="C226" s="161">
        <v>1</v>
      </c>
      <c r="D226" s="161" t="s">
        <v>39</v>
      </c>
      <c r="E226" s="119">
        <f>'SUPPLIER &amp; PRICE'!F160</f>
        <v>8000</v>
      </c>
      <c r="F226" s="107">
        <f>SUM(E226*C226)</f>
        <v>8000</v>
      </c>
      <c r="I226" s="95" t="s">
        <v>266</v>
      </c>
      <c r="J226" s="161">
        <v>1</v>
      </c>
      <c r="K226" s="95" t="s">
        <v>39</v>
      </c>
      <c r="L226" s="119">
        <f>'SUPPLIER &amp; PRICE'!F69</f>
        <v>5208.3333333333303</v>
      </c>
      <c r="M226" s="107">
        <f>SUM(L226*J226)</f>
        <v>5208.3333333333303</v>
      </c>
    </row>
    <row r="227" spans="2:13" x14ac:dyDescent="0.2">
      <c r="B227" s="146" t="s">
        <v>20</v>
      </c>
      <c r="C227" s="146">
        <v>1</v>
      </c>
      <c r="D227" s="146" t="s">
        <v>39</v>
      </c>
      <c r="E227" s="94"/>
      <c r="F227" s="162"/>
      <c r="I227" s="97" t="s">
        <v>20</v>
      </c>
      <c r="J227" s="97">
        <v>1</v>
      </c>
      <c r="K227" s="97" t="s">
        <v>39</v>
      </c>
      <c r="L227" s="94"/>
      <c r="M227" s="162"/>
    </row>
    <row r="228" spans="2:13" x14ac:dyDescent="0.2">
      <c r="B228" s="224" t="s">
        <v>28</v>
      </c>
      <c r="C228" s="225"/>
      <c r="D228" s="225"/>
      <c r="E228" s="219"/>
      <c r="F228" s="98">
        <f>F226</f>
        <v>8000</v>
      </c>
      <c r="I228" s="221" t="s">
        <v>29</v>
      </c>
      <c r="J228" s="222"/>
      <c r="K228" s="223"/>
      <c r="L228" s="163" t="s">
        <v>90</v>
      </c>
      <c r="M228" s="164">
        <f>M219</f>
        <v>180</v>
      </c>
    </row>
    <row r="229" spans="2:13" x14ac:dyDescent="0.2">
      <c r="B229" s="221" t="s">
        <v>31</v>
      </c>
      <c r="C229" s="222"/>
      <c r="D229" s="222"/>
      <c r="E229" s="223"/>
      <c r="F229" s="99">
        <f>SUM(F228/F230)</f>
        <v>0.17777777777777801</v>
      </c>
      <c r="I229" s="224" t="s">
        <v>28</v>
      </c>
      <c r="J229" s="225"/>
      <c r="K229" s="225"/>
      <c r="L229" s="219"/>
      <c r="M229" s="98">
        <f>SUM(M226:M228)</f>
        <v>5388.3333333333303</v>
      </c>
    </row>
    <row r="230" spans="2:13" x14ac:dyDescent="0.2">
      <c r="B230" s="221" t="s">
        <v>32</v>
      </c>
      <c r="C230" s="222"/>
      <c r="D230" s="222"/>
      <c r="E230" s="223"/>
      <c r="F230" s="100">
        <v>45000</v>
      </c>
      <c r="I230" s="221" t="s">
        <v>31</v>
      </c>
      <c r="J230" s="222"/>
      <c r="K230" s="222"/>
      <c r="L230" s="223"/>
      <c r="M230" s="99">
        <f>SUM(M229/M231)</f>
        <v>0.13470833333333301</v>
      </c>
    </row>
    <row r="231" spans="2:13" x14ac:dyDescent="0.2">
      <c r="I231" s="221" t="s">
        <v>32</v>
      </c>
      <c r="J231" s="222"/>
      <c r="K231" s="222"/>
      <c r="L231" s="223"/>
      <c r="M231" s="100">
        <v>40000</v>
      </c>
    </row>
    <row r="233" spans="2:13" x14ac:dyDescent="0.2">
      <c r="B233" s="273" t="s">
        <v>267</v>
      </c>
      <c r="C233" s="274"/>
      <c r="D233" s="274"/>
      <c r="E233" s="274"/>
      <c r="F233" s="274"/>
      <c r="G233" s="274"/>
      <c r="H233" s="274"/>
      <c r="I233" s="274"/>
      <c r="J233" s="274"/>
      <c r="K233" s="274"/>
      <c r="L233" s="274"/>
      <c r="M233" s="274"/>
    </row>
    <row r="234" spans="2:13" x14ac:dyDescent="0.2">
      <c r="B234" s="275"/>
      <c r="C234" s="276"/>
      <c r="D234" s="276"/>
      <c r="E234" s="276"/>
      <c r="F234" s="276"/>
      <c r="G234" s="276"/>
      <c r="H234" s="276"/>
      <c r="I234" s="276"/>
      <c r="J234" s="276"/>
      <c r="K234" s="276"/>
      <c r="L234" s="276"/>
      <c r="M234" s="276"/>
    </row>
    <row r="235" spans="2:13" x14ac:dyDescent="0.2">
      <c r="B235" s="275"/>
      <c r="C235" s="276"/>
      <c r="D235" s="276"/>
      <c r="E235" s="276"/>
      <c r="F235" s="276"/>
      <c r="G235" s="276"/>
      <c r="H235" s="276"/>
      <c r="I235" s="276"/>
      <c r="J235" s="276"/>
      <c r="K235" s="276"/>
      <c r="L235" s="276"/>
      <c r="M235" s="276"/>
    </row>
    <row r="236" spans="2:13" x14ac:dyDescent="0.2">
      <c r="B236" s="277"/>
      <c r="C236" s="278"/>
      <c r="D236" s="278"/>
      <c r="E236" s="278"/>
      <c r="F236" s="278"/>
      <c r="G236" s="278"/>
      <c r="H236" s="278"/>
      <c r="I236" s="278"/>
      <c r="J236" s="278"/>
      <c r="K236" s="278"/>
      <c r="L236" s="278"/>
      <c r="M236" s="278"/>
    </row>
    <row r="238" spans="2:13" x14ac:dyDescent="0.2">
      <c r="B238" s="235" t="s">
        <v>268</v>
      </c>
      <c r="C238" s="236"/>
      <c r="D238" s="236"/>
      <c r="E238" s="236"/>
      <c r="F238" s="237"/>
      <c r="I238" s="235" t="s">
        <v>269</v>
      </c>
      <c r="J238" s="236"/>
      <c r="K238" s="236"/>
      <c r="L238" s="236"/>
      <c r="M238" s="237"/>
    </row>
    <row r="239" spans="2:13" x14ac:dyDescent="0.2">
      <c r="B239" s="74" t="s">
        <v>1</v>
      </c>
      <c r="C239" s="248" t="s">
        <v>2</v>
      </c>
      <c r="D239" s="254"/>
      <c r="E239" s="74" t="s">
        <v>3</v>
      </c>
      <c r="F239" s="74" t="s">
        <v>4</v>
      </c>
      <c r="I239" s="74" t="s">
        <v>1</v>
      </c>
      <c r="J239" s="248" t="s">
        <v>2</v>
      </c>
      <c r="K239" s="254"/>
      <c r="L239" s="74" t="s">
        <v>3</v>
      </c>
      <c r="M239" s="74" t="s">
        <v>4</v>
      </c>
    </row>
    <row r="240" spans="2:13" x14ac:dyDescent="0.2">
      <c r="B240" s="161" t="s">
        <v>268</v>
      </c>
      <c r="C240" s="161">
        <v>1</v>
      </c>
      <c r="D240" s="161" t="s">
        <v>186</v>
      </c>
      <c r="E240" s="119">
        <f>'SUPPLIER &amp; PRICE'!F64</f>
        <v>10416.666666666701</v>
      </c>
      <c r="F240" s="107">
        <f>SUM(E240*C240)</f>
        <v>10416.666666666701</v>
      </c>
      <c r="I240" s="161" t="s">
        <v>269</v>
      </c>
      <c r="J240" s="161">
        <v>1</v>
      </c>
      <c r="K240" s="161" t="s">
        <v>186</v>
      </c>
      <c r="L240" s="119">
        <f>'SUPPLIER &amp; PRICE'!F63</f>
        <v>19166.666666666701</v>
      </c>
      <c r="M240" s="107">
        <f>SUM(L240*J240)</f>
        <v>19166.666666666701</v>
      </c>
    </row>
    <row r="241" spans="2:13" x14ac:dyDescent="0.2">
      <c r="B241" s="146" t="s">
        <v>20</v>
      </c>
      <c r="C241" s="146">
        <v>1</v>
      </c>
      <c r="D241" s="165" t="s">
        <v>186</v>
      </c>
      <c r="E241" s="94"/>
      <c r="F241" s="162"/>
      <c r="I241" s="146" t="s">
        <v>20</v>
      </c>
      <c r="J241" s="146">
        <v>1</v>
      </c>
      <c r="K241" s="165" t="s">
        <v>186</v>
      </c>
      <c r="L241" s="94"/>
      <c r="M241" s="162"/>
    </row>
    <row r="242" spans="2:13" x14ac:dyDescent="0.2">
      <c r="B242" s="224" t="s">
        <v>28</v>
      </c>
      <c r="C242" s="225"/>
      <c r="D242" s="225"/>
      <c r="E242" s="219"/>
      <c r="F242" s="98">
        <f>F240</f>
        <v>10416.666666666701</v>
      </c>
      <c r="I242" s="224" t="s">
        <v>28</v>
      </c>
      <c r="J242" s="225"/>
      <c r="K242" s="225"/>
      <c r="L242" s="219"/>
      <c r="M242" s="98">
        <f>M240</f>
        <v>19166.666666666701</v>
      </c>
    </row>
    <row r="243" spans="2:13" x14ac:dyDescent="0.2">
      <c r="B243" s="221" t="s">
        <v>31</v>
      </c>
      <c r="C243" s="222"/>
      <c r="D243" s="222"/>
      <c r="E243" s="223"/>
      <c r="F243" s="99">
        <f>SUM(F242/F244)</f>
        <v>0.41666666666666702</v>
      </c>
      <c r="I243" s="221" t="s">
        <v>31</v>
      </c>
      <c r="J243" s="222"/>
      <c r="K243" s="222"/>
      <c r="L243" s="223"/>
      <c r="M243" s="99">
        <f>SUM(M242/M244)</f>
        <v>0.547619047619048</v>
      </c>
    </row>
    <row r="244" spans="2:13" x14ac:dyDescent="0.2">
      <c r="B244" s="221" t="s">
        <v>32</v>
      </c>
      <c r="C244" s="222"/>
      <c r="D244" s="222"/>
      <c r="E244" s="223"/>
      <c r="F244" s="100">
        <v>25000</v>
      </c>
      <c r="I244" s="221" t="s">
        <v>32</v>
      </c>
      <c r="J244" s="222"/>
      <c r="K244" s="222"/>
      <c r="L244" s="223"/>
      <c r="M244" s="100">
        <v>35000</v>
      </c>
    </row>
    <row r="246" spans="2:13" x14ac:dyDescent="0.2">
      <c r="B246" s="235" t="s">
        <v>270</v>
      </c>
      <c r="C246" s="236"/>
      <c r="D246" s="236"/>
      <c r="E246" s="236"/>
      <c r="F246" s="237"/>
      <c r="I246" s="235" t="s">
        <v>271</v>
      </c>
      <c r="J246" s="236"/>
      <c r="K246" s="236"/>
      <c r="L246" s="236"/>
      <c r="M246" s="237"/>
    </row>
    <row r="247" spans="2:13" x14ac:dyDescent="0.2">
      <c r="B247" s="74" t="s">
        <v>1</v>
      </c>
      <c r="C247" s="248" t="s">
        <v>2</v>
      </c>
      <c r="D247" s="254"/>
      <c r="E247" s="74" t="s">
        <v>3</v>
      </c>
      <c r="F247" s="74" t="s">
        <v>4</v>
      </c>
      <c r="I247" s="74" t="s">
        <v>1</v>
      </c>
      <c r="J247" s="248" t="s">
        <v>2</v>
      </c>
      <c r="K247" s="254"/>
      <c r="L247" s="74" t="s">
        <v>3</v>
      </c>
      <c r="M247" s="74" t="s">
        <v>4</v>
      </c>
    </row>
    <row r="248" spans="2:13" x14ac:dyDescent="0.2">
      <c r="B248" s="95" t="s">
        <v>270</v>
      </c>
      <c r="C248" s="161">
        <v>1</v>
      </c>
      <c r="D248" s="161" t="s">
        <v>186</v>
      </c>
      <c r="E248" s="119">
        <f>'SUPPLIER &amp; PRICE'!F66</f>
        <v>11250</v>
      </c>
      <c r="F248" s="107">
        <f>SUM(E248*C248)</f>
        <v>11250</v>
      </c>
      <c r="I248" s="95" t="s">
        <v>271</v>
      </c>
      <c r="J248" s="161">
        <v>1</v>
      </c>
      <c r="K248" s="161" t="s">
        <v>186</v>
      </c>
      <c r="L248" s="119">
        <f>'SUPPLIER &amp; PRICE'!F65</f>
        <v>20000</v>
      </c>
      <c r="M248" s="107">
        <f>SUM(L248*J248)</f>
        <v>20000</v>
      </c>
    </row>
    <row r="249" spans="2:13" x14ac:dyDescent="0.2">
      <c r="B249" s="97" t="s">
        <v>20</v>
      </c>
      <c r="C249" s="97">
        <v>1</v>
      </c>
      <c r="D249" s="165" t="s">
        <v>186</v>
      </c>
      <c r="E249" s="94"/>
      <c r="F249" s="162"/>
      <c r="I249" s="97" t="s">
        <v>20</v>
      </c>
      <c r="J249" s="97">
        <v>1</v>
      </c>
      <c r="K249" s="165" t="s">
        <v>186</v>
      </c>
      <c r="L249" s="94"/>
      <c r="M249" s="162"/>
    </row>
    <row r="250" spans="2:13" x14ac:dyDescent="0.2">
      <c r="B250" s="221" t="s">
        <v>29</v>
      </c>
      <c r="C250" s="222"/>
      <c r="D250" s="223"/>
      <c r="E250" s="163" t="s">
        <v>90</v>
      </c>
      <c r="F250" s="164">
        <f>F210</f>
        <v>180</v>
      </c>
      <c r="I250" s="221" t="s">
        <v>29</v>
      </c>
      <c r="J250" s="222"/>
      <c r="K250" s="223"/>
      <c r="L250" s="163" t="s">
        <v>90</v>
      </c>
      <c r="M250" s="164">
        <f>F250</f>
        <v>180</v>
      </c>
    </row>
    <row r="251" spans="2:13" x14ac:dyDescent="0.2">
      <c r="B251" s="224" t="s">
        <v>28</v>
      </c>
      <c r="C251" s="225"/>
      <c r="D251" s="225"/>
      <c r="E251" s="219"/>
      <c r="F251" s="98">
        <f>SUM(F248:F250)</f>
        <v>11430</v>
      </c>
      <c r="I251" s="224" t="s">
        <v>28</v>
      </c>
      <c r="J251" s="225"/>
      <c r="K251" s="225"/>
      <c r="L251" s="219"/>
      <c r="M251" s="98">
        <f>SUM(M248:M250)</f>
        <v>20180</v>
      </c>
    </row>
    <row r="252" spans="2:13" x14ac:dyDescent="0.2">
      <c r="B252" s="256" t="s">
        <v>31</v>
      </c>
      <c r="C252" s="257"/>
      <c r="D252" s="257"/>
      <c r="E252" s="258"/>
      <c r="F252" s="166">
        <f>SUM(F251/F253)</f>
        <v>0.4572</v>
      </c>
      <c r="I252" s="256" t="s">
        <v>31</v>
      </c>
      <c r="J252" s="257"/>
      <c r="K252" s="257"/>
      <c r="L252" s="258"/>
      <c r="M252" s="166">
        <f>SUM(M251/M253)</f>
        <v>0.57657142857142896</v>
      </c>
    </row>
    <row r="253" spans="2:13" x14ac:dyDescent="0.2">
      <c r="B253" s="259" t="s">
        <v>32</v>
      </c>
      <c r="C253" s="260"/>
      <c r="D253" s="260"/>
      <c r="E253" s="261"/>
      <c r="F253" s="167">
        <v>25000</v>
      </c>
      <c r="I253" s="259" t="s">
        <v>32</v>
      </c>
      <c r="J253" s="260"/>
      <c r="K253" s="260"/>
      <c r="L253" s="261"/>
      <c r="M253" s="167">
        <v>35000</v>
      </c>
    </row>
    <row r="255" spans="2:13" x14ac:dyDescent="0.2">
      <c r="B255" s="235" t="s">
        <v>272</v>
      </c>
      <c r="C255" s="236"/>
      <c r="D255" s="236"/>
      <c r="E255" s="236"/>
      <c r="F255" s="237"/>
    </row>
    <row r="256" spans="2:13" x14ac:dyDescent="0.2">
      <c r="B256" s="74" t="s">
        <v>1</v>
      </c>
      <c r="C256" s="248" t="s">
        <v>2</v>
      </c>
      <c r="D256" s="254"/>
      <c r="E256" s="74" t="s">
        <v>3</v>
      </c>
      <c r="F256" s="74" t="s">
        <v>4</v>
      </c>
    </row>
    <row r="257" spans="2:25" x14ac:dyDescent="0.2">
      <c r="B257" s="95" t="s">
        <v>272</v>
      </c>
      <c r="C257" s="161">
        <v>1</v>
      </c>
      <c r="D257" s="161" t="s">
        <v>186</v>
      </c>
      <c r="E257" s="119">
        <f>'SUPPLIER &amp; PRICE'!F133</f>
        <v>31191</v>
      </c>
      <c r="F257" s="107">
        <f>SUM(E257*C257)</f>
        <v>31191</v>
      </c>
    </row>
    <row r="258" spans="2:25" x14ac:dyDescent="0.2">
      <c r="B258" s="97" t="s">
        <v>20</v>
      </c>
      <c r="C258" s="97">
        <v>1</v>
      </c>
      <c r="D258" s="165" t="s">
        <v>186</v>
      </c>
      <c r="E258" s="94"/>
      <c r="F258" s="162"/>
    </row>
    <row r="259" spans="2:25" x14ac:dyDescent="0.2">
      <c r="B259" s="221" t="s">
        <v>29</v>
      </c>
      <c r="C259" s="222"/>
      <c r="D259" s="223"/>
      <c r="E259" s="163" t="s">
        <v>273</v>
      </c>
      <c r="F259" s="164">
        <f>ALCOHOL!N96</f>
        <v>1166.6666666666699</v>
      </c>
    </row>
    <row r="260" spans="2:25" x14ac:dyDescent="0.2">
      <c r="B260" s="224" t="s">
        <v>28</v>
      </c>
      <c r="C260" s="225"/>
      <c r="D260" s="225"/>
      <c r="E260" s="219"/>
      <c r="F260" s="98">
        <f>SUM(F257:F259)</f>
        <v>32357.666666666701</v>
      </c>
    </row>
    <row r="261" spans="2:25" x14ac:dyDescent="0.2">
      <c r="B261" s="256" t="s">
        <v>31</v>
      </c>
      <c r="C261" s="257"/>
      <c r="D261" s="257"/>
      <c r="E261" s="258"/>
      <c r="F261" s="166">
        <f>SUM(F260/F262)</f>
        <v>0.35952962962962998</v>
      </c>
    </row>
    <row r="262" spans="2:25" x14ac:dyDescent="0.2">
      <c r="B262" s="259" t="s">
        <v>32</v>
      </c>
      <c r="C262" s="260"/>
      <c r="D262" s="260"/>
      <c r="E262" s="261"/>
      <c r="F262" s="167">
        <v>90000</v>
      </c>
    </row>
    <row r="264" spans="2:25" x14ac:dyDescent="0.2">
      <c r="B264" s="273" t="s">
        <v>274</v>
      </c>
      <c r="C264" s="274"/>
      <c r="D264" s="274"/>
      <c r="E264" s="274"/>
      <c r="F264" s="274"/>
      <c r="G264" s="274"/>
      <c r="H264" s="274"/>
      <c r="I264" s="274"/>
      <c r="J264" s="274"/>
      <c r="K264" s="274"/>
      <c r="L264" s="274"/>
      <c r="M264" s="274"/>
    </row>
    <row r="265" spans="2:25" x14ac:dyDescent="0.2">
      <c r="B265" s="275"/>
      <c r="C265" s="276"/>
      <c r="D265" s="276"/>
      <c r="E265" s="276"/>
      <c r="F265" s="276"/>
      <c r="G265" s="276"/>
      <c r="H265" s="276"/>
      <c r="I265" s="276"/>
      <c r="J265" s="276"/>
      <c r="K265" s="276"/>
      <c r="L265" s="276"/>
      <c r="M265" s="276"/>
    </row>
    <row r="266" spans="2:25" x14ac:dyDescent="0.2">
      <c r="B266" s="275"/>
      <c r="C266" s="276"/>
      <c r="D266" s="276"/>
      <c r="E266" s="276"/>
      <c r="F266" s="276"/>
      <c r="G266" s="276"/>
      <c r="H266" s="276"/>
      <c r="I266" s="276"/>
      <c r="J266" s="276"/>
      <c r="K266" s="276"/>
      <c r="L266" s="276"/>
      <c r="M266" s="276"/>
    </row>
    <row r="267" spans="2:25" x14ac:dyDescent="0.2">
      <c r="B267" s="277"/>
      <c r="C267" s="278"/>
      <c r="D267" s="278"/>
      <c r="E267" s="278"/>
      <c r="F267" s="278"/>
      <c r="G267" s="278"/>
      <c r="H267" s="278"/>
      <c r="I267" s="278"/>
      <c r="J267" s="278"/>
      <c r="K267" s="278"/>
      <c r="L267" s="278"/>
      <c r="M267" s="278"/>
    </row>
    <row r="269" spans="2:25" x14ac:dyDescent="0.2">
      <c r="B269" s="235" t="s">
        <v>275</v>
      </c>
      <c r="C269" s="236"/>
      <c r="D269" s="236"/>
      <c r="E269" s="236"/>
      <c r="F269" s="237"/>
      <c r="I269" s="235" t="s">
        <v>276</v>
      </c>
      <c r="J269" s="236"/>
      <c r="K269" s="236"/>
      <c r="L269" s="236"/>
      <c r="M269" s="237"/>
      <c r="O269" s="235" t="s">
        <v>277</v>
      </c>
      <c r="P269" s="236"/>
      <c r="Q269" s="236"/>
      <c r="R269" s="236"/>
      <c r="S269" s="237"/>
      <c r="U269" s="235" t="s">
        <v>278</v>
      </c>
      <c r="V269" s="236"/>
      <c r="W269" s="236"/>
      <c r="X269" s="236"/>
      <c r="Y269" s="237"/>
    </row>
    <row r="270" spans="2:25" x14ac:dyDescent="0.2">
      <c r="B270" s="74" t="s">
        <v>1</v>
      </c>
      <c r="C270" s="248" t="s">
        <v>2</v>
      </c>
      <c r="D270" s="254"/>
      <c r="E270" s="74" t="s">
        <v>3</v>
      </c>
      <c r="F270" s="74" t="s">
        <v>4</v>
      </c>
      <c r="I270" s="74" t="s">
        <v>1</v>
      </c>
      <c r="J270" s="248" t="s">
        <v>2</v>
      </c>
      <c r="K270" s="254"/>
      <c r="L270" s="74" t="s">
        <v>3</v>
      </c>
      <c r="M270" s="74" t="s">
        <v>4</v>
      </c>
      <c r="O270" s="74" t="s">
        <v>1</v>
      </c>
      <c r="P270" s="248" t="s">
        <v>2</v>
      </c>
      <c r="Q270" s="254"/>
      <c r="R270" s="74" t="s">
        <v>3</v>
      </c>
      <c r="S270" s="74" t="s">
        <v>4</v>
      </c>
      <c r="U270" s="74" t="s">
        <v>1</v>
      </c>
      <c r="V270" s="248" t="s">
        <v>2</v>
      </c>
      <c r="W270" s="254"/>
      <c r="X270" s="74" t="s">
        <v>3</v>
      </c>
      <c r="Y270" s="74" t="s">
        <v>4</v>
      </c>
    </row>
    <row r="271" spans="2:25" x14ac:dyDescent="0.2">
      <c r="B271" s="74" t="s">
        <v>279</v>
      </c>
      <c r="C271" s="104">
        <v>250</v>
      </c>
      <c r="D271" s="105" t="s">
        <v>6</v>
      </c>
      <c r="E271" s="106">
        <f>PREPARATION!L154</f>
        <v>2.3026315789473699</v>
      </c>
      <c r="F271" s="107">
        <f>SUM(E271*C271)</f>
        <v>575.65789473684197</v>
      </c>
      <c r="I271" s="111" t="s">
        <v>280</v>
      </c>
      <c r="J271" s="169">
        <v>200</v>
      </c>
      <c r="K271" s="170" t="s">
        <v>6</v>
      </c>
      <c r="L271" s="127">
        <f>E271</f>
        <v>2.3026315789473699</v>
      </c>
      <c r="M271" s="124">
        <f>SUM(L271*J271)</f>
        <v>460.52631578947398</v>
      </c>
      <c r="O271" s="111" t="s">
        <v>280</v>
      </c>
      <c r="P271" s="169">
        <v>200</v>
      </c>
      <c r="Q271" s="170" t="s">
        <v>6</v>
      </c>
      <c r="R271" s="137">
        <f>L271</f>
        <v>2.3026315789473699</v>
      </c>
      <c r="S271" s="138">
        <f t="shared" ref="S271:S273" si="4">SUM(R271*P271)</f>
        <v>460.52631578947398</v>
      </c>
      <c r="U271" s="111" t="s">
        <v>280</v>
      </c>
      <c r="V271" s="169">
        <v>600</v>
      </c>
      <c r="W271" s="170" t="s">
        <v>6</v>
      </c>
      <c r="X271" s="137">
        <f>R271</f>
        <v>2.3026315789473699</v>
      </c>
      <c r="Y271" s="138">
        <f t="shared" ref="Y271:Y273" si="5">SUM(X271*V271)</f>
        <v>1381.5789473684199</v>
      </c>
    </row>
    <row r="272" spans="2:25" x14ac:dyDescent="0.2">
      <c r="B272" s="74" t="s">
        <v>18</v>
      </c>
      <c r="C272" s="109">
        <v>30</v>
      </c>
      <c r="D272" s="110" t="s">
        <v>6</v>
      </c>
      <c r="E272" s="106">
        <f>PREPARATION!L148</f>
        <v>18.7368421052632</v>
      </c>
      <c r="F272" s="107">
        <f>SUM(E272*C272)</f>
        <v>562.10526315789502</v>
      </c>
      <c r="I272" s="114" t="s">
        <v>89</v>
      </c>
      <c r="J272" s="114">
        <v>40</v>
      </c>
      <c r="K272" s="114" t="s">
        <v>6</v>
      </c>
      <c r="L272" s="129">
        <f>'SUPPLIER &amp; PRICE'!F8</f>
        <v>116.666666666667</v>
      </c>
      <c r="M272" s="128">
        <f>SUM(L272*J272)</f>
        <v>4666.6666666666797</v>
      </c>
      <c r="O272" s="114" t="s">
        <v>89</v>
      </c>
      <c r="P272" s="114">
        <v>20</v>
      </c>
      <c r="Q272" s="114" t="s">
        <v>6</v>
      </c>
      <c r="R272" s="171">
        <f>L272</f>
        <v>116.666666666667</v>
      </c>
      <c r="S272" s="106">
        <f t="shared" si="4"/>
        <v>2333.3333333333399</v>
      </c>
      <c r="U272" s="114" t="s">
        <v>89</v>
      </c>
      <c r="V272" s="114">
        <v>60</v>
      </c>
      <c r="W272" s="114" t="s">
        <v>6</v>
      </c>
      <c r="X272" s="171">
        <f>R272</f>
        <v>116.666666666667</v>
      </c>
      <c r="Y272" s="128">
        <f t="shared" si="5"/>
        <v>7000.00000000002</v>
      </c>
    </row>
    <row r="273" spans="2:25" x14ac:dyDescent="0.2">
      <c r="B273" s="97" t="s">
        <v>20</v>
      </c>
      <c r="C273" s="97">
        <v>300</v>
      </c>
      <c r="D273" s="97" t="s">
        <v>6</v>
      </c>
      <c r="E273" s="160"/>
      <c r="F273" s="160"/>
      <c r="I273" s="74" t="s">
        <v>18</v>
      </c>
      <c r="J273" s="116">
        <v>30</v>
      </c>
      <c r="K273" s="117" t="s">
        <v>6</v>
      </c>
      <c r="L273" s="106">
        <f>PREPARATION!L148</f>
        <v>18.7368421052632</v>
      </c>
      <c r="M273" s="106">
        <f>SUM(L273*J273)</f>
        <v>562.10526315789502</v>
      </c>
      <c r="O273" s="74" t="s">
        <v>281</v>
      </c>
      <c r="P273" s="116">
        <v>40</v>
      </c>
      <c r="Q273" s="117" t="s">
        <v>6</v>
      </c>
      <c r="R273" s="106">
        <f>L288</f>
        <v>158.57142857142901</v>
      </c>
      <c r="S273" s="106">
        <f t="shared" si="4"/>
        <v>6342.8571428571604</v>
      </c>
      <c r="U273" s="111" t="s">
        <v>281</v>
      </c>
      <c r="V273" s="116">
        <v>120</v>
      </c>
      <c r="W273" s="117" t="s">
        <v>6</v>
      </c>
      <c r="X273" s="106">
        <f>R273</f>
        <v>158.57142857142901</v>
      </c>
      <c r="Y273" s="106">
        <f t="shared" si="5"/>
        <v>19028.5714285715</v>
      </c>
    </row>
    <row r="274" spans="2:25" x14ac:dyDescent="0.2">
      <c r="B274" s="256" t="s">
        <v>29</v>
      </c>
      <c r="C274" s="257"/>
      <c r="D274" s="258"/>
      <c r="E274" s="121" t="s">
        <v>282</v>
      </c>
      <c r="F274" s="122">
        <f>SUM('SUPPLIER &amp; PRICE'!F21*5)</f>
        <v>300</v>
      </c>
      <c r="I274" s="97" t="s">
        <v>20</v>
      </c>
      <c r="J274" s="97">
        <v>300</v>
      </c>
      <c r="K274" s="97" t="s">
        <v>6</v>
      </c>
      <c r="L274" s="120"/>
      <c r="M274" s="120"/>
      <c r="O274" s="97" t="s">
        <v>20</v>
      </c>
      <c r="P274" s="97">
        <v>300</v>
      </c>
      <c r="Q274" s="97" t="s">
        <v>6</v>
      </c>
      <c r="R274" s="120"/>
      <c r="S274" s="120"/>
      <c r="U274" s="97" t="s">
        <v>20</v>
      </c>
      <c r="V274" s="97">
        <v>750</v>
      </c>
      <c r="W274" s="97" t="s">
        <v>6</v>
      </c>
      <c r="X274" s="120"/>
      <c r="Y274" s="120"/>
    </row>
    <row r="275" spans="2:25" x14ac:dyDescent="0.2">
      <c r="B275" s="232"/>
      <c r="C275" s="233"/>
      <c r="D275" s="234"/>
      <c r="E275" s="121" t="s">
        <v>90</v>
      </c>
      <c r="F275" s="123">
        <f>SUM('SUPPLIER &amp; PRICE'!F24*10)</f>
        <v>180</v>
      </c>
      <c r="I275" s="256" t="s">
        <v>29</v>
      </c>
      <c r="J275" s="257"/>
      <c r="K275" s="258"/>
      <c r="L275" s="121" t="s">
        <v>282</v>
      </c>
      <c r="M275" s="122">
        <f>F274</f>
        <v>300</v>
      </c>
      <c r="O275" s="256" t="s">
        <v>29</v>
      </c>
      <c r="P275" s="257"/>
      <c r="Q275" s="258"/>
      <c r="R275" s="121" t="s">
        <v>282</v>
      </c>
      <c r="S275" s="122">
        <f>M275</f>
        <v>300</v>
      </c>
      <c r="U275" s="221" t="s">
        <v>29</v>
      </c>
      <c r="V275" s="222"/>
      <c r="W275" s="223"/>
      <c r="X275" s="121" t="s">
        <v>283</v>
      </c>
      <c r="Y275" s="123">
        <f>M290</f>
        <v>900</v>
      </c>
    </row>
    <row r="276" spans="2:25" x14ac:dyDescent="0.2">
      <c r="B276" s="217" t="s">
        <v>23</v>
      </c>
      <c r="C276" s="218"/>
      <c r="D276" s="218"/>
      <c r="E276" s="219"/>
      <c r="F276" s="96">
        <f>SUM(F271:F275)</f>
        <v>1617.7631578947401</v>
      </c>
      <c r="I276" s="232"/>
      <c r="J276" s="233"/>
      <c r="K276" s="234"/>
      <c r="L276" s="121" t="s">
        <v>284</v>
      </c>
      <c r="M276" s="123">
        <f>SUM('SUPPLIER &amp; PRICE'!F8*10)</f>
        <v>1166.6666666666699</v>
      </c>
      <c r="O276" s="232"/>
      <c r="P276" s="233"/>
      <c r="Q276" s="234"/>
      <c r="R276" s="121" t="s">
        <v>90</v>
      </c>
      <c r="S276" s="123">
        <f>F291</f>
        <v>180</v>
      </c>
      <c r="U276" s="217" t="s">
        <v>23</v>
      </c>
      <c r="V276" s="218"/>
      <c r="W276" s="218"/>
      <c r="X276" s="219"/>
      <c r="Y276" s="96">
        <f>SUM(Y271:Y275)</f>
        <v>28310.150375939898</v>
      </c>
    </row>
    <row r="277" spans="2:25" x14ac:dyDescent="0.2">
      <c r="B277" s="217" t="s">
        <v>26</v>
      </c>
      <c r="C277" s="218"/>
      <c r="D277" s="218"/>
      <c r="E277" s="219"/>
      <c r="F277" s="98">
        <f>SUM(F276*0.05)</f>
        <v>80.888157894736906</v>
      </c>
      <c r="I277" s="217" t="s">
        <v>23</v>
      </c>
      <c r="J277" s="218"/>
      <c r="K277" s="218"/>
      <c r="L277" s="219"/>
      <c r="M277" s="96">
        <f>SUM(M271:M276)</f>
        <v>7155.9649122807195</v>
      </c>
      <c r="O277" s="217" t="s">
        <v>23</v>
      </c>
      <c r="P277" s="218"/>
      <c r="Q277" s="218"/>
      <c r="R277" s="219"/>
      <c r="S277" s="96">
        <f>SUM(S271:S276)</f>
        <v>9616.7167919799704</v>
      </c>
      <c r="U277" s="217" t="s">
        <v>26</v>
      </c>
      <c r="V277" s="218"/>
      <c r="W277" s="218"/>
      <c r="X277" s="219"/>
      <c r="Y277" s="98">
        <f>SUM(Y276*0.05)</f>
        <v>1415.5075187970001</v>
      </c>
    </row>
    <row r="278" spans="2:25" x14ac:dyDescent="0.2">
      <c r="B278" s="217" t="s">
        <v>28</v>
      </c>
      <c r="C278" s="218"/>
      <c r="D278" s="218"/>
      <c r="E278" s="219"/>
      <c r="F278" s="98">
        <f>SUM(F276:F277)</f>
        <v>1698.6513157894699</v>
      </c>
      <c r="I278" s="217" t="s">
        <v>26</v>
      </c>
      <c r="J278" s="218"/>
      <c r="K278" s="218"/>
      <c r="L278" s="219"/>
      <c r="M278" s="98">
        <f>SUM(M277*0.05)</f>
        <v>357.79824561403598</v>
      </c>
      <c r="O278" s="217" t="s">
        <v>26</v>
      </c>
      <c r="P278" s="218"/>
      <c r="Q278" s="218"/>
      <c r="R278" s="219"/>
      <c r="S278" s="98">
        <f>SUM(S277*0.05)</f>
        <v>480.83583959899897</v>
      </c>
      <c r="U278" s="217" t="s">
        <v>28</v>
      </c>
      <c r="V278" s="218"/>
      <c r="W278" s="218"/>
      <c r="X278" s="219"/>
      <c r="Y278" s="98">
        <f>SUM(Y276:Y277)</f>
        <v>29725.657894736902</v>
      </c>
    </row>
    <row r="279" spans="2:25" x14ac:dyDescent="0.2">
      <c r="B279" s="221" t="s">
        <v>31</v>
      </c>
      <c r="C279" s="222"/>
      <c r="D279" s="222"/>
      <c r="E279" s="223"/>
      <c r="F279" s="99">
        <f>SUM(F278/F280)</f>
        <v>4.8532894736842101E-2</v>
      </c>
      <c r="I279" s="217" t="s">
        <v>28</v>
      </c>
      <c r="J279" s="218"/>
      <c r="K279" s="218"/>
      <c r="L279" s="219"/>
      <c r="M279" s="98">
        <f>SUM(M277:M278)</f>
        <v>7513.7631578947503</v>
      </c>
      <c r="O279" s="217" t="s">
        <v>28</v>
      </c>
      <c r="P279" s="218"/>
      <c r="Q279" s="218"/>
      <c r="R279" s="219"/>
      <c r="S279" s="98">
        <f>SUM(S277:S278)</f>
        <v>10097.552631578999</v>
      </c>
      <c r="U279" s="221" t="s">
        <v>31</v>
      </c>
      <c r="V279" s="222"/>
      <c r="W279" s="222"/>
      <c r="X279" s="223"/>
      <c r="Y279" s="99">
        <f>SUM(Y278/Y280)</f>
        <v>0.29725657894736901</v>
      </c>
    </row>
    <row r="280" spans="2:25" x14ac:dyDescent="0.2">
      <c r="B280" s="221" t="s">
        <v>32</v>
      </c>
      <c r="C280" s="222"/>
      <c r="D280" s="222"/>
      <c r="E280" s="223"/>
      <c r="F280" s="100">
        <v>35000</v>
      </c>
      <c r="I280" s="221" t="s">
        <v>31</v>
      </c>
      <c r="J280" s="222"/>
      <c r="K280" s="222"/>
      <c r="L280" s="223"/>
      <c r="M280" s="99">
        <f>SUM(M279/M281)</f>
        <v>0.214678947368422</v>
      </c>
      <c r="O280" s="221" t="s">
        <v>31</v>
      </c>
      <c r="P280" s="222"/>
      <c r="Q280" s="222"/>
      <c r="R280" s="223"/>
      <c r="S280" s="99">
        <f>SUM(S279/S281)</f>
        <v>0.25243881578947402</v>
      </c>
      <c r="U280" s="221" t="s">
        <v>32</v>
      </c>
      <c r="V280" s="222"/>
      <c r="W280" s="222"/>
      <c r="X280" s="223"/>
      <c r="Y280" s="100">
        <v>100000</v>
      </c>
    </row>
    <row r="281" spans="2:25" x14ac:dyDescent="0.2">
      <c r="I281" s="221" t="s">
        <v>32</v>
      </c>
      <c r="J281" s="222"/>
      <c r="K281" s="222"/>
      <c r="L281" s="223"/>
      <c r="M281" s="100">
        <v>35000</v>
      </c>
      <c r="O281" s="221" t="s">
        <v>32</v>
      </c>
      <c r="P281" s="222"/>
      <c r="Q281" s="222"/>
      <c r="R281" s="223"/>
      <c r="S281" s="100">
        <v>40000</v>
      </c>
      <c r="U281" s="168"/>
      <c r="V281" s="168"/>
      <c r="W281" s="168"/>
      <c r="X281" s="168"/>
      <c r="Y281" s="2"/>
    </row>
    <row r="284" spans="2:25" x14ac:dyDescent="0.2">
      <c r="B284" s="235" t="s">
        <v>285</v>
      </c>
      <c r="C284" s="236"/>
      <c r="D284" s="236"/>
      <c r="E284" s="236"/>
      <c r="F284" s="237"/>
      <c r="I284" s="235" t="s">
        <v>286</v>
      </c>
      <c r="J284" s="236"/>
      <c r="K284" s="236"/>
      <c r="L284" s="236"/>
      <c r="M284" s="237"/>
      <c r="O284" s="235" t="s">
        <v>287</v>
      </c>
      <c r="P284" s="236"/>
      <c r="Q284" s="236"/>
      <c r="R284" s="236"/>
      <c r="S284" s="237"/>
      <c r="U284" s="235" t="s">
        <v>288</v>
      </c>
      <c r="V284" s="236"/>
      <c r="W284" s="236"/>
      <c r="X284" s="236"/>
      <c r="Y284" s="237"/>
    </row>
    <row r="285" spans="2:25" x14ac:dyDescent="0.2">
      <c r="B285" s="74" t="s">
        <v>1</v>
      </c>
      <c r="C285" s="248" t="s">
        <v>2</v>
      </c>
      <c r="D285" s="254"/>
      <c r="E285" s="74" t="s">
        <v>3</v>
      </c>
      <c r="F285" s="74" t="s">
        <v>4</v>
      </c>
      <c r="I285" s="74" t="s">
        <v>1</v>
      </c>
      <c r="J285" s="248" t="s">
        <v>2</v>
      </c>
      <c r="K285" s="254"/>
      <c r="L285" s="74" t="s">
        <v>3</v>
      </c>
      <c r="M285" s="74" t="s">
        <v>4</v>
      </c>
      <c r="O285" s="74" t="s">
        <v>1</v>
      </c>
      <c r="P285" s="248" t="s">
        <v>2</v>
      </c>
      <c r="Q285" s="254"/>
      <c r="R285" s="74" t="s">
        <v>3</v>
      </c>
      <c r="S285" s="74" t="s">
        <v>4</v>
      </c>
      <c r="U285" s="74" t="s">
        <v>1</v>
      </c>
      <c r="V285" s="248" t="s">
        <v>2</v>
      </c>
      <c r="W285" s="254"/>
      <c r="X285" s="74" t="s">
        <v>3</v>
      </c>
      <c r="Y285" s="74" t="s">
        <v>4</v>
      </c>
    </row>
    <row r="286" spans="2:25" x14ac:dyDescent="0.2">
      <c r="B286" s="111" t="s">
        <v>280</v>
      </c>
      <c r="C286" s="169">
        <v>200</v>
      </c>
      <c r="D286" s="170" t="s">
        <v>6</v>
      </c>
      <c r="E286" s="137">
        <f>E271</f>
        <v>2.3026315789473699</v>
      </c>
      <c r="F286" s="138">
        <f t="shared" ref="F286:F288" si="6">SUM(E286*C286)</f>
        <v>460.52631578947398</v>
      </c>
      <c r="I286" s="111" t="s">
        <v>280</v>
      </c>
      <c r="J286" s="169">
        <v>600</v>
      </c>
      <c r="K286" s="170" t="s">
        <v>6</v>
      </c>
      <c r="L286" s="137">
        <f>E286</f>
        <v>2.3026315789473699</v>
      </c>
      <c r="M286" s="138">
        <f t="shared" ref="M286:M288" si="7">SUM(L286*J286)</f>
        <v>1381.5789473684199</v>
      </c>
      <c r="O286" s="111" t="s">
        <v>280</v>
      </c>
      <c r="P286" s="169">
        <v>200</v>
      </c>
      <c r="Q286" s="170" t="s">
        <v>6</v>
      </c>
      <c r="R286" s="137">
        <f>R271</f>
        <v>2.3026315789473699</v>
      </c>
      <c r="S286" s="138">
        <f t="shared" ref="S286:S288" si="8">SUM(R286*P286)</f>
        <v>460.52631578947398</v>
      </c>
      <c r="U286" s="111" t="s">
        <v>280</v>
      </c>
      <c r="V286" s="169">
        <v>600</v>
      </c>
      <c r="W286" s="170" t="s">
        <v>6</v>
      </c>
      <c r="X286" s="137">
        <f>X271</f>
        <v>2.3026315789473699</v>
      </c>
      <c r="Y286" s="138">
        <f t="shared" ref="Y286:Y288" si="9">SUM(X286*V286)</f>
        <v>1381.5789473684199</v>
      </c>
    </row>
    <row r="287" spans="2:25" x14ac:dyDescent="0.2">
      <c r="B287" s="114" t="s">
        <v>89</v>
      </c>
      <c r="C287" s="114">
        <v>20</v>
      </c>
      <c r="D287" s="114" t="s">
        <v>6</v>
      </c>
      <c r="E287" s="171">
        <f>L272</f>
        <v>116.666666666667</v>
      </c>
      <c r="F287" s="106">
        <f t="shared" si="6"/>
        <v>2333.3333333333399</v>
      </c>
      <c r="I287" s="114" t="s">
        <v>89</v>
      </c>
      <c r="J287" s="114">
        <v>60</v>
      </c>
      <c r="K287" s="114" t="s">
        <v>6</v>
      </c>
      <c r="L287" s="171">
        <f>E287</f>
        <v>116.666666666667</v>
      </c>
      <c r="M287" s="128">
        <f t="shared" si="7"/>
        <v>7000.00000000002</v>
      </c>
      <c r="O287" s="114" t="s">
        <v>89</v>
      </c>
      <c r="P287" s="114">
        <v>20</v>
      </c>
      <c r="Q287" s="114" t="s">
        <v>6</v>
      </c>
      <c r="R287" s="171">
        <f>R272</f>
        <v>116.666666666667</v>
      </c>
      <c r="S287" s="106">
        <f t="shared" si="8"/>
        <v>2333.3333333333399</v>
      </c>
      <c r="U287" s="114" t="s">
        <v>89</v>
      </c>
      <c r="V287" s="114">
        <v>60</v>
      </c>
      <c r="W287" s="114" t="s">
        <v>6</v>
      </c>
      <c r="X287" s="171">
        <f>X272</f>
        <v>116.666666666667</v>
      </c>
      <c r="Y287" s="128">
        <f t="shared" si="9"/>
        <v>7000.00000000002</v>
      </c>
    </row>
    <row r="288" spans="2:25" x14ac:dyDescent="0.2">
      <c r="B288" s="74" t="s">
        <v>289</v>
      </c>
      <c r="C288" s="116">
        <v>40</v>
      </c>
      <c r="D288" s="117" t="s">
        <v>6</v>
      </c>
      <c r="E288" s="106">
        <f>'SUPPLIER &amp; PRICE'!F136</f>
        <v>158.57142857142901</v>
      </c>
      <c r="F288" s="106">
        <f t="shared" si="6"/>
        <v>6342.8571428571404</v>
      </c>
      <c r="I288" s="111" t="s">
        <v>289</v>
      </c>
      <c r="J288" s="116">
        <v>120</v>
      </c>
      <c r="K288" s="117" t="s">
        <v>6</v>
      </c>
      <c r="L288" s="106">
        <f>E288</f>
        <v>158.57142857142901</v>
      </c>
      <c r="M288" s="106">
        <f t="shared" si="7"/>
        <v>19028.571428571398</v>
      </c>
      <c r="O288" s="74" t="s">
        <v>290</v>
      </c>
      <c r="P288" s="116">
        <v>40</v>
      </c>
      <c r="Q288" s="117" t="s">
        <v>6</v>
      </c>
      <c r="R288" s="106">
        <f>R273</f>
        <v>158.57142857142901</v>
      </c>
      <c r="S288" s="106">
        <f t="shared" si="8"/>
        <v>6342.8571428571604</v>
      </c>
      <c r="U288" s="111" t="s">
        <v>290</v>
      </c>
      <c r="V288" s="116">
        <v>120</v>
      </c>
      <c r="W288" s="117" t="s">
        <v>6</v>
      </c>
      <c r="X288" s="106">
        <f>X273</f>
        <v>158.57142857142901</v>
      </c>
      <c r="Y288" s="106">
        <f t="shared" si="9"/>
        <v>19028.5714285715</v>
      </c>
    </row>
    <row r="289" spans="2:25" x14ac:dyDescent="0.2">
      <c r="B289" s="97" t="s">
        <v>20</v>
      </c>
      <c r="C289" s="97">
        <v>300</v>
      </c>
      <c r="D289" s="97" t="s">
        <v>6</v>
      </c>
      <c r="E289" s="120"/>
      <c r="F289" s="120"/>
      <c r="I289" s="97" t="s">
        <v>20</v>
      </c>
      <c r="J289" s="97">
        <v>750</v>
      </c>
      <c r="K289" s="97" t="s">
        <v>6</v>
      </c>
      <c r="L289" s="120"/>
      <c r="M289" s="120"/>
      <c r="O289" s="97" t="s">
        <v>20</v>
      </c>
      <c r="P289" s="97">
        <v>300</v>
      </c>
      <c r="Q289" s="97" t="s">
        <v>6</v>
      </c>
      <c r="R289" s="120"/>
      <c r="S289" s="120"/>
      <c r="U289" s="97" t="s">
        <v>20</v>
      </c>
      <c r="V289" s="97">
        <v>750</v>
      </c>
      <c r="W289" s="97" t="s">
        <v>6</v>
      </c>
      <c r="X289" s="120"/>
      <c r="Y289" s="120"/>
    </row>
    <row r="290" spans="2:25" x14ac:dyDescent="0.2">
      <c r="B290" s="256" t="s">
        <v>29</v>
      </c>
      <c r="C290" s="257"/>
      <c r="D290" s="258"/>
      <c r="E290" s="121" t="s">
        <v>282</v>
      </c>
      <c r="F290" s="122">
        <f>F274</f>
        <v>300</v>
      </c>
      <c r="I290" s="221" t="s">
        <v>29</v>
      </c>
      <c r="J290" s="222"/>
      <c r="K290" s="223"/>
      <c r="L290" s="121" t="s">
        <v>283</v>
      </c>
      <c r="M290" s="123">
        <f>F291*5</f>
        <v>900</v>
      </c>
      <c r="O290" s="256" t="s">
        <v>29</v>
      </c>
      <c r="P290" s="257"/>
      <c r="Q290" s="258"/>
      <c r="R290" s="121" t="s">
        <v>282</v>
      </c>
      <c r="S290" s="122">
        <f>S275</f>
        <v>300</v>
      </c>
      <c r="U290" s="221" t="s">
        <v>29</v>
      </c>
      <c r="V290" s="222"/>
      <c r="W290" s="223"/>
      <c r="X290" s="121" t="s">
        <v>283</v>
      </c>
      <c r="Y290" s="123">
        <f>Y275</f>
        <v>900</v>
      </c>
    </row>
    <row r="291" spans="2:25" x14ac:dyDescent="0.2">
      <c r="B291" s="232"/>
      <c r="C291" s="233"/>
      <c r="D291" s="234"/>
      <c r="E291" s="121" t="s">
        <v>90</v>
      </c>
      <c r="F291" s="123">
        <f>F275</f>
        <v>180</v>
      </c>
      <c r="I291" s="217" t="s">
        <v>23</v>
      </c>
      <c r="J291" s="218"/>
      <c r="K291" s="218"/>
      <c r="L291" s="219"/>
      <c r="M291" s="96">
        <f>SUM(M286:M290)</f>
        <v>28310.150375939898</v>
      </c>
      <c r="O291" s="232"/>
      <c r="P291" s="233"/>
      <c r="Q291" s="234"/>
      <c r="R291" s="121" t="s">
        <v>90</v>
      </c>
      <c r="S291" s="123">
        <f>S276</f>
        <v>180</v>
      </c>
      <c r="U291" s="217" t="s">
        <v>23</v>
      </c>
      <c r="V291" s="218"/>
      <c r="W291" s="218"/>
      <c r="X291" s="219"/>
      <c r="Y291" s="96">
        <f>SUM(Y286:Y290)</f>
        <v>28310.150375939898</v>
      </c>
    </row>
    <row r="292" spans="2:25" x14ac:dyDescent="0.2">
      <c r="B292" s="217" t="s">
        <v>23</v>
      </c>
      <c r="C292" s="218"/>
      <c r="D292" s="218"/>
      <c r="E292" s="219"/>
      <c r="F292" s="96">
        <f>SUM(F286:F291)</f>
        <v>9616.7167919799504</v>
      </c>
      <c r="I292" s="217" t="s">
        <v>26</v>
      </c>
      <c r="J292" s="218"/>
      <c r="K292" s="218"/>
      <c r="L292" s="219"/>
      <c r="M292" s="98">
        <f>SUM(M291*0.05)</f>
        <v>1415.5075187969901</v>
      </c>
      <c r="O292" s="217" t="s">
        <v>23</v>
      </c>
      <c r="P292" s="218"/>
      <c r="Q292" s="218"/>
      <c r="R292" s="219"/>
      <c r="S292" s="96">
        <f>SUM(S286:S291)</f>
        <v>9616.7167919799704</v>
      </c>
      <c r="U292" s="217" t="s">
        <v>26</v>
      </c>
      <c r="V292" s="218"/>
      <c r="W292" s="218"/>
      <c r="X292" s="219"/>
      <c r="Y292" s="98">
        <f>SUM(Y291*0.05)</f>
        <v>1415.5075187970001</v>
      </c>
    </row>
    <row r="293" spans="2:25" x14ac:dyDescent="0.2">
      <c r="B293" s="217" t="s">
        <v>26</v>
      </c>
      <c r="C293" s="218"/>
      <c r="D293" s="218"/>
      <c r="E293" s="219"/>
      <c r="F293" s="98">
        <f>SUM(F292*0.05)</f>
        <v>480.83583959899801</v>
      </c>
      <c r="I293" s="217" t="s">
        <v>28</v>
      </c>
      <c r="J293" s="218"/>
      <c r="K293" s="218"/>
      <c r="L293" s="219"/>
      <c r="M293" s="98">
        <f>SUM(M291:M292)</f>
        <v>29725.657894736902</v>
      </c>
      <c r="O293" s="217" t="s">
        <v>26</v>
      </c>
      <c r="P293" s="218"/>
      <c r="Q293" s="218"/>
      <c r="R293" s="219"/>
      <c r="S293" s="98">
        <f>SUM(S292*0.05)</f>
        <v>480.83583959899897</v>
      </c>
      <c r="U293" s="217" t="s">
        <v>28</v>
      </c>
      <c r="V293" s="218"/>
      <c r="W293" s="218"/>
      <c r="X293" s="219"/>
      <c r="Y293" s="98">
        <f>SUM(Y291:Y292)</f>
        <v>29725.657894736902</v>
      </c>
    </row>
    <row r="294" spans="2:25" x14ac:dyDescent="0.2">
      <c r="B294" s="217" t="s">
        <v>28</v>
      </c>
      <c r="C294" s="218"/>
      <c r="D294" s="218"/>
      <c r="E294" s="219"/>
      <c r="F294" s="98">
        <f>SUM(F292:F293)</f>
        <v>10097.552631578999</v>
      </c>
      <c r="I294" s="221" t="s">
        <v>31</v>
      </c>
      <c r="J294" s="222"/>
      <c r="K294" s="222"/>
      <c r="L294" s="223"/>
      <c r="M294" s="99">
        <f>SUM(M293/M295)</f>
        <v>0.29725657894736901</v>
      </c>
      <c r="O294" s="217" t="s">
        <v>28</v>
      </c>
      <c r="P294" s="218"/>
      <c r="Q294" s="218"/>
      <c r="R294" s="219"/>
      <c r="S294" s="98">
        <f>SUM(S292:S293)</f>
        <v>10097.552631578999</v>
      </c>
      <c r="U294" s="221" t="s">
        <v>31</v>
      </c>
      <c r="V294" s="222"/>
      <c r="W294" s="222"/>
      <c r="X294" s="223"/>
      <c r="Y294" s="99">
        <f>SUM(Y293/Y295)</f>
        <v>0.29725657894736901</v>
      </c>
    </row>
    <row r="295" spans="2:25" x14ac:dyDescent="0.2">
      <c r="B295" s="221" t="s">
        <v>31</v>
      </c>
      <c r="C295" s="222"/>
      <c r="D295" s="222"/>
      <c r="E295" s="223"/>
      <c r="F295" s="99">
        <f>SUM(F294/F296)</f>
        <v>0.25243881578947402</v>
      </c>
      <c r="I295" s="221" t="s">
        <v>32</v>
      </c>
      <c r="J295" s="222"/>
      <c r="K295" s="222"/>
      <c r="L295" s="223"/>
      <c r="M295" s="100">
        <v>100000</v>
      </c>
      <c r="O295" s="221" t="s">
        <v>31</v>
      </c>
      <c r="P295" s="222"/>
      <c r="Q295" s="222"/>
      <c r="R295" s="223"/>
      <c r="S295" s="99">
        <f>SUM(S294/S296)</f>
        <v>0.25243881578947402</v>
      </c>
      <c r="U295" s="221" t="s">
        <v>32</v>
      </c>
      <c r="V295" s="222"/>
      <c r="W295" s="222"/>
      <c r="X295" s="223"/>
      <c r="Y295" s="100">
        <v>100000</v>
      </c>
    </row>
    <row r="296" spans="2:25" x14ac:dyDescent="0.2">
      <c r="B296" s="221" t="s">
        <v>32</v>
      </c>
      <c r="C296" s="222"/>
      <c r="D296" s="222"/>
      <c r="E296" s="223"/>
      <c r="F296" s="100">
        <v>40000</v>
      </c>
      <c r="O296" s="221" t="s">
        <v>32</v>
      </c>
      <c r="P296" s="222"/>
      <c r="Q296" s="222"/>
      <c r="R296" s="223"/>
      <c r="S296" s="100">
        <v>40000</v>
      </c>
    </row>
    <row r="298" spans="2:25" x14ac:dyDescent="0.2">
      <c r="B298" s="235" t="s">
        <v>291</v>
      </c>
      <c r="C298" s="236"/>
      <c r="D298" s="236"/>
      <c r="E298" s="236"/>
      <c r="F298" s="237"/>
      <c r="I298" s="235" t="s">
        <v>292</v>
      </c>
      <c r="J298" s="236"/>
      <c r="K298" s="236"/>
      <c r="L298" s="236"/>
      <c r="M298" s="237"/>
      <c r="O298" s="235" t="s">
        <v>293</v>
      </c>
      <c r="P298" s="236"/>
      <c r="Q298" s="236"/>
      <c r="R298" s="236"/>
      <c r="S298" s="237"/>
      <c r="U298" s="235" t="s">
        <v>294</v>
      </c>
      <c r="V298" s="236"/>
      <c r="W298" s="236"/>
      <c r="X298" s="236"/>
      <c r="Y298" s="237"/>
    </row>
    <row r="299" spans="2:25" x14ac:dyDescent="0.2">
      <c r="B299" s="74" t="s">
        <v>1</v>
      </c>
      <c r="C299" s="248" t="s">
        <v>2</v>
      </c>
      <c r="D299" s="254"/>
      <c r="E299" s="74" t="s">
        <v>3</v>
      </c>
      <c r="F299" s="74" t="s">
        <v>4</v>
      </c>
      <c r="I299" s="74" t="s">
        <v>1</v>
      </c>
      <c r="J299" s="248" t="s">
        <v>2</v>
      </c>
      <c r="K299" s="254"/>
      <c r="L299" s="74" t="s">
        <v>3</v>
      </c>
      <c r="M299" s="74" t="s">
        <v>4</v>
      </c>
      <c r="O299" s="74" t="s">
        <v>1</v>
      </c>
      <c r="P299" s="248" t="s">
        <v>2</v>
      </c>
      <c r="Q299" s="254"/>
      <c r="R299" s="74" t="s">
        <v>3</v>
      </c>
      <c r="S299" s="74" t="s">
        <v>4</v>
      </c>
      <c r="U299" s="74" t="s">
        <v>1</v>
      </c>
      <c r="V299" s="248" t="s">
        <v>2</v>
      </c>
      <c r="W299" s="254"/>
      <c r="X299" s="74" t="s">
        <v>3</v>
      </c>
      <c r="Y299" s="74" t="s">
        <v>4</v>
      </c>
    </row>
    <row r="300" spans="2:25" x14ac:dyDescent="0.2">
      <c r="B300" s="111" t="s">
        <v>280</v>
      </c>
      <c r="C300" s="169">
        <v>200</v>
      </c>
      <c r="D300" s="170" t="s">
        <v>6</v>
      </c>
      <c r="E300" s="137">
        <f>E286</f>
        <v>2.3026315789473699</v>
      </c>
      <c r="F300" s="138">
        <f t="shared" ref="F300:F302" si="10">SUM(E300*C300)</f>
        <v>460.52631578947398</v>
      </c>
      <c r="I300" s="111" t="s">
        <v>280</v>
      </c>
      <c r="J300" s="169">
        <v>600</v>
      </c>
      <c r="K300" s="170" t="s">
        <v>6</v>
      </c>
      <c r="L300" s="137">
        <f t="shared" ref="L300:L302" si="11">E300</f>
        <v>2.3026315789473699</v>
      </c>
      <c r="M300" s="138">
        <f t="shared" ref="M300:M302" si="12">SUM(L300*J300)</f>
        <v>1381.5789473684199</v>
      </c>
      <c r="O300" s="111" t="s">
        <v>280</v>
      </c>
      <c r="P300" s="169">
        <v>200</v>
      </c>
      <c r="Q300" s="170" t="s">
        <v>6</v>
      </c>
      <c r="R300" s="137">
        <f>R286</f>
        <v>2.3026315789473699</v>
      </c>
      <c r="S300" s="138">
        <f t="shared" ref="S300:S302" si="13">SUM(R300*P300)</f>
        <v>460.52631578947398</v>
      </c>
      <c r="U300" s="111" t="s">
        <v>280</v>
      </c>
      <c r="V300" s="169">
        <v>600</v>
      </c>
      <c r="W300" s="170" t="s">
        <v>6</v>
      </c>
      <c r="X300" s="137">
        <f>R300</f>
        <v>2.3026315789473699</v>
      </c>
      <c r="Y300" s="138">
        <f t="shared" ref="Y300:Y302" si="14">SUM(X300*V300)</f>
        <v>1381.5789473684199</v>
      </c>
    </row>
    <row r="301" spans="2:25" x14ac:dyDescent="0.2">
      <c r="B301" s="114" t="s">
        <v>89</v>
      </c>
      <c r="C301" s="114">
        <v>20</v>
      </c>
      <c r="D301" s="114" t="s">
        <v>6</v>
      </c>
      <c r="E301" s="171">
        <f>E287</f>
        <v>116.666666666667</v>
      </c>
      <c r="F301" s="106">
        <f t="shared" si="10"/>
        <v>2333.3333333333399</v>
      </c>
      <c r="I301" s="114" t="s">
        <v>89</v>
      </c>
      <c r="J301" s="114">
        <v>60</v>
      </c>
      <c r="K301" s="114" t="s">
        <v>6</v>
      </c>
      <c r="L301" s="171">
        <f t="shared" si="11"/>
        <v>116.666666666667</v>
      </c>
      <c r="M301" s="128">
        <f t="shared" si="12"/>
        <v>7000.00000000002</v>
      </c>
      <c r="O301" s="114" t="s">
        <v>89</v>
      </c>
      <c r="P301" s="114">
        <v>20</v>
      </c>
      <c r="Q301" s="114" t="s">
        <v>6</v>
      </c>
      <c r="R301" s="171">
        <f>R287</f>
        <v>116.666666666667</v>
      </c>
      <c r="S301" s="106">
        <f t="shared" si="13"/>
        <v>2333.3333333333399</v>
      </c>
      <c r="U301" s="114" t="s">
        <v>89</v>
      </c>
      <c r="V301" s="114">
        <v>60</v>
      </c>
      <c r="W301" s="114" t="s">
        <v>6</v>
      </c>
      <c r="X301" s="171">
        <f>R301</f>
        <v>116.666666666667</v>
      </c>
      <c r="Y301" s="128">
        <f t="shared" si="14"/>
        <v>7000.00000000002</v>
      </c>
    </row>
    <row r="302" spans="2:25" x14ac:dyDescent="0.2">
      <c r="B302" s="74" t="s">
        <v>295</v>
      </c>
      <c r="C302" s="116">
        <v>40</v>
      </c>
      <c r="D302" s="117" t="s">
        <v>6</v>
      </c>
      <c r="E302" s="106">
        <f>E288</f>
        <v>158.57142857142901</v>
      </c>
      <c r="F302" s="106">
        <f t="shared" si="10"/>
        <v>6342.8571428571404</v>
      </c>
      <c r="I302" s="111" t="s">
        <v>295</v>
      </c>
      <c r="J302" s="116">
        <v>120</v>
      </c>
      <c r="K302" s="117" t="s">
        <v>6</v>
      </c>
      <c r="L302" s="106">
        <f t="shared" si="11"/>
        <v>158.57142857142901</v>
      </c>
      <c r="M302" s="106">
        <f t="shared" si="12"/>
        <v>19028.571428571398</v>
      </c>
      <c r="O302" s="74" t="s">
        <v>296</v>
      </c>
      <c r="P302" s="116">
        <v>40</v>
      </c>
      <c r="Q302" s="117" t="s">
        <v>6</v>
      </c>
      <c r="R302" s="106">
        <f>R288</f>
        <v>158.57142857142901</v>
      </c>
      <c r="S302" s="106">
        <f t="shared" si="13"/>
        <v>6342.8571428571604</v>
      </c>
      <c r="U302" s="111" t="s">
        <v>289</v>
      </c>
      <c r="V302" s="116">
        <v>120</v>
      </c>
      <c r="W302" s="117" t="s">
        <v>6</v>
      </c>
      <c r="X302" s="106">
        <f>R302</f>
        <v>158.57142857142901</v>
      </c>
      <c r="Y302" s="106">
        <f t="shared" si="14"/>
        <v>19028.5714285715</v>
      </c>
    </row>
    <row r="303" spans="2:25" x14ac:dyDescent="0.2">
      <c r="B303" s="97" t="s">
        <v>20</v>
      </c>
      <c r="C303" s="97">
        <v>300</v>
      </c>
      <c r="D303" s="97" t="s">
        <v>6</v>
      </c>
      <c r="E303" s="120"/>
      <c r="F303" s="120"/>
      <c r="I303" s="97" t="s">
        <v>20</v>
      </c>
      <c r="J303" s="97">
        <v>750</v>
      </c>
      <c r="K303" s="97" t="s">
        <v>6</v>
      </c>
      <c r="L303" s="120"/>
      <c r="M303" s="120"/>
      <c r="O303" s="97" t="s">
        <v>20</v>
      </c>
      <c r="P303" s="97">
        <v>300</v>
      </c>
      <c r="Q303" s="97" t="s">
        <v>6</v>
      </c>
      <c r="R303" s="120"/>
      <c r="S303" s="120"/>
      <c r="U303" s="97" t="s">
        <v>20</v>
      </c>
      <c r="V303" s="97">
        <v>750</v>
      </c>
      <c r="W303" s="97" t="s">
        <v>6</v>
      </c>
      <c r="X303" s="120"/>
      <c r="Y303" s="120"/>
    </row>
    <row r="304" spans="2:25" x14ac:dyDescent="0.2">
      <c r="B304" s="256" t="s">
        <v>29</v>
      </c>
      <c r="C304" s="257"/>
      <c r="D304" s="258"/>
      <c r="E304" s="121" t="s">
        <v>282</v>
      </c>
      <c r="F304" s="122">
        <f>F290</f>
        <v>300</v>
      </c>
      <c r="I304" s="221" t="s">
        <v>29</v>
      </c>
      <c r="J304" s="222"/>
      <c r="K304" s="223"/>
      <c r="L304" s="121" t="s">
        <v>283</v>
      </c>
      <c r="M304" s="123">
        <f>F305*5</f>
        <v>900</v>
      </c>
      <c r="O304" s="256" t="s">
        <v>29</v>
      </c>
      <c r="P304" s="257"/>
      <c r="Q304" s="258"/>
      <c r="R304" s="121" t="s">
        <v>282</v>
      </c>
      <c r="S304" s="122">
        <f>S290</f>
        <v>300</v>
      </c>
      <c r="U304" s="221" t="s">
        <v>29</v>
      </c>
      <c r="V304" s="222"/>
      <c r="W304" s="223"/>
      <c r="X304" s="121" t="s">
        <v>283</v>
      </c>
      <c r="Y304" s="123">
        <f>Y290</f>
        <v>900</v>
      </c>
    </row>
    <row r="305" spans="2:25" x14ac:dyDescent="0.2">
      <c r="B305" s="232"/>
      <c r="C305" s="233"/>
      <c r="D305" s="234"/>
      <c r="E305" s="121" t="s">
        <v>90</v>
      </c>
      <c r="F305" s="123">
        <f>F291</f>
        <v>180</v>
      </c>
      <c r="I305" s="217" t="s">
        <v>23</v>
      </c>
      <c r="J305" s="218"/>
      <c r="K305" s="218"/>
      <c r="L305" s="219"/>
      <c r="M305" s="96">
        <f>SUM(M300:M304)</f>
        <v>28310.150375939898</v>
      </c>
      <c r="O305" s="232"/>
      <c r="P305" s="233"/>
      <c r="Q305" s="234"/>
      <c r="R305" s="121" t="s">
        <v>90</v>
      </c>
      <c r="S305" s="123">
        <f>S291</f>
        <v>180</v>
      </c>
      <c r="U305" s="217" t="s">
        <v>23</v>
      </c>
      <c r="V305" s="218"/>
      <c r="W305" s="218"/>
      <c r="X305" s="219"/>
      <c r="Y305" s="96">
        <f>SUM(Y300:Y304)</f>
        <v>28310.150375939898</v>
      </c>
    </row>
    <row r="306" spans="2:25" x14ac:dyDescent="0.2">
      <c r="B306" s="217" t="s">
        <v>23</v>
      </c>
      <c r="C306" s="218"/>
      <c r="D306" s="218"/>
      <c r="E306" s="219"/>
      <c r="F306" s="96">
        <f>SUM(F300:F305)</f>
        <v>9616.7167919799504</v>
      </c>
      <c r="I306" s="217" t="s">
        <v>26</v>
      </c>
      <c r="J306" s="218"/>
      <c r="K306" s="218"/>
      <c r="L306" s="219"/>
      <c r="M306" s="98">
        <f>SUM(M305*0.05)</f>
        <v>1415.5075187969901</v>
      </c>
      <c r="O306" s="217" t="s">
        <v>23</v>
      </c>
      <c r="P306" s="218"/>
      <c r="Q306" s="218"/>
      <c r="R306" s="219"/>
      <c r="S306" s="96">
        <f>SUM(S300:S305)</f>
        <v>9616.7167919799704</v>
      </c>
      <c r="U306" s="217" t="s">
        <v>26</v>
      </c>
      <c r="V306" s="218"/>
      <c r="W306" s="218"/>
      <c r="X306" s="219"/>
      <c r="Y306" s="98">
        <f>SUM(Y305*0.05)</f>
        <v>1415.5075187970001</v>
      </c>
    </row>
    <row r="307" spans="2:25" x14ac:dyDescent="0.2">
      <c r="B307" s="217" t="s">
        <v>26</v>
      </c>
      <c r="C307" s="218"/>
      <c r="D307" s="218"/>
      <c r="E307" s="219"/>
      <c r="F307" s="98">
        <f>SUM(F306*0.05)</f>
        <v>480.83583959899801</v>
      </c>
      <c r="I307" s="217" t="s">
        <v>28</v>
      </c>
      <c r="J307" s="218"/>
      <c r="K307" s="218"/>
      <c r="L307" s="219"/>
      <c r="M307" s="98">
        <f>SUM(M305:M306)</f>
        <v>29725.657894736902</v>
      </c>
      <c r="O307" s="217" t="s">
        <v>26</v>
      </c>
      <c r="P307" s="218"/>
      <c r="Q307" s="218"/>
      <c r="R307" s="219"/>
      <c r="S307" s="98">
        <f>SUM(S306*0.05)</f>
        <v>480.83583959899897</v>
      </c>
      <c r="U307" s="217" t="s">
        <v>28</v>
      </c>
      <c r="V307" s="218"/>
      <c r="W307" s="218"/>
      <c r="X307" s="219"/>
      <c r="Y307" s="98">
        <f>SUM(Y305:Y306)</f>
        <v>29725.657894736902</v>
      </c>
    </row>
    <row r="308" spans="2:25" x14ac:dyDescent="0.2">
      <c r="B308" s="217" t="s">
        <v>28</v>
      </c>
      <c r="C308" s="218"/>
      <c r="D308" s="218"/>
      <c r="E308" s="219"/>
      <c r="F308" s="98">
        <f>SUM(F306:F307)</f>
        <v>10097.552631578999</v>
      </c>
      <c r="I308" s="221" t="s">
        <v>31</v>
      </c>
      <c r="J308" s="222"/>
      <c r="K308" s="222"/>
      <c r="L308" s="223"/>
      <c r="M308" s="99">
        <f>SUM(M307/M309)</f>
        <v>0.29725657894736901</v>
      </c>
      <c r="O308" s="217" t="s">
        <v>28</v>
      </c>
      <c r="P308" s="218"/>
      <c r="Q308" s="218"/>
      <c r="R308" s="219"/>
      <c r="S308" s="98">
        <f>SUM(S306:S307)</f>
        <v>10097.552631578999</v>
      </c>
      <c r="U308" s="221" t="s">
        <v>31</v>
      </c>
      <c r="V308" s="222"/>
      <c r="W308" s="222"/>
      <c r="X308" s="223"/>
      <c r="Y308" s="99">
        <f>SUM(Y307/Y309)</f>
        <v>0.29725657894736901</v>
      </c>
    </row>
    <row r="309" spans="2:25" x14ac:dyDescent="0.2">
      <c r="B309" s="221" t="s">
        <v>31</v>
      </c>
      <c r="C309" s="222"/>
      <c r="D309" s="222"/>
      <c r="E309" s="223"/>
      <c r="F309" s="99">
        <f>SUM(F308/F310)</f>
        <v>0.25243881578947402</v>
      </c>
      <c r="I309" s="221" t="s">
        <v>32</v>
      </c>
      <c r="J309" s="222"/>
      <c r="K309" s="222"/>
      <c r="L309" s="223"/>
      <c r="M309" s="100">
        <v>100000</v>
      </c>
      <c r="O309" s="221" t="s">
        <v>31</v>
      </c>
      <c r="P309" s="222"/>
      <c r="Q309" s="222"/>
      <c r="R309" s="223"/>
      <c r="S309" s="99">
        <f>SUM(S308/S310)</f>
        <v>0.25243881578947402</v>
      </c>
      <c r="U309" s="221" t="s">
        <v>32</v>
      </c>
      <c r="V309" s="222"/>
      <c r="W309" s="222"/>
      <c r="X309" s="223"/>
      <c r="Y309" s="100">
        <v>100000</v>
      </c>
    </row>
    <row r="310" spans="2:25" x14ac:dyDescent="0.2">
      <c r="B310" s="221" t="s">
        <v>32</v>
      </c>
      <c r="C310" s="222"/>
      <c r="D310" s="222"/>
      <c r="E310" s="223"/>
      <c r="F310" s="100">
        <v>40000</v>
      </c>
      <c r="O310" s="221" t="s">
        <v>32</v>
      </c>
      <c r="P310" s="222"/>
      <c r="Q310" s="222"/>
      <c r="R310" s="223"/>
      <c r="S310" s="100">
        <v>40000</v>
      </c>
    </row>
    <row r="312" spans="2:25" x14ac:dyDescent="0.2">
      <c r="B312" s="235" t="s">
        <v>297</v>
      </c>
      <c r="C312" s="236"/>
      <c r="D312" s="236"/>
      <c r="E312" s="236"/>
      <c r="F312" s="237"/>
      <c r="I312" s="235" t="s">
        <v>298</v>
      </c>
      <c r="J312" s="236"/>
      <c r="K312" s="236"/>
      <c r="L312" s="236"/>
      <c r="M312" s="237"/>
      <c r="O312" s="235" t="s">
        <v>299</v>
      </c>
      <c r="P312" s="236"/>
      <c r="Q312" s="236"/>
      <c r="R312" s="236"/>
      <c r="S312" s="237"/>
      <c r="U312" s="235" t="s">
        <v>300</v>
      </c>
      <c r="V312" s="236"/>
      <c r="W312" s="236"/>
      <c r="X312" s="236"/>
      <c r="Y312" s="237"/>
    </row>
    <row r="313" spans="2:25" x14ac:dyDescent="0.2">
      <c r="B313" s="74" t="s">
        <v>1</v>
      </c>
      <c r="C313" s="248" t="s">
        <v>2</v>
      </c>
      <c r="D313" s="254"/>
      <c r="E313" s="74" t="s">
        <v>3</v>
      </c>
      <c r="F313" s="74" t="s">
        <v>4</v>
      </c>
      <c r="I313" s="74" t="s">
        <v>1</v>
      </c>
      <c r="J313" s="248" t="s">
        <v>2</v>
      </c>
      <c r="K313" s="254"/>
      <c r="L313" s="74" t="s">
        <v>3</v>
      </c>
      <c r="M313" s="74" t="s">
        <v>4</v>
      </c>
      <c r="O313" s="74" t="s">
        <v>1</v>
      </c>
      <c r="P313" s="248" t="s">
        <v>2</v>
      </c>
      <c r="Q313" s="254"/>
      <c r="R313" s="74" t="s">
        <v>3</v>
      </c>
      <c r="S313" s="74" t="s">
        <v>4</v>
      </c>
      <c r="U313" s="74" t="s">
        <v>1</v>
      </c>
      <c r="V313" s="248" t="s">
        <v>2</v>
      </c>
      <c r="W313" s="254"/>
      <c r="X313" s="74" t="s">
        <v>3</v>
      </c>
      <c r="Y313" s="74" t="s">
        <v>4</v>
      </c>
    </row>
    <row r="314" spans="2:25" x14ac:dyDescent="0.2">
      <c r="B314" s="111" t="s">
        <v>280</v>
      </c>
      <c r="C314" s="169">
        <v>200</v>
      </c>
      <c r="D314" s="170" t="s">
        <v>6</v>
      </c>
      <c r="E314" s="137">
        <f>E300</f>
        <v>2.3026315789473699</v>
      </c>
      <c r="F314" s="138">
        <f t="shared" ref="F314:F316" si="15">SUM(E314*C314)</f>
        <v>460.52631578947398</v>
      </c>
      <c r="I314" s="111" t="s">
        <v>280</v>
      </c>
      <c r="J314" s="169">
        <v>600</v>
      </c>
      <c r="K314" s="170" t="s">
        <v>6</v>
      </c>
      <c r="L314" s="137">
        <f t="shared" ref="L314:L316" si="16">E314</f>
        <v>2.3026315789473699</v>
      </c>
      <c r="M314" s="138">
        <f t="shared" ref="M314:M316" si="17">SUM(L314*J314)</f>
        <v>1381.5789473684199</v>
      </c>
      <c r="O314" s="111" t="s">
        <v>280</v>
      </c>
      <c r="P314" s="169">
        <v>200</v>
      </c>
      <c r="Q314" s="170" t="s">
        <v>6</v>
      </c>
      <c r="R314" s="137">
        <f>R300</f>
        <v>2.3026315789473699</v>
      </c>
      <c r="S314" s="138">
        <f t="shared" ref="S314:S316" si="18">SUM(R314*P314)</f>
        <v>460.52631578947398</v>
      </c>
      <c r="U314" s="111" t="s">
        <v>280</v>
      </c>
      <c r="V314" s="169">
        <v>600</v>
      </c>
      <c r="W314" s="170" t="s">
        <v>6</v>
      </c>
      <c r="X314" s="137">
        <f>X300</f>
        <v>2.3026315789473699</v>
      </c>
      <c r="Y314" s="138">
        <f t="shared" ref="Y314:Y316" si="19">SUM(X314*V314)</f>
        <v>1381.5789473684199</v>
      </c>
    </row>
    <row r="315" spans="2:25" x14ac:dyDescent="0.2">
      <c r="B315" s="114" t="s">
        <v>89</v>
      </c>
      <c r="C315" s="114">
        <v>20</v>
      </c>
      <c r="D315" s="114" t="s">
        <v>6</v>
      </c>
      <c r="E315" s="171">
        <f>E301</f>
        <v>116.666666666667</v>
      </c>
      <c r="F315" s="106">
        <f t="shared" si="15"/>
        <v>2333.3333333333399</v>
      </c>
      <c r="I315" s="114" t="s">
        <v>89</v>
      </c>
      <c r="J315" s="114">
        <v>60</v>
      </c>
      <c r="K315" s="114" t="s">
        <v>6</v>
      </c>
      <c r="L315" s="171">
        <f t="shared" si="16"/>
        <v>116.666666666667</v>
      </c>
      <c r="M315" s="128">
        <f t="shared" si="17"/>
        <v>7000.00000000002</v>
      </c>
      <c r="O315" s="114" t="s">
        <v>89</v>
      </c>
      <c r="P315" s="114">
        <v>20</v>
      </c>
      <c r="Q315" s="114" t="s">
        <v>6</v>
      </c>
      <c r="R315" s="171">
        <f>R301</f>
        <v>116.666666666667</v>
      </c>
      <c r="S315" s="106">
        <f t="shared" si="18"/>
        <v>2333.3333333333399</v>
      </c>
      <c r="U315" s="114" t="s">
        <v>89</v>
      </c>
      <c r="V315" s="114">
        <v>60</v>
      </c>
      <c r="W315" s="114" t="s">
        <v>6</v>
      </c>
      <c r="X315" s="171">
        <f>X301</f>
        <v>116.666666666667</v>
      </c>
      <c r="Y315" s="128">
        <f t="shared" si="19"/>
        <v>7000.00000000002</v>
      </c>
    </row>
    <row r="316" spans="2:25" x14ac:dyDescent="0.2">
      <c r="B316" s="74" t="s">
        <v>301</v>
      </c>
      <c r="C316" s="116">
        <v>40</v>
      </c>
      <c r="D316" s="117" t="s">
        <v>6</v>
      </c>
      <c r="E316" s="106">
        <f>E302</f>
        <v>158.57142857142901</v>
      </c>
      <c r="F316" s="106">
        <f t="shared" si="15"/>
        <v>6342.8571428571404</v>
      </c>
      <c r="I316" s="111" t="s">
        <v>301</v>
      </c>
      <c r="J316" s="116">
        <v>120</v>
      </c>
      <c r="K316" s="117" t="s">
        <v>6</v>
      </c>
      <c r="L316" s="106">
        <f t="shared" si="16"/>
        <v>158.57142857142901</v>
      </c>
      <c r="M316" s="106">
        <f t="shared" si="17"/>
        <v>19028.571428571398</v>
      </c>
      <c r="O316" s="74" t="s">
        <v>302</v>
      </c>
      <c r="P316" s="116">
        <v>40</v>
      </c>
      <c r="Q316" s="117" t="s">
        <v>6</v>
      </c>
      <c r="R316" s="106">
        <f>R302</f>
        <v>158.57142857142901</v>
      </c>
      <c r="S316" s="106">
        <f t="shared" si="18"/>
        <v>6342.8571428571604</v>
      </c>
      <c r="U316" s="111" t="s">
        <v>302</v>
      </c>
      <c r="V316" s="116">
        <v>120</v>
      </c>
      <c r="W316" s="117" t="s">
        <v>6</v>
      </c>
      <c r="X316" s="106">
        <f>X302</f>
        <v>158.57142857142901</v>
      </c>
      <c r="Y316" s="106">
        <f t="shared" si="19"/>
        <v>19028.5714285715</v>
      </c>
    </row>
    <row r="317" spans="2:25" x14ac:dyDescent="0.2">
      <c r="B317" s="97" t="s">
        <v>20</v>
      </c>
      <c r="C317" s="97">
        <v>300</v>
      </c>
      <c r="D317" s="97" t="s">
        <v>6</v>
      </c>
      <c r="E317" s="120"/>
      <c r="F317" s="120"/>
      <c r="I317" s="97" t="s">
        <v>20</v>
      </c>
      <c r="J317" s="97">
        <v>750</v>
      </c>
      <c r="K317" s="97" t="s">
        <v>6</v>
      </c>
      <c r="L317" s="120"/>
      <c r="M317" s="120"/>
      <c r="O317" s="97" t="s">
        <v>20</v>
      </c>
      <c r="P317" s="97">
        <v>300</v>
      </c>
      <c r="Q317" s="97" t="s">
        <v>6</v>
      </c>
      <c r="R317" s="120"/>
      <c r="S317" s="120"/>
      <c r="U317" s="97" t="s">
        <v>20</v>
      </c>
      <c r="V317" s="97">
        <v>750</v>
      </c>
      <c r="W317" s="97" t="s">
        <v>6</v>
      </c>
      <c r="X317" s="120"/>
      <c r="Y317" s="120"/>
    </row>
    <row r="318" spans="2:25" x14ac:dyDescent="0.2">
      <c r="B318" s="256" t="s">
        <v>29</v>
      </c>
      <c r="C318" s="257"/>
      <c r="D318" s="258"/>
      <c r="E318" s="121" t="s">
        <v>282</v>
      </c>
      <c r="F318" s="122">
        <f>F304</f>
        <v>300</v>
      </c>
      <c r="I318" s="221" t="s">
        <v>29</v>
      </c>
      <c r="J318" s="222"/>
      <c r="K318" s="223"/>
      <c r="L318" s="121" t="s">
        <v>283</v>
      </c>
      <c r="M318" s="123">
        <f>F319*5</f>
        <v>900</v>
      </c>
      <c r="O318" s="256" t="s">
        <v>29</v>
      </c>
      <c r="P318" s="257"/>
      <c r="Q318" s="258"/>
      <c r="R318" s="121" t="s">
        <v>282</v>
      </c>
      <c r="S318" s="122">
        <f>S304</f>
        <v>300</v>
      </c>
      <c r="U318" s="221" t="s">
        <v>29</v>
      </c>
      <c r="V318" s="222"/>
      <c r="W318" s="223"/>
      <c r="X318" s="121" t="s">
        <v>283</v>
      </c>
      <c r="Y318" s="123">
        <f>Y304</f>
        <v>900</v>
      </c>
    </row>
    <row r="319" spans="2:25" x14ac:dyDescent="0.2">
      <c r="B319" s="232"/>
      <c r="C319" s="233"/>
      <c r="D319" s="234"/>
      <c r="E319" s="121" t="s">
        <v>90</v>
      </c>
      <c r="F319" s="123">
        <f>F305</f>
        <v>180</v>
      </c>
      <c r="I319" s="217" t="s">
        <v>23</v>
      </c>
      <c r="J319" s="218"/>
      <c r="K319" s="218"/>
      <c r="L319" s="219"/>
      <c r="M319" s="96">
        <f>SUM(M314:M318)</f>
        <v>28310.150375939898</v>
      </c>
      <c r="O319" s="232"/>
      <c r="P319" s="233"/>
      <c r="Q319" s="234"/>
      <c r="R319" s="121" t="s">
        <v>90</v>
      </c>
      <c r="S319" s="123">
        <f>S305</f>
        <v>180</v>
      </c>
      <c r="U319" s="217" t="s">
        <v>23</v>
      </c>
      <c r="V319" s="218"/>
      <c r="W319" s="218"/>
      <c r="X319" s="219"/>
      <c r="Y319" s="96">
        <f>SUM(Y314:Y318)</f>
        <v>28310.150375939898</v>
      </c>
    </row>
    <row r="320" spans="2:25" x14ac:dyDescent="0.2">
      <c r="B320" s="217" t="s">
        <v>23</v>
      </c>
      <c r="C320" s="218"/>
      <c r="D320" s="218"/>
      <c r="E320" s="219"/>
      <c r="F320" s="96">
        <f>SUM(F314:F319)</f>
        <v>9616.7167919799504</v>
      </c>
      <c r="I320" s="217" t="s">
        <v>26</v>
      </c>
      <c r="J320" s="218"/>
      <c r="K320" s="218"/>
      <c r="L320" s="219"/>
      <c r="M320" s="98">
        <f>SUM(M319*0.05)</f>
        <v>1415.5075187969901</v>
      </c>
      <c r="O320" s="217" t="s">
        <v>23</v>
      </c>
      <c r="P320" s="218"/>
      <c r="Q320" s="218"/>
      <c r="R320" s="219"/>
      <c r="S320" s="96">
        <f>SUM(S314:S319)</f>
        <v>9616.7167919799704</v>
      </c>
      <c r="U320" s="217" t="s">
        <v>26</v>
      </c>
      <c r="V320" s="218"/>
      <c r="W320" s="218"/>
      <c r="X320" s="219"/>
      <c r="Y320" s="98">
        <f>SUM(Y319*0.05)</f>
        <v>1415.5075187970001</v>
      </c>
    </row>
    <row r="321" spans="2:25" x14ac:dyDescent="0.2">
      <c r="B321" s="217" t="s">
        <v>26</v>
      </c>
      <c r="C321" s="218"/>
      <c r="D321" s="218"/>
      <c r="E321" s="219"/>
      <c r="F321" s="98">
        <f>SUM(F320*0.05)</f>
        <v>480.83583959899801</v>
      </c>
      <c r="I321" s="217" t="s">
        <v>28</v>
      </c>
      <c r="J321" s="218"/>
      <c r="K321" s="218"/>
      <c r="L321" s="219"/>
      <c r="M321" s="98">
        <f>SUM(M319:M320)</f>
        <v>29725.657894736902</v>
      </c>
      <c r="O321" s="217" t="s">
        <v>26</v>
      </c>
      <c r="P321" s="218"/>
      <c r="Q321" s="218"/>
      <c r="R321" s="219"/>
      <c r="S321" s="98">
        <f>SUM(S320*0.05)</f>
        <v>480.83583959899897</v>
      </c>
      <c r="U321" s="217" t="s">
        <v>28</v>
      </c>
      <c r="V321" s="218"/>
      <c r="W321" s="218"/>
      <c r="X321" s="219"/>
      <c r="Y321" s="98">
        <f>SUM(Y319:Y320)</f>
        <v>29725.657894736902</v>
      </c>
    </row>
    <row r="322" spans="2:25" x14ac:dyDescent="0.2">
      <c r="B322" s="217" t="s">
        <v>28</v>
      </c>
      <c r="C322" s="218"/>
      <c r="D322" s="218"/>
      <c r="E322" s="219"/>
      <c r="F322" s="98">
        <f>SUM(F320:F321)</f>
        <v>10097.552631578999</v>
      </c>
      <c r="I322" s="221" t="s">
        <v>31</v>
      </c>
      <c r="J322" s="222"/>
      <c r="K322" s="222"/>
      <c r="L322" s="223"/>
      <c r="M322" s="99">
        <f>SUM(M321/M323)</f>
        <v>0.29725657894736901</v>
      </c>
      <c r="O322" s="217" t="s">
        <v>28</v>
      </c>
      <c r="P322" s="218"/>
      <c r="Q322" s="218"/>
      <c r="R322" s="219"/>
      <c r="S322" s="98">
        <f>SUM(S320:S321)</f>
        <v>10097.552631578999</v>
      </c>
      <c r="U322" s="221" t="s">
        <v>31</v>
      </c>
      <c r="V322" s="222"/>
      <c r="W322" s="222"/>
      <c r="X322" s="223"/>
      <c r="Y322" s="99">
        <f>SUM(Y321/Y323)</f>
        <v>0.29725657894736901</v>
      </c>
    </row>
    <row r="323" spans="2:25" x14ac:dyDescent="0.2">
      <c r="B323" s="221" t="s">
        <v>31</v>
      </c>
      <c r="C323" s="222"/>
      <c r="D323" s="222"/>
      <c r="E323" s="223"/>
      <c r="F323" s="99">
        <f>SUM(F322/F324)</f>
        <v>0.25243881578947402</v>
      </c>
      <c r="I323" s="221" t="s">
        <v>32</v>
      </c>
      <c r="J323" s="222"/>
      <c r="K323" s="222"/>
      <c r="L323" s="223"/>
      <c r="M323" s="100">
        <v>100000</v>
      </c>
      <c r="O323" s="221" t="s">
        <v>31</v>
      </c>
      <c r="P323" s="222"/>
      <c r="Q323" s="222"/>
      <c r="R323" s="223"/>
      <c r="S323" s="99">
        <f>SUM(S322/S324)</f>
        <v>0.25243881578947402</v>
      </c>
      <c r="U323" s="221" t="s">
        <v>32</v>
      </c>
      <c r="V323" s="222"/>
      <c r="W323" s="222"/>
      <c r="X323" s="223"/>
      <c r="Y323" s="100">
        <v>100000</v>
      </c>
    </row>
    <row r="324" spans="2:25" x14ac:dyDescent="0.2">
      <c r="B324" s="221" t="s">
        <v>32</v>
      </c>
      <c r="C324" s="222"/>
      <c r="D324" s="222"/>
      <c r="E324" s="223"/>
      <c r="F324" s="100">
        <v>40000</v>
      </c>
      <c r="O324" s="221" t="s">
        <v>32</v>
      </c>
      <c r="P324" s="222"/>
      <c r="Q324" s="222"/>
      <c r="R324" s="223"/>
      <c r="S324" s="100">
        <v>40000</v>
      </c>
    </row>
    <row r="327" spans="2:25" x14ac:dyDescent="0.2">
      <c r="B327" s="273" t="s">
        <v>303</v>
      </c>
      <c r="C327" s="274"/>
      <c r="D327" s="274"/>
      <c r="E327" s="274"/>
      <c r="F327" s="274"/>
      <c r="G327" s="274"/>
      <c r="H327" s="274"/>
      <c r="I327" s="274"/>
      <c r="J327" s="274"/>
      <c r="K327" s="274"/>
      <c r="L327" s="274"/>
      <c r="M327" s="274"/>
    </row>
    <row r="328" spans="2:25" x14ac:dyDescent="0.2">
      <c r="B328" s="275"/>
      <c r="C328" s="276"/>
      <c r="D328" s="276"/>
      <c r="E328" s="276"/>
      <c r="F328" s="276"/>
      <c r="G328" s="276"/>
      <c r="H328" s="276"/>
      <c r="I328" s="276"/>
      <c r="J328" s="276"/>
      <c r="K328" s="276"/>
      <c r="L328" s="276"/>
      <c r="M328" s="276"/>
    </row>
    <row r="329" spans="2:25" x14ac:dyDescent="0.2">
      <c r="B329" s="275"/>
      <c r="C329" s="276"/>
      <c r="D329" s="276"/>
      <c r="E329" s="276"/>
      <c r="F329" s="276"/>
      <c r="G329" s="276"/>
      <c r="H329" s="276"/>
      <c r="I329" s="276"/>
      <c r="J329" s="276"/>
      <c r="K329" s="276"/>
      <c r="L329" s="276"/>
      <c r="M329" s="276"/>
    </row>
    <row r="330" spans="2:25" x14ac:dyDescent="0.2">
      <c r="B330" s="277"/>
      <c r="C330" s="278"/>
      <c r="D330" s="278"/>
      <c r="E330" s="278"/>
      <c r="F330" s="278"/>
      <c r="G330" s="278"/>
      <c r="H330" s="278"/>
      <c r="I330" s="278"/>
      <c r="J330" s="278"/>
      <c r="K330" s="278"/>
      <c r="L330" s="278"/>
      <c r="M330" s="278"/>
    </row>
    <row r="332" spans="2:25" x14ac:dyDescent="0.2">
      <c r="B332" s="235" t="s">
        <v>304</v>
      </c>
      <c r="C332" s="236"/>
      <c r="D332" s="236"/>
      <c r="E332" s="236"/>
      <c r="F332" s="237"/>
      <c r="I332" s="235" t="s">
        <v>305</v>
      </c>
      <c r="J332" s="236"/>
      <c r="K332" s="236"/>
      <c r="L332" s="236"/>
      <c r="M332" s="237"/>
    </row>
    <row r="333" spans="2:25" x14ac:dyDescent="0.2">
      <c r="B333" s="74" t="s">
        <v>1</v>
      </c>
      <c r="C333" s="248" t="s">
        <v>2</v>
      </c>
      <c r="D333" s="254"/>
      <c r="E333" s="74" t="s">
        <v>3</v>
      </c>
      <c r="F333" s="74" t="s">
        <v>4</v>
      </c>
      <c r="I333" s="74" t="s">
        <v>1</v>
      </c>
      <c r="J333" s="248" t="s">
        <v>2</v>
      </c>
      <c r="K333" s="254"/>
      <c r="L333" s="74" t="s">
        <v>3</v>
      </c>
      <c r="M333" s="74" t="s">
        <v>4</v>
      </c>
    </row>
    <row r="334" spans="2:25" x14ac:dyDescent="0.2">
      <c r="B334" s="111" t="s">
        <v>306</v>
      </c>
      <c r="C334" s="169">
        <v>100</v>
      </c>
      <c r="D334" s="170" t="s">
        <v>6</v>
      </c>
      <c r="E334" s="137">
        <f>PREPARATION!L109</f>
        <v>69.333228676085795</v>
      </c>
      <c r="F334" s="138">
        <f t="shared" ref="F334:F336" si="20">SUM(E334*C334)</f>
        <v>6933.3228676085801</v>
      </c>
      <c r="I334" s="111" t="s">
        <v>306</v>
      </c>
      <c r="J334" s="169">
        <v>300</v>
      </c>
      <c r="K334" s="170" t="s">
        <v>6</v>
      </c>
      <c r="L334" s="137">
        <f>E334</f>
        <v>69.333228676085795</v>
      </c>
      <c r="M334" s="138">
        <f t="shared" ref="M334:M336" si="21">SUM(L334*J334)</f>
        <v>20799.9686028258</v>
      </c>
    </row>
    <row r="335" spans="2:25" x14ac:dyDescent="0.2">
      <c r="B335" s="114" t="s">
        <v>290</v>
      </c>
      <c r="C335" s="114">
        <v>30</v>
      </c>
      <c r="D335" s="114" t="s">
        <v>6</v>
      </c>
      <c r="E335" s="171">
        <f>'SUPPLIER &amp; PRICE'!F142</f>
        <v>158.57142857142901</v>
      </c>
      <c r="F335" s="106">
        <f t="shared" si="20"/>
        <v>4757.1428571428596</v>
      </c>
      <c r="I335" s="114" t="s">
        <v>290</v>
      </c>
      <c r="J335" s="114">
        <v>90</v>
      </c>
      <c r="K335" s="114" t="s">
        <v>6</v>
      </c>
      <c r="L335" s="171">
        <f>E335</f>
        <v>158.57142857142901</v>
      </c>
      <c r="M335" s="106">
        <f t="shared" si="21"/>
        <v>14271.4285714286</v>
      </c>
    </row>
    <row r="336" spans="2:25" x14ac:dyDescent="0.2">
      <c r="B336" s="74" t="s">
        <v>84</v>
      </c>
      <c r="C336" s="116">
        <v>1</v>
      </c>
      <c r="D336" s="117" t="s">
        <v>39</v>
      </c>
      <c r="E336" s="106">
        <f>'SUPPLIER &amp; PRICE'!F68</f>
        <v>5208.3333333333303</v>
      </c>
      <c r="F336" s="106">
        <f t="shared" si="20"/>
        <v>5208.3333333333303</v>
      </c>
      <c r="I336" s="74" t="s">
        <v>84</v>
      </c>
      <c r="J336" s="116">
        <v>2</v>
      </c>
      <c r="K336" s="117" t="s">
        <v>39</v>
      </c>
      <c r="L336" s="106">
        <f>E336</f>
        <v>5208.3333333333303</v>
      </c>
      <c r="M336" s="106">
        <f t="shared" si="21"/>
        <v>10416.666666666701</v>
      </c>
    </row>
    <row r="337" spans="2:13" x14ac:dyDescent="0.2">
      <c r="B337" s="97" t="s">
        <v>20</v>
      </c>
      <c r="C337" s="97">
        <v>300</v>
      </c>
      <c r="D337" s="97" t="s">
        <v>6</v>
      </c>
      <c r="E337" s="120"/>
      <c r="F337" s="120"/>
      <c r="I337" s="97" t="s">
        <v>20</v>
      </c>
      <c r="J337" s="97">
        <v>900</v>
      </c>
      <c r="K337" s="97" t="s">
        <v>6</v>
      </c>
      <c r="L337" s="120"/>
      <c r="M337" s="120"/>
    </row>
    <row r="338" spans="2:13" x14ac:dyDescent="0.2">
      <c r="B338" s="221" t="s">
        <v>29</v>
      </c>
      <c r="C338" s="222"/>
      <c r="D338" s="223"/>
      <c r="E338" s="121" t="s">
        <v>307</v>
      </c>
      <c r="F338" s="123">
        <f>ALCOHOL!F95</f>
        <v>1200</v>
      </c>
      <c r="I338" s="221" t="s">
        <v>29</v>
      </c>
      <c r="J338" s="222"/>
      <c r="K338" s="223"/>
      <c r="L338" s="121" t="s">
        <v>308</v>
      </c>
      <c r="M338" s="123">
        <f>F338</f>
        <v>1200</v>
      </c>
    </row>
    <row r="339" spans="2:13" x14ac:dyDescent="0.2">
      <c r="B339" s="217" t="s">
        <v>23</v>
      </c>
      <c r="C339" s="218"/>
      <c r="D339" s="218"/>
      <c r="E339" s="219"/>
      <c r="F339" s="96">
        <f>SUM(F334:F338)</f>
        <v>18098.799058084802</v>
      </c>
      <c r="I339" s="217" t="s">
        <v>23</v>
      </c>
      <c r="J339" s="218"/>
      <c r="K339" s="218"/>
      <c r="L339" s="219"/>
      <c r="M339" s="96">
        <f>SUM(M334:M338)</f>
        <v>46688.063840921001</v>
      </c>
    </row>
    <row r="340" spans="2:13" x14ac:dyDescent="0.2">
      <c r="B340" s="217" t="s">
        <v>26</v>
      </c>
      <c r="C340" s="218"/>
      <c r="D340" s="218"/>
      <c r="E340" s="219"/>
      <c r="F340" s="98">
        <f>SUM(F339*0.05)</f>
        <v>904.93995290423902</v>
      </c>
      <c r="I340" s="217" t="s">
        <v>26</v>
      </c>
      <c r="J340" s="218"/>
      <c r="K340" s="218"/>
      <c r="L340" s="219"/>
      <c r="M340" s="98">
        <f>SUM(M339*0.05)</f>
        <v>2334.4031920460502</v>
      </c>
    </row>
    <row r="341" spans="2:13" x14ac:dyDescent="0.2">
      <c r="B341" s="217" t="s">
        <v>28</v>
      </c>
      <c r="C341" s="218"/>
      <c r="D341" s="218"/>
      <c r="E341" s="219"/>
      <c r="F341" s="98">
        <f>SUM(F339:F340)</f>
        <v>19003.739010989</v>
      </c>
      <c r="I341" s="217" t="s">
        <v>28</v>
      </c>
      <c r="J341" s="218"/>
      <c r="K341" s="218"/>
      <c r="L341" s="219"/>
      <c r="M341" s="98">
        <f>SUM(M339:M340)</f>
        <v>49022.467032966997</v>
      </c>
    </row>
    <row r="342" spans="2:13" x14ac:dyDescent="0.2">
      <c r="B342" s="221" t="s">
        <v>31</v>
      </c>
      <c r="C342" s="222"/>
      <c r="D342" s="222"/>
      <c r="E342" s="223"/>
      <c r="F342" s="99">
        <f>SUM(F341/F343)</f>
        <v>0.31672898351648299</v>
      </c>
      <c r="I342" s="221" t="s">
        <v>31</v>
      </c>
      <c r="J342" s="222"/>
      <c r="K342" s="222"/>
      <c r="L342" s="223"/>
      <c r="M342" s="99">
        <f>SUM(M341/M343)</f>
        <v>0.40852055860805803</v>
      </c>
    </row>
    <row r="343" spans="2:13" x14ac:dyDescent="0.2">
      <c r="B343" s="221" t="s">
        <v>32</v>
      </c>
      <c r="C343" s="222"/>
      <c r="D343" s="222"/>
      <c r="E343" s="223"/>
      <c r="F343" s="100">
        <v>60000</v>
      </c>
      <c r="I343" s="221" t="s">
        <v>32</v>
      </c>
      <c r="J343" s="222"/>
      <c r="K343" s="222"/>
      <c r="L343" s="223"/>
      <c r="M343" s="100">
        <v>120000</v>
      </c>
    </row>
    <row r="346" spans="2:13" x14ac:dyDescent="0.2">
      <c r="B346" s="235" t="s">
        <v>309</v>
      </c>
      <c r="C346" s="236"/>
      <c r="D346" s="236"/>
      <c r="E346" s="236"/>
      <c r="F346" s="237"/>
      <c r="I346" s="235" t="s">
        <v>310</v>
      </c>
      <c r="J346" s="236"/>
      <c r="K346" s="236"/>
      <c r="L346" s="236"/>
      <c r="M346" s="237"/>
    </row>
    <row r="347" spans="2:13" x14ac:dyDescent="0.2">
      <c r="B347" s="74" t="s">
        <v>1</v>
      </c>
      <c r="C347" s="248" t="s">
        <v>2</v>
      </c>
      <c r="D347" s="254"/>
      <c r="E347" s="74" t="s">
        <v>3</v>
      </c>
      <c r="F347" s="74" t="s">
        <v>4</v>
      </c>
      <c r="I347" s="74" t="s">
        <v>1</v>
      </c>
      <c r="J347" s="248" t="s">
        <v>2</v>
      </c>
      <c r="K347" s="254"/>
      <c r="L347" s="74" t="s">
        <v>3</v>
      </c>
      <c r="M347" s="74" t="s">
        <v>4</v>
      </c>
    </row>
    <row r="348" spans="2:13" x14ac:dyDescent="0.2">
      <c r="B348" s="102" t="s">
        <v>289</v>
      </c>
      <c r="C348" s="102">
        <v>40</v>
      </c>
      <c r="D348" s="108" t="s">
        <v>6</v>
      </c>
      <c r="E348" s="126">
        <f>E349</f>
        <v>158.57142857142901</v>
      </c>
      <c r="F348" s="124">
        <f>SUM(E348*C348)</f>
        <v>6342.8571428571404</v>
      </c>
      <c r="I348" s="102" t="s">
        <v>289</v>
      </c>
      <c r="J348" s="102">
        <v>120</v>
      </c>
      <c r="K348" s="108" t="s">
        <v>6</v>
      </c>
      <c r="L348" s="126">
        <f>L349</f>
        <v>158.57142857142901</v>
      </c>
      <c r="M348" s="124">
        <f t="shared" ref="M348:M351" si="22">SUM(L348*J348)</f>
        <v>19028.571428571398</v>
      </c>
    </row>
    <row r="349" spans="2:13" x14ac:dyDescent="0.2">
      <c r="B349" s="111" t="s">
        <v>295</v>
      </c>
      <c r="C349" s="112">
        <v>20</v>
      </c>
      <c r="D349" s="113" t="s">
        <v>6</v>
      </c>
      <c r="E349" s="127">
        <f t="shared" ref="E349" si="23">E335</f>
        <v>158.57142857142901</v>
      </c>
      <c r="F349" s="128">
        <f t="shared" ref="F349:F351" si="24">SUM(E349*C349)</f>
        <v>3171.4285714285702</v>
      </c>
      <c r="I349" s="111" t="s">
        <v>295</v>
      </c>
      <c r="J349" s="112">
        <v>40</v>
      </c>
      <c r="K349" s="113" t="s">
        <v>6</v>
      </c>
      <c r="L349" s="127">
        <f>L335</f>
        <v>158.57142857142901</v>
      </c>
      <c r="M349" s="128">
        <f t="shared" si="22"/>
        <v>6342.8571428571404</v>
      </c>
    </row>
    <row r="350" spans="2:13" x14ac:dyDescent="0.2">
      <c r="B350" s="114" t="s">
        <v>218</v>
      </c>
      <c r="C350" s="114">
        <v>60</v>
      </c>
      <c r="D350" s="114" t="s">
        <v>6</v>
      </c>
      <c r="E350" s="129">
        <f>'SUPPLIER &amp; PRICE'!F9</f>
        <v>66.6666666666667</v>
      </c>
      <c r="F350" s="128">
        <f t="shared" si="24"/>
        <v>4000</v>
      </c>
      <c r="I350" s="114" t="s">
        <v>218</v>
      </c>
      <c r="J350" s="114">
        <v>180</v>
      </c>
      <c r="K350" s="114" t="s">
        <v>6</v>
      </c>
      <c r="L350" s="129">
        <f>E350</f>
        <v>66.6666666666667</v>
      </c>
      <c r="M350" s="128">
        <f t="shared" si="22"/>
        <v>12000</v>
      </c>
    </row>
    <row r="351" spans="2:13" x14ac:dyDescent="0.2">
      <c r="B351" s="74" t="s">
        <v>84</v>
      </c>
      <c r="C351" s="116">
        <v>1</v>
      </c>
      <c r="D351" s="117" t="s">
        <v>39</v>
      </c>
      <c r="E351" s="106">
        <f>'SUPPLIER &amp; PRICE'!F68</f>
        <v>5208.3333333333303</v>
      </c>
      <c r="F351" s="106">
        <f t="shared" si="24"/>
        <v>5208.3333333333303</v>
      </c>
      <c r="I351" s="74" t="s">
        <v>84</v>
      </c>
      <c r="J351" s="116">
        <v>2</v>
      </c>
      <c r="K351" s="117" t="s">
        <v>39</v>
      </c>
      <c r="L351" s="106">
        <f>E351</f>
        <v>5208.3333333333303</v>
      </c>
      <c r="M351" s="106">
        <f t="shared" si="22"/>
        <v>10416.666666666701</v>
      </c>
    </row>
    <row r="352" spans="2:13" x14ac:dyDescent="0.2">
      <c r="B352" s="97" t="s">
        <v>20</v>
      </c>
      <c r="C352" s="97">
        <v>300</v>
      </c>
      <c r="D352" s="97" t="s">
        <v>6</v>
      </c>
      <c r="E352" s="120"/>
      <c r="F352" s="120"/>
      <c r="I352" s="97" t="s">
        <v>20</v>
      </c>
      <c r="J352" s="97">
        <v>900</v>
      </c>
      <c r="K352" s="97" t="s">
        <v>6</v>
      </c>
      <c r="L352" s="120"/>
      <c r="M352" s="120"/>
    </row>
    <row r="353" spans="2:13" x14ac:dyDescent="0.2">
      <c r="B353" s="221" t="s">
        <v>29</v>
      </c>
      <c r="C353" s="222"/>
      <c r="D353" s="223"/>
      <c r="E353" s="121" t="s">
        <v>90</v>
      </c>
      <c r="F353" s="123">
        <f>M250</f>
        <v>180</v>
      </c>
      <c r="I353" s="221" t="s">
        <v>29</v>
      </c>
      <c r="J353" s="222"/>
      <c r="K353" s="223"/>
      <c r="L353" s="121" t="s">
        <v>283</v>
      </c>
      <c r="M353" s="123">
        <f>M318</f>
        <v>900</v>
      </c>
    </row>
    <row r="354" spans="2:13" x14ac:dyDescent="0.2">
      <c r="B354" s="217" t="s">
        <v>23</v>
      </c>
      <c r="C354" s="218"/>
      <c r="D354" s="218"/>
      <c r="E354" s="219"/>
      <c r="F354" s="96">
        <f>SUM(F348:F353)</f>
        <v>18902.619047618999</v>
      </c>
      <c r="I354" s="217" t="s">
        <v>23</v>
      </c>
      <c r="J354" s="218"/>
      <c r="K354" s="218"/>
      <c r="L354" s="219"/>
      <c r="M354" s="96">
        <f>SUM(M348:M353)</f>
        <v>48688.0952380952</v>
      </c>
    </row>
    <row r="355" spans="2:13" x14ac:dyDescent="0.2">
      <c r="B355" s="217" t="s">
        <v>26</v>
      </c>
      <c r="C355" s="218"/>
      <c r="D355" s="218"/>
      <c r="E355" s="219"/>
      <c r="F355" s="98">
        <f>SUM(F354*0.05)</f>
        <v>945.13095238095195</v>
      </c>
      <c r="I355" s="217" t="s">
        <v>26</v>
      </c>
      <c r="J355" s="218"/>
      <c r="K355" s="218"/>
      <c r="L355" s="219"/>
      <c r="M355" s="98">
        <f>SUM(M354*0.05)</f>
        <v>2434.4047619047601</v>
      </c>
    </row>
    <row r="356" spans="2:13" x14ac:dyDescent="0.2">
      <c r="B356" s="217" t="s">
        <v>28</v>
      </c>
      <c r="C356" s="218"/>
      <c r="D356" s="218"/>
      <c r="E356" s="219"/>
      <c r="F356" s="98">
        <f>SUM(F354:F355)</f>
        <v>19847.75</v>
      </c>
      <c r="I356" s="217" t="s">
        <v>28</v>
      </c>
      <c r="J356" s="218"/>
      <c r="K356" s="218"/>
      <c r="L356" s="219"/>
      <c r="M356" s="98">
        <f>SUM(M354:M355)</f>
        <v>51122.5</v>
      </c>
    </row>
    <row r="357" spans="2:13" x14ac:dyDescent="0.2">
      <c r="B357" s="221" t="s">
        <v>31</v>
      </c>
      <c r="C357" s="222"/>
      <c r="D357" s="222"/>
      <c r="E357" s="223"/>
      <c r="F357" s="99">
        <f>SUM(F356/F358)</f>
        <v>0.33079583333333301</v>
      </c>
      <c r="I357" s="221" t="s">
        <v>31</v>
      </c>
      <c r="J357" s="222"/>
      <c r="K357" s="222"/>
      <c r="L357" s="223"/>
      <c r="M357" s="99">
        <f>SUM(M356/M358)</f>
        <v>0.42602083333333302</v>
      </c>
    </row>
    <row r="358" spans="2:13" x14ac:dyDescent="0.2">
      <c r="B358" s="221" t="s">
        <v>32</v>
      </c>
      <c r="C358" s="222"/>
      <c r="D358" s="222"/>
      <c r="E358" s="223"/>
      <c r="F358" s="100">
        <v>60000</v>
      </c>
      <c r="I358" s="221" t="s">
        <v>32</v>
      </c>
      <c r="J358" s="222"/>
      <c r="K358" s="222"/>
      <c r="L358" s="223"/>
      <c r="M358" s="100">
        <v>120000</v>
      </c>
    </row>
    <row r="361" spans="2:13" x14ac:dyDescent="0.2">
      <c r="B361" s="235" t="s">
        <v>311</v>
      </c>
      <c r="C361" s="236"/>
      <c r="D361" s="236"/>
      <c r="E361" s="236"/>
      <c r="F361" s="237"/>
      <c r="I361" s="235" t="s">
        <v>312</v>
      </c>
      <c r="J361" s="236"/>
      <c r="K361" s="236"/>
      <c r="L361" s="236"/>
      <c r="M361" s="237"/>
    </row>
    <row r="362" spans="2:13" x14ac:dyDescent="0.2">
      <c r="B362" s="74" t="s">
        <v>1</v>
      </c>
      <c r="C362" s="248" t="s">
        <v>2</v>
      </c>
      <c r="D362" s="254"/>
      <c r="E362" s="74" t="s">
        <v>3</v>
      </c>
      <c r="F362" s="74" t="s">
        <v>4</v>
      </c>
      <c r="I362" s="74" t="s">
        <v>1</v>
      </c>
      <c r="J362" s="248" t="s">
        <v>2</v>
      </c>
      <c r="K362" s="254"/>
      <c r="L362" s="74" t="s">
        <v>3</v>
      </c>
      <c r="M362" s="74" t="s">
        <v>4</v>
      </c>
    </row>
    <row r="363" spans="2:13" x14ac:dyDescent="0.2">
      <c r="B363" s="102" t="s">
        <v>313</v>
      </c>
      <c r="C363" s="102">
        <v>45</v>
      </c>
      <c r="D363" s="108" t="s">
        <v>6</v>
      </c>
      <c r="E363" s="126">
        <f>'SUPPLIER &amp; PRICE'!F135</f>
        <v>100</v>
      </c>
      <c r="F363" s="124">
        <f t="shared" ref="F363:F366" si="25">SUM(E363*C363)</f>
        <v>4500</v>
      </c>
      <c r="I363" s="102" t="s">
        <v>313</v>
      </c>
      <c r="J363" s="102">
        <v>135</v>
      </c>
      <c r="K363" s="108" t="s">
        <v>6</v>
      </c>
      <c r="L363" s="126">
        <f>E363</f>
        <v>100</v>
      </c>
      <c r="M363" s="124">
        <f t="shared" ref="M363:M366" si="26">SUM(L363*J363)</f>
        <v>13500</v>
      </c>
    </row>
    <row r="364" spans="2:13" x14ac:dyDescent="0.2">
      <c r="B364" s="111" t="s">
        <v>295</v>
      </c>
      <c r="C364" s="112">
        <v>20</v>
      </c>
      <c r="D364" s="113" t="s">
        <v>6</v>
      </c>
      <c r="E364" s="127">
        <f>E349</f>
        <v>158.57142857142901</v>
      </c>
      <c r="F364" s="128">
        <f t="shared" si="25"/>
        <v>3171.4285714285702</v>
      </c>
      <c r="I364" s="111" t="s">
        <v>295</v>
      </c>
      <c r="J364" s="112">
        <v>60</v>
      </c>
      <c r="K364" s="113" t="s">
        <v>6</v>
      </c>
      <c r="L364" s="127">
        <f>E364</f>
        <v>158.57142857142901</v>
      </c>
      <c r="M364" s="128">
        <f t="shared" si="26"/>
        <v>9514.2857142857192</v>
      </c>
    </row>
    <row r="365" spans="2:13" x14ac:dyDescent="0.2">
      <c r="B365" s="114" t="s">
        <v>218</v>
      </c>
      <c r="C365" s="114">
        <v>45</v>
      </c>
      <c r="D365" s="114" t="s">
        <v>6</v>
      </c>
      <c r="E365" s="129">
        <f>E350</f>
        <v>66.6666666666667</v>
      </c>
      <c r="F365" s="128">
        <f t="shared" si="25"/>
        <v>3000</v>
      </c>
      <c r="I365" s="114" t="s">
        <v>218</v>
      </c>
      <c r="J365" s="114">
        <v>135</v>
      </c>
      <c r="K365" s="114" t="s">
        <v>6</v>
      </c>
      <c r="L365" s="129">
        <f>E365</f>
        <v>66.6666666666667</v>
      </c>
      <c r="M365" s="128">
        <f t="shared" si="26"/>
        <v>9000</v>
      </c>
    </row>
    <row r="366" spans="2:13" x14ac:dyDescent="0.2">
      <c r="B366" s="74" t="s">
        <v>84</v>
      </c>
      <c r="C366" s="116">
        <v>1</v>
      </c>
      <c r="D366" s="117" t="s">
        <v>39</v>
      </c>
      <c r="E366" s="106">
        <f>E351</f>
        <v>5208.3333333333303</v>
      </c>
      <c r="F366" s="106">
        <f t="shared" si="25"/>
        <v>5208.3333333333303</v>
      </c>
      <c r="I366" s="74" t="s">
        <v>84</v>
      </c>
      <c r="J366" s="116">
        <v>2</v>
      </c>
      <c r="K366" s="117" t="s">
        <v>39</v>
      </c>
      <c r="L366" s="106">
        <f t="shared" ref="L366" si="27">L351</f>
        <v>5208.3333333333303</v>
      </c>
      <c r="M366" s="106">
        <f t="shared" si="26"/>
        <v>10416.666666666701</v>
      </c>
    </row>
    <row r="367" spans="2:13" x14ac:dyDescent="0.2">
      <c r="B367" s="97" t="s">
        <v>20</v>
      </c>
      <c r="C367" s="97">
        <v>300</v>
      </c>
      <c r="D367" s="97" t="s">
        <v>6</v>
      </c>
      <c r="E367" s="120"/>
      <c r="F367" s="120"/>
      <c r="I367" s="97" t="s">
        <v>20</v>
      </c>
      <c r="J367" s="97">
        <v>900</v>
      </c>
      <c r="K367" s="97" t="s">
        <v>6</v>
      </c>
      <c r="L367" s="120"/>
      <c r="M367" s="120"/>
    </row>
    <row r="368" spans="2:13" x14ac:dyDescent="0.2">
      <c r="B368" s="221" t="s">
        <v>29</v>
      </c>
      <c r="C368" s="222"/>
      <c r="D368" s="223"/>
      <c r="E368" s="93" t="s">
        <v>30</v>
      </c>
      <c r="F368" s="94">
        <f>ALCOHOL!F95</f>
        <v>1200</v>
      </c>
      <c r="I368" s="221" t="s">
        <v>29</v>
      </c>
      <c r="J368" s="222"/>
      <c r="K368" s="223"/>
      <c r="L368" s="93" t="s">
        <v>314</v>
      </c>
      <c r="M368" s="94">
        <v>2400</v>
      </c>
    </row>
    <row r="369" spans="2:13" x14ac:dyDescent="0.2">
      <c r="B369" s="217" t="s">
        <v>23</v>
      </c>
      <c r="C369" s="218"/>
      <c r="D369" s="218"/>
      <c r="E369" s="219"/>
      <c r="F369" s="96">
        <f>SUM(F363:F368)</f>
        <v>17079.761904761901</v>
      </c>
      <c r="I369" s="217" t="s">
        <v>23</v>
      </c>
      <c r="J369" s="218"/>
      <c r="K369" s="218"/>
      <c r="L369" s="219"/>
      <c r="M369" s="96">
        <f>SUM(M363:M368)</f>
        <v>44830.952380952403</v>
      </c>
    </row>
    <row r="370" spans="2:13" x14ac:dyDescent="0.2">
      <c r="B370" s="217" t="s">
        <v>26</v>
      </c>
      <c r="C370" s="218"/>
      <c r="D370" s="218"/>
      <c r="E370" s="219"/>
      <c r="F370" s="98">
        <f>SUM(F369*0.05)</f>
        <v>853.98809523809496</v>
      </c>
      <c r="I370" s="217" t="s">
        <v>26</v>
      </c>
      <c r="J370" s="218"/>
      <c r="K370" s="218"/>
      <c r="L370" s="219"/>
      <c r="M370" s="98">
        <f>SUM(M369*0.05)</f>
        <v>2241.5476190476202</v>
      </c>
    </row>
    <row r="371" spans="2:13" x14ac:dyDescent="0.2">
      <c r="B371" s="217" t="s">
        <v>28</v>
      </c>
      <c r="C371" s="218"/>
      <c r="D371" s="218"/>
      <c r="E371" s="219"/>
      <c r="F371" s="98">
        <f>SUM(F369:F370)</f>
        <v>17933.75</v>
      </c>
      <c r="I371" s="217" t="s">
        <v>28</v>
      </c>
      <c r="J371" s="218"/>
      <c r="K371" s="218"/>
      <c r="L371" s="219"/>
      <c r="M371" s="98">
        <f>SUM(M369:M370)</f>
        <v>47072.5</v>
      </c>
    </row>
    <row r="372" spans="2:13" x14ac:dyDescent="0.2">
      <c r="B372" s="221" t="s">
        <v>31</v>
      </c>
      <c r="C372" s="222"/>
      <c r="D372" s="222"/>
      <c r="E372" s="223"/>
      <c r="F372" s="99">
        <f>SUM(F371/F373)</f>
        <v>0.29889583333333303</v>
      </c>
      <c r="I372" s="221" t="s">
        <v>31</v>
      </c>
      <c r="J372" s="222"/>
      <c r="K372" s="222"/>
      <c r="L372" s="223"/>
      <c r="M372" s="99">
        <f>SUM(M371/M373)</f>
        <v>0.39227083333333301</v>
      </c>
    </row>
    <row r="373" spans="2:13" x14ac:dyDescent="0.2">
      <c r="B373" s="221" t="s">
        <v>32</v>
      </c>
      <c r="C373" s="222"/>
      <c r="D373" s="222"/>
      <c r="E373" s="223"/>
      <c r="F373" s="100">
        <v>60000</v>
      </c>
      <c r="I373" s="221" t="s">
        <v>32</v>
      </c>
      <c r="J373" s="222"/>
      <c r="K373" s="222"/>
      <c r="L373" s="223"/>
      <c r="M373" s="100">
        <v>120000</v>
      </c>
    </row>
    <row r="377" spans="2:13" x14ac:dyDescent="0.2">
      <c r="B377" s="235" t="s">
        <v>315</v>
      </c>
      <c r="C377" s="236"/>
      <c r="D377" s="236"/>
      <c r="E377" s="236"/>
      <c r="F377" s="237"/>
      <c r="I377" s="235" t="s">
        <v>316</v>
      </c>
      <c r="J377" s="236"/>
      <c r="K377" s="236"/>
      <c r="L377" s="236"/>
      <c r="M377" s="237"/>
    </row>
    <row r="378" spans="2:13" x14ac:dyDescent="0.2">
      <c r="B378" s="74" t="s">
        <v>1</v>
      </c>
      <c r="C378" s="248" t="s">
        <v>2</v>
      </c>
      <c r="D378" s="254"/>
      <c r="E378" s="74" t="s">
        <v>3</v>
      </c>
      <c r="F378" s="74" t="s">
        <v>4</v>
      </c>
      <c r="I378" s="74" t="s">
        <v>1</v>
      </c>
      <c r="J378" s="248" t="s">
        <v>2</v>
      </c>
      <c r="K378" s="254"/>
      <c r="L378" s="74" t="s">
        <v>3</v>
      </c>
      <c r="M378" s="74" t="s">
        <v>4</v>
      </c>
    </row>
    <row r="379" spans="2:13" x14ac:dyDescent="0.2">
      <c r="B379" s="102" t="s">
        <v>317</v>
      </c>
      <c r="C379" s="102">
        <v>100</v>
      </c>
      <c r="D379" s="108" t="s">
        <v>17</v>
      </c>
      <c r="E379" s="126">
        <f>'SUPPLIER &amp; PRICE'!F47</f>
        <v>21.25</v>
      </c>
      <c r="F379" s="124">
        <f>SUM(E379*C379)</f>
        <v>2125</v>
      </c>
      <c r="I379" s="102" t="s">
        <v>318</v>
      </c>
      <c r="J379" s="102">
        <v>100</v>
      </c>
      <c r="K379" s="108" t="s">
        <v>17</v>
      </c>
      <c r="L379" s="126">
        <f>'SUPPLIER &amp; PRICE'!F47</f>
        <v>21.25</v>
      </c>
      <c r="M379" s="124">
        <f>SUM(L379*J379)</f>
        <v>2125</v>
      </c>
    </row>
    <row r="380" spans="2:13" x14ac:dyDescent="0.2">
      <c r="B380" s="111" t="s">
        <v>196</v>
      </c>
      <c r="C380" s="112">
        <v>200</v>
      </c>
      <c r="D380" s="113" t="s">
        <v>6</v>
      </c>
      <c r="E380" s="127">
        <f>'SUPPLIER &amp; PRICE'!F4</f>
        <v>24</v>
      </c>
      <c r="F380" s="128">
        <f>SUM(E380*C380)</f>
        <v>4800</v>
      </c>
      <c r="I380" s="133" t="s">
        <v>319</v>
      </c>
      <c r="J380" s="133">
        <v>3</v>
      </c>
      <c r="K380" s="139" t="s">
        <v>17</v>
      </c>
      <c r="L380" s="128" t="e">
        <f>'SUPPLIER &amp; PRICE'!#REF!</f>
        <v>#REF!</v>
      </c>
      <c r="M380" s="124" t="e">
        <f>SUM(L380*J380)</f>
        <v>#REF!</v>
      </c>
    </row>
    <row r="381" spans="2:13" x14ac:dyDescent="0.2">
      <c r="B381" s="114" t="s">
        <v>320</v>
      </c>
      <c r="C381" s="114">
        <v>5</v>
      </c>
      <c r="D381" s="114" t="s">
        <v>6</v>
      </c>
      <c r="E381" s="129">
        <f>'SUPPLIER &amp; PRICE'!F144</f>
        <v>158.57142857142901</v>
      </c>
      <c r="F381" s="128">
        <f>SUM(E381*C381)</f>
        <v>792.857142857143</v>
      </c>
      <c r="I381" s="111" t="s">
        <v>196</v>
      </c>
      <c r="J381" s="112">
        <v>200</v>
      </c>
      <c r="K381" s="113" t="s">
        <v>6</v>
      </c>
      <c r="L381" s="127">
        <f>'SUPPLIER &amp; PRICE'!F4</f>
        <v>24</v>
      </c>
      <c r="M381" s="172">
        <f>SUM(L381*J381)</f>
        <v>4800</v>
      </c>
    </row>
    <row r="382" spans="2:13" x14ac:dyDescent="0.2">
      <c r="B382" s="97" t="s">
        <v>20</v>
      </c>
      <c r="C382" s="97">
        <v>300</v>
      </c>
      <c r="D382" s="97" t="s">
        <v>6</v>
      </c>
      <c r="E382" s="120"/>
      <c r="F382" s="120"/>
      <c r="I382" s="114" t="s">
        <v>320</v>
      </c>
      <c r="J382" s="114">
        <v>5</v>
      </c>
      <c r="K382" s="114" t="s">
        <v>6</v>
      </c>
      <c r="L382" s="129">
        <f>'SUPPLIER &amp; PRICE'!F144</f>
        <v>158.57142857142901</v>
      </c>
      <c r="M382" s="128">
        <f>SUM(L382*J382)</f>
        <v>792.857142857143</v>
      </c>
    </row>
    <row r="383" spans="2:13" x14ac:dyDescent="0.2">
      <c r="B383" s="221" t="s">
        <v>29</v>
      </c>
      <c r="C383" s="222"/>
      <c r="D383" s="223"/>
      <c r="E383" s="93" t="s">
        <v>321</v>
      </c>
      <c r="F383" s="94">
        <v>2240</v>
      </c>
      <c r="I383" s="97" t="s">
        <v>20</v>
      </c>
      <c r="J383" s="97">
        <v>300</v>
      </c>
      <c r="K383" s="97" t="s">
        <v>6</v>
      </c>
      <c r="L383" s="120"/>
      <c r="M383" s="120"/>
    </row>
    <row r="384" spans="2:13" x14ac:dyDescent="0.2">
      <c r="B384" s="217" t="s">
        <v>23</v>
      </c>
      <c r="C384" s="218"/>
      <c r="D384" s="218"/>
      <c r="E384" s="219"/>
      <c r="F384" s="96">
        <f>SUM(F379:F383)</f>
        <v>9957.8571428571395</v>
      </c>
      <c r="I384" s="221" t="s">
        <v>29</v>
      </c>
      <c r="J384" s="222"/>
      <c r="K384" s="223"/>
      <c r="L384" s="93" t="s">
        <v>321</v>
      </c>
      <c r="M384" s="94">
        <f>F383</f>
        <v>2240</v>
      </c>
    </row>
    <row r="385" spans="2:13" x14ac:dyDescent="0.2">
      <c r="B385" s="217" t="s">
        <v>26</v>
      </c>
      <c r="C385" s="218"/>
      <c r="D385" s="218"/>
      <c r="E385" s="219"/>
      <c r="F385" s="98">
        <f>SUM(F384*0.05)</f>
        <v>497.892857142857</v>
      </c>
      <c r="I385" s="217" t="s">
        <v>23</v>
      </c>
      <c r="J385" s="218"/>
      <c r="K385" s="218"/>
      <c r="L385" s="219"/>
      <c r="M385" s="96" t="e">
        <f>SUM(M379:M384)</f>
        <v>#REF!</v>
      </c>
    </row>
    <row r="386" spans="2:13" x14ac:dyDescent="0.2">
      <c r="B386" s="217" t="s">
        <v>28</v>
      </c>
      <c r="C386" s="218"/>
      <c r="D386" s="218"/>
      <c r="E386" s="219"/>
      <c r="F386" s="98">
        <f>SUM(F384:F385)</f>
        <v>10455.75</v>
      </c>
      <c r="I386" s="217" t="s">
        <v>26</v>
      </c>
      <c r="J386" s="218"/>
      <c r="K386" s="218"/>
      <c r="L386" s="219"/>
      <c r="M386" s="98" t="e">
        <f>SUM(M385*0.05)</f>
        <v>#REF!</v>
      </c>
    </row>
    <row r="387" spans="2:13" x14ac:dyDescent="0.2">
      <c r="B387" s="221" t="s">
        <v>31</v>
      </c>
      <c r="C387" s="222"/>
      <c r="D387" s="222"/>
      <c r="E387" s="223"/>
      <c r="F387" s="99">
        <f>SUM(F386/F388)</f>
        <v>0.17426249999999999</v>
      </c>
      <c r="I387" s="217" t="s">
        <v>28</v>
      </c>
      <c r="J387" s="218"/>
      <c r="K387" s="218"/>
      <c r="L387" s="219"/>
      <c r="M387" s="98" t="e">
        <f>SUM(M385:M386)</f>
        <v>#REF!</v>
      </c>
    </row>
    <row r="388" spans="2:13" x14ac:dyDescent="0.2">
      <c r="B388" s="221" t="s">
        <v>32</v>
      </c>
      <c r="C388" s="222"/>
      <c r="D388" s="222"/>
      <c r="E388" s="223"/>
      <c r="F388" s="100">
        <v>60000</v>
      </c>
      <c r="I388" s="221" t="s">
        <v>31</v>
      </c>
      <c r="J388" s="222"/>
      <c r="K388" s="222"/>
      <c r="L388" s="223"/>
      <c r="M388" s="99" t="e">
        <f>SUM(M387/M389)</f>
        <v>#REF!</v>
      </c>
    </row>
    <row r="389" spans="2:13" x14ac:dyDescent="0.2">
      <c r="I389" s="221" t="s">
        <v>32</v>
      </c>
      <c r="J389" s="222"/>
      <c r="K389" s="222"/>
      <c r="L389" s="223"/>
      <c r="M389" s="100">
        <v>60000</v>
      </c>
    </row>
    <row r="392" spans="2:13" x14ac:dyDescent="0.2">
      <c r="B392" s="235" t="s">
        <v>322</v>
      </c>
      <c r="C392" s="236"/>
      <c r="D392" s="236"/>
      <c r="E392" s="236"/>
      <c r="F392" s="237"/>
      <c r="I392" s="235" t="s">
        <v>323</v>
      </c>
      <c r="J392" s="236"/>
      <c r="K392" s="236"/>
      <c r="L392" s="236"/>
      <c r="M392" s="237"/>
    </row>
    <row r="393" spans="2:13" x14ac:dyDescent="0.2">
      <c r="B393" s="74" t="s">
        <v>1</v>
      </c>
      <c r="C393" s="248" t="s">
        <v>2</v>
      </c>
      <c r="D393" s="254"/>
      <c r="E393" s="74" t="s">
        <v>3</v>
      </c>
      <c r="F393" s="74" t="s">
        <v>4</v>
      </c>
      <c r="I393" s="74" t="s">
        <v>1</v>
      </c>
      <c r="J393" s="248" t="s">
        <v>2</v>
      </c>
      <c r="K393" s="254"/>
      <c r="L393" s="74" t="s">
        <v>3</v>
      </c>
      <c r="M393" s="74" t="s">
        <v>4</v>
      </c>
    </row>
    <row r="394" spans="2:13" x14ac:dyDescent="0.2">
      <c r="B394" s="102" t="s">
        <v>324</v>
      </c>
      <c r="C394" s="102">
        <v>100</v>
      </c>
      <c r="D394" s="108" t="s">
        <v>17</v>
      </c>
      <c r="E394" s="126">
        <f>'SUPPLIER &amp; PRICE'!F47</f>
        <v>21.25</v>
      </c>
      <c r="F394" s="124">
        <f t="shared" ref="F394:F397" si="28">SUM(E394*C394)</f>
        <v>2125</v>
      </c>
      <c r="I394" s="102" t="s">
        <v>317</v>
      </c>
      <c r="J394" s="102">
        <v>100</v>
      </c>
      <c r="K394" s="108" t="s">
        <v>17</v>
      </c>
      <c r="L394" s="126">
        <f>E394</f>
        <v>21.25</v>
      </c>
      <c r="M394" s="124">
        <f>SUM(L394*J394)</f>
        <v>2125</v>
      </c>
    </row>
    <row r="395" spans="2:13" x14ac:dyDescent="0.2">
      <c r="B395" s="133" t="s">
        <v>325</v>
      </c>
      <c r="C395" s="133">
        <v>50</v>
      </c>
      <c r="D395" s="139" t="s">
        <v>17</v>
      </c>
      <c r="E395" s="128">
        <f>'SUPPLIER &amp; PRICE'!F25</f>
        <v>85</v>
      </c>
      <c r="F395" s="124">
        <f t="shared" si="28"/>
        <v>4250</v>
      </c>
      <c r="I395" s="133" t="s">
        <v>326</v>
      </c>
      <c r="J395" s="133">
        <v>1</v>
      </c>
      <c r="K395" s="139" t="s">
        <v>76</v>
      </c>
      <c r="L395" s="128">
        <v>2000</v>
      </c>
      <c r="M395" s="124">
        <f>SUM(L395*J395)</f>
        <v>2000</v>
      </c>
    </row>
    <row r="396" spans="2:13" x14ac:dyDescent="0.2">
      <c r="B396" s="111" t="s">
        <v>196</v>
      </c>
      <c r="C396" s="112">
        <v>200</v>
      </c>
      <c r="D396" s="113" t="s">
        <v>6</v>
      </c>
      <c r="E396" s="127">
        <f>'SUPPLIER &amp; PRICE'!F4</f>
        <v>24</v>
      </c>
      <c r="F396" s="172">
        <f t="shared" si="28"/>
        <v>4800</v>
      </c>
      <c r="I396" s="111" t="s">
        <v>196</v>
      </c>
      <c r="J396" s="112">
        <v>200</v>
      </c>
      <c r="K396" s="113" t="s">
        <v>6</v>
      </c>
      <c r="L396" s="127">
        <f>E396</f>
        <v>24</v>
      </c>
      <c r="M396" s="172">
        <f>SUM(L396*J396)</f>
        <v>4800</v>
      </c>
    </row>
    <row r="397" spans="2:13" x14ac:dyDescent="0.2">
      <c r="B397" s="114" t="s">
        <v>320</v>
      </c>
      <c r="C397" s="114">
        <v>5</v>
      </c>
      <c r="D397" s="114" t="s">
        <v>6</v>
      </c>
      <c r="E397" s="129">
        <f>'SUPPLIER &amp; PRICE'!F144</f>
        <v>158.57142857142901</v>
      </c>
      <c r="F397" s="128">
        <f t="shared" si="28"/>
        <v>792.857142857143</v>
      </c>
      <c r="I397" s="97" t="s">
        <v>20</v>
      </c>
      <c r="J397" s="97">
        <v>300</v>
      </c>
      <c r="K397" s="97" t="s">
        <v>6</v>
      </c>
      <c r="L397" s="120"/>
      <c r="M397" s="120"/>
    </row>
    <row r="398" spans="2:13" x14ac:dyDescent="0.2">
      <c r="B398" s="97" t="s">
        <v>20</v>
      </c>
      <c r="C398" s="97">
        <v>300</v>
      </c>
      <c r="D398" s="97" t="s">
        <v>6</v>
      </c>
      <c r="E398" s="120"/>
      <c r="F398" s="120"/>
      <c r="I398" s="221" t="s">
        <v>29</v>
      </c>
      <c r="J398" s="222"/>
      <c r="K398" s="223"/>
      <c r="L398" s="93" t="s">
        <v>321</v>
      </c>
      <c r="M398" s="94">
        <f>F383</f>
        <v>2240</v>
      </c>
    </row>
    <row r="399" spans="2:13" x14ac:dyDescent="0.2">
      <c r="B399" s="221" t="s">
        <v>29</v>
      </c>
      <c r="C399" s="222"/>
      <c r="D399" s="223"/>
      <c r="E399" s="93" t="s">
        <v>224</v>
      </c>
      <c r="F399" s="94">
        <v>1600</v>
      </c>
      <c r="I399" s="217" t="s">
        <v>23</v>
      </c>
      <c r="J399" s="218"/>
      <c r="K399" s="218"/>
      <c r="L399" s="219"/>
      <c r="M399" s="96">
        <f>SUM(M394:M398)</f>
        <v>11165</v>
      </c>
    </row>
    <row r="400" spans="2:13" x14ac:dyDescent="0.2">
      <c r="B400" s="217" t="s">
        <v>23</v>
      </c>
      <c r="C400" s="218"/>
      <c r="D400" s="218"/>
      <c r="E400" s="219"/>
      <c r="F400" s="96">
        <f>SUM(F394:F399)</f>
        <v>13567.857142857099</v>
      </c>
      <c r="I400" s="217" t="s">
        <v>26</v>
      </c>
      <c r="J400" s="218"/>
      <c r="K400" s="218"/>
      <c r="L400" s="219"/>
      <c r="M400" s="98">
        <f>SUM(M399*0.05)</f>
        <v>558.25</v>
      </c>
    </row>
    <row r="401" spans="2:13" x14ac:dyDescent="0.2">
      <c r="B401" s="217" t="s">
        <v>26</v>
      </c>
      <c r="C401" s="218"/>
      <c r="D401" s="218"/>
      <c r="E401" s="219"/>
      <c r="F401" s="98">
        <f>SUM(F400*0.05)</f>
        <v>678.392857142857</v>
      </c>
      <c r="I401" s="217" t="s">
        <v>28</v>
      </c>
      <c r="J401" s="218"/>
      <c r="K401" s="218"/>
      <c r="L401" s="219"/>
      <c r="M401" s="98">
        <f>SUM(M399:M400)</f>
        <v>11723.25</v>
      </c>
    </row>
    <row r="402" spans="2:13" x14ac:dyDescent="0.2">
      <c r="B402" s="217" t="s">
        <v>28</v>
      </c>
      <c r="C402" s="218"/>
      <c r="D402" s="218"/>
      <c r="E402" s="219"/>
      <c r="F402" s="98">
        <f>SUM(F400:F401)</f>
        <v>14246.25</v>
      </c>
      <c r="I402" s="221" t="s">
        <v>31</v>
      </c>
      <c r="J402" s="222"/>
      <c r="K402" s="222"/>
      <c r="L402" s="223"/>
      <c r="M402" s="99">
        <f>SUM(M401/M403)</f>
        <v>0.19538749999999999</v>
      </c>
    </row>
    <row r="403" spans="2:13" x14ac:dyDescent="0.2">
      <c r="B403" s="221" t="s">
        <v>31</v>
      </c>
      <c r="C403" s="222"/>
      <c r="D403" s="222"/>
      <c r="E403" s="223"/>
      <c r="F403" s="99">
        <f>SUM(F402/F404)</f>
        <v>0.2374375</v>
      </c>
      <c r="I403" s="221" t="s">
        <v>32</v>
      </c>
      <c r="J403" s="222"/>
      <c r="K403" s="222"/>
      <c r="L403" s="223"/>
      <c r="M403" s="100">
        <v>60000</v>
      </c>
    </row>
    <row r="404" spans="2:13" x14ac:dyDescent="0.2">
      <c r="B404" s="221" t="s">
        <v>32</v>
      </c>
      <c r="C404" s="222"/>
      <c r="D404" s="222"/>
      <c r="E404" s="223"/>
      <c r="F404" s="100">
        <v>60000</v>
      </c>
    </row>
  </sheetData>
  <mergeCells count="528">
    <mergeCell ref="B403:E403"/>
    <mergeCell ref="I403:L403"/>
    <mergeCell ref="B404:E404"/>
    <mergeCell ref="B2:M3"/>
    <mergeCell ref="B63:M66"/>
    <mergeCell ref="B102:M105"/>
    <mergeCell ref="B143:M146"/>
    <mergeCell ref="B192:M195"/>
    <mergeCell ref="B79:D80"/>
    <mergeCell ref="B233:M236"/>
    <mergeCell ref="B264:M267"/>
    <mergeCell ref="B274:D275"/>
    <mergeCell ref="I275:K276"/>
    <mergeCell ref="B290:D291"/>
    <mergeCell ref="B304:D305"/>
    <mergeCell ref="B318:D319"/>
    <mergeCell ref="B327:M330"/>
    <mergeCell ref="I398:K398"/>
    <mergeCell ref="B399:D399"/>
    <mergeCell ref="I399:L399"/>
    <mergeCell ref="B400:E400"/>
    <mergeCell ref="I400:L400"/>
    <mergeCell ref="B401:E401"/>
    <mergeCell ref="I401:L401"/>
    <mergeCell ref="B402:E402"/>
    <mergeCell ref="I402:L402"/>
    <mergeCell ref="B387:E387"/>
    <mergeCell ref="I387:L387"/>
    <mergeCell ref="B388:E388"/>
    <mergeCell ref="I388:L388"/>
    <mergeCell ref="I389:L389"/>
    <mergeCell ref="B392:F392"/>
    <mergeCell ref="I392:M392"/>
    <mergeCell ref="C393:D393"/>
    <mergeCell ref="J393:K393"/>
    <mergeCell ref="C378:D378"/>
    <mergeCell ref="J378:K378"/>
    <mergeCell ref="B383:D383"/>
    <mergeCell ref="B384:E384"/>
    <mergeCell ref="I384:K384"/>
    <mergeCell ref="B385:E385"/>
    <mergeCell ref="I385:L385"/>
    <mergeCell ref="B386:E386"/>
    <mergeCell ref="I386:L386"/>
    <mergeCell ref="B370:E370"/>
    <mergeCell ref="I370:L370"/>
    <mergeCell ref="B371:E371"/>
    <mergeCell ref="I371:L371"/>
    <mergeCell ref="B372:E372"/>
    <mergeCell ref="I372:L372"/>
    <mergeCell ref="B373:E373"/>
    <mergeCell ref="I373:L373"/>
    <mergeCell ref="B377:F377"/>
    <mergeCell ref="I377:M377"/>
    <mergeCell ref="B358:E358"/>
    <mergeCell ref="I358:L358"/>
    <mergeCell ref="B361:F361"/>
    <mergeCell ref="I361:M361"/>
    <mergeCell ref="C362:D362"/>
    <mergeCell ref="J362:K362"/>
    <mergeCell ref="B368:D368"/>
    <mergeCell ref="I368:K368"/>
    <mergeCell ref="B369:E369"/>
    <mergeCell ref="I369:L369"/>
    <mergeCell ref="B353:D353"/>
    <mergeCell ref="I353:K353"/>
    <mergeCell ref="B354:E354"/>
    <mergeCell ref="I354:L354"/>
    <mergeCell ref="B355:E355"/>
    <mergeCell ref="I355:L355"/>
    <mergeCell ref="B356:E356"/>
    <mergeCell ref="I356:L356"/>
    <mergeCell ref="B357:E357"/>
    <mergeCell ref="I357:L357"/>
    <mergeCell ref="B341:E341"/>
    <mergeCell ref="I341:L341"/>
    <mergeCell ref="B342:E342"/>
    <mergeCell ref="I342:L342"/>
    <mergeCell ref="B343:E343"/>
    <mergeCell ref="I343:L343"/>
    <mergeCell ref="B346:F346"/>
    <mergeCell ref="I346:M346"/>
    <mergeCell ref="C347:D347"/>
    <mergeCell ref="J347:K347"/>
    <mergeCell ref="B332:F332"/>
    <mergeCell ref="I332:M332"/>
    <mergeCell ref="C333:D333"/>
    <mergeCell ref="J333:K333"/>
    <mergeCell ref="B338:D338"/>
    <mergeCell ref="I338:K338"/>
    <mergeCell ref="B339:E339"/>
    <mergeCell ref="I339:L339"/>
    <mergeCell ref="B340:E340"/>
    <mergeCell ref="I340:L340"/>
    <mergeCell ref="B322:E322"/>
    <mergeCell ref="I322:L322"/>
    <mergeCell ref="O322:R322"/>
    <mergeCell ref="U322:X322"/>
    <mergeCell ref="B323:E323"/>
    <mergeCell ref="I323:L323"/>
    <mergeCell ref="O323:R323"/>
    <mergeCell ref="U323:X323"/>
    <mergeCell ref="B324:E324"/>
    <mergeCell ref="O324:R324"/>
    <mergeCell ref="I319:L319"/>
    <mergeCell ref="U319:X319"/>
    <mergeCell ref="B320:E320"/>
    <mergeCell ref="I320:L320"/>
    <mergeCell ref="O320:R320"/>
    <mergeCell ref="U320:X320"/>
    <mergeCell ref="B321:E321"/>
    <mergeCell ref="I321:L321"/>
    <mergeCell ref="O321:R321"/>
    <mergeCell ref="U321:X321"/>
    <mergeCell ref="O318:Q319"/>
    <mergeCell ref="B312:F312"/>
    <mergeCell ref="I312:M312"/>
    <mergeCell ref="O312:S312"/>
    <mergeCell ref="U312:Y312"/>
    <mergeCell ref="C313:D313"/>
    <mergeCell ref="J313:K313"/>
    <mergeCell ref="P313:Q313"/>
    <mergeCell ref="V313:W313"/>
    <mergeCell ref="I318:K318"/>
    <mergeCell ref="U318:W318"/>
    <mergeCell ref="B308:E308"/>
    <mergeCell ref="I308:L308"/>
    <mergeCell ref="O308:R308"/>
    <mergeCell ref="U308:X308"/>
    <mergeCell ref="B309:E309"/>
    <mergeCell ref="I309:L309"/>
    <mergeCell ref="O309:R309"/>
    <mergeCell ref="U309:X309"/>
    <mergeCell ref="B310:E310"/>
    <mergeCell ref="O310:R310"/>
    <mergeCell ref="I305:L305"/>
    <mergeCell ref="U305:X305"/>
    <mergeCell ref="B306:E306"/>
    <mergeCell ref="I306:L306"/>
    <mergeCell ref="O306:R306"/>
    <mergeCell ref="U306:X306"/>
    <mergeCell ref="B307:E307"/>
    <mergeCell ref="I307:L307"/>
    <mergeCell ref="O307:R307"/>
    <mergeCell ref="U307:X307"/>
    <mergeCell ref="O304:Q305"/>
    <mergeCell ref="B298:F298"/>
    <mergeCell ref="I298:M298"/>
    <mergeCell ref="O298:S298"/>
    <mergeCell ref="U298:Y298"/>
    <mergeCell ref="C299:D299"/>
    <mergeCell ref="J299:K299"/>
    <mergeCell ref="P299:Q299"/>
    <mergeCell ref="V299:W299"/>
    <mergeCell ref="I304:K304"/>
    <mergeCell ref="U304:W304"/>
    <mergeCell ref="B294:E294"/>
    <mergeCell ref="I294:L294"/>
    <mergeCell ref="O294:R294"/>
    <mergeCell ref="U294:X294"/>
    <mergeCell ref="B295:E295"/>
    <mergeCell ref="I295:L295"/>
    <mergeCell ref="O295:R295"/>
    <mergeCell ref="U295:X295"/>
    <mergeCell ref="B296:E296"/>
    <mergeCell ref="O296:R296"/>
    <mergeCell ref="I291:L291"/>
    <mergeCell ref="U291:X291"/>
    <mergeCell ref="B292:E292"/>
    <mergeCell ref="I292:L292"/>
    <mergeCell ref="O292:R292"/>
    <mergeCell ref="U292:X292"/>
    <mergeCell ref="B293:E293"/>
    <mergeCell ref="I293:L293"/>
    <mergeCell ref="O293:R293"/>
    <mergeCell ref="U293:X293"/>
    <mergeCell ref="O290:Q291"/>
    <mergeCell ref="B284:F284"/>
    <mergeCell ref="I284:M284"/>
    <mergeCell ref="O284:S284"/>
    <mergeCell ref="U284:Y284"/>
    <mergeCell ref="C285:D285"/>
    <mergeCell ref="J285:K285"/>
    <mergeCell ref="P285:Q285"/>
    <mergeCell ref="V285:W285"/>
    <mergeCell ref="I290:K290"/>
    <mergeCell ref="U290:W290"/>
    <mergeCell ref="B279:E279"/>
    <mergeCell ref="I279:L279"/>
    <mergeCell ref="O279:R279"/>
    <mergeCell ref="U279:X279"/>
    <mergeCell ref="B280:E280"/>
    <mergeCell ref="I280:L280"/>
    <mergeCell ref="O280:R280"/>
    <mergeCell ref="U280:X280"/>
    <mergeCell ref="I281:L281"/>
    <mergeCell ref="O281:R281"/>
    <mergeCell ref="U275:W275"/>
    <mergeCell ref="B276:E276"/>
    <mergeCell ref="U276:X276"/>
    <mergeCell ref="B277:E277"/>
    <mergeCell ref="I277:L277"/>
    <mergeCell ref="O277:R277"/>
    <mergeCell ref="U277:X277"/>
    <mergeCell ref="B278:E278"/>
    <mergeCell ref="I278:L278"/>
    <mergeCell ref="O278:R278"/>
    <mergeCell ref="U278:X278"/>
    <mergeCell ref="O275:Q276"/>
    <mergeCell ref="B260:E260"/>
    <mergeCell ref="B261:E261"/>
    <mergeCell ref="B262:E262"/>
    <mergeCell ref="B269:F269"/>
    <mergeCell ref="I269:M269"/>
    <mergeCell ref="O269:S269"/>
    <mergeCell ref="U269:Y269"/>
    <mergeCell ref="C270:D270"/>
    <mergeCell ref="J270:K270"/>
    <mergeCell ref="P270:Q270"/>
    <mergeCell ref="V270:W270"/>
    <mergeCell ref="B251:E251"/>
    <mergeCell ref="I251:L251"/>
    <mergeCell ref="B252:E252"/>
    <mergeCell ref="I252:L252"/>
    <mergeCell ref="B253:E253"/>
    <mergeCell ref="I253:L253"/>
    <mergeCell ref="B255:F255"/>
    <mergeCell ref="C256:D256"/>
    <mergeCell ref="B259:D259"/>
    <mergeCell ref="B243:E243"/>
    <mergeCell ref="I243:L243"/>
    <mergeCell ref="B244:E244"/>
    <mergeCell ref="I244:L244"/>
    <mergeCell ref="B246:F246"/>
    <mergeCell ref="I246:M246"/>
    <mergeCell ref="C247:D247"/>
    <mergeCell ref="J247:K247"/>
    <mergeCell ref="B250:D250"/>
    <mergeCell ref="I250:K250"/>
    <mergeCell ref="B230:E230"/>
    <mergeCell ref="I230:L230"/>
    <mergeCell ref="I231:L231"/>
    <mergeCell ref="B238:F238"/>
    <mergeCell ref="I238:M238"/>
    <mergeCell ref="C239:D239"/>
    <mergeCell ref="J239:K239"/>
    <mergeCell ref="B242:E242"/>
    <mergeCell ref="I242:L242"/>
    <mergeCell ref="I222:L222"/>
    <mergeCell ref="B224:F224"/>
    <mergeCell ref="I224:M224"/>
    <mergeCell ref="C225:D225"/>
    <mergeCell ref="J225:K225"/>
    <mergeCell ref="B228:E228"/>
    <mergeCell ref="I228:K228"/>
    <mergeCell ref="B229:E229"/>
    <mergeCell ref="I229:L229"/>
    <mergeCell ref="B215:F215"/>
    <mergeCell ref="I215:M215"/>
    <mergeCell ref="C216:D216"/>
    <mergeCell ref="J216:K216"/>
    <mergeCell ref="B219:E219"/>
    <mergeCell ref="I219:K219"/>
    <mergeCell ref="B220:E220"/>
    <mergeCell ref="I220:L220"/>
    <mergeCell ref="B221:E221"/>
    <mergeCell ref="I221:L221"/>
    <mergeCell ref="B210:D210"/>
    <mergeCell ref="I210:K210"/>
    <mergeCell ref="B211:E211"/>
    <mergeCell ref="I211:L211"/>
    <mergeCell ref="B212:E212"/>
    <mergeCell ref="I212:L212"/>
    <mergeCell ref="B213:E213"/>
    <mergeCell ref="I213:L213"/>
    <mergeCell ref="I214:M214"/>
    <mergeCell ref="B202:E202"/>
    <mergeCell ref="I202:L202"/>
    <mergeCell ref="B203:E203"/>
    <mergeCell ref="I203:L203"/>
    <mergeCell ref="B204:E204"/>
    <mergeCell ref="I204:L204"/>
    <mergeCell ref="B206:F206"/>
    <mergeCell ref="I206:M206"/>
    <mergeCell ref="C207:D207"/>
    <mergeCell ref="J207:K207"/>
    <mergeCell ref="B189:E189"/>
    <mergeCell ref="I189:L189"/>
    <mergeCell ref="B190:E190"/>
    <mergeCell ref="I190:L190"/>
    <mergeCell ref="B197:F197"/>
    <mergeCell ref="I197:M197"/>
    <mergeCell ref="C198:D198"/>
    <mergeCell ref="J198:K198"/>
    <mergeCell ref="B201:D201"/>
    <mergeCell ref="I201:K201"/>
    <mergeCell ref="C182:D182"/>
    <mergeCell ref="J182:K182"/>
    <mergeCell ref="E185:F185"/>
    <mergeCell ref="L185:M185"/>
    <mergeCell ref="B186:E186"/>
    <mergeCell ref="I186:L186"/>
    <mergeCell ref="B187:E187"/>
    <mergeCell ref="I187:L187"/>
    <mergeCell ref="B188:E188"/>
    <mergeCell ref="I188:L188"/>
    <mergeCell ref="B176:E176"/>
    <mergeCell ref="I176:L176"/>
    <mergeCell ref="B177:E177"/>
    <mergeCell ref="I177:L177"/>
    <mergeCell ref="B178:E178"/>
    <mergeCell ref="I178:L178"/>
    <mergeCell ref="B179:E179"/>
    <mergeCell ref="I179:L179"/>
    <mergeCell ref="B181:F181"/>
    <mergeCell ref="I181:M181"/>
    <mergeCell ref="B168:E168"/>
    <mergeCell ref="I168:L168"/>
    <mergeCell ref="B170:F170"/>
    <mergeCell ref="I170:M170"/>
    <mergeCell ref="C171:D171"/>
    <mergeCell ref="J171:K171"/>
    <mergeCell ref="E174:F174"/>
    <mergeCell ref="L174:M174"/>
    <mergeCell ref="B175:E175"/>
    <mergeCell ref="I175:L175"/>
    <mergeCell ref="E163:F163"/>
    <mergeCell ref="L163:M163"/>
    <mergeCell ref="B164:E164"/>
    <mergeCell ref="I164:L164"/>
    <mergeCell ref="B165:E165"/>
    <mergeCell ref="I165:L165"/>
    <mergeCell ref="B166:E166"/>
    <mergeCell ref="I166:L166"/>
    <mergeCell ref="B167:E167"/>
    <mergeCell ref="I167:L167"/>
    <mergeCell ref="B155:E155"/>
    <mergeCell ref="I155:L155"/>
    <mergeCell ref="B156:E156"/>
    <mergeCell ref="I156:L156"/>
    <mergeCell ref="B157:E157"/>
    <mergeCell ref="I157:L157"/>
    <mergeCell ref="B159:F159"/>
    <mergeCell ref="I159:M159"/>
    <mergeCell ref="C160:D160"/>
    <mergeCell ref="J160:K160"/>
    <mergeCell ref="B148:F148"/>
    <mergeCell ref="I148:M148"/>
    <mergeCell ref="C149:D149"/>
    <mergeCell ref="J149:K149"/>
    <mergeCell ref="E152:F152"/>
    <mergeCell ref="L152:M152"/>
    <mergeCell ref="B153:E153"/>
    <mergeCell ref="I153:L153"/>
    <mergeCell ref="B154:E154"/>
    <mergeCell ref="I154:L154"/>
    <mergeCell ref="B135:E135"/>
    <mergeCell ref="I135:L135"/>
    <mergeCell ref="B136:E136"/>
    <mergeCell ref="I136:L136"/>
    <mergeCell ref="B137:E137"/>
    <mergeCell ref="I137:L137"/>
    <mergeCell ref="B138:E138"/>
    <mergeCell ref="I138:L138"/>
    <mergeCell ref="B139:E139"/>
    <mergeCell ref="I139:L139"/>
    <mergeCell ref="B127:E127"/>
    <mergeCell ref="I127:L127"/>
    <mergeCell ref="O127:R127"/>
    <mergeCell ref="B128:E128"/>
    <mergeCell ref="B130:F130"/>
    <mergeCell ref="I130:M130"/>
    <mergeCell ref="C131:D131"/>
    <mergeCell ref="J131:K131"/>
    <mergeCell ref="E134:F134"/>
    <mergeCell ref="L134:M134"/>
    <mergeCell ref="B124:E124"/>
    <mergeCell ref="I124:L124"/>
    <mergeCell ref="O124:R124"/>
    <mergeCell ref="B125:E125"/>
    <mergeCell ref="I125:L125"/>
    <mergeCell ref="O125:R125"/>
    <mergeCell ref="B126:E126"/>
    <mergeCell ref="I126:L126"/>
    <mergeCell ref="O126:R126"/>
    <mergeCell ref="C119:D119"/>
    <mergeCell ref="J119:K119"/>
    <mergeCell ref="P119:Q119"/>
    <mergeCell ref="E122:F122"/>
    <mergeCell ref="L122:M122"/>
    <mergeCell ref="R122:S122"/>
    <mergeCell ref="B123:D123"/>
    <mergeCell ref="I123:L123"/>
    <mergeCell ref="O123:R123"/>
    <mergeCell ref="B115:E115"/>
    <mergeCell ref="I115:L115"/>
    <mergeCell ref="O115:R115"/>
    <mergeCell ref="B116:E116"/>
    <mergeCell ref="I116:L116"/>
    <mergeCell ref="O116:R116"/>
    <mergeCell ref="B118:F118"/>
    <mergeCell ref="I118:M118"/>
    <mergeCell ref="O118:S118"/>
    <mergeCell ref="B112:E112"/>
    <mergeCell ref="I112:L112"/>
    <mergeCell ref="O112:R112"/>
    <mergeCell ref="B113:E113"/>
    <mergeCell ref="I113:L113"/>
    <mergeCell ref="O113:R113"/>
    <mergeCell ref="B114:E114"/>
    <mergeCell ref="I114:L114"/>
    <mergeCell ref="O114:R114"/>
    <mergeCell ref="B99:E99"/>
    <mergeCell ref="B107:F107"/>
    <mergeCell ref="I107:M107"/>
    <mergeCell ref="O107:S107"/>
    <mergeCell ref="C108:D108"/>
    <mergeCell ref="J108:K108"/>
    <mergeCell ref="P108:Q108"/>
    <mergeCell ref="E111:F111"/>
    <mergeCell ref="L111:M111"/>
    <mergeCell ref="R111:S111"/>
    <mergeCell ref="B84:E84"/>
    <mergeCell ref="B85:E85"/>
    <mergeCell ref="B87:F87"/>
    <mergeCell ref="C88:D88"/>
    <mergeCell ref="B94:D94"/>
    <mergeCell ref="B95:E95"/>
    <mergeCell ref="B96:E96"/>
    <mergeCell ref="B97:E97"/>
    <mergeCell ref="B98:E98"/>
    <mergeCell ref="I77:L77"/>
    <mergeCell ref="E78:F78"/>
    <mergeCell ref="I78:L78"/>
    <mergeCell ref="I79:L79"/>
    <mergeCell ref="I80:L80"/>
    <mergeCell ref="B81:E81"/>
    <mergeCell ref="I81:L81"/>
    <mergeCell ref="B82:E82"/>
    <mergeCell ref="B83:E83"/>
    <mergeCell ref="B59:E59"/>
    <mergeCell ref="I59:L59"/>
    <mergeCell ref="B60:E60"/>
    <mergeCell ref="I60:L60"/>
    <mergeCell ref="B68:F68"/>
    <mergeCell ref="I68:M68"/>
    <mergeCell ref="C69:D69"/>
    <mergeCell ref="J69:K69"/>
    <mergeCell ref="I76:K76"/>
    <mergeCell ref="C53:D53"/>
    <mergeCell ref="J53:K53"/>
    <mergeCell ref="E55:F55"/>
    <mergeCell ref="L55:M55"/>
    <mergeCell ref="B56:E56"/>
    <mergeCell ref="I56:L56"/>
    <mergeCell ref="B57:E57"/>
    <mergeCell ref="I57:L57"/>
    <mergeCell ref="B58:E58"/>
    <mergeCell ref="I58:L58"/>
    <mergeCell ref="B47:E47"/>
    <mergeCell ref="I47:L47"/>
    <mergeCell ref="B48:E48"/>
    <mergeCell ref="I48:L48"/>
    <mergeCell ref="B49:E49"/>
    <mergeCell ref="I49:L49"/>
    <mergeCell ref="B50:E50"/>
    <mergeCell ref="I50:L50"/>
    <mergeCell ref="B52:F52"/>
    <mergeCell ref="I52:M52"/>
    <mergeCell ref="B40:E40"/>
    <mergeCell ref="I40:L40"/>
    <mergeCell ref="B42:F42"/>
    <mergeCell ref="I42:M42"/>
    <mergeCell ref="C43:D43"/>
    <mergeCell ref="J43:K43"/>
    <mergeCell ref="E45:F45"/>
    <mergeCell ref="L45:M45"/>
    <mergeCell ref="B46:E46"/>
    <mergeCell ref="I46:L46"/>
    <mergeCell ref="C35:E35"/>
    <mergeCell ref="J35:L35"/>
    <mergeCell ref="B36:E36"/>
    <mergeCell ref="I36:L36"/>
    <mergeCell ref="B37:E37"/>
    <mergeCell ref="I37:L37"/>
    <mergeCell ref="B38:E38"/>
    <mergeCell ref="I38:L38"/>
    <mergeCell ref="B39:E39"/>
    <mergeCell ref="I39:L39"/>
    <mergeCell ref="B26:E26"/>
    <mergeCell ref="I26:L26"/>
    <mergeCell ref="B27:E27"/>
    <mergeCell ref="I27:L27"/>
    <mergeCell ref="B29:F29"/>
    <mergeCell ref="I29:M29"/>
    <mergeCell ref="C30:D30"/>
    <mergeCell ref="J30:K30"/>
    <mergeCell ref="E34:F34"/>
    <mergeCell ref="L34:M34"/>
    <mergeCell ref="L21:M21"/>
    <mergeCell ref="C22:E22"/>
    <mergeCell ref="J22:L22"/>
    <mergeCell ref="B23:E23"/>
    <mergeCell ref="I23:L23"/>
    <mergeCell ref="B24:E24"/>
    <mergeCell ref="I24:L24"/>
    <mergeCell ref="B25:E25"/>
    <mergeCell ref="I25:L25"/>
    <mergeCell ref="B12:E12"/>
    <mergeCell ref="I12:L12"/>
    <mergeCell ref="B13:E13"/>
    <mergeCell ref="I13:L13"/>
    <mergeCell ref="B14:E14"/>
    <mergeCell ref="I14:L14"/>
    <mergeCell ref="B16:F16"/>
    <mergeCell ref="I16:M16"/>
    <mergeCell ref="C17:D17"/>
    <mergeCell ref="J17:K17"/>
    <mergeCell ref="B5:F5"/>
    <mergeCell ref="I5:M5"/>
    <mergeCell ref="C6:D6"/>
    <mergeCell ref="J6:K6"/>
    <mergeCell ref="E9:F9"/>
    <mergeCell ref="L9:M9"/>
    <mergeCell ref="B10:E10"/>
    <mergeCell ref="I10:L10"/>
    <mergeCell ref="B11:E11"/>
    <mergeCell ref="I11:L11"/>
  </mergeCell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X180"/>
  <sheetViews>
    <sheetView topLeftCell="A21" zoomScale="150" workbookViewId="0">
      <selection activeCell="G31" sqref="G31"/>
    </sheetView>
  </sheetViews>
  <sheetFormatPr baseColWidth="10" defaultColWidth="9.1640625" defaultRowHeight="15" x14ac:dyDescent="0.2"/>
  <cols>
    <col min="2" max="2" width="16.1640625" customWidth="1"/>
    <col min="5" max="5" width="20.33203125" customWidth="1"/>
    <col min="6" max="6" width="15.1640625" customWidth="1"/>
    <col min="7" max="7" width="12.1640625" customWidth="1"/>
    <col min="8" max="8" width="21.33203125" customWidth="1"/>
    <col min="11" max="11" width="20.5" customWidth="1"/>
    <col min="12" max="12" width="15.5" customWidth="1"/>
    <col min="14" max="14" width="21" customWidth="1"/>
    <col min="18" max="18" width="19" customWidth="1"/>
    <col min="20" max="20" width="20.5" customWidth="1"/>
    <col min="24" max="24" width="11"/>
  </cols>
  <sheetData>
    <row r="2" spans="2:24" x14ac:dyDescent="0.2">
      <c r="B2" s="212" t="s">
        <v>675</v>
      </c>
      <c r="C2" s="213"/>
      <c r="D2" s="213"/>
      <c r="E2" s="213"/>
      <c r="F2" s="214"/>
      <c r="H2" s="235" t="s">
        <v>327</v>
      </c>
      <c r="I2" s="236"/>
      <c r="J2" s="236"/>
      <c r="K2" s="236"/>
      <c r="L2" s="237"/>
      <c r="N2" s="235" t="s">
        <v>328</v>
      </c>
      <c r="O2" s="236"/>
      <c r="P2" s="236"/>
      <c r="Q2" s="236"/>
      <c r="R2" s="237"/>
      <c r="T2" s="235" t="s">
        <v>329</v>
      </c>
      <c r="U2" s="236"/>
      <c r="V2" s="236"/>
      <c r="W2" s="236"/>
      <c r="X2" s="237"/>
    </row>
    <row r="3" spans="2:24" x14ac:dyDescent="0.2">
      <c r="B3" s="71" t="s">
        <v>1</v>
      </c>
      <c r="C3" s="215" t="s">
        <v>2</v>
      </c>
      <c r="D3" s="216"/>
      <c r="E3" s="72" t="s">
        <v>3</v>
      </c>
      <c r="F3" s="73" t="s">
        <v>4</v>
      </c>
      <c r="H3" s="74" t="s">
        <v>1</v>
      </c>
      <c r="I3" s="248" t="s">
        <v>2</v>
      </c>
      <c r="J3" s="254"/>
      <c r="K3" s="74" t="s">
        <v>3</v>
      </c>
      <c r="L3" s="74" t="s">
        <v>4</v>
      </c>
      <c r="N3" s="74" t="s">
        <v>1</v>
      </c>
      <c r="O3" s="248" t="s">
        <v>2</v>
      </c>
      <c r="P3" s="254"/>
      <c r="Q3" s="74" t="s">
        <v>3</v>
      </c>
      <c r="R3" s="74" t="s">
        <v>4</v>
      </c>
      <c r="T3" s="74" t="s">
        <v>1</v>
      </c>
      <c r="U3" s="248" t="s">
        <v>2</v>
      </c>
      <c r="V3" s="254"/>
      <c r="W3" s="74" t="s">
        <v>3</v>
      </c>
      <c r="X3" s="74" t="s">
        <v>4</v>
      </c>
    </row>
    <row r="4" spans="2:24" x14ac:dyDescent="0.2">
      <c r="B4" s="75" t="s">
        <v>330</v>
      </c>
      <c r="C4" s="76">
        <v>45</v>
      </c>
      <c r="D4" s="76" t="s">
        <v>6</v>
      </c>
      <c r="E4" s="77">
        <f>PREPARATION!L18</f>
        <v>373.42857142857099</v>
      </c>
      <c r="F4" s="78">
        <f>SUM(E4*C4)</f>
        <v>16804.285714285699</v>
      </c>
      <c r="H4" s="74" t="s">
        <v>331</v>
      </c>
      <c r="I4" s="104">
        <v>100</v>
      </c>
      <c r="J4" s="105" t="s">
        <v>17</v>
      </c>
      <c r="K4" s="106">
        <f>'SUPPLIER &amp; PRICE'!F26</f>
        <v>40</v>
      </c>
      <c r="L4" s="107">
        <f t="shared" ref="L4:L11" si="0">SUM(K4*I4)</f>
        <v>4000</v>
      </c>
      <c r="N4" s="102" t="s">
        <v>332</v>
      </c>
      <c r="O4" s="102">
        <v>120</v>
      </c>
      <c r="P4" s="108" t="s">
        <v>6</v>
      </c>
      <c r="Q4" s="126">
        <f>PREPARATION!L117</f>
        <v>66.884249084249106</v>
      </c>
      <c r="R4" s="124">
        <f>SUM(Q4*O4)</f>
        <v>8026.1098901098903</v>
      </c>
      <c r="T4" s="102" t="s">
        <v>332</v>
      </c>
      <c r="U4" s="102">
        <v>360</v>
      </c>
      <c r="V4" s="108" t="s">
        <v>6</v>
      </c>
      <c r="W4" s="126">
        <f>PREPARATION!L117</f>
        <v>66.884249084249106</v>
      </c>
      <c r="X4" s="124">
        <f t="shared" ref="X4:X8" si="1">SUM(W4*U4)</f>
        <v>24078.329670329698</v>
      </c>
    </row>
    <row r="5" spans="2:24" x14ac:dyDescent="0.2">
      <c r="B5" s="79" t="s">
        <v>333</v>
      </c>
      <c r="C5" s="80">
        <v>30</v>
      </c>
      <c r="D5" s="80" t="s">
        <v>6</v>
      </c>
      <c r="E5" s="81">
        <f>'SUPPLIER &amp; PRICE'!F104</f>
        <v>580</v>
      </c>
      <c r="F5" s="82">
        <f t="shared" ref="F5:F7" si="2">SUM(E5*C5)</f>
        <v>17400</v>
      </c>
      <c r="H5" s="74" t="s">
        <v>213</v>
      </c>
      <c r="I5" s="109">
        <v>100</v>
      </c>
      <c r="J5" s="110" t="s">
        <v>17</v>
      </c>
      <c r="K5" s="106">
        <f>'SUPPLIER &amp; PRICE'!F19</f>
        <v>30</v>
      </c>
      <c r="L5" s="107">
        <f t="shared" si="0"/>
        <v>3000</v>
      </c>
      <c r="N5" s="111" t="s">
        <v>281</v>
      </c>
      <c r="O5" s="112">
        <v>20</v>
      </c>
      <c r="P5" s="113" t="s">
        <v>6</v>
      </c>
      <c r="Q5" s="127">
        <f>Q19</f>
        <v>158.57142857142901</v>
      </c>
      <c r="R5" s="128">
        <f>SUM(Q5*O5)</f>
        <v>3171.4285714285702</v>
      </c>
      <c r="T5" s="111" t="s">
        <v>281</v>
      </c>
      <c r="U5" s="112">
        <v>60</v>
      </c>
      <c r="V5" s="113" t="s">
        <v>6</v>
      </c>
      <c r="W5" s="127">
        <f>Q5</f>
        <v>158.57142857142901</v>
      </c>
      <c r="X5" s="128">
        <f t="shared" si="1"/>
        <v>9514.2857142857192</v>
      </c>
    </row>
    <row r="6" spans="2:24" x14ac:dyDescent="0.2">
      <c r="B6" s="79" t="s">
        <v>14</v>
      </c>
      <c r="C6" s="80">
        <v>20</v>
      </c>
      <c r="D6" s="80" t="s">
        <v>6</v>
      </c>
      <c r="E6" s="81">
        <f>'SUPPLIER &amp; PRICE'!F8</f>
        <v>116.666666666667</v>
      </c>
      <c r="F6" s="82">
        <f t="shared" si="2"/>
        <v>2333.3333333333399</v>
      </c>
      <c r="H6" s="74" t="s">
        <v>216</v>
      </c>
      <c r="I6" s="109">
        <v>100</v>
      </c>
      <c r="J6" s="110" t="s">
        <v>17</v>
      </c>
      <c r="K6" s="106">
        <f>'SUPPLIER &amp; PRICE'!F20</f>
        <v>10</v>
      </c>
      <c r="L6" s="107">
        <f t="shared" si="0"/>
        <v>1000</v>
      </c>
      <c r="N6" s="114" t="s">
        <v>334</v>
      </c>
      <c r="O6" s="114">
        <v>20</v>
      </c>
      <c r="P6" s="114" t="s">
        <v>6</v>
      </c>
      <c r="Q6" s="129">
        <f>Q5</f>
        <v>158.57142857142901</v>
      </c>
      <c r="R6" s="128">
        <f>SUM(Q6*O6)</f>
        <v>3171.4285714285702</v>
      </c>
      <c r="T6" s="114" t="s">
        <v>334</v>
      </c>
      <c r="U6" s="114">
        <v>60</v>
      </c>
      <c r="V6" s="114" t="s">
        <v>6</v>
      </c>
      <c r="W6" s="129">
        <f>W5</f>
        <v>158.57142857142901</v>
      </c>
      <c r="X6" s="128">
        <f t="shared" si="1"/>
        <v>9514.2857142857192</v>
      </c>
    </row>
    <row r="7" spans="2:24" x14ac:dyDescent="0.2">
      <c r="B7" s="83" t="s">
        <v>24</v>
      </c>
      <c r="C7" s="84">
        <v>10</v>
      </c>
      <c r="D7" s="84" t="s">
        <v>6</v>
      </c>
      <c r="E7" s="85">
        <f>'SUPPLIER &amp; PRICE'!F138</f>
        <v>158.57142857142901</v>
      </c>
      <c r="F7" s="82">
        <f t="shared" si="2"/>
        <v>1585.7142857142901</v>
      </c>
      <c r="H7" s="74" t="s">
        <v>335</v>
      </c>
      <c r="I7" s="109">
        <v>10</v>
      </c>
      <c r="J7" s="110" t="s">
        <v>17</v>
      </c>
      <c r="K7" s="106">
        <f>'SUPPLIER &amp; PRICE'!F30</f>
        <v>35</v>
      </c>
      <c r="L7" s="107">
        <f t="shared" si="0"/>
        <v>350</v>
      </c>
      <c r="N7" s="115" t="s">
        <v>89</v>
      </c>
      <c r="O7" s="115">
        <v>30</v>
      </c>
      <c r="P7" s="115" t="s">
        <v>6</v>
      </c>
      <c r="Q7" s="130">
        <f>Q21</f>
        <v>116.666666666667</v>
      </c>
      <c r="R7" s="128">
        <f>SUM(Q7*O7)</f>
        <v>3500.00000000001</v>
      </c>
      <c r="T7" s="115" t="s">
        <v>89</v>
      </c>
      <c r="U7" s="115">
        <v>90</v>
      </c>
      <c r="V7" s="115" t="s">
        <v>6</v>
      </c>
      <c r="W7" s="130">
        <f>Q7</f>
        <v>116.666666666667</v>
      </c>
      <c r="X7" s="128">
        <f t="shared" si="1"/>
        <v>10500</v>
      </c>
    </row>
    <row r="8" spans="2:24" x14ac:dyDescent="0.2">
      <c r="B8" s="83" t="s">
        <v>336</v>
      </c>
      <c r="C8" s="84">
        <v>10</v>
      </c>
      <c r="D8" s="84" t="s">
        <v>6</v>
      </c>
      <c r="E8" s="85">
        <f>'SUPPLIER &amp; PRICE'!F31</f>
        <v>50</v>
      </c>
      <c r="F8" s="82">
        <f>SUM(C8*E8)</f>
        <v>500</v>
      </c>
      <c r="H8" s="74" t="s">
        <v>217</v>
      </c>
      <c r="I8" s="109">
        <v>100</v>
      </c>
      <c r="J8" s="110" t="s">
        <v>17</v>
      </c>
      <c r="K8" s="106">
        <f>'SUPPLIER &amp; PRICE'!F27</f>
        <v>35</v>
      </c>
      <c r="L8" s="107">
        <f t="shared" si="0"/>
        <v>3500</v>
      </c>
      <c r="N8" s="74" t="s">
        <v>84</v>
      </c>
      <c r="O8" s="116">
        <v>1</v>
      </c>
      <c r="P8" s="117" t="s">
        <v>39</v>
      </c>
      <c r="Q8" s="106">
        <f>Q22</f>
        <v>5208.3333333333303</v>
      </c>
      <c r="R8" s="106">
        <f>SUM(Q8*O8)</f>
        <v>5208.3333333333303</v>
      </c>
      <c r="T8" s="74" t="s">
        <v>84</v>
      </c>
      <c r="U8" s="116">
        <v>2</v>
      </c>
      <c r="V8" s="117" t="s">
        <v>39</v>
      </c>
      <c r="W8" s="106">
        <f>W22</f>
        <v>5208.3333333333303</v>
      </c>
      <c r="X8" s="106">
        <f t="shared" si="1"/>
        <v>10416.666666666701</v>
      </c>
    </row>
    <row r="9" spans="2:24" x14ac:dyDescent="0.2">
      <c r="B9" s="86" t="s">
        <v>75</v>
      </c>
      <c r="C9" s="87">
        <v>1</v>
      </c>
      <c r="D9" s="87" t="s">
        <v>76</v>
      </c>
      <c r="E9" s="88">
        <v>2000</v>
      </c>
      <c r="F9" s="89">
        <f>SUM(C9*E9)</f>
        <v>2000</v>
      </c>
      <c r="H9" s="74" t="s">
        <v>218</v>
      </c>
      <c r="I9" s="109">
        <v>60</v>
      </c>
      <c r="J9" s="110" t="s">
        <v>6</v>
      </c>
      <c r="K9" s="106">
        <f>'SUPPLIER &amp; PRICE'!F9</f>
        <v>66.6666666666667</v>
      </c>
      <c r="L9" s="107">
        <f t="shared" si="0"/>
        <v>4000</v>
      </c>
      <c r="N9" s="97" t="s">
        <v>20</v>
      </c>
      <c r="O9" s="97">
        <v>300</v>
      </c>
      <c r="P9" s="97" t="s">
        <v>6</v>
      </c>
      <c r="Q9" s="120"/>
      <c r="R9" s="120"/>
      <c r="T9" s="97" t="s">
        <v>20</v>
      </c>
      <c r="U9" s="97">
        <v>900</v>
      </c>
      <c r="V9" s="97" t="s">
        <v>6</v>
      </c>
      <c r="W9" s="120"/>
      <c r="X9" s="120"/>
    </row>
    <row r="10" spans="2:24" x14ac:dyDescent="0.2">
      <c r="B10" s="90" t="s">
        <v>20</v>
      </c>
      <c r="C10" s="90">
        <v>200</v>
      </c>
      <c r="D10" s="90" t="s">
        <v>6</v>
      </c>
      <c r="E10" s="91"/>
      <c r="F10" s="92"/>
      <c r="H10" s="74" t="s">
        <v>89</v>
      </c>
      <c r="I10" s="118">
        <v>30</v>
      </c>
      <c r="J10" s="103" t="s">
        <v>6</v>
      </c>
      <c r="K10" s="106">
        <f>'SUPPLIER &amp; PRICE'!F8</f>
        <v>116.666666666667</v>
      </c>
      <c r="L10" s="107">
        <f t="shared" si="0"/>
        <v>3500.00000000001</v>
      </c>
      <c r="N10" s="221" t="s">
        <v>29</v>
      </c>
      <c r="O10" s="222"/>
      <c r="P10" s="223"/>
      <c r="Q10" s="121" t="s">
        <v>90</v>
      </c>
      <c r="R10" s="123">
        <f>R24</f>
        <v>180</v>
      </c>
      <c r="T10" s="221" t="s">
        <v>29</v>
      </c>
      <c r="U10" s="222"/>
      <c r="V10" s="223"/>
      <c r="W10" s="121" t="s">
        <v>90</v>
      </c>
      <c r="X10" s="123">
        <f>R10</f>
        <v>180</v>
      </c>
    </row>
    <row r="11" spans="2:24" x14ac:dyDescent="0.2">
      <c r="B11" s="221" t="s">
        <v>29</v>
      </c>
      <c r="C11" s="222"/>
      <c r="D11" s="223"/>
      <c r="E11" s="93" t="s">
        <v>337</v>
      </c>
      <c r="F11" s="94">
        <f>'SUPPLIER &amp; PRICE'!L6</f>
        <v>1485</v>
      </c>
      <c r="H11" s="95" t="s">
        <v>215</v>
      </c>
      <c r="I11" s="95">
        <v>200</v>
      </c>
      <c r="J11" s="95" t="s">
        <v>17</v>
      </c>
      <c r="K11" s="119">
        <f>'SUPPLIER &amp; PRICE'!F16</f>
        <v>22.2222222222222</v>
      </c>
      <c r="L11" s="107">
        <f t="shared" si="0"/>
        <v>4444.4444444444398</v>
      </c>
      <c r="N11" s="217" t="s">
        <v>23</v>
      </c>
      <c r="O11" s="218"/>
      <c r="P11" s="218"/>
      <c r="Q11" s="219"/>
      <c r="R11" s="96">
        <f>SUM(R4:R10)</f>
        <v>23257.300366300398</v>
      </c>
      <c r="T11" s="217" t="s">
        <v>23</v>
      </c>
      <c r="U11" s="218"/>
      <c r="V11" s="218"/>
      <c r="W11" s="219"/>
      <c r="X11" s="96">
        <f>SUM(X4:X10)</f>
        <v>64203.567765567801</v>
      </c>
    </row>
    <row r="12" spans="2:24" x14ac:dyDescent="0.2">
      <c r="B12" s="217" t="s">
        <v>23</v>
      </c>
      <c r="C12" s="218"/>
      <c r="D12" s="218"/>
      <c r="E12" s="219"/>
      <c r="F12" s="96">
        <f>SUM(F4:F11)</f>
        <v>42108.333333333299</v>
      </c>
      <c r="H12" s="97" t="s">
        <v>20</v>
      </c>
      <c r="I12" s="97">
        <v>300</v>
      </c>
      <c r="J12" s="97" t="s">
        <v>6</v>
      </c>
      <c r="K12" s="238"/>
      <c r="L12" s="238"/>
      <c r="N12" s="217" t="s">
        <v>26</v>
      </c>
      <c r="O12" s="218"/>
      <c r="P12" s="218"/>
      <c r="Q12" s="219"/>
      <c r="R12" s="98">
        <f>SUM(R11*0.05)</f>
        <v>1162.8650183150201</v>
      </c>
      <c r="T12" s="217" t="s">
        <v>26</v>
      </c>
      <c r="U12" s="218"/>
      <c r="V12" s="218"/>
      <c r="W12" s="219"/>
      <c r="X12" s="98">
        <f>SUM(X11*0.05)</f>
        <v>3210.1783882783898</v>
      </c>
    </row>
    <row r="13" spans="2:24" x14ac:dyDescent="0.2">
      <c r="B13" s="217" t="s">
        <v>26</v>
      </c>
      <c r="C13" s="218"/>
      <c r="D13" s="218"/>
      <c r="E13" s="219"/>
      <c r="F13" s="98">
        <f>SUM(F12*0.05)</f>
        <v>2105.4166666666702</v>
      </c>
      <c r="H13" s="256" t="s">
        <v>29</v>
      </c>
      <c r="I13" s="257"/>
      <c r="J13" s="258"/>
      <c r="K13" s="121"/>
      <c r="L13" s="122"/>
      <c r="N13" s="217" t="s">
        <v>28</v>
      </c>
      <c r="O13" s="218"/>
      <c r="P13" s="218"/>
      <c r="Q13" s="219"/>
      <c r="R13" s="98">
        <f>SUM(R11:R12)</f>
        <v>24420.1653846154</v>
      </c>
      <c r="T13" s="217" t="s">
        <v>28</v>
      </c>
      <c r="U13" s="218"/>
      <c r="V13" s="218"/>
      <c r="W13" s="219"/>
      <c r="X13" s="98">
        <f>SUM(X11:X12)</f>
        <v>67413.746153846194</v>
      </c>
    </row>
    <row r="14" spans="2:24" x14ac:dyDescent="0.2">
      <c r="B14" s="217" t="s">
        <v>28</v>
      </c>
      <c r="C14" s="218"/>
      <c r="D14" s="218"/>
      <c r="E14" s="219"/>
      <c r="F14" s="98">
        <f>SUM(F12:F13)</f>
        <v>44213.75</v>
      </c>
      <c r="H14" s="232"/>
      <c r="I14" s="233"/>
      <c r="J14" s="234"/>
      <c r="K14" s="121"/>
      <c r="L14" s="123"/>
      <c r="N14" s="221" t="s">
        <v>31</v>
      </c>
      <c r="O14" s="222"/>
      <c r="P14" s="222"/>
      <c r="Q14" s="223"/>
      <c r="R14" s="99">
        <f>SUM(R13/R15)</f>
        <v>0.40700275641025702</v>
      </c>
      <c r="T14" s="221" t="s">
        <v>31</v>
      </c>
      <c r="U14" s="222"/>
      <c r="V14" s="222"/>
      <c r="W14" s="223"/>
      <c r="X14" s="99">
        <f>SUM(X13/X15)</f>
        <v>0.56178121794871805</v>
      </c>
    </row>
    <row r="15" spans="2:24" x14ac:dyDescent="0.2">
      <c r="B15" s="221" t="s">
        <v>31</v>
      </c>
      <c r="C15" s="222"/>
      <c r="D15" s="222"/>
      <c r="E15" s="223"/>
      <c r="F15" s="99">
        <f>SUM(F14/F16)</f>
        <v>0.36844791666666699</v>
      </c>
      <c r="H15" s="217" t="s">
        <v>23</v>
      </c>
      <c r="I15" s="218"/>
      <c r="J15" s="218"/>
      <c r="K15" s="219"/>
      <c r="L15" s="96">
        <f>SUM(L4:L11)</f>
        <v>23794.4444444445</v>
      </c>
      <c r="N15" s="221" t="s">
        <v>32</v>
      </c>
      <c r="O15" s="222"/>
      <c r="P15" s="222"/>
      <c r="Q15" s="223"/>
      <c r="R15" s="100">
        <v>60000</v>
      </c>
      <c r="T15" s="221" t="s">
        <v>32</v>
      </c>
      <c r="U15" s="222"/>
      <c r="V15" s="222"/>
      <c r="W15" s="223"/>
      <c r="X15" s="100">
        <v>120000</v>
      </c>
    </row>
    <row r="16" spans="2:24" x14ac:dyDescent="0.2">
      <c r="B16" s="221" t="s">
        <v>32</v>
      </c>
      <c r="C16" s="222"/>
      <c r="D16" s="222"/>
      <c r="E16" s="223"/>
      <c r="F16" s="100">
        <v>120000</v>
      </c>
      <c r="H16" s="217" t="s">
        <v>26</v>
      </c>
      <c r="I16" s="218"/>
      <c r="J16" s="218"/>
      <c r="K16" s="219"/>
      <c r="L16" s="98">
        <f>SUM(L15*0.05)</f>
        <v>1189.7222222222199</v>
      </c>
    </row>
    <row r="17" spans="2:24" x14ac:dyDescent="0.2">
      <c r="B17" s="1"/>
      <c r="C17" s="1"/>
      <c r="D17" s="1"/>
      <c r="E17" s="1"/>
      <c r="F17" s="1"/>
      <c r="H17" s="217" t="s">
        <v>28</v>
      </c>
      <c r="I17" s="218"/>
      <c r="J17" s="218"/>
      <c r="K17" s="219"/>
      <c r="L17" s="98">
        <f>SUM(L15:L16)</f>
        <v>24984.166666666701</v>
      </c>
      <c r="N17" s="235" t="s">
        <v>338</v>
      </c>
      <c r="O17" s="236"/>
      <c r="P17" s="236"/>
      <c r="Q17" s="236"/>
      <c r="R17" s="237"/>
      <c r="T17" s="235" t="s">
        <v>339</v>
      </c>
      <c r="U17" s="236"/>
      <c r="V17" s="236"/>
      <c r="W17" s="236"/>
      <c r="X17" s="237"/>
    </row>
    <row r="18" spans="2:24" x14ac:dyDescent="0.2">
      <c r="B18" s="212" t="s">
        <v>340</v>
      </c>
      <c r="C18" s="213"/>
      <c r="D18" s="213"/>
      <c r="E18" s="213"/>
      <c r="F18" s="214"/>
      <c r="H18" s="221" t="s">
        <v>31</v>
      </c>
      <c r="I18" s="222"/>
      <c r="J18" s="222"/>
      <c r="K18" s="223"/>
      <c r="L18" s="99">
        <f>SUM(L17/L19)</f>
        <v>0.33312222222222299</v>
      </c>
      <c r="N18" s="74" t="s">
        <v>1</v>
      </c>
      <c r="O18" s="248" t="s">
        <v>2</v>
      </c>
      <c r="P18" s="254"/>
      <c r="Q18" s="74" t="s">
        <v>3</v>
      </c>
      <c r="R18" s="74" t="s">
        <v>4</v>
      </c>
      <c r="T18" s="74" t="s">
        <v>1</v>
      </c>
      <c r="U18" s="248" t="s">
        <v>2</v>
      </c>
      <c r="V18" s="254"/>
      <c r="W18" s="74" t="s">
        <v>3</v>
      </c>
      <c r="X18" s="74" t="s">
        <v>4</v>
      </c>
    </row>
    <row r="19" spans="2:24" x14ac:dyDescent="0.2">
      <c r="B19" s="71" t="s">
        <v>1</v>
      </c>
      <c r="C19" s="215" t="s">
        <v>2</v>
      </c>
      <c r="D19" s="216"/>
      <c r="E19" s="72" t="s">
        <v>3</v>
      </c>
      <c r="F19" s="73" t="s">
        <v>4</v>
      </c>
      <c r="H19" s="221" t="s">
        <v>32</v>
      </c>
      <c r="I19" s="222"/>
      <c r="J19" s="222"/>
      <c r="K19" s="223"/>
      <c r="L19" s="100">
        <v>75000</v>
      </c>
      <c r="N19" s="102" t="s">
        <v>341</v>
      </c>
      <c r="O19" s="102">
        <v>30</v>
      </c>
      <c r="P19" s="108" t="s">
        <v>6</v>
      </c>
      <c r="Q19" s="126">
        <f>'SUPPLIER &amp; PRICE'!F139</f>
        <v>158.57142857142901</v>
      </c>
      <c r="R19" s="124">
        <f t="shared" ref="R19:R22" si="3">SUM(Q19*O19)</f>
        <v>4757.1428571428596</v>
      </c>
      <c r="T19" s="102" t="s">
        <v>341</v>
      </c>
      <c r="U19" s="102">
        <v>90</v>
      </c>
      <c r="V19" s="108" t="s">
        <v>6</v>
      </c>
      <c r="W19" s="126">
        <f>Q19</f>
        <v>158.57142857142901</v>
      </c>
      <c r="X19" s="124">
        <f t="shared" ref="X19:X22" si="4">SUM(W19*U19)</f>
        <v>14271.4285714286</v>
      </c>
    </row>
    <row r="20" spans="2:24" x14ac:dyDescent="0.2">
      <c r="B20" s="75" t="s">
        <v>342</v>
      </c>
      <c r="C20" s="76">
        <v>40</v>
      </c>
      <c r="D20" s="76" t="s">
        <v>6</v>
      </c>
      <c r="E20" s="77">
        <f>PREPARATION!L26</f>
        <v>516</v>
      </c>
      <c r="F20" s="78">
        <f t="shared" ref="F20:F23" si="5">SUM(E20*C20)</f>
        <v>20640</v>
      </c>
      <c r="N20" s="111" t="s">
        <v>343</v>
      </c>
      <c r="O20" s="112">
        <v>30</v>
      </c>
      <c r="P20" s="113" t="s">
        <v>6</v>
      </c>
      <c r="Q20" s="127">
        <f>Q19</f>
        <v>158.57142857142901</v>
      </c>
      <c r="R20" s="128">
        <f t="shared" si="3"/>
        <v>4757.1428571428596</v>
      </c>
      <c r="T20" s="111" t="s">
        <v>343</v>
      </c>
      <c r="U20" s="112">
        <v>90</v>
      </c>
      <c r="V20" s="113" t="s">
        <v>6</v>
      </c>
      <c r="W20" s="127">
        <f>W19</f>
        <v>158.57142857142901</v>
      </c>
      <c r="X20" s="128">
        <f t="shared" si="4"/>
        <v>14271.4285714286</v>
      </c>
    </row>
    <row r="21" spans="2:24" x14ac:dyDescent="0.2">
      <c r="B21" s="79" t="s">
        <v>74</v>
      </c>
      <c r="C21" s="80">
        <v>20</v>
      </c>
      <c r="D21" s="80" t="s">
        <v>6</v>
      </c>
      <c r="E21" s="81">
        <f>'SUPPLIER &amp; PRICE'!F103</f>
        <v>600</v>
      </c>
      <c r="F21" s="82">
        <f t="shared" si="5"/>
        <v>12000</v>
      </c>
      <c r="H21" s="235" t="s">
        <v>344</v>
      </c>
      <c r="I21" s="236"/>
      <c r="J21" s="236"/>
      <c r="K21" s="236"/>
      <c r="L21" s="237"/>
      <c r="N21" s="114" t="s">
        <v>16</v>
      </c>
      <c r="O21" s="114">
        <v>30</v>
      </c>
      <c r="P21" s="114" t="s">
        <v>6</v>
      </c>
      <c r="Q21" s="129">
        <f>E22</f>
        <v>116.666666666667</v>
      </c>
      <c r="R21" s="128">
        <f t="shared" si="3"/>
        <v>3500.00000000001</v>
      </c>
      <c r="T21" s="114" t="s">
        <v>16</v>
      </c>
      <c r="U21" s="114">
        <v>90</v>
      </c>
      <c r="V21" s="114" t="s">
        <v>6</v>
      </c>
      <c r="W21" s="129">
        <f>Q21</f>
        <v>116.666666666667</v>
      </c>
      <c r="X21" s="128">
        <f t="shared" si="4"/>
        <v>10500</v>
      </c>
    </row>
    <row r="22" spans="2:24" x14ac:dyDescent="0.2">
      <c r="B22" s="79" t="s">
        <v>14</v>
      </c>
      <c r="C22" s="80">
        <v>15</v>
      </c>
      <c r="D22" s="80" t="s">
        <v>6</v>
      </c>
      <c r="E22" s="81">
        <f>E6</f>
        <v>116.666666666667</v>
      </c>
      <c r="F22" s="82">
        <f t="shared" si="5"/>
        <v>1750</v>
      </c>
      <c r="H22" s="74" t="s">
        <v>1</v>
      </c>
      <c r="I22" s="248" t="s">
        <v>2</v>
      </c>
      <c r="J22" s="254"/>
      <c r="K22" s="74" t="s">
        <v>3</v>
      </c>
      <c r="L22" s="74" t="s">
        <v>4</v>
      </c>
      <c r="N22" s="74" t="s">
        <v>84</v>
      </c>
      <c r="O22" s="116">
        <v>1</v>
      </c>
      <c r="P22" s="117" t="s">
        <v>39</v>
      </c>
      <c r="Q22" s="106">
        <f>'SUPPLIER &amp; PRICE'!F68</f>
        <v>5208.3333333333303</v>
      </c>
      <c r="R22" s="106">
        <f t="shared" si="3"/>
        <v>5208.3333333333303</v>
      </c>
      <c r="T22" s="74" t="s">
        <v>84</v>
      </c>
      <c r="U22" s="116">
        <v>2</v>
      </c>
      <c r="V22" s="117" t="s">
        <v>39</v>
      </c>
      <c r="W22" s="106">
        <f>Q8</f>
        <v>5208.3333333333303</v>
      </c>
      <c r="X22" s="106">
        <f t="shared" si="4"/>
        <v>10416.666666666701</v>
      </c>
    </row>
    <row r="23" spans="2:24" x14ac:dyDescent="0.2">
      <c r="B23" s="83" t="s">
        <v>281</v>
      </c>
      <c r="C23" s="84">
        <v>15</v>
      </c>
      <c r="D23" s="84" t="s">
        <v>6</v>
      </c>
      <c r="E23" s="85">
        <f>E7</f>
        <v>158.57142857142901</v>
      </c>
      <c r="F23" s="82">
        <f t="shared" si="5"/>
        <v>2378.5714285714298</v>
      </c>
      <c r="H23" s="74" t="s">
        <v>345</v>
      </c>
      <c r="I23" s="104">
        <v>500</v>
      </c>
      <c r="J23" s="105" t="s">
        <v>17</v>
      </c>
      <c r="K23" s="106">
        <f>'SUPPLIER &amp; PRICE'!F12</f>
        <v>15</v>
      </c>
      <c r="L23" s="107">
        <f t="shared" ref="L23:L28" si="6">SUM(K23*I23)</f>
        <v>7500</v>
      </c>
      <c r="N23" s="97" t="s">
        <v>20</v>
      </c>
      <c r="O23" s="97">
        <v>300</v>
      </c>
      <c r="P23" s="97" t="s">
        <v>6</v>
      </c>
      <c r="Q23" s="120"/>
      <c r="R23" s="120"/>
      <c r="T23" s="97" t="s">
        <v>20</v>
      </c>
      <c r="U23" s="97">
        <v>900</v>
      </c>
      <c r="V23" s="97" t="s">
        <v>6</v>
      </c>
      <c r="W23" s="120"/>
      <c r="X23" s="120"/>
    </row>
    <row r="24" spans="2:24" x14ac:dyDescent="0.2">
      <c r="B24" s="90" t="s">
        <v>20</v>
      </c>
      <c r="C24" s="90">
        <v>120</v>
      </c>
      <c r="D24" s="90" t="s">
        <v>6</v>
      </c>
      <c r="E24" s="91"/>
      <c r="F24" s="92"/>
      <c r="H24" s="74" t="s">
        <v>346</v>
      </c>
      <c r="I24" s="109">
        <v>10</v>
      </c>
      <c r="J24" s="110" t="s">
        <v>17</v>
      </c>
      <c r="K24" s="106">
        <f>'SUPPLIER &amp; PRICE'!F21</f>
        <v>60</v>
      </c>
      <c r="L24" s="107">
        <f t="shared" si="6"/>
        <v>600</v>
      </c>
      <c r="N24" s="221" t="s">
        <v>29</v>
      </c>
      <c r="O24" s="222"/>
      <c r="P24" s="223"/>
      <c r="Q24" s="121" t="s">
        <v>90</v>
      </c>
      <c r="R24" s="123">
        <f>ALCOHOL!F123</f>
        <v>180</v>
      </c>
      <c r="T24" s="221" t="s">
        <v>29</v>
      </c>
      <c r="U24" s="222"/>
      <c r="V24" s="223"/>
      <c r="W24" s="121" t="s">
        <v>90</v>
      </c>
      <c r="X24" s="123">
        <f>X10</f>
        <v>180</v>
      </c>
    </row>
    <row r="25" spans="2:24" x14ac:dyDescent="0.2">
      <c r="B25" s="221" t="s">
        <v>29</v>
      </c>
      <c r="C25" s="222"/>
      <c r="D25" s="223"/>
      <c r="E25" s="93" t="s">
        <v>30</v>
      </c>
      <c r="F25" s="94">
        <f>ALCOHOL!F95</f>
        <v>1200</v>
      </c>
      <c r="H25" s="74" t="s">
        <v>347</v>
      </c>
      <c r="I25" s="109">
        <v>25</v>
      </c>
      <c r="J25" s="110" t="s">
        <v>17</v>
      </c>
      <c r="K25" s="106">
        <f>'SUPPLIER &amp; PRICE'!F30</f>
        <v>35</v>
      </c>
      <c r="L25" s="107">
        <f t="shared" si="6"/>
        <v>875</v>
      </c>
      <c r="N25" s="217" t="s">
        <v>23</v>
      </c>
      <c r="O25" s="218"/>
      <c r="P25" s="218"/>
      <c r="Q25" s="219"/>
      <c r="R25" s="96">
        <f>SUM(R19:R24)</f>
        <v>18402.6190476191</v>
      </c>
      <c r="T25" s="217" t="s">
        <v>23</v>
      </c>
      <c r="U25" s="218"/>
      <c r="V25" s="218"/>
      <c r="W25" s="219"/>
      <c r="X25" s="96">
        <f>SUM(X19:X24)</f>
        <v>49639.523809523802</v>
      </c>
    </row>
    <row r="26" spans="2:24" x14ac:dyDescent="0.2">
      <c r="B26" s="217" t="s">
        <v>23</v>
      </c>
      <c r="C26" s="218"/>
      <c r="D26" s="218"/>
      <c r="E26" s="219"/>
      <c r="F26" s="96">
        <f>SUM(F20:F25)</f>
        <v>37968.571428571398</v>
      </c>
      <c r="H26" s="101" t="s">
        <v>216</v>
      </c>
      <c r="I26" s="109">
        <v>100</v>
      </c>
      <c r="J26" s="110" t="s">
        <v>6</v>
      </c>
      <c r="K26" s="106">
        <f>'SUPPLIER &amp; PRICE'!F20</f>
        <v>10</v>
      </c>
      <c r="L26" s="107">
        <f t="shared" si="6"/>
        <v>1000</v>
      </c>
      <c r="N26" s="217" t="s">
        <v>26</v>
      </c>
      <c r="O26" s="218"/>
      <c r="P26" s="218"/>
      <c r="Q26" s="219"/>
      <c r="R26" s="98">
        <f>SUM(R25*0.05)</f>
        <v>920.13095238095298</v>
      </c>
      <c r="T26" s="217" t="s">
        <v>26</v>
      </c>
      <c r="U26" s="218"/>
      <c r="V26" s="218"/>
      <c r="W26" s="219"/>
      <c r="X26" s="98">
        <f>SUM(X25*0.05)</f>
        <v>2481.9761904761899</v>
      </c>
    </row>
    <row r="27" spans="2:24" x14ac:dyDescent="0.2">
      <c r="B27" s="217" t="s">
        <v>26</v>
      </c>
      <c r="C27" s="218"/>
      <c r="D27" s="218"/>
      <c r="E27" s="219"/>
      <c r="F27" s="98">
        <f>SUM(F26*0.05)</f>
        <v>1898.42857142857</v>
      </c>
      <c r="H27" s="74" t="s">
        <v>89</v>
      </c>
      <c r="I27" s="118">
        <v>30</v>
      </c>
      <c r="J27" s="103" t="s">
        <v>6</v>
      </c>
      <c r="K27" s="106">
        <f>'SUPPLIER &amp; PRICE'!F8</f>
        <v>116.666666666667</v>
      </c>
      <c r="L27" s="107">
        <f t="shared" si="6"/>
        <v>3500.00000000001</v>
      </c>
      <c r="N27" s="217" t="s">
        <v>28</v>
      </c>
      <c r="O27" s="218"/>
      <c r="P27" s="218"/>
      <c r="Q27" s="219"/>
      <c r="R27" s="98">
        <f>SUM(R25:R26)</f>
        <v>19322.75</v>
      </c>
      <c r="T27" s="217" t="s">
        <v>28</v>
      </c>
      <c r="U27" s="218"/>
      <c r="V27" s="218"/>
      <c r="W27" s="219"/>
      <c r="X27" s="98">
        <f>SUM(X25:X26)</f>
        <v>52121.5</v>
      </c>
    </row>
    <row r="28" spans="2:24" x14ac:dyDescent="0.2">
      <c r="B28" s="217" t="s">
        <v>28</v>
      </c>
      <c r="C28" s="218"/>
      <c r="D28" s="218"/>
      <c r="E28" s="219"/>
      <c r="F28" s="98">
        <f>SUM(F26:F27)</f>
        <v>39867</v>
      </c>
      <c r="H28" s="102" t="s">
        <v>336</v>
      </c>
      <c r="I28" s="102">
        <v>20</v>
      </c>
      <c r="J28" s="108" t="s">
        <v>6</v>
      </c>
      <c r="K28" s="124">
        <f>'SUPPLIER &amp; PRICE'!F31</f>
        <v>50</v>
      </c>
      <c r="L28" s="107">
        <f t="shared" si="6"/>
        <v>1000</v>
      </c>
      <c r="N28" s="221" t="s">
        <v>31</v>
      </c>
      <c r="O28" s="222"/>
      <c r="P28" s="222"/>
      <c r="Q28" s="223"/>
      <c r="R28" s="99">
        <f>SUM(R27/R29)</f>
        <v>0.32204583333333398</v>
      </c>
      <c r="T28" s="221" t="s">
        <v>31</v>
      </c>
      <c r="U28" s="222"/>
      <c r="V28" s="222"/>
      <c r="W28" s="223"/>
      <c r="X28" s="99">
        <f>SUM(X27/X29)</f>
        <v>0.43434583333333299</v>
      </c>
    </row>
    <row r="29" spans="2:24" x14ac:dyDescent="0.2">
      <c r="B29" s="221" t="s">
        <v>31</v>
      </c>
      <c r="C29" s="222"/>
      <c r="D29" s="222"/>
      <c r="E29" s="223"/>
      <c r="F29" s="99">
        <f>SUM(F28/F30)</f>
        <v>0.33222499999999999</v>
      </c>
      <c r="H29" s="90" t="s">
        <v>20</v>
      </c>
      <c r="I29" s="90">
        <v>300</v>
      </c>
      <c r="J29" s="90" t="s">
        <v>6</v>
      </c>
      <c r="K29" s="125"/>
      <c r="L29" s="125"/>
      <c r="N29" s="221" t="s">
        <v>32</v>
      </c>
      <c r="O29" s="222"/>
      <c r="P29" s="222"/>
      <c r="Q29" s="223"/>
      <c r="R29" s="100">
        <v>60000</v>
      </c>
      <c r="T29" s="221" t="s">
        <v>32</v>
      </c>
      <c r="U29" s="222"/>
      <c r="V29" s="222"/>
      <c r="W29" s="223"/>
      <c r="X29" s="100">
        <v>120000</v>
      </c>
    </row>
    <row r="30" spans="2:24" x14ac:dyDescent="0.2">
      <c r="B30" s="221" t="s">
        <v>32</v>
      </c>
      <c r="C30" s="222"/>
      <c r="D30" s="222"/>
      <c r="E30" s="223"/>
      <c r="F30" s="100">
        <v>120000</v>
      </c>
      <c r="H30" s="221" t="s">
        <v>29</v>
      </c>
      <c r="I30" s="222"/>
      <c r="J30" s="223"/>
      <c r="K30" s="93" t="s">
        <v>348</v>
      </c>
      <c r="L30" s="94">
        <v>180</v>
      </c>
    </row>
    <row r="31" spans="2:24" x14ac:dyDescent="0.2">
      <c r="B31" s="1"/>
      <c r="C31" s="1"/>
      <c r="D31" s="1"/>
      <c r="E31" s="1"/>
      <c r="F31" s="1"/>
      <c r="H31" s="217" t="s">
        <v>23</v>
      </c>
      <c r="I31" s="218"/>
      <c r="J31" s="218"/>
      <c r="K31" s="219"/>
      <c r="L31" s="96">
        <f>SUM(L23:L30)</f>
        <v>14655</v>
      </c>
    </row>
    <row r="32" spans="2:24" x14ac:dyDescent="0.2">
      <c r="B32" s="212" t="s">
        <v>676</v>
      </c>
      <c r="C32" s="213"/>
      <c r="D32" s="213"/>
      <c r="E32" s="213"/>
      <c r="F32" s="214"/>
      <c r="H32" s="217" t="s">
        <v>26</v>
      </c>
      <c r="I32" s="218"/>
      <c r="J32" s="218"/>
      <c r="K32" s="219"/>
      <c r="L32" s="98">
        <f>SUM(L31*0.05)</f>
        <v>732.75000000000102</v>
      </c>
    </row>
    <row r="33" spans="2:12" x14ac:dyDescent="0.2">
      <c r="B33" s="71" t="s">
        <v>1</v>
      </c>
      <c r="C33" s="215" t="s">
        <v>2</v>
      </c>
      <c r="D33" s="216"/>
      <c r="E33" s="72" t="s">
        <v>3</v>
      </c>
      <c r="F33" s="73" t="s">
        <v>4</v>
      </c>
      <c r="H33" s="217" t="s">
        <v>28</v>
      </c>
      <c r="I33" s="218"/>
      <c r="J33" s="218"/>
      <c r="K33" s="219"/>
      <c r="L33" s="98">
        <f>SUM(L31:L32)</f>
        <v>15387.75</v>
      </c>
    </row>
    <row r="34" spans="2:12" x14ac:dyDescent="0.2">
      <c r="B34" s="75" t="s">
        <v>349</v>
      </c>
      <c r="C34" s="76">
        <v>20</v>
      </c>
      <c r="D34" s="76" t="s">
        <v>6</v>
      </c>
      <c r="E34" s="77">
        <f>PREPARATION!L35</f>
        <v>392.857142857143</v>
      </c>
      <c r="F34" s="78">
        <f t="shared" ref="F34:F37" si="7">SUM(E34*C34)</f>
        <v>7857.1428571428596</v>
      </c>
      <c r="H34" s="221" t="s">
        <v>31</v>
      </c>
      <c r="I34" s="222"/>
      <c r="J34" s="222"/>
      <c r="K34" s="223"/>
      <c r="L34" s="99">
        <f>SUM(L33/L35)</f>
        <v>0.20516999999999999</v>
      </c>
    </row>
    <row r="35" spans="2:12" x14ac:dyDescent="0.2">
      <c r="B35" s="79" t="s">
        <v>144</v>
      </c>
      <c r="C35" s="80">
        <v>15</v>
      </c>
      <c r="D35" s="80" t="s">
        <v>6</v>
      </c>
      <c r="E35" s="81">
        <f>'SUPPLIER &amp; PRICE'!L5</f>
        <v>560</v>
      </c>
      <c r="F35" s="82">
        <f t="shared" si="7"/>
        <v>8400</v>
      </c>
      <c r="H35" s="221" t="s">
        <v>32</v>
      </c>
      <c r="I35" s="222"/>
      <c r="J35" s="222"/>
      <c r="K35" s="223"/>
      <c r="L35" s="100">
        <v>75000</v>
      </c>
    </row>
    <row r="36" spans="2:12" x14ac:dyDescent="0.2">
      <c r="B36" s="79" t="s">
        <v>350</v>
      </c>
      <c r="C36" s="80">
        <v>15</v>
      </c>
      <c r="D36" s="80" t="s">
        <v>6</v>
      </c>
      <c r="E36" s="81">
        <f>'SUPPLIER &amp; PRICE'!L16</f>
        <v>407.142857142857</v>
      </c>
      <c r="F36" s="82">
        <f t="shared" si="7"/>
        <v>6107.1428571428596</v>
      </c>
    </row>
    <row r="37" spans="2:12" x14ac:dyDescent="0.2">
      <c r="B37" s="83" t="s">
        <v>351</v>
      </c>
      <c r="C37" s="84">
        <v>30</v>
      </c>
      <c r="D37" s="84" t="s">
        <v>6</v>
      </c>
      <c r="E37" s="85">
        <f>'SUPPLIER &amp; PRICE'!F6</f>
        <v>42</v>
      </c>
      <c r="F37" s="82">
        <f t="shared" si="7"/>
        <v>1260</v>
      </c>
    </row>
    <row r="38" spans="2:12" x14ac:dyDescent="0.2">
      <c r="B38" s="83" t="s">
        <v>352</v>
      </c>
      <c r="C38" s="84">
        <v>5</v>
      </c>
      <c r="D38" s="84" t="s">
        <v>6</v>
      </c>
      <c r="E38" s="85">
        <f>E23</f>
        <v>158.57142857142901</v>
      </c>
      <c r="F38" s="82">
        <f>SUM(C38*E38)</f>
        <v>792.857142857143</v>
      </c>
    </row>
    <row r="39" spans="2:12" x14ac:dyDescent="0.2">
      <c r="B39" s="90" t="s">
        <v>20</v>
      </c>
      <c r="C39" s="90">
        <v>100</v>
      </c>
      <c r="D39" s="90" t="s">
        <v>6</v>
      </c>
      <c r="E39" s="91"/>
      <c r="F39" s="92"/>
    </row>
    <row r="40" spans="2:12" x14ac:dyDescent="0.2">
      <c r="B40" s="221" t="s">
        <v>29</v>
      </c>
      <c r="C40" s="222"/>
      <c r="D40" s="223"/>
      <c r="E40" s="93" t="s">
        <v>353</v>
      </c>
      <c r="F40" s="94">
        <v>2500</v>
      </c>
    </row>
    <row r="41" spans="2:12" x14ac:dyDescent="0.2">
      <c r="B41" s="217" t="s">
        <v>23</v>
      </c>
      <c r="C41" s="218"/>
      <c r="D41" s="218"/>
      <c r="E41" s="219"/>
      <c r="F41" s="96">
        <f>SUM(F34:F40)</f>
        <v>26917.142857142899</v>
      </c>
    </row>
    <row r="42" spans="2:12" x14ac:dyDescent="0.2">
      <c r="B42" s="217" t="s">
        <v>26</v>
      </c>
      <c r="C42" s="218"/>
      <c r="D42" s="218"/>
      <c r="E42" s="219"/>
      <c r="F42" s="98">
        <f>SUM(F41*0.05)</f>
        <v>1345.8571428571399</v>
      </c>
    </row>
    <row r="43" spans="2:12" x14ac:dyDescent="0.2">
      <c r="B43" s="217" t="s">
        <v>28</v>
      </c>
      <c r="C43" s="218"/>
      <c r="D43" s="218"/>
      <c r="E43" s="219"/>
      <c r="F43" s="98">
        <f>SUM(F41:F42)</f>
        <v>28263</v>
      </c>
    </row>
    <row r="44" spans="2:12" x14ac:dyDescent="0.2">
      <c r="B44" s="221" t="s">
        <v>31</v>
      </c>
      <c r="C44" s="222"/>
      <c r="D44" s="222"/>
      <c r="E44" s="223"/>
      <c r="F44" s="99">
        <f>SUM(F43/F45)</f>
        <v>0.23552500000000001</v>
      </c>
    </row>
    <row r="45" spans="2:12" x14ac:dyDescent="0.2">
      <c r="B45" s="221" t="s">
        <v>32</v>
      </c>
      <c r="C45" s="222"/>
      <c r="D45" s="222"/>
      <c r="E45" s="223"/>
      <c r="F45" s="100">
        <v>120000</v>
      </c>
    </row>
    <row r="47" spans="2:12" x14ac:dyDescent="0.2">
      <c r="B47" s="212" t="s">
        <v>354</v>
      </c>
      <c r="C47" s="213"/>
      <c r="D47" s="213"/>
      <c r="E47" s="213"/>
      <c r="F47" s="214"/>
    </row>
    <row r="48" spans="2:12" x14ac:dyDescent="0.2">
      <c r="B48" s="71" t="s">
        <v>1</v>
      </c>
      <c r="C48" s="215" t="s">
        <v>2</v>
      </c>
      <c r="D48" s="216"/>
      <c r="E48" s="72" t="s">
        <v>3</v>
      </c>
      <c r="F48" s="73" t="s">
        <v>4</v>
      </c>
    </row>
    <row r="49" spans="2:6" x14ac:dyDescent="0.2">
      <c r="B49" s="75" t="s">
        <v>71</v>
      </c>
      <c r="C49" s="76">
        <v>60</v>
      </c>
      <c r="D49" s="76" t="s">
        <v>6</v>
      </c>
      <c r="E49" s="77">
        <f>'SUPPLIER &amp; PRICE'!F96</f>
        <v>328</v>
      </c>
      <c r="F49" s="78">
        <f t="shared" ref="F49:F54" si="8">SUM(E49*C49)</f>
        <v>19680</v>
      </c>
    </row>
    <row r="50" spans="2:6" x14ac:dyDescent="0.2">
      <c r="B50" s="79" t="s">
        <v>355</v>
      </c>
      <c r="C50" s="80">
        <v>120</v>
      </c>
      <c r="D50" s="80" t="s">
        <v>6</v>
      </c>
      <c r="E50" s="81">
        <f>'SUPPLIER &amp; PRICE'!F156</f>
        <v>80</v>
      </c>
      <c r="F50" s="82">
        <f t="shared" si="8"/>
        <v>9600</v>
      </c>
    </row>
    <row r="51" spans="2:6" x14ac:dyDescent="0.2">
      <c r="B51" s="79" t="s">
        <v>356</v>
      </c>
      <c r="C51" s="80">
        <v>3</v>
      </c>
      <c r="D51" s="80" t="s">
        <v>6</v>
      </c>
      <c r="E51" s="81">
        <f>'SUPPLIER &amp; PRICE'!F154</f>
        <v>1000</v>
      </c>
      <c r="F51" s="82">
        <f t="shared" si="8"/>
        <v>3000</v>
      </c>
    </row>
    <row r="52" spans="2:6" x14ac:dyDescent="0.2">
      <c r="B52" s="79" t="s">
        <v>357</v>
      </c>
      <c r="C52" s="80">
        <v>3</v>
      </c>
      <c r="D52" s="80" t="s">
        <v>6</v>
      </c>
      <c r="E52" s="81">
        <f>'SUPPLIER &amp; PRICE'!F155</f>
        <v>281.69014084507</v>
      </c>
      <c r="F52" s="82">
        <f t="shared" si="8"/>
        <v>845.07042253521104</v>
      </c>
    </row>
    <row r="53" spans="2:6" x14ac:dyDescent="0.2">
      <c r="B53" s="79" t="s">
        <v>358</v>
      </c>
      <c r="C53" s="80">
        <v>2</v>
      </c>
      <c r="D53" s="80" t="s">
        <v>17</v>
      </c>
      <c r="E53" s="81">
        <f>'SUPPLIER &amp; PRICE'!F157</f>
        <v>16</v>
      </c>
      <c r="F53" s="82">
        <f t="shared" si="8"/>
        <v>32</v>
      </c>
    </row>
    <row r="54" spans="2:6" x14ac:dyDescent="0.2">
      <c r="B54" s="83" t="s">
        <v>359</v>
      </c>
      <c r="C54" s="84">
        <v>2</v>
      </c>
      <c r="D54" s="84" t="s">
        <v>17</v>
      </c>
      <c r="E54" s="85">
        <f>'SUPPLIER &amp; PRICE'!F158</f>
        <v>160</v>
      </c>
      <c r="F54" s="82">
        <f t="shared" si="8"/>
        <v>320</v>
      </c>
    </row>
    <row r="55" spans="2:6" x14ac:dyDescent="0.2">
      <c r="B55" s="83" t="s">
        <v>16</v>
      </c>
      <c r="C55" s="84">
        <v>15</v>
      </c>
      <c r="D55" s="84" t="s">
        <v>6</v>
      </c>
      <c r="E55" s="85">
        <f>'SUPPLIER &amp; PRICE'!F8</f>
        <v>116.666666666667</v>
      </c>
      <c r="F55" s="82">
        <f>SUM(C55*E55)</f>
        <v>1750</v>
      </c>
    </row>
    <row r="56" spans="2:6" x14ac:dyDescent="0.2">
      <c r="B56" s="90" t="s">
        <v>20</v>
      </c>
      <c r="C56" s="90">
        <v>200</v>
      </c>
      <c r="D56" s="90" t="s">
        <v>6</v>
      </c>
      <c r="E56" s="91"/>
      <c r="F56" s="92"/>
    </row>
    <row r="57" spans="2:6" x14ac:dyDescent="0.2">
      <c r="B57" s="221" t="s">
        <v>29</v>
      </c>
      <c r="C57" s="222"/>
      <c r="D57" s="223"/>
      <c r="E57" s="93" t="s">
        <v>78</v>
      </c>
      <c r="F57" s="94">
        <f>ALCOHOL!N96</f>
        <v>1166.6666666666699</v>
      </c>
    </row>
    <row r="58" spans="2:6" x14ac:dyDescent="0.2">
      <c r="B58" s="217" t="s">
        <v>23</v>
      </c>
      <c r="C58" s="218"/>
      <c r="D58" s="218"/>
      <c r="E58" s="219"/>
      <c r="F58" s="96">
        <f>SUM(F49:F57)</f>
        <v>36393.737089201903</v>
      </c>
    </row>
    <row r="59" spans="2:6" x14ac:dyDescent="0.2">
      <c r="B59" s="217" t="s">
        <v>26</v>
      </c>
      <c r="C59" s="218"/>
      <c r="D59" s="218"/>
      <c r="E59" s="219"/>
      <c r="F59" s="98">
        <f>SUM(F58*0.05)</f>
        <v>1819.68685446009</v>
      </c>
    </row>
    <row r="60" spans="2:6" x14ac:dyDescent="0.2">
      <c r="B60" s="217" t="s">
        <v>28</v>
      </c>
      <c r="C60" s="218"/>
      <c r="D60" s="218"/>
      <c r="E60" s="219"/>
      <c r="F60" s="98">
        <f>SUM(F58:F59)</f>
        <v>38213.423943661997</v>
      </c>
    </row>
    <row r="61" spans="2:6" x14ac:dyDescent="0.2">
      <c r="B61" s="221" t="s">
        <v>31</v>
      </c>
      <c r="C61" s="222"/>
      <c r="D61" s="222"/>
      <c r="E61" s="223"/>
      <c r="F61" s="99">
        <f>SUM(F60/F62)</f>
        <v>0.29394941495124599</v>
      </c>
    </row>
    <row r="62" spans="2:6" x14ac:dyDescent="0.2">
      <c r="B62" s="221" t="s">
        <v>32</v>
      </c>
      <c r="C62" s="222"/>
      <c r="D62" s="222"/>
      <c r="E62" s="223"/>
      <c r="F62" s="100">
        <v>130000</v>
      </c>
    </row>
    <row r="64" spans="2:6" x14ac:dyDescent="0.2">
      <c r="B64" s="212" t="s">
        <v>360</v>
      </c>
      <c r="C64" s="213"/>
      <c r="D64" s="213"/>
      <c r="E64" s="213"/>
      <c r="F64" s="214"/>
    </row>
    <row r="65" spans="2:6" x14ac:dyDescent="0.2">
      <c r="B65" s="71" t="s">
        <v>1</v>
      </c>
      <c r="C65" s="215" t="s">
        <v>2</v>
      </c>
      <c r="D65" s="216"/>
      <c r="E65" s="72" t="s">
        <v>3</v>
      </c>
      <c r="F65" s="73" t="s">
        <v>4</v>
      </c>
    </row>
    <row r="66" spans="2:6" x14ac:dyDescent="0.2">
      <c r="B66" s="75" t="s">
        <v>71</v>
      </c>
      <c r="C66" s="76">
        <v>45</v>
      </c>
      <c r="D66" s="76" t="s">
        <v>6</v>
      </c>
      <c r="E66" s="77">
        <f>'SUPPLIER &amp; PRICE'!F96</f>
        <v>328</v>
      </c>
      <c r="F66" s="78">
        <f t="shared" ref="F66:F69" si="9">SUM(E66*C66)</f>
        <v>14760</v>
      </c>
    </row>
    <row r="67" spans="2:6" x14ac:dyDescent="0.2">
      <c r="B67" s="79" t="s">
        <v>11</v>
      </c>
      <c r="C67" s="80">
        <v>20</v>
      </c>
      <c r="D67" s="80" t="s">
        <v>6</v>
      </c>
      <c r="E67" s="81">
        <f>'SUPPLIER &amp; PRICE'!L16</f>
        <v>407.142857142857</v>
      </c>
      <c r="F67" s="82">
        <f t="shared" si="9"/>
        <v>8142.8571428571404</v>
      </c>
    </row>
    <row r="68" spans="2:6" x14ac:dyDescent="0.2">
      <c r="B68" s="79" t="s">
        <v>361</v>
      </c>
      <c r="C68" s="80">
        <v>45</v>
      </c>
      <c r="D68" s="80" t="s">
        <v>6</v>
      </c>
      <c r="E68" s="81">
        <f>'SUPPLIER &amp; PRICE'!F159</f>
        <v>48</v>
      </c>
      <c r="F68" s="82">
        <f t="shared" si="9"/>
        <v>2160</v>
      </c>
    </row>
    <row r="69" spans="2:6" x14ac:dyDescent="0.2">
      <c r="B69" s="83" t="s">
        <v>362</v>
      </c>
      <c r="C69" s="84">
        <v>15</v>
      </c>
      <c r="D69" s="84" t="s">
        <v>6</v>
      </c>
      <c r="E69" s="85">
        <f>'SUPPLIER &amp; PRICE'!F8</f>
        <v>116.666666666667</v>
      </c>
      <c r="F69" s="82">
        <f t="shared" si="9"/>
        <v>1750</v>
      </c>
    </row>
    <row r="70" spans="2:6" x14ac:dyDescent="0.2">
      <c r="B70" s="83" t="s">
        <v>363</v>
      </c>
      <c r="C70" s="84">
        <v>5</v>
      </c>
      <c r="D70" s="84" t="s">
        <v>6</v>
      </c>
      <c r="E70" s="85">
        <f>PREPARATION!L148</f>
        <v>18.7368421052632</v>
      </c>
      <c r="F70" s="82">
        <f>SUM(C70*E70)</f>
        <v>93.684210526315795</v>
      </c>
    </row>
    <row r="71" spans="2:6" x14ac:dyDescent="0.2">
      <c r="B71" s="90" t="s">
        <v>20</v>
      </c>
      <c r="C71" s="90">
        <v>100</v>
      </c>
      <c r="D71" s="90" t="s">
        <v>6</v>
      </c>
      <c r="E71" s="91"/>
      <c r="F71" s="92"/>
    </row>
    <row r="72" spans="2:6" x14ac:dyDescent="0.2">
      <c r="B72" s="221" t="s">
        <v>29</v>
      </c>
      <c r="C72" s="222"/>
      <c r="D72" s="223"/>
      <c r="E72" s="93" t="s">
        <v>364</v>
      </c>
      <c r="F72" s="94">
        <f>'NON ALCOHOL'!M398</f>
        <v>2240</v>
      </c>
    </row>
    <row r="73" spans="2:6" x14ac:dyDescent="0.2">
      <c r="B73" s="217" t="s">
        <v>23</v>
      </c>
      <c r="C73" s="218"/>
      <c r="D73" s="218"/>
      <c r="E73" s="219"/>
      <c r="F73" s="96">
        <f>SUM(F66:F72)</f>
        <v>29146.541353383502</v>
      </c>
    </row>
    <row r="74" spans="2:6" x14ac:dyDescent="0.2">
      <c r="B74" s="217" t="s">
        <v>26</v>
      </c>
      <c r="C74" s="218"/>
      <c r="D74" s="218"/>
      <c r="E74" s="219"/>
      <c r="F74" s="98">
        <f>SUM(F73*0.05)</f>
        <v>1457.32706766917</v>
      </c>
    </row>
    <row r="75" spans="2:6" x14ac:dyDescent="0.2">
      <c r="B75" s="217" t="s">
        <v>28</v>
      </c>
      <c r="C75" s="218"/>
      <c r="D75" s="218"/>
      <c r="E75" s="219"/>
      <c r="F75" s="98">
        <f>SUM(F73:F74)</f>
        <v>30603.868421052601</v>
      </c>
    </row>
    <row r="76" spans="2:6" x14ac:dyDescent="0.2">
      <c r="B76" s="221" t="s">
        <v>31</v>
      </c>
      <c r="C76" s="222"/>
      <c r="D76" s="222"/>
      <c r="E76" s="223"/>
      <c r="F76" s="99">
        <f>SUM(F75/F77)</f>
        <v>0.23541437246963601</v>
      </c>
    </row>
    <row r="77" spans="2:6" x14ac:dyDescent="0.2">
      <c r="B77" s="221" t="s">
        <v>32</v>
      </c>
      <c r="C77" s="222"/>
      <c r="D77" s="222"/>
      <c r="E77" s="223"/>
      <c r="F77" s="100">
        <v>130000</v>
      </c>
    </row>
    <row r="79" spans="2:6" x14ac:dyDescent="0.2">
      <c r="B79" s="212" t="s">
        <v>365</v>
      </c>
      <c r="C79" s="213"/>
      <c r="D79" s="213"/>
      <c r="E79" s="213"/>
      <c r="F79" s="214"/>
    </row>
    <row r="80" spans="2:6" x14ac:dyDescent="0.2">
      <c r="B80" s="71" t="s">
        <v>1</v>
      </c>
      <c r="C80" s="215" t="s">
        <v>2</v>
      </c>
      <c r="D80" s="216"/>
      <c r="E80" s="72" t="s">
        <v>3</v>
      </c>
      <c r="F80" s="73" t="s">
        <v>4</v>
      </c>
    </row>
    <row r="81" spans="2:12" x14ac:dyDescent="0.2">
      <c r="B81" s="75" t="s">
        <v>366</v>
      </c>
      <c r="C81" s="76">
        <v>45</v>
      </c>
      <c r="D81" s="76" t="s">
        <v>6</v>
      </c>
      <c r="E81" s="77">
        <f>'SUPPLIER &amp; PRICE'!F79</f>
        <v>785.71428571428601</v>
      </c>
      <c r="F81" s="78">
        <f>SUM(E81*C81)</f>
        <v>35357.142857142899</v>
      </c>
    </row>
    <row r="82" spans="2:12" x14ac:dyDescent="0.2">
      <c r="B82" s="79" t="s">
        <v>367</v>
      </c>
      <c r="C82" s="80">
        <v>20</v>
      </c>
      <c r="D82" s="80" t="s">
        <v>6</v>
      </c>
      <c r="E82" s="81">
        <f>'SUPPLIER &amp; PRICE'!F102</f>
        <v>600</v>
      </c>
      <c r="F82" s="78">
        <f>SUM(E82*C82)</f>
        <v>12000</v>
      </c>
    </row>
    <row r="83" spans="2:12" x14ac:dyDescent="0.2">
      <c r="B83" s="79" t="s">
        <v>368</v>
      </c>
      <c r="C83" s="80">
        <v>50</v>
      </c>
      <c r="D83" s="80" t="s">
        <v>6</v>
      </c>
      <c r="E83" s="81">
        <f>'SUPPLIER &amp; PRICE'!F46</f>
        <v>75</v>
      </c>
      <c r="F83" s="82">
        <f>SUM(E83*C83)</f>
        <v>3750</v>
      </c>
    </row>
    <row r="84" spans="2:12" x14ac:dyDescent="0.2">
      <c r="B84" s="79" t="s">
        <v>215</v>
      </c>
      <c r="C84" s="80">
        <v>200</v>
      </c>
      <c r="D84" s="80" t="s">
        <v>17</v>
      </c>
      <c r="E84" s="81">
        <f>'SUPPLIER &amp; PRICE'!F16</f>
        <v>22.2222222222222</v>
      </c>
      <c r="F84" s="82">
        <f>SUM(E84*C84)</f>
        <v>4444.4444444444398</v>
      </c>
    </row>
    <row r="85" spans="2:12" x14ac:dyDescent="0.2">
      <c r="B85" s="83" t="s">
        <v>369</v>
      </c>
      <c r="C85" s="84">
        <v>10</v>
      </c>
      <c r="D85" s="84" t="s">
        <v>6</v>
      </c>
      <c r="E85" s="85">
        <f>PREPARATION!L148</f>
        <v>18.7368421052632</v>
      </c>
      <c r="F85" s="82">
        <f>SUM(E85*C85)</f>
        <v>187.36842105263199</v>
      </c>
    </row>
    <row r="86" spans="2:12" x14ac:dyDescent="0.2">
      <c r="B86" s="83" t="s">
        <v>14</v>
      </c>
      <c r="C86" s="84">
        <v>15</v>
      </c>
      <c r="D86" s="84" t="s">
        <v>6</v>
      </c>
      <c r="E86" s="85">
        <f>E69</f>
        <v>116.666666666667</v>
      </c>
      <c r="F86" s="82">
        <f>SUM(C86*E86)</f>
        <v>1750</v>
      </c>
    </row>
    <row r="87" spans="2:12" x14ac:dyDescent="0.2">
      <c r="B87" s="90" t="s">
        <v>20</v>
      </c>
      <c r="C87" s="90">
        <v>240</v>
      </c>
      <c r="D87" s="90" t="s">
        <v>6</v>
      </c>
      <c r="E87" s="91"/>
      <c r="F87" s="92"/>
    </row>
    <row r="88" spans="2:12" x14ac:dyDescent="0.2">
      <c r="B88" s="221" t="s">
        <v>29</v>
      </c>
      <c r="C88" s="222"/>
      <c r="D88" s="223"/>
      <c r="E88" s="93" t="s">
        <v>370</v>
      </c>
      <c r="F88" s="94">
        <v>660</v>
      </c>
    </row>
    <row r="89" spans="2:12" x14ac:dyDescent="0.2">
      <c r="B89" s="217" t="s">
        <v>23</v>
      </c>
      <c r="C89" s="218"/>
      <c r="D89" s="218"/>
      <c r="E89" s="219"/>
      <c r="F89" s="96">
        <f>SUM(F81:F88)</f>
        <v>58148.955722639897</v>
      </c>
    </row>
    <row r="90" spans="2:12" x14ac:dyDescent="0.2">
      <c r="B90" s="217" t="s">
        <v>26</v>
      </c>
      <c r="C90" s="218"/>
      <c r="D90" s="218"/>
      <c r="E90" s="219"/>
      <c r="F90" s="98">
        <f>SUM(F89*0.05)</f>
        <v>2907.4477861320001</v>
      </c>
    </row>
    <row r="91" spans="2:12" x14ac:dyDescent="0.2">
      <c r="B91" s="217" t="s">
        <v>28</v>
      </c>
      <c r="C91" s="218"/>
      <c r="D91" s="218"/>
      <c r="E91" s="219"/>
      <c r="F91" s="98">
        <f>SUM(F89:F90)</f>
        <v>61056.403508771902</v>
      </c>
    </row>
    <row r="92" spans="2:12" x14ac:dyDescent="0.2">
      <c r="B92" s="221" t="s">
        <v>31</v>
      </c>
      <c r="C92" s="222"/>
      <c r="D92" s="222"/>
      <c r="E92" s="223"/>
      <c r="F92" s="99">
        <f>SUM(F91/F93)</f>
        <v>0.40704269005847998</v>
      </c>
    </row>
    <row r="93" spans="2:12" x14ac:dyDescent="0.2">
      <c r="B93" s="221" t="s">
        <v>32</v>
      </c>
      <c r="C93" s="222"/>
      <c r="D93" s="222"/>
      <c r="E93" s="223"/>
      <c r="F93" s="100">
        <v>150000</v>
      </c>
    </row>
    <row r="95" spans="2:12" x14ac:dyDescent="0.2">
      <c r="B95" s="235" t="s">
        <v>371</v>
      </c>
      <c r="C95" s="236"/>
      <c r="D95" s="236"/>
      <c r="E95" s="236"/>
      <c r="F95" s="237"/>
      <c r="H95" s="235" t="s">
        <v>372</v>
      </c>
      <c r="I95" s="236"/>
      <c r="J95" s="236"/>
      <c r="K95" s="236"/>
      <c r="L95" s="237"/>
    </row>
    <row r="96" spans="2:12" x14ac:dyDescent="0.2">
      <c r="B96" s="74" t="s">
        <v>1</v>
      </c>
      <c r="C96" s="248" t="s">
        <v>2</v>
      </c>
      <c r="D96" s="254"/>
      <c r="E96" s="74" t="s">
        <v>3</v>
      </c>
      <c r="F96" s="74" t="s">
        <v>4</v>
      </c>
      <c r="H96" s="74" t="s">
        <v>1</v>
      </c>
      <c r="I96" s="248" t="s">
        <v>2</v>
      </c>
      <c r="J96" s="254"/>
      <c r="K96" s="74" t="s">
        <v>3</v>
      </c>
      <c r="L96" s="74" t="s">
        <v>4</v>
      </c>
    </row>
    <row r="97" spans="2:12" x14ac:dyDescent="0.2">
      <c r="B97" s="74" t="s">
        <v>223</v>
      </c>
      <c r="C97" s="104">
        <v>100</v>
      </c>
      <c r="D97" s="105" t="s">
        <v>17</v>
      </c>
      <c r="E97" s="106">
        <f>'SUPPLIER &amp; PRICE'!F25</f>
        <v>85</v>
      </c>
      <c r="F97" s="107">
        <f>SUM(E97*C97)</f>
        <v>8500</v>
      </c>
      <c r="H97" s="74" t="s">
        <v>373</v>
      </c>
      <c r="I97" s="104">
        <v>30</v>
      </c>
      <c r="J97" s="105" t="s">
        <v>17</v>
      </c>
      <c r="K97" s="106">
        <f>'SUPPLIER &amp; PRICE'!F29</f>
        <v>80</v>
      </c>
      <c r="L97" s="107">
        <f t="shared" ref="L97:L103" si="10">SUM(K97*I97)</f>
        <v>2400</v>
      </c>
    </row>
    <row r="98" spans="2:12" x14ac:dyDescent="0.2">
      <c r="B98" s="74" t="s">
        <v>326</v>
      </c>
      <c r="C98" s="109">
        <v>1</v>
      </c>
      <c r="D98" s="110" t="s">
        <v>76</v>
      </c>
      <c r="E98" s="106">
        <f>'SUPPLIER &amp; PRICE'!F22</f>
        <v>3000</v>
      </c>
      <c r="F98" s="107">
        <f>SUM(E98*C98)</f>
        <v>3000</v>
      </c>
      <c r="H98" s="74" t="s">
        <v>374</v>
      </c>
      <c r="I98" s="109">
        <v>100</v>
      </c>
      <c r="J98" s="110" t="s">
        <v>17</v>
      </c>
      <c r="K98" s="106">
        <f>'SUPPLIER &amp; PRICE'!F35</f>
        <v>40</v>
      </c>
      <c r="L98" s="107">
        <f t="shared" si="10"/>
        <v>4000</v>
      </c>
    </row>
    <row r="99" spans="2:12" x14ac:dyDescent="0.2">
      <c r="B99" s="74" t="s">
        <v>375</v>
      </c>
      <c r="C99" s="109">
        <v>30</v>
      </c>
      <c r="D99" s="110" t="s">
        <v>17</v>
      </c>
      <c r="E99" s="106">
        <f>'SUPPLIER &amp; PRICE'!F36</f>
        <v>75</v>
      </c>
      <c r="F99" s="107">
        <f>SUM(E99*C99)</f>
        <v>2250</v>
      </c>
      <c r="H99" s="74" t="s">
        <v>326</v>
      </c>
      <c r="I99" s="109">
        <v>1</v>
      </c>
      <c r="J99" s="110" t="s">
        <v>76</v>
      </c>
      <c r="K99" s="106">
        <f>'SUPPLIER &amp; PRICE'!F22</f>
        <v>3000</v>
      </c>
      <c r="L99" s="107">
        <f t="shared" si="10"/>
        <v>3000</v>
      </c>
    </row>
    <row r="100" spans="2:12" x14ac:dyDescent="0.2">
      <c r="B100" s="101" t="s">
        <v>196</v>
      </c>
      <c r="C100" s="109">
        <v>120</v>
      </c>
      <c r="D100" s="110" t="s">
        <v>6</v>
      </c>
      <c r="E100" s="106">
        <f>'SUPPLIER &amp; PRICE'!F4</f>
        <v>24</v>
      </c>
      <c r="F100" s="107">
        <f>SUM(E100*C100)</f>
        <v>2880</v>
      </c>
      <c r="H100" s="101" t="s">
        <v>376</v>
      </c>
      <c r="I100" s="109">
        <v>120</v>
      </c>
      <c r="J100" s="110" t="s">
        <v>6</v>
      </c>
      <c r="K100" s="106">
        <f>'SUPPLIER &amp; PRICE'!F48</f>
        <v>31</v>
      </c>
      <c r="L100" s="107">
        <f t="shared" si="10"/>
        <v>3720</v>
      </c>
    </row>
    <row r="101" spans="2:12" x14ac:dyDescent="0.2">
      <c r="B101" s="74" t="s">
        <v>336</v>
      </c>
      <c r="C101" s="118">
        <v>15</v>
      </c>
      <c r="D101" s="103" t="s">
        <v>6</v>
      </c>
      <c r="E101" s="106">
        <f>'SUPPLIER &amp; PRICE'!F31</f>
        <v>50</v>
      </c>
      <c r="F101" s="107">
        <f>SUM(E101*C101)</f>
        <v>750</v>
      </c>
      <c r="H101" s="131" t="s">
        <v>377</v>
      </c>
      <c r="I101" s="116">
        <v>100</v>
      </c>
      <c r="J101" s="134" t="s">
        <v>17</v>
      </c>
      <c r="K101" s="106">
        <f>'SUPPLIER &amp; PRICE'!F23</f>
        <v>35</v>
      </c>
      <c r="L101" s="107">
        <f t="shared" si="10"/>
        <v>3500</v>
      </c>
    </row>
    <row r="102" spans="2:12" x14ac:dyDescent="0.2">
      <c r="B102" s="90" t="s">
        <v>20</v>
      </c>
      <c r="C102" s="90">
        <v>350</v>
      </c>
      <c r="D102" s="90" t="s">
        <v>6</v>
      </c>
      <c r="E102" s="125"/>
      <c r="F102" s="125"/>
      <c r="H102" s="131" t="s">
        <v>378</v>
      </c>
      <c r="I102" s="116">
        <v>10</v>
      </c>
      <c r="J102" s="134" t="s">
        <v>17</v>
      </c>
      <c r="K102" s="106">
        <f>'SUPPLIER &amp; PRICE'!F50</f>
        <v>100</v>
      </c>
      <c r="L102" s="107">
        <f t="shared" si="10"/>
        <v>1000</v>
      </c>
    </row>
    <row r="103" spans="2:12" x14ac:dyDescent="0.2">
      <c r="B103" s="221" t="s">
        <v>29</v>
      </c>
      <c r="C103" s="222"/>
      <c r="D103" s="223"/>
      <c r="E103" s="93" t="s">
        <v>379</v>
      </c>
      <c r="F103" s="94">
        <v>170</v>
      </c>
      <c r="H103" s="74" t="s">
        <v>16</v>
      </c>
      <c r="I103" s="118">
        <v>15</v>
      </c>
      <c r="J103" s="103" t="s">
        <v>6</v>
      </c>
      <c r="K103" s="106">
        <f>'SUPPLIER &amp; PRICE'!F8</f>
        <v>116.666666666667</v>
      </c>
      <c r="L103" s="107">
        <f t="shared" si="10"/>
        <v>1750</v>
      </c>
    </row>
    <row r="104" spans="2:12" x14ac:dyDescent="0.2">
      <c r="B104" s="217" t="s">
        <v>23</v>
      </c>
      <c r="C104" s="218"/>
      <c r="D104" s="218"/>
      <c r="E104" s="219"/>
      <c r="F104" s="96">
        <f>SUM(F97:F103)</f>
        <v>17550</v>
      </c>
      <c r="H104" s="90" t="s">
        <v>20</v>
      </c>
      <c r="I104" s="90">
        <v>350</v>
      </c>
      <c r="J104" s="90" t="s">
        <v>6</v>
      </c>
      <c r="K104" s="125"/>
      <c r="L104" s="125"/>
    </row>
    <row r="105" spans="2:12" x14ac:dyDescent="0.2">
      <c r="B105" s="217" t="s">
        <v>26</v>
      </c>
      <c r="C105" s="218"/>
      <c r="D105" s="218"/>
      <c r="E105" s="219"/>
      <c r="F105" s="98">
        <f>SUM(F104*0.05)</f>
        <v>877.5</v>
      </c>
      <c r="H105" s="221" t="s">
        <v>29</v>
      </c>
      <c r="I105" s="222"/>
      <c r="J105" s="223"/>
      <c r="K105" s="93" t="s">
        <v>380</v>
      </c>
      <c r="L105" s="94">
        <f>'SUPPLIER &amp; PRICE'!F33</f>
        <v>160</v>
      </c>
    </row>
    <row r="106" spans="2:12" x14ac:dyDescent="0.2">
      <c r="B106" s="217" t="s">
        <v>28</v>
      </c>
      <c r="C106" s="218"/>
      <c r="D106" s="218"/>
      <c r="E106" s="219"/>
      <c r="F106" s="98">
        <f>SUM(F104:F105)</f>
        <v>18427.5</v>
      </c>
      <c r="H106" s="217" t="s">
        <v>23</v>
      </c>
      <c r="I106" s="218"/>
      <c r="J106" s="218"/>
      <c r="K106" s="219"/>
      <c r="L106" s="96">
        <f>SUM(L97:L105)</f>
        <v>19530</v>
      </c>
    </row>
    <row r="107" spans="2:12" x14ac:dyDescent="0.2">
      <c r="B107" s="221" t="s">
        <v>31</v>
      </c>
      <c r="C107" s="222"/>
      <c r="D107" s="222"/>
      <c r="E107" s="223"/>
      <c r="F107" s="99">
        <f>SUM(F106/F108)</f>
        <v>0.2457</v>
      </c>
      <c r="H107" s="217" t="s">
        <v>26</v>
      </c>
      <c r="I107" s="218"/>
      <c r="J107" s="218"/>
      <c r="K107" s="219"/>
      <c r="L107" s="98">
        <f>SUM(L106*0.05)</f>
        <v>976.5</v>
      </c>
    </row>
    <row r="108" spans="2:12" x14ac:dyDescent="0.2">
      <c r="B108" s="221" t="s">
        <v>32</v>
      </c>
      <c r="C108" s="222"/>
      <c r="D108" s="222"/>
      <c r="E108" s="223"/>
      <c r="F108" s="100">
        <v>75000</v>
      </c>
      <c r="H108" s="217" t="s">
        <v>28</v>
      </c>
      <c r="I108" s="218"/>
      <c r="J108" s="218"/>
      <c r="K108" s="219"/>
      <c r="L108" s="98">
        <f>SUM(L106:L107)</f>
        <v>20506.5</v>
      </c>
    </row>
    <row r="109" spans="2:12" x14ac:dyDescent="0.2">
      <c r="H109" s="221" t="s">
        <v>31</v>
      </c>
      <c r="I109" s="222"/>
      <c r="J109" s="222"/>
      <c r="K109" s="223"/>
      <c r="L109" s="99">
        <f>SUM(L108/L110)</f>
        <v>0.27342</v>
      </c>
    </row>
    <row r="110" spans="2:12" x14ac:dyDescent="0.2">
      <c r="B110" s="235" t="s">
        <v>381</v>
      </c>
      <c r="C110" s="236"/>
      <c r="D110" s="236"/>
      <c r="E110" s="236"/>
      <c r="F110" s="237"/>
      <c r="H110" s="221" t="s">
        <v>32</v>
      </c>
      <c r="I110" s="222"/>
      <c r="J110" s="222"/>
      <c r="K110" s="223"/>
      <c r="L110" s="100">
        <v>75000</v>
      </c>
    </row>
    <row r="111" spans="2:12" x14ac:dyDescent="0.2">
      <c r="B111" s="74" t="s">
        <v>1</v>
      </c>
      <c r="C111" s="248" t="s">
        <v>2</v>
      </c>
      <c r="D111" s="254"/>
      <c r="E111" s="74" t="s">
        <v>3</v>
      </c>
      <c r="F111" s="74" t="s">
        <v>4</v>
      </c>
    </row>
    <row r="112" spans="2:12" x14ac:dyDescent="0.2">
      <c r="B112" s="74" t="s">
        <v>326</v>
      </c>
      <c r="C112" s="104">
        <v>1</v>
      </c>
      <c r="D112" s="105" t="s">
        <v>76</v>
      </c>
      <c r="E112" s="106">
        <f>'SUPPLIER &amp; PRICE'!F22</f>
        <v>3000</v>
      </c>
      <c r="F112" s="107">
        <f t="shared" ref="F112:F116" si="11">SUM(E112*C112)</f>
        <v>3000</v>
      </c>
      <c r="H112" s="235" t="s">
        <v>382</v>
      </c>
      <c r="I112" s="236"/>
      <c r="J112" s="236"/>
      <c r="K112" s="236"/>
      <c r="L112" s="237"/>
    </row>
    <row r="113" spans="2:12" x14ac:dyDescent="0.2">
      <c r="B113" s="74" t="s">
        <v>383</v>
      </c>
      <c r="C113" s="109">
        <v>40</v>
      </c>
      <c r="D113" s="110" t="s">
        <v>17</v>
      </c>
      <c r="E113" s="106">
        <f>'SUPPLIER &amp; PRICE'!F38</f>
        <v>120</v>
      </c>
      <c r="F113" s="107">
        <f t="shared" si="11"/>
        <v>4800</v>
      </c>
      <c r="H113" s="74" t="s">
        <v>1</v>
      </c>
      <c r="I113" s="248" t="s">
        <v>2</v>
      </c>
      <c r="J113" s="254"/>
      <c r="K113" s="74" t="s">
        <v>3</v>
      </c>
      <c r="L113" s="74" t="s">
        <v>4</v>
      </c>
    </row>
    <row r="114" spans="2:12" x14ac:dyDescent="0.2">
      <c r="B114" s="74" t="s">
        <v>196</v>
      </c>
      <c r="C114" s="109">
        <v>180</v>
      </c>
      <c r="D114" s="110" t="s">
        <v>6</v>
      </c>
      <c r="E114" s="106">
        <f>'SUPPLIER &amp; PRICE'!F4</f>
        <v>24</v>
      </c>
      <c r="F114" s="107">
        <f t="shared" si="11"/>
        <v>4320</v>
      </c>
      <c r="H114" s="74" t="s">
        <v>384</v>
      </c>
      <c r="I114" s="104">
        <v>100</v>
      </c>
      <c r="J114" s="105" t="s">
        <v>17</v>
      </c>
      <c r="K114" s="106">
        <f>'SUPPLIER &amp; PRICE'!F11</f>
        <v>60</v>
      </c>
      <c r="L114" s="107">
        <f t="shared" ref="L114:L119" si="12">SUM(K114*I114)</f>
        <v>6000</v>
      </c>
    </row>
    <row r="115" spans="2:12" x14ac:dyDescent="0.2">
      <c r="B115" s="101" t="s">
        <v>375</v>
      </c>
      <c r="C115" s="109">
        <v>30</v>
      </c>
      <c r="D115" s="110" t="s">
        <v>17</v>
      </c>
      <c r="E115" s="106">
        <f>'SUPPLIER &amp; PRICE'!F36</f>
        <v>75</v>
      </c>
      <c r="F115" s="107">
        <f t="shared" si="11"/>
        <v>2250</v>
      </c>
      <c r="H115" s="74" t="s">
        <v>326</v>
      </c>
      <c r="I115" s="109">
        <v>1</v>
      </c>
      <c r="J115" s="110" t="s">
        <v>76</v>
      </c>
      <c r="K115" s="106">
        <f>'SUPPLIER &amp; PRICE'!F22</f>
        <v>3000</v>
      </c>
      <c r="L115" s="107">
        <f t="shared" si="12"/>
        <v>3000</v>
      </c>
    </row>
    <row r="116" spans="2:12" x14ac:dyDescent="0.2">
      <c r="B116" s="74" t="s">
        <v>385</v>
      </c>
      <c r="C116" s="118">
        <v>1</v>
      </c>
      <c r="D116" s="103" t="s">
        <v>17</v>
      </c>
      <c r="E116" s="106">
        <f>'SUPPLIER &amp; PRICE'!F32</f>
        <v>333.33333333333297</v>
      </c>
      <c r="F116" s="107">
        <f t="shared" si="11"/>
        <v>333.33333333333297</v>
      </c>
      <c r="H116" s="74" t="s">
        <v>375</v>
      </c>
      <c r="I116" s="109">
        <v>30</v>
      </c>
      <c r="J116" s="110" t="s">
        <v>17</v>
      </c>
      <c r="K116" s="106">
        <f>'SUPPLIER &amp; PRICE'!F36</f>
        <v>75</v>
      </c>
      <c r="L116" s="107">
        <f t="shared" si="12"/>
        <v>2250</v>
      </c>
    </row>
    <row r="117" spans="2:12" x14ac:dyDescent="0.2">
      <c r="B117" s="90" t="s">
        <v>20</v>
      </c>
      <c r="C117" s="90">
        <v>350</v>
      </c>
      <c r="D117" s="90" t="s">
        <v>6</v>
      </c>
      <c r="E117" s="125"/>
      <c r="F117" s="125"/>
      <c r="H117" s="132" t="s">
        <v>196</v>
      </c>
      <c r="I117" s="135">
        <v>120</v>
      </c>
      <c r="J117" s="136" t="s">
        <v>6</v>
      </c>
      <c r="K117" s="137">
        <f>'SUPPLIER &amp; PRICE'!F4</f>
        <v>24</v>
      </c>
      <c r="L117" s="138">
        <f t="shared" si="12"/>
        <v>2880</v>
      </c>
    </row>
    <row r="118" spans="2:12" x14ac:dyDescent="0.2">
      <c r="B118" s="221" t="s">
        <v>29</v>
      </c>
      <c r="C118" s="222"/>
      <c r="D118" s="223"/>
      <c r="E118" s="93" t="s">
        <v>386</v>
      </c>
      <c r="F118" s="94">
        <f>'SUPPLIER &amp; PRICE'!F32</f>
        <v>333.33333333333297</v>
      </c>
      <c r="H118" s="133" t="s">
        <v>387</v>
      </c>
      <c r="I118" s="133">
        <v>10</v>
      </c>
      <c r="J118" s="139" t="s">
        <v>17</v>
      </c>
      <c r="K118" s="128">
        <f>'SUPPLIER &amp; PRICE'!F37</f>
        <v>625</v>
      </c>
      <c r="L118" s="128">
        <f t="shared" si="12"/>
        <v>6250</v>
      </c>
    </row>
    <row r="119" spans="2:12" x14ac:dyDescent="0.2">
      <c r="B119" s="217" t="s">
        <v>23</v>
      </c>
      <c r="C119" s="218"/>
      <c r="D119" s="218"/>
      <c r="E119" s="219"/>
      <c r="F119" s="96">
        <f>SUM(F112:F118)</f>
        <v>15036.666666666701</v>
      </c>
      <c r="H119" s="114" t="s">
        <v>336</v>
      </c>
      <c r="I119" s="114">
        <v>15</v>
      </c>
      <c r="J119" s="114" t="s">
        <v>6</v>
      </c>
      <c r="K119" s="122">
        <f>'SUPPLIER &amp; PRICE'!F31</f>
        <v>50</v>
      </c>
      <c r="L119" s="128">
        <f t="shared" si="12"/>
        <v>750</v>
      </c>
    </row>
    <row r="120" spans="2:12" x14ac:dyDescent="0.2">
      <c r="B120" s="217" t="s">
        <v>26</v>
      </c>
      <c r="C120" s="218"/>
      <c r="D120" s="218"/>
      <c r="E120" s="219"/>
      <c r="F120" s="98">
        <f>SUM(F119*0.05)</f>
        <v>751.83333333333303</v>
      </c>
      <c r="H120" s="90" t="s">
        <v>20</v>
      </c>
      <c r="I120" s="90">
        <v>350</v>
      </c>
      <c r="J120" s="90" t="s">
        <v>6</v>
      </c>
      <c r="K120" s="125"/>
      <c r="L120" s="125"/>
    </row>
    <row r="121" spans="2:12" x14ac:dyDescent="0.2">
      <c r="B121" s="217" t="s">
        <v>28</v>
      </c>
      <c r="C121" s="218"/>
      <c r="D121" s="218"/>
      <c r="E121" s="219"/>
      <c r="F121" s="98">
        <f>SUM(F119:F120)</f>
        <v>15788.5</v>
      </c>
      <c r="H121" s="221" t="s">
        <v>29</v>
      </c>
      <c r="I121" s="222"/>
      <c r="J121" s="223"/>
      <c r="K121" s="93" t="s">
        <v>388</v>
      </c>
      <c r="L121" s="94">
        <f>'SUPPLIER &amp; PRICE'!F21</f>
        <v>60</v>
      </c>
    </row>
    <row r="122" spans="2:12" x14ac:dyDescent="0.2">
      <c r="B122" s="221" t="s">
        <v>31</v>
      </c>
      <c r="C122" s="222"/>
      <c r="D122" s="222"/>
      <c r="E122" s="223"/>
      <c r="F122" s="99">
        <f>SUM(F121/F123)</f>
        <v>0.210513333333333</v>
      </c>
      <c r="H122" s="217" t="s">
        <v>23</v>
      </c>
      <c r="I122" s="218"/>
      <c r="J122" s="218"/>
      <c r="K122" s="219"/>
      <c r="L122" s="96">
        <f>SUM(L114:L121)</f>
        <v>21190</v>
      </c>
    </row>
    <row r="123" spans="2:12" x14ac:dyDescent="0.2">
      <c r="B123" s="221" t="s">
        <v>32</v>
      </c>
      <c r="C123" s="222"/>
      <c r="D123" s="222"/>
      <c r="E123" s="223"/>
      <c r="F123" s="100">
        <v>75000</v>
      </c>
      <c r="H123" s="217" t="s">
        <v>26</v>
      </c>
      <c r="I123" s="218"/>
      <c r="J123" s="218"/>
      <c r="K123" s="219"/>
      <c r="L123" s="98">
        <f>SUM(L122*0.05)</f>
        <v>1059.5</v>
      </c>
    </row>
    <row r="124" spans="2:12" x14ac:dyDescent="0.2">
      <c r="H124" s="217" t="s">
        <v>28</v>
      </c>
      <c r="I124" s="218"/>
      <c r="J124" s="218"/>
      <c r="K124" s="219"/>
      <c r="L124" s="98">
        <f>SUM(L122:L123)</f>
        <v>22249.5</v>
      </c>
    </row>
    <row r="125" spans="2:12" x14ac:dyDescent="0.2">
      <c r="B125" s="235" t="s">
        <v>389</v>
      </c>
      <c r="C125" s="236"/>
      <c r="D125" s="236"/>
      <c r="E125" s="236"/>
      <c r="F125" s="237"/>
      <c r="H125" s="221" t="s">
        <v>31</v>
      </c>
      <c r="I125" s="222"/>
      <c r="J125" s="222"/>
      <c r="K125" s="223"/>
      <c r="L125" s="99">
        <f>SUM(L124/L126)</f>
        <v>0.29665999999999998</v>
      </c>
    </row>
    <row r="126" spans="2:12" x14ac:dyDescent="0.2">
      <c r="B126" s="74" t="s">
        <v>1</v>
      </c>
      <c r="C126" s="248" t="s">
        <v>2</v>
      </c>
      <c r="D126" s="254"/>
      <c r="E126" s="74" t="s">
        <v>3</v>
      </c>
      <c r="F126" s="74" t="s">
        <v>4</v>
      </c>
      <c r="H126" s="221" t="s">
        <v>32</v>
      </c>
      <c r="I126" s="222"/>
      <c r="J126" s="222"/>
      <c r="K126" s="223"/>
      <c r="L126" s="100">
        <v>75000</v>
      </c>
    </row>
    <row r="127" spans="2:12" x14ac:dyDescent="0.2">
      <c r="B127" s="74" t="s">
        <v>326</v>
      </c>
      <c r="C127" s="104">
        <v>1</v>
      </c>
      <c r="D127" s="105" t="s">
        <v>76</v>
      </c>
      <c r="E127" s="106">
        <f>'SUPPLIER &amp; PRICE'!F39</f>
        <v>2500</v>
      </c>
      <c r="F127" s="107">
        <f t="shared" ref="F127:F131" si="13">SUM(E127*C127)</f>
        <v>2500</v>
      </c>
    </row>
    <row r="128" spans="2:12" x14ac:dyDescent="0.2">
      <c r="B128" s="74" t="s">
        <v>390</v>
      </c>
      <c r="C128" s="109">
        <v>6</v>
      </c>
      <c r="D128" s="110" t="s">
        <v>17</v>
      </c>
      <c r="E128" s="106">
        <f>'SUPPLIER &amp; PRICE'!F34</f>
        <v>333.33333333333297</v>
      </c>
      <c r="F128" s="107">
        <f t="shared" si="13"/>
        <v>2000</v>
      </c>
      <c r="H128" s="235" t="s">
        <v>391</v>
      </c>
      <c r="I128" s="236"/>
      <c r="J128" s="236"/>
      <c r="K128" s="236"/>
      <c r="L128" s="237"/>
    </row>
    <row r="129" spans="2:12" x14ac:dyDescent="0.2">
      <c r="B129" s="74" t="s">
        <v>383</v>
      </c>
      <c r="C129" s="109">
        <v>40</v>
      </c>
      <c r="D129" s="110" t="s">
        <v>17</v>
      </c>
      <c r="E129" s="106">
        <f>'SUPPLIER &amp; PRICE'!F19</f>
        <v>30</v>
      </c>
      <c r="F129" s="107">
        <f t="shared" si="13"/>
        <v>1200</v>
      </c>
      <c r="H129" s="74" t="s">
        <v>1</v>
      </c>
      <c r="I129" s="248" t="s">
        <v>2</v>
      </c>
      <c r="J129" s="254"/>
      <c r="K129" s="74" t="s">
        <v>3</v>
      </c>
      <c r="L129" s="74" t="s">
        <v>4</v>
      </c>
    </row>
    <row r="130" spans="2:12" x14ac:dyDescent="0.2">
      <c r="B130" s="101" t="s">
        <v>387</v>
      </c>
      <c r="C130" s="109">
        <v>10</v>
      </c>
      <c r="D130" s="110" t="s">
        <v>17</v>
      </c>
      <c r="E130" s="106">
        <f>'SUPPLIER &amp; PRICE'!F37</f>
        <v>625</v>
      </c>
      <c r="F130" s="107">
        <f t="shared" si="13"/>
        <v>6250</v>
      </c>
      <c r="H130" s="74" t="s">
        <v>223</v>
      </c>
      <c r="I130" s="104">
        <v>100</v>
      </c>
      <c r="J130" s="105" t="s">
        <v>17</v>
      </c>
      <c r="K130" s="106">
        <f>'SUPPLIER &amp; PRICE'!F25</f>
        <v>85</v>
      </c>
      <c r="L130" s="107">
        <f t="shared" ref="L130:L136" si="14">SUM(K130*I130)</f>
        <v>8500</v>
      </c>
    </row>
    <row r="131" spans="2:12" x14ac:dyDescent="0.2">
      <c r="B131" s="74" t="s">
        <v>196</v>
      </c>
      <c r="C131" s="118">
        <v>180</v>
      </c>
      <c r="D131" s="103" t="s">
        <v>6</v>
      </c>
      <c r="E131" s="106">
        <f>'SUPPLIER &amp; PRICE'!F4</f>
        <v>24</v>
      </c>
      <c r="F131" s="107">
        <f t="shared" si="13"/>
        <v>4320</v>
      </c>
      <c r="H131" s="74" t="s">
        <v>215</v>
      </c>
      <c r="I131" s="109">
        <v>200</v>
      </c>
      <c r="J131" s="110" t="s">
        <v>17</v>
      </c>
      <c r="K131" s="106">
        <f>'SUPPLIER &amp; PRICE'!F16</f>
        <v>22.2222222222222</v>
      </c>
      <c r="L131" s="107">
        <f t="shared" si="14"/>
        <v>4444.4444444444398</v>
      </c>
    </row>
    <row r="132" spans="2:12" x14ac:dyDescent="0.2">
      <c r="B132" s="90" t="s">
        <v>20</v>
      </c>
      <c r="C132" s="90">
        <v>350</v>
      </c>
      <c r="D132" s="90" t="s">
        <v>6</v>
      </c>
      <c r="E132" s="125"/>
      <c r="F132" s="125"/>
      <c r="H132" s="74" t="s">
        <v>392</v>
      </c>
      <c r="I132" s="109">
        <v>1</v>
      </c>
      <c r="J132" s="110" t="s">
        <v>76</v>
      </c>
      <c r="K132" s="106">
        <f>'SUPPLIER &amp; PRICE'!F39</f>
        <v>2500</v>
      </c>
      <c r="L132" s="107">
        <f t="shared" si="14"/>
        <v>2500</v>
      </c>
    </row>
    <row r="133" spans="2:12" x14ac:dyDescent="0.2">
      <c r="B133" s="221" t="s">
        <v>29</v>
      </c>
      <c r="C133" s="222"/>
      <c r="D133" s="223"/>
      <c r="E133" s="93" t="s">
        <v>393</v>
      </c>
      <c r="F133" s="94">
        <f>'SUPPLIER &amp; PRICE'!F34</f>
        <v>333.33333333333297</v>
      </c>
      <c r="H133" s="101" t="s">
        <v>196</v>
      </c>
      <c r="I133" s="109">
        <v>120</v>
      </c>
      <c r="J133" s="110" t="s">
        <v>6</v>
      </c>
      <c r="K133" s="106">
        <f>E131</f>
        <v>24</v>
      </c>
      <c r="L133" s="107">
        <f t="shared" si="14"/>
        <v>2880</v>
      </c>
    </row>
    <row r="134" spans="2:12" x14ac:dyDescent="0.2">
      <c r="B134" s="217" t="s">
        <v>23</v>
      </c>
      <c r="C134" s="218"/>
      <c r="D134" s="218"/>
      <c r="E134" s="219"/>
      <c r="F134" s="96">
        <f>SUM(F127:F133)</f>
        <v>16603.333333333299</v>
      </c>
      <c r="H134" s="131" t="s">
        <v>375</v>
      </c>
      <c r="I134" s="116">
        <v>30</v>
      </c>
      <c r="J134" s="134" t="s">
        <v>17</v>
      </c>
      <c r="K134" s="106">
        <f>K116</f>
        <v>75</v>
      </c>
      <c r="L134" s="107">
        <f t="shared" si="14"/>
        <v>2250</v>
      </c>
    </row>
    <row r="135" spans="2:12" x14ac:dyDescent="0.2">
      <c r="B135" s="217" t="s">
        <v>26</v>
      </c>
      <c r="C135" s="218"/>
      <c r="D135" s="218"/>
      <c r="E135" s="219"/>
      <c r="F135" s="98">
        <f>SUM(F134*0.05)</f>
        <v>830.16666666666697</v>
      </c>
      <c r="H135" s="131" t="s">
        <v>336</v>
      </c>
      <c r="I135" s="116">
        <v>20</v>
      </c>
      <c r="J135" s="134" t="s">
        <v>6</v>
      </c>
      <c r="K135" s="106">
        <f>K119</f>
        <v>50</v>
      </c>
      <c r="L135" s="107">
        <f t="shared" si="14"/>
        <v>1000</v>
      </c>
    </row>
    <row r="136" spans="2:12" x14ac:dyDescent="0.2">
      <c r="B136" s="217" t="s">
        <v>28</v>
      </c>
      <c r="C136" s="218"/>
      <c r="D136" s="218"/>
      <c r="E136" s="219"/>
      <c r="F136" s="98">
        <f>SUM(F134:F135)</f>
        <v>17433.5</v>
      </c>
      <c r="H136" s="74" t="s">
        <v>16</v>
      </c>
      <c r="I136" s="118">
        <v>10</v>
      </c>
      <c r="J136" s="103" t="s">
        <v>6</v>
      </c>
      <c r="K136" s="106">
        <f>K103</f>
        <v>116.666666666667</v>
      </c>
      <c r="L136" s="107">
        <f t="shared" si="14"/>
        <v>1166.6666666666699</v>
      </c>
    </row>
    <row r="137" spans="2:12" x14ac:dyDescent="0.2">
      <c r="B137" s="221" t="s">
        <v>31</v>
      </c>
      <c r="C137" s="222"/>
      <c r="D137" s="222"/>
      <c r="E137" s="223"/>
      <c r="F137" s="99">
        <f>SUM(F136/F138)</f>
        <v>0.232446666666667</v>
      </c>
      <c r="H137" s="90" t="s">
        <v>20</v>
      </c>
      <c r="I137" s="90">
        <v>350</v>
      </c>
      <c r="J137" s="90" t="s">
        <v>6</v>
      </c>
      <c r="K137" s="125"/>
      <c r="L137" s="125"/>
    </row>
    <row r="138" spans="2:12" x14ac:dyDescent="0.2">
      <c r="B138" s="221" t="s">
        <v>32</v>
      </c>
      <c r="C138" s="222"/>
      <c r="D138" s="222"/>
      <c r="E138" s="223"/>
      <c r="F138" s="100">
        <v>75000</v>
      </c>
      <c r="H138" s="221" t="s">
        <v>29</v>
      </c>
      <c r="I138" s="222"/>
      <c r="J138" s="223"/>
      <c r="K138" s="93" t="s">
        <v>394</v>
      </c>
      <c r="L138" s="94">
        <f>K131</f>
        <v>22.2222222222222</v>
      </c>
    </row>
    <row r="139" spans="2:12" x14ac:dyDescent="0.2">
      <c r="H139" s="217" t="s">
        <v>23</v>
      </c>
      <c r="I139" s="218"/>
      <c r="J139" s="218"/>
      <c r="K139" s="219"/>
      <c r="L139" s="96">
        <f>SUM(L130:L138)</f>
        <v>22763.333333333299</v>
      </c>
    </row>
    <row r="140" spans="2:12" x14ac:dyDescent="0.2">
      <c r="H140" s="217" t="s">
        <v>26</v>
      </c>
      <c r="I140" s="218"/>
      <c r="J140" s="218"/>
      <c r="K140" s="219"/>
      <c r="L140" s="98">
        <f>SUM(L139*0.05)</f>
        <v>1138.1666666666699</v>
      </c>
    </row>
    <row r="141" spans="2:12" x14ac:dyDescent="0.2">
      <c r="H141" s="217" t="s">
        <v>28</v>
      </c>
      <c r="I141" s="218"/>
      <c r="J141" s="218"/>
      <c r="K141" s="219"/>
      <c r="L141" s="98">
        <f>SUM(L139:L140)</f>
        <v>23901.5</v>
      </c>
    </row>
    <row r="142" spans="2:12" x14ac:dyDescent="0.2">
      <c r="H142" s="221" t="s">
        <v>31</v>
      </c>
      <c r="I142" s="222"/>
      <c r="J142" s="222"/>
      <c r="K142" s="223"/>
      <c r="L142" s="99">
        <f>SUM(L141/L143)</f>
        <v>0.31868666666666701</v>
      </c>
    </row>
    <row r="143" spans="2:12" x14ac:dyDescent="0.2">
      <c r="H143" s="221" t="s">
        <v>32</v>
      </c>
      <c r="I143" s="222"/>
      <c r="J143" s="222"/>
      <c r="K143" s="223"/>
      <c r="L143" s="100">
        <v>75000</v>
      </c>
    </row>
    <row r="146" spans="2:6" x14ac:dyDescent="0.2">
      <c r="B146" s="242" t="s">
        <v>395</v>
      </c>
      <c r="C146" s="236"/>
      <c r="D146" s="236"/>
      <c r="E146" s="236"/>
      <c r="F146" s="237"/>
    </row>
    <row r="147" spans="2:6" x14ac:dyDescent="0.2">
      <c r="B147" s="140" t="s">
        <v>1</v>
      </c>
      <c r="C147" s="243" t="s">
        <v>2</v>
      </c>
      <c r="D147" s="244"/>
      <c r="E147" s="141" t="s">
        <v>3</v>
      </c>
      <c r="F147" s="142" t="s">
        <v>4</v>
      </c>
    </row>
    <row r="148" spans="2:6" x14ac:dyDescent="0.2">
      <c r="B148" s="143" t="s">
        <v>396</v>
      </c>
      <c r="C148" s="144">
        <v>750</v>
      </c>
      <c r="D148" s="95" t="s">
        <v>6</v>
      </c>
      <c r="E148" s="119">
        <f>'SUPPLIER &amp; PRICE'!L9</f>
        <v>366.66666666666703</v>
      </c>
      <c r="F148" s="145">
        <f t="shared" ref="F148:F157" si="15">SUM(E148*C148)</f>
        <v>275000</v>
      </c>
    </row>
    <row r="149" spans="2:6" x14ac:dyDescent="0.2">
      <c r="B149" s="143" t="s">
        <v>397</v>
      </c>
      <c r="C149" s="144">
        <v>90</v>
      </c>
      <c r="D149" s="95" t="s">
        <v>6</v>
      </c>
      <c r="E149" s="119">
        <f>'SUPPLIER &amp; PRICE'!F110</f>
        <v>333.33333333333297</v>
      </c>
      <c r="F149" s="145">
        <f t="shared" si="15"/>
        <v>30000</v>
      </c>
    </row>
    <row r="150" spans="2:6" x14ac:dyDescent="0.2">
      <c r="B150" s="143" t="s">
        <v>398</v>
      </c>
      <c r="C150" s="144">
        <v>150</v>
      </c>
      <c r="D150" s="95" t="s">
        <v>6</v>
      </c>
      <c r="E150" s="119">
        <f>'SUPPLIER &amp; PRICE'!F9</f>
        <v>66.6666666666667</v>
      </c>
      <c r="F150" s="145">
        <f t="shared" si="15"/>
        <v>10000</v>
      </c>
    </row>
    <row r="151" spans="2:6" x14ac:dyDescent="0.2">
      <c r="B151" s="143" t="s">
        <v>336</v>
      </c>
      <c r="C151" s="144">
        <v>90</v>
      </c>
      <c r="D151" s="95" t="s">
        <v>6</v>
      </c>
      <c r="E151" s="119">
        <f>'SUPPLIER &amp; PRICE'!F31</f>
        <v>50</v>
      </c>
      <c r="F151" s="145">
        <f t="shared" si="15"/>
        <v>4500</v>
      </c>
    </row>
    <row r="152" spans="2:6" x14ac:dyDescent="0.2">
      <c r="B152" s="143" t="s">
        <v>399</v>
      </c>
      <c r="C152" s="144">
        <v>500</v>
      </c>
      <c r="D152" s="95" t="s">
        <v>17</v>
      </c>
      <c r="E152" s="119">
        <f>'SUPPLIER &amp; PRICE'!F10</f>
        <v>35</v>
      </c>
      <c r="F152" s="145">
        <f t="shared" si="15"/>
        <v>17500</v>
      </c>
    </row>
    <row r="153" spans="2:6" x14ac:dyDescent="0.2">
      <c r="B153" s="143" t="s">
        <v>400</v>
      </c>
      <c r="C153" s="144">
        <v>5</v>
      </c>
      <c r="D153" s="95" t="s">
        <v>17</v>
      </c>
      <c r="E153" s="119">
        <f>'SUPPLIER &amp; PRICE'!F14</f>
        <v>200</v>
      </c>
      <c r="F153" s="145">
        <f t="shared" si="15"/>
        <v>1000</v>
      </c>
    </row>
    <row r="154" spans="2:6" x14ac:dyDescent="0.2">
      <c r="B154" s="143" t="s">
        <v>401</v>
      </c>
      <c r="C154" s="144">
        <v>20</v>
      </c>
      <c r="D154" s="95" t="s">
        <v>17</v>
      </c>
      <c r="E154" s="119">
        <f>'SUPPLIER &amp; PRICE'!F13</f>
        <v>150</v>
      </c>
      <c r="F154" s="145">
        <f t="shared" si="15"/>
        <v>3000</v>
      </c>
    </row>
    <row r="155" spans="2:6" x14ac:dyDescent="0.2">
      <c r="B155" s="143" t="s">
        <v>402</v>
      </c>
      <c r="C155" s="144">
        <v>10</v>
      </c>
      <c r="D155" s="95" t="s">
        <v>17</v>
      </c>
      <c r="E155" s="119">
        <f>'SUPPLIER &amp; PRICE'!F15</f>
        <v>190</v>
      </c>
      <c r="F155" s="145">
        <f t="shared" si="15"/>
        <v>1900</v>
      </c>
    </row>
    <row r="156" spans="2:6" x14ac:dyDescent="0.2">
      <c r="B156" s="143" t="s">
        <v>347</v>
      </c>
      <c r="C156" s="144">
        <v>20</v>
      </c>
      <c r="D156" s="95" t="s">
        <v>17</v>
      </c>
      <c r="E156" s="119">
        <f>'SUPPLIER &amp; PRICE'!F30</f>
        <v>35</v>
      </c>
      <c r="F156" s="145">
        <f t="shared" si="15"/>
        <v>700</v>
      </c>
    </row>
    <row r="157" spans="2:6" x14ac:dyDescent="0.2">
      <c r="B157" s="143" t="s">
        <v>403</v>
      </c>
      <c r="C157" s="144">
        <v>5</v>
      </c>
      <c r="D157" s="95" t="s">
        <v>17</v>
      </c>
      <c r="E157" s="119">
        <f>'SUPPLIER &amp; PRICE'!F13</f>
        <v>150</v>
      </c>
      <c r="F157" s="145">
        <f t="shared" si="15"/>
        <v>750</v>
      </c>
    </row>
    <row r="158" spans="2:6" x14ac:dyDescent="0.2">
      <c r="B158" s="146" t="s">
        <v>20</v>
      </c>
      <c r="C158" s="146"/>
      <c r="D158" s="146"/>
      <c r="E158" s="147"/>
      <c r="F158" s="148"/>
    </row>
    <row r="159" spans="2:6" x14ac:dyDescent="0.2">
      <c r="B159" s="232" t="s">
        <v>29</v>
      </c>
      <c r="C159" s="233"/>
      <c r="D159" s="234"/>
      <c r="E159" s="149" t="s">
        <v>90</v>
      </c>
      <c r="F159" s="150">
        <f>N126</f>
        <v>0</v>
      </c>
    </row>
    <row r="160" spans="2:6" x14ac:dyDescent="0.2">
      <c r="B160" s="217" t="s">
        <v>23</v>
      </c>
      <c r="C160" s="218"/>
      <c r="D160" s="218"/>
      <c r="E160" s="219"/>
      <c r="F160" s="96">
        <f>SUM(F148:F159)</f>
        <v>344350</v>
      </c>
    </row>
    <row r="161" spans="2:7" x14ac:dyDescent="0.2">
      <c r="B161" s="217" t="s">
        <v>26</v>
      </c>
      <c r="C161" s="218"/>
      <c r="D161" s="218"/>
      <c r="E161" s="219"/>
      <c r="F161" s="98">
        <f>SUM(F160*0.05)</f>
        <v>17217.5</v>
      </c>
    </row>
    <row r="162" spans="2:7" x14ac:dyDescent="0.2">
      <c r="B162" s="217" t="s">
        <v>28</v>
      </c>
      <c r="C162" s="218"/>
      <c r="D162" s="218"/>
      <c r="E162" s="219"/>
      <c r="F162" s="98">
        <f>SUM(F160:F161)</f>
        <v>361567.5</v>
      </c>
      <c r="G162" s="151">
        <f>SUM(F162/6)</f>
        <v>60261.25</v>
      </c>
    </row>
    <row r="163" spans="2:7" x14ac:dyDescent="0.2">
      <c r="B163" s="221" t="s">
        <v>31</v>
      </c>
      <c r="C163" s="222"/>
      <c r="D163" s="222"/>
      <c r="E163" s="223"/>
      <c r="F163" s="99"/>
    </row>
    <row r="164" spans="2:7" x14ac:dyDescent="0.2">
      <c r="B164" s="221" t="s">
        <v>32</v>
      </c>
      <c r="C164" s="222"/>
      <c r="D164" s="222"/>
      <c r="E164" s="223"/>
      <c r="F164" s="100"/>
    </row>
    <row r="166" spans="2:7" x14ac:dyDescent="0.2">
      <c r="B166" s="235" t="s">
        <v>404</v>
      </c>
      <c r="C166" s="236"/>
      <c r="D166" s="236"/>
      <c r="E166" s="236"/>
      <c r="F166" s="237"/>
    </row>
    <row r="167" spans="2:7" x14ac:dyDescent="0.2">
      <c r="B167" s="74" t="s">
        <v>1</v>
      </c>
      <c r="C167" s="248" t="s">
        <v>2</v>
      </c>
      <c r="D167" s="254"/>
      <c r="E167" s="74" t="s">
        <v>3</v>
      </c>
      <c r="F167" s="74" t="s">
        <v>4</v>
      </c>
    </row>
    <row r="168" spans="2:7" x14ac:dyDescent="0.2">
      <c r="B168" s="74" t="s">
        <v>405</v>
      </c>
      <c r="C168" s="152">
        <v>1</v>
      </c>
      <c r="D168" s="103" t="s">
        <v>76</v>
      </c>
      <c r="E168" s="106">
        <f>'NON ALCOHOL'!F199</f>
        <v>5625</v>
      </c>
      <c r="F168" s="107">
        <f>SUM(E168*C168)</f>
        <v>5625</v>
      </c>
    </row>
    <row r="169" spans="2:7" x14ac:dyDescent="0.2">
      <c r="B169" s="74" t="s">
        <v>395</v>
      </c>
      <c r="C169" s="152">
        <v>1</v>
      </c>
      <c r="D169" s="103" t="s">
        <v>406</v>
      </c>
      <c r="E169" s="106">
        <f>G162</f>
        <v>60261.25</v>
      </c>
      <c r="F169" s="107">
        <f>SUM(E169*C169)</f>
        <v>60261.25</v>
      </c>
    </row>
    <row r="170" spans="2:7" x14ac:dyDescent="0.2">
      <c r="B170" s="95" t="s">
        <v>407</v>
      </c>
      <c r="C170" s="95">
        <v>1</v>
      </c>
      <c r="D170" s="95" t="s">
        <v>408</v>
      </c>
      <c r="E170" s="119">
        <f>ALCOHOL!F203</f>
        <v>351000</v>
      </c>
      <c r="F170" s="107">
        <f>SUM(E170*C170)</f>
        <v>351000</v>
      </c>
    </row>
    <row r="171" spans="2:7" x14ac:dyDescent="0.2">
      <c r="B171" s="97" t="s">
        <v>20</v>
      </c>
      <c r="C171" s="97">
        <v>50</v>
      </c>
      <c r="D171" s="97" t="s">
        <v>6</v>
      </c>
      <c r="E171" s="238"/>
      <c r="F171" s="238"/>
    </row>
    <row r="172" spans="2:7" x14ac:dyDescent="0.2">
      <c r="B172" s="217" t="s">
        <v>23</v>
      </c>
      <c r="C172" s="218"/>
      <c r="D172" s="218"/>
      <c r="E172" s="219"/>
      <c r="F172" s="96">
        <f>SUM(F166:F170)</f>
        <v>416886.25</v>
      </c>
    </row>
    <row r="174" spans="2:7" x14ac:dyDescent="0.2">
      <c r="B174" s="235" t="s">
        <v>404</v>
      </c>
      <c r="C174" s="236"/>
      <c r="D174" s="236"/>
      <c r="E174" s="236"/>
      <c r="F174" s="237"/>
    </row>
    <row r="175" spans="2:7" x14ac:dyDescent="0.2">
      <c r="B175" s="74" t="s">
        <v>1</v>
      </c>
      <c r="C175" s="248" t="s">
        <v>2</v>
      </c>
      <c r="D175" s="254"/>
      <c r="E175" s="74" t="s">
        <v>3</v>
      </c>
      <c r="F175" s="74" t="s">
        <v>4</v>
      </c>
    </row>
    <row r="176" spans="2:7" x14ac:dyDescent="0.2">
      <c r="B176" s="74" t="s">
        <v>405</v>
      </c>
      <c r="C176" s="152">
        <v>1</v>
      </c>
      <c r="D176" s="103" t="s">
        <v>76</v>
      </c>
      <c r="E176" s="106">
        <f>E168</f>
        <v>5625</v>
      </c>
      <c r="F176" s="107">
        <f t="shared" ref="F176:F178" si="16">SUM(E176*C176)</f>
        <v>5625</v>
      </c>
    </row>
    <row r="177" spans="2:6" x14ac:dyDescent="0.2">
      <c r="B177" s="74" t="s">
        <v>395</v>
      </c>
      <c r="C177" s="152">
        <v>1</v>
      </c>
      <c r="D177" s="103" t="s">
        <v>406</v>
      </c>
      <c r="E177" s="106">
        <f>E169</f>
        <v>60261.25</v>
      </c>
      <c r="F177" s="107">
        <f t="shared" si="16"/>
        <v>60261.25</v>
      </c>
    </row>
    <row r="178" spans="2:6" x14ac:dyDescent="0.2">
      <c r="B178" s="95" t="s">
        <v>407</v>
      </c>
      <c r="C178" s="95">
        <v>375</v>
      </c>
      <c r="D178" s="95" t="s">
        <v>6</v>
      </c>
      <c r="E178" s="119">
        <f>'SUPPLIER &amp; PRICE'!F113</f>
        <v>468</v>
      </c>
      <c r="F178" s="107">
        <f t="shared" si="16"/>
        <v>175500</v>
      </c>
    </row>
    <row r="179" spans="2:6" x14ac:dyDescent="0.2">
      <c r="B179" s="97" t="s">
        <v>20</v>
      </c>
      <c r="C179" s="97">
        <v>50</v>
      </c>
      <c r="D179" s="97" t="s">
        <v>6</v>
      </c>
      <c r="E179" s="238"/>
      <c r="F179" s="238"/>
    </row>
    <row r="180" spans="2:6" x14ac:dyDescent="0.2">
      <c r="B180" s="217" t="s">
        <v>23</v>
      </c>
      <c r="C180" s="218"/>
      <c r="D180" s="218"/>
      <c r="E180" s="219"/>
      <c r="F180" s="96">
        <f>SUM(F174:F178)</f>
        <v>241386.25</v>
      </c>
    </row>
  </sheetData>
  <mergeCells count="161">
    <mergeCell ref="C175:D175"/>
    <mergeCell ref="E179:F179"/>
    <mergeCell ref="B180:E180"/>
    <mergeCell ref="H13:J14"/>
    <mergeCell ref="B161:E161"/>
    <mergeCell ref="B162:E162"/>
    <mergeCell ref="B163:E163"/>
    <mergeCell ref="B164:E164"/>
    <mergeCell ref="B166:F166"/>
    <mergeCell ref="C167:D167"/>
    <mergeCell ref="E171:F171"/>
    <mergeCell ref="B172:E172"/>
    <mergeCell ref="B174:F174"/>
    <mergeCell ref="H139:K139"/>
    <mergeCell ref="H140:K140"/>
    <mergeCell ref="H141:K141"/>
    <mergeCell ref="H142:K142"/>
    <mergeCell ref="H143:K143"/>
    <mergeCell ref="B146:F146"/>
    <mergeCell ref="C147:D147"/>
    <mergeCell ref="B159:D159"/>
    <mergeCell ref="B160:E160"/>
    <mergeCell ref="H128:L128"/>
    <mergeCell ref="I129:J129"/>
    <mergeCell ref="B133:D133"/>
    <mergeCell ref="B134:E134"/>
    <mergeCell ref="B135:E135"/>
    <mergeCell ref="B136:E136"/>
    <mergeCell ref="B137:E137"/>
    <mergeCell ref="B138:E138"/>
    <mergeCell ref="H138:J138"/>
    <mergeCell ref="B122:E122"/>
    <mergeCell ref="H122:K122"/>
    <mergeCell ref="B123:E123"/>
    <mergeCell ref="H123:K123"/>
    <mergeCell ref="H124:K124"/>
    <mergeCell ref="B125:F125"/>
    <mergeCell ref="H125:K125"/>
    <mergeCell ref="C126:D126"/>
    <mergeCell ref="H126:K126"/>
    <mergeCell ref="B110:F110"/>
    <mergeCell ref="H110:K110"/>
    <mergeCell ref="C111:D111"/>
    <mergeCell ref="H112:L112"/>
    <mergeCell ref="I113:J113"/>
    <mergeCell ref="B118:D118"/>
    <mergeCell ref="B119:E119"/>
    <mergeCell ref="B120:E120"/>
    <mergeCell ref="B121:E121"/>
    <mergeCell ref="H121:J121"/>
    <mergeCell ref="B105:E105"/>
    <mergeCell ref="H105:J105"/>
    <mergeCell ref="B106:E106"/>
    <mergeCell ref="H106:K106"/>
    <mergeCell ref="B107:E107"/>
    <mergeCell ref="H107:K107"/>
    <mergeCell ref="B108:E108"/>
    <mergeCell ref="H108:K108"/>
    <mergeCell ref="H109:K109"/>
    <mergeCell ref="B91:E91"/>
    <mergeCell ref="B92:E92"/>
    <mergeCell ref="B93:E93"/>
    <mergeCell ref="B95:F95"/>
    <mergeCell ref="H95:L95"/>
    <mergeCell ref="C96:D96"/>
    <mergeCell ref="I96:J96"/>
    <mergeCell ref="B103:D103"/>
    <mergeCell ref="B104:E104"/>
    <mergeCell ref="B74:E74"/>
    <mergeCell ref="B75:E75"/>
    <mergeCell ref="B76:E76"/>
    <mergeCell ref="B77:E77"/>
    <mergeCell ref="B79:F79"/>
    <mergeCell ref="C80:D80"/>
    <mergeCell ref="B88:D88"/>
    <mergeCell ref="B89:E89"/>
    <mergeCell ref="B90:E90"/>
    <mergeCell ref="B58:E58"/>
    <mergeCell ref="B59:E59"/>
    <mergeCell ref="B60:E60"/>
    <mergeCell ref="B61:E61"/>
    <mergeCell ref="B62:E62"/>
    <mergeCell ref="B64:F64"/>
    <mergeCell ref="C65:D65"/>
    <mergeCell ref="B72:D72"/>
    <mergeCell ref="B73:E73"/>
    <mergeCell ref="B40:D40"/>
    <mergeCell ref="B41:E41"/>
    <mergeCell ref="B42:E42"/>
    <mergeCell ref="B43:E43"/>
    <mergeCell ref="B44:E44"/>
    <mergeCell ref="B45:E45"/>
    <mergeCell ref="B47:F47"/>
    <mergeCell ref="C48:D48"/>
    <mergeCell ref="B57:D57"/>
    <mergeCell ref="B30:E30"/>
    <mergeCell ref="H30:J30"/>
    <mergeCell ref="H31:K31"/>
    <mergeCell ref="B32:F32"/>
    <mergeCell ref="H32:K32"/>
    <mergeCell ref="C33:D33"/>
    <mergeCell ref="H33:K33"/>
    <mergeCell ref="H34:K34"/>
    <mergeCell ref="H35:K35"/>
    <mergeCell ref="B27:E27"/>
    <mergeCell ref="N27:Q27"/>
    <mergeCell ref="T27:W27"/>
    <mergeCell ref="B28:E28"/>
    <mergeCell ref="N28:Q28"/>
    <mergeCell ref="T28:W28"/>
    <mergeCell ref="B29:E29"/>
    <mergeCell ref="N29:Q29"/>
    <mergeCell ref="T29:W29"/>
    <mergeCell ref="H21:L21"/>
    <mergeCell ref="I22:J22"/>
    <mergeCell ref="N24:P24"/>
    <mergeCell ref="T24:V24"/>
    <mergeCell ref="B25:D25"/>
    <mergeCell ref="N25:Q25"/>
    <mergeCell ref="T25:W25"/>
    <mergeCell ref="B26:E26"/>
    <mergeCell ref="N26:Q26"/>
    <mergeCell ref="T26:W26"/>
    <mergeCell ref="H17:K17"/>
    <mergeCell ref="N17:R17"/>
    <mergeCell ref="T17:X17"/>
    <mergeCell ref="B18:F18"/>
    <mergeCell ref="H18:K18"/>
    <mergeCell ref="O18:P18"/>
    <mergeCell ref="U18:V18"/>
    <mergeCell ref="C19:D19"/>
    <mergeCell ref="H19:K19"/>
    <mergeCell ref="B14:E14"/>
    <mergeCell ref="N14:Q14"/>
    <mergeCell ref="T14:W14"/>
    <mergeCell ref="B15:E15"/>
    <mergeCell ref="H15:K15"/>
    <mergeCell ref="N15:Q15"/>
    <mergeCell ref="T15:W15"/>
    <mergeCell ref="B16:E16"/>
    <mergeCell ref="H16:K16"/>
    <mergeCell ref="B11:D11"/>
    <mergeCell ref="N11:Q11"/>
    <mergeCell ref="T11:W11"/>
    <mergeCell ref="B12:E12"/>
    <mergeCell ref="K12:L12"/>
    <mergeCell ref="N12:Q12"/>
    <mergeCell ref="T12:W12"/>
    <mergeCell ref="B13:E13"/>
    <mergeCell ref="N13:Q13"/>
    <mergeCell ref="T13:W13"/>
    <mergeCell ref="B2:F2"/>
    <mergeCell ref="H2:L2"/>
    <mergeCell ref="N2:R2"/>
    <mergeCell ref="T2:X2"/>
    <mergeCell ref="C3:D3"/>
    <mergeCell ref="I3:J3"/>
    <mergeCell ref="O3:P3"/>
    <mergeCell ref="U3:V3"/>
    <mergeCell ref="N10:P10"/>
    <mergeCell ref="T10:V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77"/>
  <sheetViews>
    <sheetView tabSelected="1" zoomScale="118" workbookViewId="0">
      <selection activeCell="D10" sqref="D10:J10"/>
    </sheetView>
  </sheetViews>
  <sheetFormatPr baseColWidth="10" defaultColWidth="9.1640625" defaultRowHeight="15" x14ac:dyDescent="0.2"/>
  <cols>
    <col min="1" max="1" width="2.5" customWidth="1"/>
    <col min="2" max="2" width="19.6640625" customWidth="1"/>
    <col min="3" max="3" width="26.5" customWidth="1"/>
    <col min="11" max="11" width="16.33203125" style="55" customWidth="1"/>
    <col min="12" max="12" width="16" customWidth="1"/>
  </cols>
  <sheetData>
    <row r="1" spans="2:12" x14ac:dyDescent="0.2">
      <c r="B1" s="306" t="s">
        <v>409</v>
      </c>
      <c r="C1" s="306"/>
      <c r="D1" s="306"/>
      <c r="E1" s="306"/>
      <c r="F1" s="306"/>
      <c r="G1" s="306"/>
      <c r="H1" s="306"/>
      <c r="I1" s="306"/>
      <c r="J1" s="306"/>
      <c r="K1" s="306"/>
      <c r="L1" s="306"/>
    </row>
    <row r="2" spans="2:12" x14ac:dyDescent="0.2">
      <c r="B2" s="306"/>
      <c r="C2" s="306"/>
      <c r="D2" s="306"/>
      <c r="E2" s="306"/>
      <c r="F2" s="306"/>
      <c r="G2" s="306"/>
      <c r="H2" s="306"/>
      <c r="I2" s="306"/>
      <c r="J2" s="306"/>
      <c r="K2" s="306"/>
      <c r="L2" s="306"/>
    </row>
    <row r="3" spans="2:12" x14ac:dyDescent="0.2">
      <c r="B3" s="306"/>
      <c r="C3" s="306"/>
      <c r="D3" s="306"/>
      <c r="E3" s="306"/>
      <c r="F3" s="306"/>
      <c r="G3" s="306"/>
      <c r="H3" s="306"/>
      <c r="I3" s="306"/>
      <c r="J3" s="306"/>
      <c r="K3" s="306"/>
      <c r="L3" s="306"/>
    </row>
    <row r="4" spans="2:12" x14ac:dyDescent="0.2">
      <c r="B4" s="306"/>
      <c r="C4" s="306"/>
      <c r="D4" s="306"/>
      <c r="E4" s="306"/>
      <c r="F4" s="306"/>
      <c r="G4" s="306"/>
      <c r="H4" s="306"/>
      <c r="I4" s="306"/>
      <c r="J4" s="306"/>
      <c r="K4" s="306"/>
      <c r="L4" s="306"/>
    </row>
    <row r="6" spans="2:12" x14ac:dyDescent="0.2">
      <c r="B6" s="299" t="s">
        <v>410</v>
      </c>
      <c r="C6" s="299"/>
      <c r="D6" s="299"/>
      <c r="E6" s="299"/>
      <c r="F6" s="299"/>
      <c r="G6" s="299"/>
      <c r="H6" s="299"/>
      <c r="I6" s="299"/>
      <c r="J6" s="299"/>
      <c r="K6" s="296" t="s">
        <v>411</v>
      </c>
      <c r="L6" s="296" t="s">
        <v>412</v>
      </c>
    </row>
    <row r="7" spans="2:12" x14ac:dyDescent="0.2">
      <c r="B7" s="299"/>
      <c r="C7" s="299"/>
      <c r="D7" s="299"/>
      <c r="E7" s="299"/>
      <c r="F7" s="299"/>
      <c r="G7" s="299"/>
      <c r="H7" s="299"/>
      <c r="I7" s="299"/>
      <c r="J7" s="299"/>
      <c r="K7" s="296"/>
      <c r="L7" s="296"/>
    </row>
    <row r="8" spans="2:12" x14ac:dyDescent="0.2">
      <c r="B8" s="294" t="s">
        <v>413</v>
      </c>
      <c r="C8" s="32" t="s">
        <v>414</v>
      </c>
      <c r="D8" s="279" t="s">
        <v>415</v>
      </c>
      <c r="E8" s="279"/>
      <c r="F8" s="279"/>
      <c r="G8" s="279"/>
      <c r="H8" s="279"/>
      <c r="I8" s="279"/>
      <c r="J8" s="279"/>
      <c r="K8" s="62">
        <f>'SUPPLIER &amp; PRICE'!J14</f>
        <v>145000</v>
      </c>
    </row>
    <row r="9" spans="2:12" x14ac:dyDescent="0.2">
      <c r="B9" s="294"/>
      <c r="C9" s="50" t="s">
        <v>416</v>
      </c>
      <c r="D9" s="280" t="s">
        <v>417</v>
      </c>
      <c r="E9" s="281"/>
      <c r="F9" s="281"/>
      <c r="G9" s="281"/>
      <c r="H9" s="281"/>
      <c r="I9" s="281"/>
      <c r="J9" s="282"/>
      <c r="K9" s="64">
        <v>5000</v>
      </c>
    </row>
    <row r="10" spans="2:12" x14ac:dyDescent="0.2">
      <c r="B10" s="1"/>
      <c r="C10" s="59" t="s">
        <v>418</v>
      </c>
      <c r="D10" s="283" t="s">
        <v>419</v>
      </c>
      <c r="E10" s="284"/>
      <c r="F10" s="284"/>
      <c r="G10" s="284"/>
      <c r="H10" s="284"/>
      <c r="I10" s="284"/>
      <c r="J10" s="285"/>
      <c r="K10" s="65">
        <f>SUM(K8:K9)</f>
        <v>150000</v>
      </c>
      <c r="L10" s="66">
        <f>SUM(K10/450)</f>
        <v>333.33333333333297</v>
      </c>
    </row>
    <row r="11" spans="2:12" x14ac:dyDescent="0.2">
      <c r="B11" s="294" t="s">
        <v>420</v>
      </c>
      <c r="C11" s="300" t="s">
        <v>421</v>
      </c>
      <c r="D11" s="301"/>
      <c r="E11" s="301"/>
      <c r="F11" s="301"/>
      <c r="G11" s="301"/>
      <c r="H11" s="301"/>
      <c r="I11" s="301"/>
      <c r="J11" s="302"/>
    </row>
    <row r="12" spans="2:12" x14ac:dyDescent="0.2">
      <c r="B12" s="294"/>
      <c r="C12" s="303"/>
      <c r="D12" s="304"/>
      <c r="E12" s="304"/>
      <c r="F12" s="304"/>
      <c r="G12" s="304"/>
      <c r="H12" s="304"/>
      <c r="I12" s="304"/>
      <c r="J12" s="305"/>
    </row>
    <row r="14" spans="2:12" x14ac:dyDescent="0.2">
      <c r="B14" s="299" t="s">
        <v>422</v>
      </c>
      <c r="C14" s="299"/>
      <c r="D14" s="299"/>
      <c r="E14" s="299"/>
      <c r="F14" s="299"/>
      <c r="G14" s="299"/>
      <c r="H14" s="299"/>
      <c r="I14" s="299"/>
      <c r="J14" s="299"/>
      <c r="K14" s="296" t="s">
        <v>411</v>
      </c>
      <c r="L14" s="296" t="s">
        <v>412</v>
      </c>
    </row>
    <row r="15" spans="2:12" x14ac:dyDescent="0.2">
      <c r="B15" s="299"/>
      <c r="C15" s="299"/>
      <c r="D15" s="299"/>
      <c r="E15" s="299"/>
      <c r="F15" s="299"/>
      <c r="G15" s="299"/>
      <c r="H15" s="299"/>
      <c r="I15" s="299"/>
      <c r="J15" s="299"/>
      <c r="K15" s="296"/>
      <c r="L15" s="296"/>
    </row>
    <row r="16" spans="2:12" x14ac:dyDescent="0.2">
      <c r="B16" s="294" t="s">
        <v>413</v>
      </c>
      <c r="C16" s="32" t="s">
        <v>423</v>
      </c>
      <c r="D16" s="279" t="s">
        <v>424</v>
      </c>
      <c r="E16" s="279"/>
      <c r="F16" s="279"/>
      <c r="G16" s="279"/>
      <c r="H16" s="279"/>
      <c r="I16" s="279"/>
      <c r="J16" s="279"/>
      <c r="K16" s="62">
        <f>'SUPPLIER &amp; PRICE'!D96</f>
        <v>246000</v>
      </c>
    </row>
    <row r="17" spans="2:12" x14ac:dyDescent="0.2">
      <c r="B17" s="294"/>
      <c r="C17" s="50" t="s">
        <v>252</v>
      </c>
      <c r="D17" s="280" t="s">
        <v>425</v>
      </c>
      <c r="E17" s="281"/>
      <c r="F17" s="281"/>
      <c r="G17" s="281"/>
      <c r="H17" s="281"/>
      <c r="I17" s="281"/>
      <c r="J17" s="282"/>
      <c r="K17" s="64">
        <v>15400</v>
      </c>
    </row>
    <row r="18" spans="2:12" x14ac:dyDescent="0.2">
      <c r="B18" s="1"/>
      <c r="C18" s="59" t="s">
        <v>418</v>
      </c>
      <c r="D18" s="283" t="s">
        <v>426</v>
      </c>
      <c r="E18" s="284"/>
      <c r="F18" s="284"/>
      <c r="G18" s="284"/>
      <c r="H18" s="284"/>
      <c r="I18" s="284"/>
      <c r="J18" s="285"/>
      <c r="K18" s="65">
        <f>SUM(K16:K17)</f>
        <v>261400</v>
      </c>
      <c r="L18" s="66">
        <f>SUM(K18/700)</f>
        <v>373.42857142857099</v>
      </c>
    </row>
    <row r="19" spans="2:12" x14ac:dyDescent="0.2">
      <c r="B19" s="294" t="s">
        <v>420</v>
      </c>
      <c r="C19" s="300" t="s">
        <v>421</v>
      </c>
      <c r="D19" s="301"/>
      <c r="E19" s="301"/>
      <c r="F19" s="301"/>
      <c r="G19" s="301"/>
      <c r="H19" s="301"/>
      <c r="I19" s="301"/>
      <c r="J19" s="302"/>
    </row>
    <row r="20" spans="2:12" x14ac:dyDescent="0.2">
      <c r="B20" s="294"/>
      <c r="C20" s="303"/>
      <c r="D20" s="304"/>
      <c r="E20" s="304"/>
      <c r="F20" s="304"/>
      <c r="G20" s="304"/>
      <c r="H20" s="304"/>
      <c r="I20" s="304"/>
      <c r="J20" s="305"/>
    </row>
    <row r="22" spans="2:12" x14ac:dyDescent="0.2">
      <c r="B22" s="299" t="s">
        <v>427</v>
      </c>
      <c r="C22" s="299"/>
      <c r="D22" s="299"/>
      <c r="E22" s="299"/>
      <c r="F22" s="299"/>
      <c r="G22" s="299"/>
      <c r="H22" s="299"/>
      <c r="I22" s="299"/>
      <c r="J22" s="299"/>
      <c r="K22" s="296" t="s">
        <v>411</v>
      </c>
      <c r="L22" s="296" t="s">
        <v>412</v>
      </c>
    </row>
    <row r="23" spans="2:12" x14ac:dyDescent="0.2">
      <c r="B23" s="299"/>
      <c r="C23" s="299"/>
      <c r="D23" s="299"/>
      <c r="E23" s="299"/>
      <c r="F23" s="299"/>
      <c r="G23" s="299"/>
      <c r="H23" s="299"/>
      <c r="I23" s="299"/>
      <c r="J23" s="299"/>
      <c r="K23" s="296"/>
      <c r="L23" s="296"/>
    </row>
    <row r="24" spans="2:12" x14ac:dyDescent="0.2">
      <c r="B24" s="294" t="s">
        <v>413</v>
      </c>
      <c r="C24" s="32" t="s">
        <v>428</v>
      </c>
      <c r="D24" s="279" t="s">
        <v>424</v>
      </c>
      <c r="E24" s="279"/>
      <c r="F24" s="279"/>
      <c r="G24" s="279"/>
      <c r="H24" s="279"/>
      <c r="I24" s="279"/>
      <c r="J24" s="279"/>
      <c r="K24" s="62">
        <f>'SUPPLIER &amp; PRICE'!D78</f>
        <v>360000</v>
      </c>
    </row>
    <row r="25" spans="2:12" x14ac:dyDescent="0.2">
      <c r="B25" s="294"/>
      <c r="C25" s="50" t="s">
        <v>429</v>
      </c>
      <c r="D25" s="280" t="s">
        <v>430</v>
      </c>
      <c r="E25" s="281"/>
      <c r="F25" s="281"/>
      <c r="G25" s="281"/>
      <c r="H25" s="281"/>
      <c r="I25" s="281"/>
      <c r="J25" s="282"/>
      <c r="K25" s="64">
        <v>1200</v>
      </c>
    </row>
    <row r="26" spans="2:12" x14ac:dyDescent="0.2">
      <c r="B26" s="1"/>
      <c r="C26" s="59" t="s">
        <v>418</v>
      </c>
      <c r="D26" s="283" t="s">
        <v>426</v>
      </c>
      <c r="E26" s="284"/>
      <c r="F26" s="284"/>
      <c r="G26" s="284"/>
      <c r="H26" s="284"/>
      <c r="I26" s="284"/>
      <c r="J26" s="285"/>
      <c r="K26" s="65">
        <f>SUM(K24:K25)</f>
        <v>361200</v>
      </c>
      <c r="L26" s="66">
        <f>SUM(K26/700)</f>
        <v>516</v>
      </c>
    </row>
    <row r="27" spans="2:12" x14ac:dyDescent="0.2">
      <c r="B27" s="294" t="s">
        <v>420</v>
      </c>
      <c r="C27" s="300" t="s">
        <v>421</v>
      </c>
      <c r="D27" s="301"/>
      <c r="E27" s="301"/>
      <c r="F27" s="301"/>
      <c r="G27" s="301"/>
      <c r="H27" s="301"/>
      <c r="I27" s="301"/>
      <c r="J27" s="302"/>
    </row>
    <row r="28" spans="2:12" x14ac:dyDescent="0.2">
      <c r="B28" s="294"/>
      <c r="C28" s="303"/>
      <c r="D28" s="304"/>
      <c r="E28" s="304"/>
      <c r="F28" s="304"/>
      <c r="G28" s="304"/>
      <c r="H28" s="304"/>
      <c r="I28" s="304"/>
      <c r="J28" s="305"/>
    </row>
    <row r="29" spans="2:12" x14ac:dyDescent="0.2">
      <c r="B29" s="1"/>
      <c r="C29" s="60"/>
      <c r="D29" s="60"/>
      <c r="E29" s="60"/>
      <c r="F29" s="60"/>
      <c r="G29" s="60"/>
      <c r="H29" s="60"/>
      <c r="I29" s="60"/>
      <c r="J29" s="60"/>
    </row>
    <row r="30" spans="2:12" x14ac:dyDescent="0.2">
      <c r="B30" s="299" t="s">
        <v>431</v>
      </c>
      <c r="C30" s="299"/>
      <c r="D30" s="299"/>
      <c r="E30" s="299"/>
      <c r="F30" s="299"/>
      <c r="G30" s="299"/>
      <c r="H30" s="299"/>
      <c r="I30" s="299"/>
      <c r="J30" s="299"/>
      <c r="K30" s="296" t="s">
        <v>411</v>
      </c>
      <c r="L30" s="296" t="s">
        <v>412</v>
      </c>
    </row>
    <row r="31" spans="2:12" x14ac:dyDescent="0.2">
      <c r="B31" s="299"/>
      <c r="C31" s="299"/>
      <c r="D31" s="299"/>
      <c r="E31" s="299"/>
      <c r="F31" s="299"/>
      <c r="G31" s="299"/>
      <c r="H31" s="299"/>
      <c r="I31" s="299"/>
      <c r="J31" s="299"/>
      <c r="K31" s="296"/>
      <c r="L31" s="296"/>
    </row>
    <row r="32" spans="2:12" x14ac:dyDescent="0.2">
      <c r="B32" s="294" t="s">
        <v>413</v>
      </c>
      <c r="C32" s="32" t="s">
        <v>423</v>
      </c>
      <c r="D32" s="279" t="s">
        <v>424</v>
      </c>
      <c r="E32" s="279"/>
      <c r="F32" s="279"/>
      <c r="G32" s="279"/>
      <c r="H32" s="279"/>
      <c r="I32" s="279"/>
      <c r="J32" s="279"/>
      <c r="K32" s="62">
        <f>K16</f>
        <v>246000</v>
      </c>
    </row>
    <row r="33" spans="2:12" x14ac:dyDescent="0.2">
      <c r="B33" s="294"/>
      <c r="C33" s="50" t="s">
        <v>432</v>
      </c>
      <c r="D33" s="57"/>
      <c r="E33" s="58"/>
      <c r="F33" s="58"/>
      <c r="G33" s="58" t="s">
        <v>433</v>
      </c>
      <c r="H33" s="58"/>
      <c r="I33" s="58"/>
      <c r="J33" s="63"/>
      <c r="K33" s="64">
        <v>15000</v>
      </c>
    </row>
    <row r="34" spans="2:12" x14ac:dyDescent="0.2">
      <c r="B34" s="294"/>
      <c r="C34" s="50" t="s">
        <v>434</v>
      </c>
      <c r="D34" s="280" t="s">
        <v>435</v>
      </c>
      <c r="E34" s="281"/>
      <c r="F34" s="281"/>
      <c r="G34" s="281"/>
      <c r="H34" s="281"/>
      <c r="I34" s="281"/>
      <c r="J34" s="282"/>
      <c r="K34" s="64">
        <v>14000</v>
      </c>
    </row>
    <row r="35" spans="2:12" x14ac:dyDescent="0.2">
      <c r="B35" s="1"/>
      <c r="C35" s="59" t="s">
        <v>418</v>
      </c>
      <c r="D35" s="283" t="s">
        <v>426</v>
      </c>
      <c r="E35" s="284"/>
      <c r="F35" s="284"/>
      <c r="G35" s="284"/>
      <c r="H35" s="284"/>
      <c r="I35" s="284"/>
      <c r="J35" s="285"/>
      <c r="K35" s="65">
        <f>SUM(K32:K34)</f>
        <v>275000</v>
      </c>
      <c r="L35" s="66">
        <f>SUM(K35/700)</f>
        <v>392.857142857143</v>
      </c>
    </row>
    <row r="36" spans="2:12" x14ac:dyDescent="0.2">
      <c r="B36" s="294" t="s">
        <v>420</v>
      </c>
      <c r="C36" s="300" t="s">
        <v>421</v>
      </c>
      <c r="D36" s="301"/>
      <c r="E36" s="301"/>
      <c r="F36" s="301"/>
      <c r="G36" s="301"/>
      <c r="H36" s="301"/>
      <c r="I36" s="301"/>
      <c r="J36" s="302"/>
    </row>
    <row r="37" spans="2:12" x14ac:dyDescent="0.2">
      <c r="B37" s="294"/>
      <c r="C37" s="303"/>
      <c r="D37" s="304"/>
      <c r="E37" s="304"/>
      <c r="F37" s="304"/>
      <c r="G37" s="304"/>
      <c r="H37" s="304"/>
      <c r="I37" s="304"/>
      <c r="J37" s="305"/>
    </row>
    <row r="40" spans="2:12" x14ac:dyDescent="0.2">
      <c r="B40" s="299" t="s">
        <v>436</v>
      </c>
      <c r="C40" s="299"/>
      <c r="D40" s="299"/>
      <c r="E40" s="299"/>
      <c r="F40" s="299"/>
      <c r="G40" s="299"/>
      <c r="H40" s="299"/>
      <c r="I40" s="299"/>
      <c r="J40" s="299"/>
      <c r="K40" s="296" t="s">
        <v>411</v>
      </c>
      <c r="L40" s="296" t="s">
        <v>412</v>
      </c>
    </row>
    <row r="41" spans="2:12" x14ac:dyDescent="0.2">
      <c r="B41" s="299"/>
      <c r="C41" s="299"/>
      <c r="D41" s="299"/>
      <c r="E41" s="299"/>
      <c r="F41" s="299"/>
      <c r="G41" s="299"/>
      <c r="H41" s="299"/>
      <c r="I41" s="299"/>
      <c r="J41" s="299"/>
      <c r="K41" s="296"/>
      <c r="L41" s="296"/>
    </row>
    <row r="42" spans="2:12" x14ac:dyDescent="0.2">
      <c r="B42" s="294" t="s">
        <v>413</v>
      </c>
      <c r="C42" s="56" t="s">
        <v>437</v>
      </c>
      <c r="D42" s="279" t="s">
        <v>438</v>
      </c>
      <c r="E42" s="279"/>
      <c r="F42" s="279"/>
      <c r="G42" s="279"/>
      <c r="H42" s="279"/>
      <c r="I42" s="279"/>
      <c r="J42" s="279"/>
      <c r="K42" s="62">
        <f>+SUM(400*350)</f>
        <v>140000</v>
      </c>
    </row>
    <row r="43" spans="2:12" x14ac:dyDescent="0.2">
      <c r="B43" s="294"/>
      <c r="C43" s="56" t="s">
        <v>439</v>
      </c>
      <c r="D43" s="286" t="s">
        <v>425</v>
      </c>
      <c r="E43" s="287"/>
      <c r="F43" s="287"/>
      <c r="G43" s="287"/>
      <c r="H43" s="287"/>
      <c r="I43" s="287"/>
      <c r="J43" s="288"/>
      <c r="K43" s="64">
        <f>SUM('SUPPLIER &amp; PRICE'!F150*10)</f>
        <v>4545.4545454545496</v>
      </c>
    </row>
    <row r="44" spans="2:12" x14ac:dyDescent="0.2">
      <c r="B44" s="32"/>
      <c r="C44" s="59" t="s">
        <v>418</v>
      </c>
      <c r="D44" s="283" t="s">
        <v>440</v>
      </c>
      <c r="E44" s="284"/>
      <c r="F44" s="284"/>
      <c r="G44" s="284"/>
      <c r="H44" s="284"/>
      <c r="I44" s="284"/>
      <c r="J44" s="285"/>
      <c r="K44" s="67">
        <f>SUM(K42:K43)</f>
        <v>144545.454545455</v>
      </c>
      <c r="L44" s="66">
        <f>SUM(K44/300)</f>
        <v>481.81818181818198</v>
      </c>
    </row>
    <row r="45" spans="2:12" x14ac:dyDescent="0.2">
      <c r="B45" s="294" t="s">
        <v>420</v>
      </c>
      <c r="C45" s="310" t="s">
        <v>441</v>
      </c>
      <c r="D45" s="311"/>
      <c r="E45" s="311"/>
      <c r="F45" s="311"/>
      <c r="G45" s="311"/>
      <c r="H45" s="311"/>
      <c r="I45" s="311"/>
      <c r="J45" s="312"/>
    </row>
    <row r="46" spans="2:12" x14ac:dyDescent="0.2">
      <c r="B46" s="294"/>
      <c r="C46" s="303"/>
      <c r="D46" s="304"/>
      <c r="E46" s="304"/>
      <c r="F46" s="304"/>
      <c r="G46" s="304"/>
      <c r="H46" s="304"/>
      <c r="I46" s="304"/>
      <c r="J46" s="305"/>
    </row>
    <row r="49" spans="2:12" x14ac:dyDescent="0.2">
      <c r="B49" s="299" t="s">
        <v>442</v>
      </c>
      <c r="C49" s="299"/>
      <c r="D49" s="299"/>
      <c r="E49" s="299"/>
      <c r="F49" s="299"/>
      <c r="G49" s="299"/>
      <c r="H49" s="299"/>
      <c r="I49" s="299"/>
      <c r="J49" s="299"/>
      <c r="K49" s="296" t="s">
        <v>411</v>
      </c>
      <c r="L49" s="296" t="s">
        <v>412</v>
      </c>
    </row>
    <row r="50" spans="2:12" x14ac:dyDescent="0.2">
      <c r="B50" s="299"/>
      <c r="C50" s="299"/>
      <c r="D50" s="299"/>
      <c r="E50" s="299"/>
      <c r="F50" s="299"/>
      <c r="G50" s="299"/>
      <c r="H50" s="299"/>
      <c r="I50" s="299"/>
      <c r="J50" s="299"/>
      <c r="K50" s="296"/>
      <c r="L50" s="296"/>
    </row>
    <row r="51" spans="2:12" x14ac:dyDescent="0.2">
      <c r="B51" s="294" t="s">
        <v>413</v>
      </c>
      <c r="C51" s="61" t="s">
        <v>437</v>
      </c>
      <c r="D51" s="279" t="s">
        <v>438</v>
      </c>
      <c r="E51" s="279"/>
      <c r="F51" s="279"/>
      <c r="G51" s="279"/>
      <c r="H51" s="279"/>
      <c r="I51" s="279"/>
      <c r="J51" s="279"/>
      <c r="K51" s="62">
        <f>K42</f>
        <v>140000</v>
      </c>
    </row>
    <row r="52" spans="2:12" x14ac:dyDescent="0.2">
      <c r="B52" s="294"/>
      <c r="C52" s="61" t="s">
        <v>443</v>
      </c>
      <c r="D52" s="286" t="s">
        <v>444</v>
      </c>
      <c r="E52" s="287"/>
      <c r="F52" s="287"/>
      <c r="G52" s="287"/>
      <c r="H52" s="287"/>
      <c r="I52" s="287"/>
      <c r="J52" s="288"/>
      <c r="K52" s="64">
        <v>5000</v>
      </c>
    </row>
    <row r="53" spans="2:12" x14ac:dyDescent="0.2">
      <c r="B53" s="32"/>
      <c r="C53" s="59" t="s">
        <v>418</v>
      </c>
      <c r="D53" s="283" t="s">
        <v>440</v>
      </c>
      <c r="E53" s="284"/>
      <c r="F53" s="284"/>
      <c r="G53" s="284"/>
      <c r="H53" s="284"/>
      <c r="I53" s="284"/>
      <c r="J53" s="285"/>
      <c r="K53" s="67">
        <f>SUM(K51:K52)</f>
        <v>145000</v>
      </c>
      <c r="L53" s="66">
        <f>SUM(K53/300)</f>
        <v>483.33333333333297</v>
      </c>
    </row>
    <row r="54" spans="2:12" x14ac:dyDescent="0.2">
      <c r="B54" s="294" t="s">
        <v>420</v>
      </c>
      <c r="C54" s="310" t="s">
        <v>445</v>
      </c>
      <c r="D54" s="311"/>
      <c r="E54" s="311"/>
      <c r="F54" s="311"/>
      <c r="G54" s="311"/>
      <c r="H54" s="311"/>
      <c r="I54" s="311"/>
      <c r="J54" s="312"/>
    </row>
    <row r="55" spans="2:12" x14ac:dyDescent="0.2">
      <c r="B55" s="294"/>
      <c r="C55" s="303"/>
      <c r="D55" s="304"/>
      <c r="E55" s="304"/>
      <c r="F55" s="304"/>
      <c r="G55" s="304"/>
      <c r="H55" s="304"/>
      <c r="I55" s="304"/>
      <c r="J55" s="305"/>
    </row>
    <row r="57" spans="2:12" x14ac:dyDescent="0.2">
      <c r="B57" s="308" t="s">
        <v>446</v>
      </c>
      <c r="C57" s="308"/>
      <c r="D57" s="308"/>
      <c r="E57" s="308"/>
      <c r="F57" s="308"/>
      <c r="G57" s="308"/>
      <c r="H57" s="308"/>
      <c r="I57" s="308"/>
      <c r="J57" s="308"/>
      <c r="K57" s="297" t="s">
        <v>411</v>
      </c>
      <c r="L57" s="297" t="s">
        <v>412</v>
      </c>
    </row>
    <row r="58" spans="2:12" x14ac:dyDescent="0.2">
      <c r="B58" s="308"/>
      <c r="C58" s="308"/>
      <c r="D58" s="308"/>
      <c r="E58" s="308"/>
      <c r="F58" s="308"/>
      <c r="G58" s="308"/>
      <c r="H58" s="308"/>
      <c r="I58" s="308"/>
      <c r="J58" s="308"/>
      <c r="K58" s="297"/>
      <c r="L58" s="297"/>
    </row>
    <row r="59" spans="2:12" x14ac:dyDescent="0.2">
      <c r="B59" s="294" t="s">
        <v>413</v>
      </c>
      <c r="C59" s="61" t="s">
        <v>447</v>
      </c>
      <c r="D59" s="288" t="s">
        <v>448</v>
      </c>
      <c r="E59" s="279"/>
      <c r="F59" s="279"/>
      <c r="G59" s="279"/>
      <c r="H59" s="279"/>
      <c r="I59" s="279"/>
      <c r="J59" s="279"/>
      <c r="K59" s="62">
        <f>'SUPPLIER &amp; PRICE'!D5</f>
        <v>35000</v>
      </c>
    </row>
    <row r="60" spans="2:12" x14ac:dyDescent="0.2">
      <c r="B60" s="294"/>
      <c r="C60" s="61" t="s">
        <v>449</v>
      </c>
      <c r="D60" s="287" t="s">
        <v>450</v>
      </c>
      <c r="E60" s="287"/>
      <c r="F60" s="287"/>
      <c r="G60" s="287"/>
      <c r="H60" s="287"/>
      <c r="I60" s="287"/>
      <c r="J60" s="288"/>
      <c r="K60" s="62">
        <f>'SUPPLIER &amp; PRICE'!D28</f>
        <v>18000</v>
      </c>
    </row>
    <row r="61" spans="2:12" x14ac:dyDescent="0.2">
      <c r="B61" s="32"/>
      <c r="C61" s="61" t="s">
        <v>193</v>
      </c>
      <c r="D61" s="281" t="s">
        <v>451</v>
      </c>
      <c r="E61" s="281"/>
      <c r="F61" s="281"/>
      <c r="G61" s="281"/>
      <c r="H61" s="281"/>
      <c r="I61" s="281"/>
      <c r="J61" s="282"/>
      <c r="K61" s="62">
        <v>300</v>
      </c>
    </row>
    <row r="62" spans="2:12" x14ac:dyDescent="0.2">
      <c r="B62" s="32"/>
      <c r="C62" s="61" t="s">
        <v>452</v>
      </c>
      <c r="D62" s="281" t="s">
        <v>417</v>
      </c>
      <c r="E62" s="281"/>
      <c r="F62" s="281"/>
      <c r="G62" s="281"/>
      <c r="H62" s="281"/>
      <c r="I62" s="281"/>
      <c r="J62" s="282"/>
      <c r="K62" s="62">
        <f>SUM('SUPPLIER &amp; PRICE'!F148*25)</f>
        <v>22500</v>
      </c>
    </row>
    <row r="63" spans="2:12" x14ac:dyDescent="0.2">
      <c r="B63" s="32"/>
      <c r="C63" s="61" t="s">
        <v>453</v>
      </c>
      <c r="D63" s="281" t="s">
        <v>425</v>
      </c>
      <c r="E63" s="281"/>
      <c r="F63" s="281"/>
      <c r="G63" s="281"/>
      <c r="H63" s="281"/>
      <c r="I63" s="281"/>
      <c r="J63" s="282"/>
      <c r="K63" s="64">
        <f>SUM('SUPPLIER &amp; PRICE'!F149*10)</f>
        <v>9333.3333333333303</v>
      </c>
    </row>
    <row r="64" spans="2:12" x14ac:dyDescent="0.2">
      <c r="B64" s="32"/>
      <c r="C64" s="59" t="s">
        <v>418</v>
      </c>
      <c r="D64" s="283" t="s">
        <v>454</v>
      </c>
      <c r="E64" s="284"/>
      <c r="F64" s="284"/>
      <c r="G64" s="284"/>
      <c r="H64" s="284"/>
      <c r="I64" s="284"/>
      <c r="J64" s="285"/>
      <c r="K64" s="67">
        <f>SUM(K59:K63)</f>
        <v>85133.333333333299</v>
      </c>
      <c r="L64" s="66">
        <f>SUM(K64/1500)</f>
        <v>56.755555555555603</v>
      </c>
    </row>
    <row r="65" spans="2:12" x14ac:dyDescent="0.2">
      <c r="B65" s="294" t="s">
        <v>420</v>
      </c>
      <c r="C65" s="289" t="s">
        <v>455</v>
      </c>
      <c r="D65" s="289"/>
      <c r="E65" s="289"/>
      <c r="F65" s="289"/>
      <c r="G65" s="289"/>
      <c r="H65" s="289"/>
      <c r="I65" s="289"/>
      <c r="J65" s="289"/>
    </row>
    <row r="66" spans="2:12" ht="72" customHeight="1" x14ac:dyDescent="0.2">
      <c r="B66" s="294"/>
      <c r="C66" s="289"/>
      <c r="D66" s="289"/>
      <c r="E66" s="289"/>
      <c r="F66" s="289"/>
      <c r="G66" s="289"/>
      <c r="H66" s="289"/>
      <c r="I66" s="289"/>
      <c r="J66" s="289"/>
    </row>
    <row r="67" spans="2:12" x14ac:dyDescent="0.2">
      <c r="B67" s="313"/>
      <c r="C67" s="313"/>
      <c r="D67" s="313"/>
      <c r="E67" s="313"/>
      <c r="F67" s="313"/>
      <c r="G67" s="313"/>
      <c r="H67" s="313"/>
      <c r="I67" s="313"/>
      <c r="J67" s="313"/>
    </row>
    <row r="68" spans="2:12" s="54" customFormat="1" x14ac:dyDescent="0.2">
      <c r="B68" s="313"/>
      <c r="C68" s="313"/>
      <c r="D68" s="313"/>
      <c r="E68" s="313"/>
      <c r="F68" s="313"/>
      <c r="G68" s="313"/>
      <c r="H68" s="313"/>
      <c r="I68" s="313"/>
      <c r="J68" s="313"/>
      <c r="K68" s="68"/>
    </row>
    <row r="69" spans="2:12" s="54" customFormat="1" x14ac:dyDescent="0.2">
      <c r="B69" s="313"/>
      <c r="C69" s="313"/>
      <c r="D69" s="313"/>
      <c r="E69" s="313"/>
      <c r="F69" s="313"/>
      <c r="G69" s="313"/>
      <c r="H69" s="313"/>
      <c r="I69" s="313"/>
      <c r="J69" s="313"/>
      <c r="K69" s="68"/>
    </row>
    <row r="70" spans="2:12" x14ac:dyDescent="0.2">
      <c r="B70" s="308" t="s">
        <v>456</v>
      </c>
      <c r="C70" s="308"/>
      <c r="D70" s="308"/>
      <c r="E70" s="308"/>
      <c r="F70" s="308"/>
      <c r="G70" s="308"/>
      <c r="H70" s="308"/>
      <c r="I70" s="308"/>
      <c r="J70" s="308"/>
      <c r="K70" s="297" t="s">
        <v>411</v>
      </c>
      <c r="L70" s="297" t="s">
        <v>412</v>
      </c>
    </row>
    <row r="71" spans="2:12" x14ac:dyDescent="0.2">
      <c r="B71" s="308"/>
      <c r="C71" s="308"/>
      <c r="D71" s="308"/>
      <c r="E71" s="308"/>
      <c r="F71" s="308"/>
      <c r="G71" s="308"/>
      <c r="H71" s="308"/>
      <c r="I71" s="308"/>
      <c r="J71" s="308"/>
      <c r="K71" s="297"/>
      <c r="L71" s="297"/>
    </row>
    <row r="72" spans="2:12" x14ac:dyDescent="0.2">
      <c r="B72" s="294" t="s">
        <v>413</v>
      </c>
      <c r="C72" s="56" t="s">
        <v>457</v>
      </c>
      <c r="D72" s="279" t="s">
        <v>458</v>
      </c>
      <c r="E72" s="279"/>
      <c r="F72" s="279"/>
      <c r="G72" s="279"/>
      <c r="H72" s="279"/>
      <c r="I72" s="279"/>
      <c r="J72" s="279"/>
      <c r="K72" s="62">
        <f>SUM('SUPPLIER &amp; PRICE'!F8*10)</f>
        <v>1166.6666666666699</v>
      </c>
    </row>
    <row r="73" spans="2:12" x14ac:dyDescent="0.2">
      <c r="B73" s="294"/>
      <c r="C73" s="56" t="s">
        <v>459</v>
      </c>
      <c r="D73" s="279" t="s">
        <v>460</v>
      </c>
      <c r="E73" s="279"/>
      <c r="F73" s="279"/>
      <c r="G73" s="279"/>
      <c r="H73" s="279"/>
      <c r="I73" s="279"/>
      <c r="J73" s="279"/>
      <c r="K73" s="62">
        <f>SUM('SUPPLIER &amp; PRICE'!F9*4)</f>
        <v>266.66666666666703</v>
      </c>
    </row>
    <row r="74" spans="2:12" x14ac:dyDescent="0.2">
      <c r="B74" s="32"/>
      <c r="C74" s="56" t="s">
        <v>461</v>
      </c>
      <c r="D74" s="279" t="s">
        <v>458</v>
      </c>
      <c r="E74" s="279"/>
      <c r="F74" s="279"/>
      <c r="G74" s="279"/>
      <c r="H74" s="279"/>
      <c r="I74" s="279"/>
      <c r="J74" s="279"/>
      <c r="K74" s="62">
        <f>SUM('SUPPLIER &amp; PRICE'!F24*10)</f>
        <v>180</v>
      </c>
    </row>
    <row r="75" spans="2:12" x14ac:dyDescent="0.2">
      <c r="B75" s="32"/>
      <c r="C75" s="56" t="s">
        <v>462</v>
      </c>
      <c r="D75" s="279" t="s">
        <v>463</v>
      </c>
      <c r="E75" s="279"/>
      <c r="F75" s="279"/>
      <c r="G75" s="279"/>
      <c r="H75" s="279"/>
      <c r="I75" s="279"/>
      <c r="J75" s="279"/>
      <c r="K75" s="62">
        <f>SUM('SUPPLIER &amp; PRICE'!F153*15)</f>
        <v>8076.9230769230799</v>
      </c>
    </row>
    <row r="76" spans="2:12" x14ac:dyDescent="0.2">
      <c r="B76" s="32"/>
      <c r="C76" s="56" t="s">
        <v>193</v>
      </c>
      <c r="D76" s="279" t="s">
        <v>464</v>
      </c>
      <c r="E76" s="279"/>
      <c r="F76" s="279"/>
      <c r="G76" s="279"/>
      <c r="H76" s="279"/>
      <c r="I76" s="279"/>
      <c r="J76" s="279"/>
      <c r="K76" s="62">
        <v>1600</v>
      </c>
    </row>
    <row r="77" spans="2:12" x14ac:dyDescent="0.2">
      <c r="B77" s="32"/>
      <c r="C77" s="56" t="s">
        <v>12</v>
      </c>
      <c r="D77" s="279" t="s">
        <v>465</v>
      </c>
      <c r="E77" s="279"/>
      <c r="F77" s="279"/>
      <c r="G77" s="279"/>
      <c r="H77" s="279"/>
      <c r="I77" s="279"/>
      <c r="J77" s="279"/>
      <c r="K77" s="62">
        <f>SUM('SUPPLIER &amp; PRICE'!F8*250)</f>
        <v>29166.666666666701</v>
      </c>
    </row>
    <row r="78" spans="2:12" x14ac:dyDescent="0.2">
      <c r="B78" s="32"/>
      <c r="C78" s="56" t="s">
        <v>466</v>
      </c>
      <c r="D78" s="279" t="s">
        <v>467</v>
      </c>
      <c r="E78" s="279"/>
      <c r="F78" s="279"/>
      <c r="G78" s="279"/>
      <c r="H78" s="279"/>
      <c r="I78" s="279"/>
      <c r="J78" s="279"/>
      <c r="K78" s="64">
        <f>SUM('SUPPLIER &amp; PRICE'!F9*150)</f>
        <v>10000</v>
      </c>
    </row>
    <row r="79" spans="2:12" x14ac:dyDescent="0.2">
      <c r="B79" s="32"/>
      <c r="C79" s="59" t="s">
        <v>418</v>
      </c>
      <c r="D79" s="283" t="s">
        <v>454</v>
      </c>
      <c r="E79" s="284"/>
      <c r="F79" s="284"/>
      <c r="G79" s="284"/>
      <c r="H79" s="284"/>
      <c r="I79" s="284"/>
      <c r="J79" s="285"/>
      <c r="K79" s="67">
        <f>SUM(K72:K78)</f>
        <v>50456.9230769231</v>
      </c>
      <c r="L79" s="66">
        <f>SUM(K79/1500)</f>
        <v>33.637948717948703</v>
      </c>
    </row>
    <row r="80" spans="2:12" x14ac:dyDescent="0.2">
      <c r="B80" s="294" t="s">
        <v>420</v>
      </c>
      <c r="C80" s="289" t="s">
        <v>468</v>
      </c>
      <c r="D80" s="289"/>
      <c r="E80" s="289"/>
      <c r="F80" s="289"/>
      <c r="G80" s="289"/>
      <c r="H80" s="289"/>
      <c r="I80" s="289"/>
      <c r="J80" s="289"/>
    </row>
    <row r="81" spans="2:12" ht="31" customHeight="1" x14ac:dyDescent="0.2">
      <c r="B81" s="294"/>
      <c r="C81" s="289"/>
      <c r="D81" s="289"/>
      <c r="E81" s="289"/>
      <c r="F81" s="289"/>
      <c r="G81" s="289"/>
      <c r="H81" s="289"/>
      <c r="I81" s="289"/>
      <c r="J81" s="289"/>
    </row>
    <row r="84" spans="2:12" x14ac:dyDescent="0.2">
      <c r="B84" s="308" t="s">
        <v>469</v>
      </c>
      <c r="C84" s="308"/>
      <c r="D84" s="308"/>
      <c r="E84" s="308"/>
      <c r="F84" s="308"/>
      <c r="G84" s="308"/>
      <c r="H84" s="308"/>
      <c r="I84" s="308"/>
      <c r="J84" s="308"/>
      <c r="K84" s="297" t="s">
        <v>411</v>
      </c>
      <c r="L84" s="297" t="s">
        <v>412</v>
      </c>
    </row>
    <row r="85" spans="2:12" x14ac:dyDescent="0.2">
      <c r="B85" s="308"/>
      <c r="C85" s="308"/>
      <c r="D85" s="308"/>
      <c r="E85" s="308"/>
      <c r="F85" s="308"/>
      <c r="G85" s="308"/>
      <c r="H85" s="308"/>
      <c r="I85" s="308"/>
      <c r="J85" s="308"/>
      <c r="K85" s="297"/>
      <c r="L85" s="297"/>
    </row>
    <row r="86" spans="2:12" x14ac:dyDescent="0.2">
      <c r="B86" s="294" t="s">
        <v>413</v>
      </c>
      <c r="C86" s="61" t="s">
        <v>378</v>
      </c>
      <c r="D86" s="288" t="s">
        <v>470</v>
      </c>
      <c r="E86" s="279"/>
      <c r="F86" s="279"/>
      <c r="G86" s="279"/>
      <c r="H86" s="279"/>
      <c r="I86" s="279"/>
      <c r="J86" s="279"/>
      <c r="K86" s="62">
        <v>2000</v>
      </c>
    </row>
    <row r="87" spans="2:12" x14ac:dyDescent="0.2">
      <c r="B87" s="294"/>
      <c r="C87" s="61" t="s">
        <v>466</v>
      </c>
      <c r="D87" s="287" t="s">
        <v>451</v>
      </c>
      <c r="E87" s="287"/>
      <c r="F87" s="287"/>
      <c r="G87" s="287"/>
      <c r="H87" s="287"/>
      <c r="I87" s="287"/>
      <c r="J87" s="288"/>
      <c r="K87" s="62">
        <f>SUM('SUPPLIER &amp; PRICE'!F9*300)</f>
        <v>20000</v>
      </c>
    </row>
    <row r="88" spans="2:12" x14ac:dyDescent="0.2">
      <c r="B88" s="32"/>
      <c r="C88" s="61" t="s">
        <v>471</v>
      </c>
      <c r="D88" s="281" t="s">
        <v>458</v>
      </c>
      <c r="E88" s="281"/>
      <c r="F88" s="281"/>
      <c r="G88" s="281"/>
      <c r="H88" s="281"/>
      <c r="I88" s="281"/>
      <c r="J88" s="282"/>
      <c r="K88" s="62">
        <f>SUM('SUPPLIER &amp; PRICE'!F153*5)</f>
        <v>2692.3076923076901</v>
      </c>
    </row>
    <row r="89" spans="2:12" x14ac:dyDescent="0.2">
      <c r="B89" s="32"/>
      <c r="C89" s="59" t="s">
        <v>418</v>
      </c>
      <c r="D89" s="283" t="s">
        <v>440</v>
      </c>
      <c r="E89" s="284"/>
      <c r="F89" s="284"/>
      <c r="G89" s="284"/>
      <c r="H89" s="284"/>
      <c r="I89" s="284"/>
      <c r="J89" s="285"/>
      <c r="K89" s="67">
        <f>SUM(K86:K88)</f>
        <v>24692.307692307699</v>
      </c>
      <c r="L89" s="66">
        <f>SUM(K89/300)</f>
        <v>82.307692307692307</v>
      </c>
    </row>
    <row r="90" spans="2:12" x14ac:dyDescent="0.2">
      <c r="B90" s="294" t="s">
        <v>420</v>
      </c>
      <c r="C90" s="289" t="s">
        <v>472</v>
      </c>
      <c r="D90" s="289"/>
      <c r="E90" s="289"/>
      <c r="F90" s="289"/>
      <c r="G90" s="289"/>
      <c r="H90" s="289"/>
      <c r="I90" s="289"/>
      <c r="J90" s="289"/>
    </row>
    <row r="91" spans="2:12" x14ac:dyDescent="0.2">
      <c r="B91" s="294"/>
      <c r="C91" s="289"/>
      <c r="D91" s="289"/>
      <c r="E91" s="289"/>
      <c r="F91" s="289"/>
      <c r="G91" s="289"/>
      <c r="H91" s="289"/>
      <c r="I91" s="289"/>
      <c r="J91" s="289"/>
    </row>
    <row r="95" spans="2:12" x14ac:dyDescent="0.2">
      <c r="B95" s="309" t="s">
        <v>473</v>
      </c>
      <c r="C95" s="309"/>
      <c r="D95" s="309"/>
      <c r="E95" s="309"/>
      <c r="F95" s="309"/>
      <c r="G95" s="309"/>
      <c r="H95" s="309"/>
      <c r="I95" s="309"/>
      <c r="J95" s="309"/>
      <c r="K95" s="298" t="s">
        <v>411</v>
      </c>
      <c r="L95" s="298" t="s">
        <v>412</v>
      </c>
    </row>
    <row r="96" spans="2:12" x14ac:dyDescent="0.2">
      <c r="B96" s="309"/>
      <c r="C96" s="309"/>
      <c r="D96" s="309"/>
      <c r="E96" s="309"/>
      <c r="F96" s="309"/>
      <c r="G96" s="309"/>
      <c r="H96" s="309"/>
      <c r="I96" s="309"/>
      <c r="J96" s="309"/>
      <c r="K96" s="298"/>
      <c r="L96" s="298"/>
    </row>
    <row r="97" spans="2:12" x14ac:dyDescent="0.2">
      <c r="B97" s="294" t="s">
        <v>413</v>
      </c>
      <c r="C97" s="56" t="s">
        <v>474</v>
      </c>
      <c r="D97" s="279" t="s">
        <v>475</v>
      </c>
      <c r="E97" s="279"/>
      <c r="F97" s="279"/>
      <c r="G97" s="279"/>
      <c r="H97" s="279"/>
      <c r="I97" s="279"/>
      <c r="J97" s="279"/>
      <c r="K97" s="62">
        <f>SUM('SUPPLIER &amp; PRICE'!F137*100)</f>
        <v>15857.142857142901</v>
      </c>
    </row>
    <row r="98" spans="2:12" x14ac:dyDescent="0.2">
      <c r="B98" s="294"/>
      <c r="C98" s="56" t="s">
        <v>55</v>
      </c>
      <c r="D98" s="286" t="s">
        <v>465</v>
      </c>
      <c r="E98" s="287"/>
      <c r="F98" s="287"/>
      <c r="G98" s="287"/>
      <c r="H98" s="287"/>
      <c r="I98" s="287"/>
      <c r="J98" s="288"/>
      <c r="K98" s="64">
        <f>SUM('SUPPLIER &amp; PRICE'!F163*250)</f>
        <v>8409.4871794871906</v>
      </c>
    </row>
    <row r="99" spans="2:12" x14ac:dyDescent="0.2">
      <c r="B99" s="32"/>
      <c r="C99" s="59" t="s">
        <v>418</v>
      </c>
      <c r="D99" s="283" t="s">
        <v>438</v>
      </c>
      <c r="E99" s="284"/>
      <c r="F99" s="284"/>
      <c r="G99" s="284"/>
      <c r="H99" s="284"/>
      <c r="I99" s="284"/>
      <c r="J99" s="285"/>
      <c r="K99" s="67">
        <f>SUM(K93:K98)</f>
        <v>24266.630036629998</v>
      </c>
      <c r="L99" s="66">
        <f>SUM(K99/350)</f>
        <v>69.333228676085795</v>
      </c>
    </row>
    <row r="100" spans="2:12" x14ac:dyDescent="0.2">
      <c r="B100" s="32" t="s">
        <v>420</v>
      </c>
      <c r="C100" s="289" t="s">
        <v>476</v>
      </c>
      <c r="D100" s="289"/>
      <c r="E100" s="289"/>
      <c r="F100" s="289"/>
      <c r="G100" s="289"/>
      <c r="H100" s="289"/>
      <c r="I100" s="289"/>
      <c r="J100" s="289"/>
    </row>
    <row r="105" spans="2:12" x14ac:dyDescent="0.2">
      <c r="B105" s="309" t="s">
        <v>477</v>
      </c>
      <c r="C105" s="309"/>
      <c r="D105" s="309"/>
      <c r="E105" s="309"/>
      <c r="F105" s="309"/>
      <c r="G105" s="309"/>
      <c r="H105" s="309"/>
      <c r="I105" s="309"/>
      <c r="J105" s="309"/>
      <c r="K105" s="298" t="s">
        <v>411</v>
      </c>
      <c r="L105" s="298" t="s">
        <v>412</v>
      </c>
    </row>
    <row r="106" spans="2:12" x14ac:dyDescent="0.2">
      <c r="B106" s="309"/>
      <c r="C106" s="309"/>
      <c r="D106" s="309"/>
      <c r="E106" s="309"/>
      <c r="F106" s="309"/>
      <c r="G106" s="309"/>
      <c r="H106" s="309"/>
      <c r="I106" s="309"/>
      <c r="J106" s="309"/>
      <c r="K106" s="298"/>
      <c r="L106" s="298"/>
    </row>
    <row r="107" spans="2:12" x14ac:dyDescent="0.2">
      <c r="B107" s="294" t="s">
        <v>413</v>
      </c>
      <c r="C107" s="56" t="s">
        <v>478</v>
      </c>
      <c r="D107" s="279" t="s">
        <v>475</v>
      </c>
      <c r="E107" s="279"/>
      <c r="F107" s="279"/>
      <c r="G107" s="279"/>
      <c r="H107" s="279"/>
      <c r="I107" s="279"/>
      <c r="J107" s="279"/>
      <c r="K107" s="62">
        <f>SUM('SUPPLIER &amp; PRICE'!F147*100)</f>
        <v>15857.142857142901</v>
      </c>
    </row>
    <row r="108" spans="2:12" x14ac:dyDescent="0.2">
      <c r="B108" s="294"/>
      <c r="C108" s="56" t="s">
        <v>55</v>
      </c>
      <c r="D108" s="286" t="s">
        <v>465</v>
      </c>
      <c r="E108" s="287"/>
      <c r="F108" s="287"/>
      <c r="G108" s="287"/>
      <c r="H108" s="287"/>
      <c r="I108" s="287"/>
      <c r="J108" s="288"/>
      <c r="K108" s="64">
        <f>K98</f>
        <v>8409.4871794871906</v>
      </c>
    </row>
    <row r="109" spans="2:12" x14ac:dyDescent="0.2">
      <c r="B109" s="32"/>
      <c r="C109" s="59" t="s">
        <v>418</v>
      </c>
      <c r="D109" s="283" t="s">
        <v>438</v>
      </c>
      <c r="E109" s="284"/>
      <c r="F109" s="284"/>
      <c r="G109" s="284"/>
      <c r="H109" s="284"/>
      <c r="I109" s="284"/>
      <c r="J109" s="285"/>
      <c r="K109" s="67">
        <f>SUM(K102:K108)</f>
        <v>24266.630036629998</v>
      </c>
      <c r="L109" s="66">
        <f>SUM(K109/350)</f>
        <v>69.333228676085795</v>
      </c>
    </row>
    <row r="110" spans="2:12" x14ac:dyDescent="0.2">
      <c r="B110" s="32" t="s">
        <v>420</v>
      </c>
      <c r="C110" s="289" t="s">
        <v>476</v>
      </c>
      <c r="D110" s="289"/>
      <c r="E110" s="289"/>
      <c r="F110" s="289"/>
      <c r="G110" s="289"/>
      <c r="H110" s="289"/>
      <c r="I110" s="289"/>
      <c r="J110" s="289"/>
    </row>
    <row r="113" spans="2:12" x14ac:dyDescent="0.2">
      <c r="B113" s="309" t="s">
        <v>479</v>
      </c>
      <c r="C113" s="309"/>
      <c r="D113" s="309"/>
      <c r="E113" s="309"/>
      <c r="F113" s="309"/>
      <c r="G113" s="309"/>
      <c r="H113" s="309"/>
      <c r="I113" s="309"/>
      <c r="J113" s="309"/>
      <c r="K113" s="298" t="s">
        <v>411</v>
      </c>
      <c r="L113" s="298" t="s">
        <v>412</v>
      </c>
    </row>
    <row r="114" spans="2:12" x14ac:dyDescent="0.2">
      <c r="B114" s="309"/>
      <c r="C114" s="309"/>
      <c r="D114" s="309"/>
      <c r="E114" s="309"/>
      <c r="F114" s="309"/>
      <c r="G114" s="309"/>
      <c r="H114" s="309"/>
      <c r="I114" s="309"/>
      <c r="J114" s="309"/>
      <c r="K114" s="298"/>
      <c r="L114" s="298"/>
    </row>
    <row r="115" spans="2:12" x14ac:dyDescent="0.2">
      <c r="B115" s="294" t="s">
        <v>413</v>
      </c>
      <c r="C115" s="56" t="s">
        <v>480</v>
      </c>
      <c r="D115" s="279" t="s">
        <v>433</v>
      </c>
      <c r="E115" s="279"/>
      <c r="F115" s="279"/>
      <c r="G115" s="279"/>
      <c r="H115" s="279"/>
      <c r="I115" s="279"/>
      <c r="J115" s="279"/>
      <c r="K115" s="62">
        <v>15000</v>
      </c>
    </row>
    <row r="116" spans="2:12" x14ac:dyDescent="0.2">
      <c r="B116" s="294"/>
      <c r="C116" s="56" t="s">
        <v>55</v>
      </c>
      <c r="D116" s="286" t="s">
        <v>465</v>
      </c>
      <c r="E116" s="287"/>
      <c r="F116" s="287"/>
      <c r="G116" s="287"/>
      <c r="H116" s="287"/>
      <c r="I116" s="287"/>
      <c r="J116" s="288"/>
      <c r="K116" s="64">
        <f>K108</f>
        <v>8409.4871794871906</v>
      </c>
    </row>
    <row r="117" spans="2:12" x14ac:dyDescent="0.2">
      <c r="B117" s="32"/>
      <c r="C117" s="59" t="s">
        <v>418</v>
      </c>
      <c r="D117" s="283" t="s">
        <v>438</v>
      </c>
      <c r="E117" s="284"/>
      <c r="F117" s="284"/>
      <c r="G117" s="284"/>
      <c r="H117" s="284"/>
      <c r="I117" s="284"/>
      <c r="J117" s="285"/>
      <c r="K117" s="67">
        <f>SUM(K110:K116)</f>
        <v>23409.487179487202</v>
      </c>
      <c r="L117" s="66">
        <f>SUM(K117/350)</f>
        <v>66.884249084249106</v>
      </c>
    </row>
    <row r="118" spans="2:12" x14ac:dyDescent="0.2">
      <c r="B118" s="32" t="s">
        <v>420</v>
      </c>
      <c r="C118" s="289" t="s">
        <v>476</v>
      </c>
      <c r="D118" s="289"/>
      <c r="E118" s="289"/>
      <c r="F118" s="289"/>
      <c r="G118" s="289"/>
      <c r="H118" s="289"/>
      <c r="I118" s="289"/>
      <c r="J118" s="289"/>
    </row>
    <row r="122" spans="2:12" x14ac:dyDescent="0.2">
      <c r="B122" s="307" t="s">
        <v>481</v>
      </c>
      <c r="C122" s="307"/>
      <c r="D122" s="307"/>
      <c r="E122" s="307"/>
      <c r="F122" s="307"/>
      <c r="G122" s="307"/>
      <c r="H122" s="307"/>
      <c r="I122" s="307"/>
      <c r="J122" s="307"/>
      <c r="K122" s="298" t="s">
        <v>411</v>
      </c>
      <c r="L122" s="298" t="s">
        <v>412</v>
      </c>
    </row>
    <row r="123" spans="2:12" x14ac:dyDescent="0.2">
      <c r="B123" s="307"/>
      <c r="C123" s="307"/>
      <c r="D123" s="307"/>
      <c r="E123" s="307"/>
      <c r="F123" s="307"/>
      <c r="G123" s="307"/>
      <c r="H123" s="307"/>
      <c r="I123" s="307"/>
      <c r="J123" s="307"/>
      <c r="K123" s="298"/>
      <c r="L123" s="298"/>
    </row>
    <row r="124" spans="2:12" x14ac:dyDescent="0.2">
      <c r="B124" s="294" t="s">
        <v>413</v>
      </c>
      <c r="C124" s="56" t="s">
        <v>482</v>
      </c>
      <c r="D124" s="279" t="s">
        <v>475</v>
      </c>
      <c r="E124" s="279"/>
      <c r="F124" s="279"/>
      <c r="G124" s="279"/>
      <c r="H124" s="279"/>
      <c r="I124" s="279"/>
      <c r="J124" s="286"/>
      <c r="K124" s="62">
        <f>SUM('SUPPLIER &amp; PRICE'!F139*100)</f>
        <v>15857.142857142901</v>
      </c>
    </row>
    <row r="125" spans="2:12" x14ac:dyDescent="0.2">
      <c r="B125" s="294"/>
      <c r="C125" s="56" t="s">
        <v>55</v>
      </c>
      <c r="D125" s="286" t="s">
        <v>451</v>
      </c>
      <c r="E125" s="287"/>
      <c r="F125" s="287"/>
      <c r="G125" s="287"/>
      <c r="H125" s="287"/>
      <c r="I125" s="287"/>
      <c r="J125" s="287"/>
      <c r="K125" s="64">
        <f>SUM('SUPPLIER &amp; PRICE'!F163*300)</f>
        <v>10091.384615384601</v>
      </c>
    </row>
    <row r="126" spans="2:12" x14ac:dyDescent="0.2">
      <c r="B126" s="32"/>
      <c r="C126" s="59" t="s">
        <v>418</v>
      </c>
      <c r="D126" s="283" t="s">
        <v>438</v>
      </c>
      <c r="E126" s="284"/>
      <c r="F126" s="284"/>
      <c r="G126" s="284"/>
      <c r="H126" s="284"/>
      <c r="I126" s="284"/>
      <c r="J126" s="284"/>
      <c r="K126" s="67">
        <f>SUM(K119:K125)</f>
        <v>25948.527472527501</v>
      </c>
      <c r="L126" s="66">
        <f>SUM(K126/350)</f>
        <v>74.138649921507096</v>
      </c>
    </row>
    <row r="127" spans="2:12" x14ac:dyDescent="0.2">
      <c r="B127" s="32" t="s">
        <v>420</v>
      </c>
      <c r="C127" s="289" t="s">
        <v>476</v>
      </c>
      <c r="D127" s="289"/>
      <c r="E127" s="289"/>
      <c r="F127" s="289"/>
      <c r="G127" s="289"/>
      <c r="H127" s="289"/>
      <c r="I127" s="289"/>
      <c r="J127" s="289"/>
    </row>
    <row r="130" spans="2:12" x14ac:dyDescent="0.2">
      <c r="B130" s="309" t="s">
        <v>483</v>
      </c>
      <c r="C130" s="309"/>
      <c r="D130" s="309"/>
      <c r="E130" s="309"/>
      <c r="F130" s="309"/>
      <c r="G130" s="309"/>
      <c r="H130" s="309"/>
      <c r="I130" s="309"/>
      <c r="J130" s="309"/>
    </row>
    <row r="131" spans="2:12" x14ac:dyDescent="0.2">
      <c r="B131" s="309"/>
      <c r="C131" s="309"/>
      <c r="D131" s="309"/>
      <c r="E131" s="309"/>
      <c r="F131" s="309"/>
      <c r="G131" s="309"/>
      <c r="H131" s="309"/>
      <c r="I131" s="309"/>
      <c r="J131" s="309"/>
    </row>
    <row r="132" spans="2:12" x14ac:dyDescent="0.2">
      <c r="B132" s="32" t="s">
        <v>413</v>
      </c>
      <c r="C132" s="56" t="s">
        <v>466</v>
      </c>
      <c r="D132" s="279" t="s">
        <v>448</v>
      </c>
      <c r="E132" s="279"/>
      <c r="F132" s="279"/>
      <c r="G132" s="279"/>
      <c r="H132" s="279"/>
      <c r="I132" s="279"/>
      <c r="J132" s="279"/>
    </row>
    <row r="133" spans="2:12" x14ac:dyDescent="0.2">
      <c r="B133" s="32" t="s">
        <v>418</v>
      </c>
      <c r="C133" s="56" t="s">
        <v>466</v>
      </c>
      <c r="D133" s="279" t="s">
        <v>440</v>
      </c>
      <c r="E133" s="279"/>
      <c r="F133" s="279"/>
      <c r="G133" s="279"/>
      <c r="H133" s="279"/>
      <c r="I133" s="279"/>
      <c r="J133" s="279"/>
    </row>
    <row r="134" spans="2:12" x14ac:dyDescent="0.2">
      <c r="B134" s="32" t="s">
        <v>484</v>
      </c>
      <c r="C134" s="289" t="s">
        <v>485</v>
      </c>
      <c r="D134" s="290"/>
      <c r="E134" s="290"/>
      <c r="F134" s="290"/>
      <c r="G134" s="290"/>
      <c r="H134" s="290"/>
      <c r="I134" s="290"/>
      <c r="J134" s="290"/>
    </row>
    <row r="137" spans="2:12" x14ac:dyDescent="0.2">
      <c r="B137" s="309" t="s">
        <v>486</v>
      </c>
      <c r="C137" s="309"/>
      <c r="D137" s="309"/>
      <c r="E137" s="309"/>
      <c r="F137" s="309"/>
      <c r="G137" s="309"/>
      <c r="H137" s="309"/>
      <c r="I137" s="309"/>
      <c r="J137" s="309"/>
    </row>
    <row r="138" spans="2:12" x14ac:dyDescent="0.2">
      <c r="B138" s="309"/>
      <c r="C138" s="309"/>
      <c r="D138" s="309"/>
      <c r="E138" s="309"/>
      <c r="F138" s="309"/>
      <c r="G138" s="309"/>
      <c r="H138" s="309"/>
      <c r="I138" s="309"/>
      <c r="J138" s="309"/>
    </row>
    <row r="139" spans="2:12" x14ac:dyDescent="0.2">
      <c r="B139" s="69" t="s">
        <v>413</v>
      </c>
      <c r="C139" s="56" t="s">
        <v>12</v>
      </c>
      <c r="D139" s="279" t="s">
        <v>448</v>
      </c>
      <c r="E139" s="279"/>
      <c r="F139" s="279"/>
      <c r="G139" s="279"/>
      <c r="H139" s="279"/>
      <c r="I139" s="279"/>
      <c r="J139" s="279"/>
    </row>
    <row r="140" spans="2:12" x14ac:dyDescent="0.2">
      <c r="B140" s="32" t="s">
        <v>418</v>
      </c>
      <c r="C140" s="56" t="s">
        <v>12</v>
      </c>
      <c r="D140" s="279" t="s">
        <v>440</v>
      </c>
      <c r="E140" s="279"/>
      <c r="F140" s="279"/>
      <c r="G140" s="279"/>
      <c r="H140" s="279"/>
      <c r="I140" s="279"/>
      <c r="J140" s="279"/>
    </row>
    <row r="141" spans="2:12" x14ac:dyDescent="0.2">
      <c r="B141" s="32" t="s">
        <v>484</v>
      </c>
      <c r="C141" s="289" t="s">
        <v>487</v>
      </c>
      <c r="D141" s="289"/>
      <c r="E141" s="289"/>
      <c r="F141" s="289"/>
      <c r="G141" s="289"/>
      <c r="H141" s="289"/>
      <c r="I141" s="289"/>
      <c r="J141" s="289"/>
    </row>
    <row r="144" spans="2:12" x14ac:dyDescent="0.2">
      <c r="B144" s="307" t="s">
        <v>488</v>
      </c>
      <c r="C144" s="307"/>
      <c r="D144" s="307"/>
      <c r="E144" s="307"/>
      <c r="F144" s="307"/>
      <c r="G144" s="307"/>
      <c r="H144" s="307"/>
      <c r="I144" s="307"/>
      <c r="J144" s="307"/>
      <c r="K144" s="298" t="s">
        <v>411</v>
      </c>
      <c r="L144" s="298" t="s">
        <v>412</v>
      </c>
    </row>
    <row r="145" spans="2:12" x14ac:dyDescent="0.2">
      <c r="B145" s="307"/>
      <c r="C145" s="307"/>
      <c r="D145" s="307"/>
      <c r="E145" s="307"/>
      <c r="F145" s="307"/>
      <c r="G145" s="307"/>
      <c r="H145" s="307"/>
      <c r="I145" s="307"/>
      <c r="J145" s="307"/>
      <c r="K145" s="298"/>
      <c r="L145" s="298"/>
    </row>
    <row r="146" spans="2:12" x14ac:dyDescent="0.2">
      <c r="B146" s="294" t="s">
        <v>413</v>
      </c>
      <c r="C146" s="56" t="s">
        <v>449</v>
      </c>
      <c r="D146" s="279" t="s">
        <v>450</v>
      </c>
      <c r="E146" s="279"/>
      <c r="F146" s="279"/>
      <c r="G146" s="279"/>
      <c r="H146" s="279"/>
      <c r="I146" s="279"/>
      <c r="J146" s="286"/>
      <c r="K146" s="62">
        <f>'SUPPLIER &amp; PRICE'!D28</f>
        <v>18000</v>
      </c>
    </row>
    <row r="147" spans="2:12" x14ac:dyDescent="0.2">
      <c r="B147" s="294"/>
      <c r="C147" s="56" t="s">
        <v>193</v>
      </c>
      <c r="D147" s="286" t="s">
        <v>489</v>
      </c>
      <c r="E147" s="287"/>
      <c r="F147" s="287"/>
      <c r="G147" s="287"/>
      <c r="H147" s="287"/>
      <c r="I147" s="287"/>
      <c r="J147" s="287"/>
      <c r="K147" s="64">
        <f>SUM('SUPPLIER &amp; PRICE'!F56*700)</f>
        <v>736.84210526315803</v>
      </c>
    </row>
    <row r="148" spans="2:12" x14ac:dyDescent="0.2">
      <c r="B148" s="32"/>
      <c r="C148" s="59" t="s">
        <v>418</v>
      </c>
      <c r="D148" s="283" t="s">
        <v>448</v>
      </c>
      <c r="E148" s="284"/>
      <c r="F148" s="284"/>
      <c r="G148" s="284"/>
      <c r="H148" s="284"/>
      <c r="I148" s="284"/>
      <c r="J148" s="284"/>
      <c r="K148" s="67">
        <f>SUM(K141:K147)</f>
        <v>18736.8421052632</v>
      </c>
      <c r="L148" s="66">
        <f>SUM(K148/1000)</f>
        <v>18.7368421052632</v>
      </c>
    </row>
    <row r="150" spans="2:12" x14ac:dyDescent="0.2">
      <c r="B150" s="307" t="s">
        <v>279</v>
      </c>
      <c r="C150" s="307"/>
      <c r="D150" s="307"/>
      <c r="E150" s="307"/>
      <c r="F150" s="307"/>
      <c r="G150" s="307"/>
      <c r="H150" s="307"/>
      <c r="I150" s="307"/>
      <c r="J150" s="307"/>
      <c r="K150" s="298" t="s">
        <v>411</v>
      </c>
      <c r="L150" s="298" t="s">
        <v>412</v>
      </c>
    </row>
    <row r="151" spans="2:12" x14ac:dyDescent="0.2">
      <c r="B151" s="307"/>
      <c r="C151" s="307"/>
      <c r="D151" s="307"/>
      <c r="E151" s="307"/>
      <c r="F151" s="307"/>
      <c r="G151" s="307"/>
      <c r="H151" s="307"/>
      <c r="I151" s="307"/>
      <c r="J151" s="307"/>
      <c r="K151" s="298"/>
      <c r="L151" s="298"/>
    </row>
    <row r="152" spans="2:12" x14ac:dyDescent="0.2">
      <c r="B152" s="294" t="s">
        <v>413</v>
      </c>
      <c r="C152" s="56" t="s">
        <v>490</v>
      </c>
      <c r="D152" s="279">
        <v>10</v>
      </c>
      <c r="E152" s="279"/>
      <c r="F152" s="279"/>
      <c r="G152" s="279"/>
      <c r="H152" s="279"/>
      <c r="I152" s="279"/>
      <c r="J152" s="286"/>
      <c r="K152" s="62">
        <f>SUM('SUPPLIER &amp; PRICE'!F41*10)</f>
        <v>2500</v>
      </c>
    </row>
    <row r="153" spans="2:12" x14ac:dyDescent="0.2">
      <c r="B153" s="294"/>
      <c r="C153" s="56" t="s">
        <v>193</v>
      </c>
      <c r="D153" s="286" t="s">
        <v>491</v>
      </c>
      <c r="E153" s="287"/>
      <c r="F153" s="287"/>
      <c r="G153" s="287"/>
      <c r="H153" s="287"/>
      <c r="I153" s="287"/>
      <c r="J153" s="287"/>
      <c r="K153" s="64">
        <f>SUM('SUPPLIER &amp; PRICE'!F56*2000)</f>
        <v>2105.2631578947398</v>
      </c>
    </row>
    <row r="154" spans="2:12" x14ac:dyDescent="0.2">
      <c r="B154" s="32"/>
      <c r="C154" s="59" t="s">
        <v>418</v>
      </c>
      <c r="D154" s="283">
        <v>2000</v>
      </c>
      <c r="E154" s="284"/>
      <c r="F154" s="284"/>
      <c r="G154" s="284"/>
      <c r="H154" s="284"/>
      <c r="I154" s="284"/>
      <c r="J154" s="284"/>
      <c r="K154" s="67">
        <f>SUM(K152:K153)</f>
        <v>4605.2631578947403</v>
      </c>
      <c r="L154" s="66">
        <f>SUM(K154/2000)</f>
        <v>2.3026315789473699</v>
      </c>
    </row>
    <row r="156" spans="2:12" x14ac:dyDescent="0.2">
      <c r="B156" s="307" t="s">
        <v>492</v>
      </c>
      <c r="C156" s="307"/>
      <c r="D156" s="307"/>
      <c r="E156" s="307"/>
      <c r="F156" s="307"/>
      <c r="G156" s="307"/>
      <c r="H156" s="307"/>
      <c r="I156" s="307"/>
      <c r="J156" s="307"/>
      <c r="K156" s="298" t="s">
        <v>411</v>
      </c>
      <c r="L156" s="298" t="s">
        <v>412</v>
      </c>
    </row>
    <row r="157" spans="2:12" x14ac:dyDescent="0.2">
      <c r="B157" s="307"/>
      <c r="C157" s="307"/>
      <c r="D157" s="307"/>
      <c r="E157" s="307"/>
      <c r="F157" s="307"/>
      <c r="G157" s="307"/>
      <c r="H157" s="307"/>
      <c r="I157" s="307"/>
      <c r="J157" s="307"/>
      <c r="K157" s="298"/>
      <c r="L157" s="298"/>
    </row>
    <row r="158" spans="2:12" x14ac:dyDescent="0.2">
      <c r="B158" s="294" t="s">
        <v>413</v>
      </c>
      <c r="C158" s="56" t="s">
        <v>193</v>
      </c>
      <c r="D158" s="286" t="s">
        <v>493</v>
      </c>
      <c r="E158" s="287"/>
      <c r="F158" s="287"/>
      <c r="G158" s="287"/>
      <c r="H158" s="287"/>
      <c r="I158" s="287"/>
      <c r="J158" s="287"/>
      <c r="K158" s="64">
        <v>1</v>
      </c>
    </row>
    <row r="159" spans="2:12" x14ac:dyDescent="0.2">
      <c r="B159" s="294"/>
      <c r="C159" s="59" t="s">
        <v>418</v>
      </c>
      <c r="D159" s="283" t="s">
        <v>494</v>
      </c>
      <c r="E159" s="284"/>
      <c r="F159" s="284"/>
      <c r="G159" s="284"/>
      <c r="H159" s="284"/>
      <c r="I159" s="284"/>
      <c r="J159" s="284"/>
      <c r="K159" s="67">
        <v>3000</v>
      </c>
      <c r="L159" s="66">
        <f>SUM(K159/8)</f>
        <v>375</v>
      </c>
    </row>
    <row r="161" spans="2:12" x14ac:dyDescent="0.2">
      <c r="B161" s="307" t="s">
        <v>495</v>
      </c>
      <c r="C161" s="307"/>
      <c r="D161" s="307"/>
      <c r="E161" s="307"/>
      <c r="F161" s="307"/>
      <c r="G161" s="307"/>
      <c r="H161" s="307"/>
      <c r="I161" s="307"/>
      <c r="J161" s="307"/>
      <c r="K161" s="298" t="s">
        <v>411</v>
      </c>
      <c r="L161" s="298" t="s">
        <v>412</v>
      </c>
    </row>
    <row r="162" spans="2:12" x14ac:dyDescent="0.2">
      <c r="B162" s="307"/>
      <c r="C162" s="307"/>
      <c r="D162" s="307"/>
      <c r="E162" s="307"/>
      <c r="F162" s="307"/>
      <c r="G162" s="307"/>
      <c r="H162" s="307"/>
      <c r="I162" s="307"/>
      <c r="J162" s="307"/>
      <c r="K162" s="298"/>
      <c r="L162" s="298"/>
    </row>
    <row r="163" spans="2:12" x14ac:dyDescent="0.2">
      <c r="B163" s="294" t="s">
        <v>413</v>
      </c>
      <c r="C163" s="56" t="s">
        <v>193</v>
      </c>
      <c r="D163" s="286" t="s">
        <v>493</v>
      </c>
      <c r="E163" s="287"/>
      <c r="F163" s="287"/>
      <c r="G163" s="287"/>
      <c r="H163" s="287"/>
      <c r="I163" s="287"/>
      <c r="J163" s="287"/>
      <c r="K163" s="64">
        <v>1</v>
      </c>
    </row>
    <row r="164" spans="2:12" x14ac:dyDescent="0.2">
      <c r="B164" s="294"/>
      <c r="C164" s="59" t="s">
        <v>418</v>
      </c>
      <c r="D164" s="283" t="s">
        <v>496</v>
      </c>
      <c r="E164" s="284"/>
      <c r="F164" s="284"/>
      <c r="G164" s="284"/>
      <c r="H164" s="284"/>
      <c r="I164" s="284"/>
      <c r="J164" s="284"/>
      <c r="K164" s="67">
        <v>3000</v>
      </c>
      <c r="L164" s="66">
        <f>SUM(K164/3)</f>
        <v>1000</v>
      </c>
    </row>
    <row r="166" spans="2:12" x14ac:dyDescent="0.2">
      <c r="B166" s="307" t="s">
        <v>497</v>
      </c>
      <c r="C166" s="307"/>
      <c r="D166" s="307"/>
      <c r="E166" s="307"/>
      <c r="F166" s="307"/>
      <c r="G166" s="307"/>
      <c r="H166" s="307"/>
      <c r="I166" s="307"/>
      <c r="J166" s="307"/>
      <c r="K166" s="298" t="s">
        <v>411</v>
      </c>
      <c r="L166" s="298" t="s">
        <v>412</v>
      </c>
    </row>
    <row r="167" spans="2:12" x14ac:dyDescent="0.2">
      <c r="B167" s="307"/>
      <c r="C167" s="307"/>
      <c r="D167" s="307"/>
      <c r="E167" s="307"/>
      <c r="F167" s="307"/>
      <c r="G167" s="307"/>
      <c r="H167" s="307"/>
      <c r="I167" s="307"/>
      <c r="J167" s="307"/>
      <c r="K167" s="298"/>
      <c r="L167" s="298"/>
    </row>
    <row r="168" spans="2:12" x14ac:dyDescent="0.2">
      <c r="B168" s="294" t="s">
        <v>413</v>
      </c>
      <c r="C168" s="56" t="s">
        <v>193</v>
      </c>
      <c r="D168" s="286" t="s">
        <v>493</v>
      </c>
      <c r="E168" s="287"/>
      <c r="F168" s="287"/>
      <c r="G168" s="287"/>
      <c r="H168" s="287"/>
      <c r="I168" s="287"/>
      <c r="J168" s="287"/>
      <c r="K168" s="64">
        <v>1</v>
      </c>
    </row>
    <row r="169" spans="2:12" x14ac:dyDescent="0.2">
      <c r="B169" s="294"/>
      <c r="C169" s="59" t="s">
        <v>418</v>
      </c>
      <c r="D169" s="283" t="s">
        <v>498</v>
      </c>
      <c r="E169" s="284"/>
      <c r="F169" s="284"/>
      <c r="G169" s="284"/>
      <c r="H169" s="284"/>
      <c r="I169" s="284"/>
      <c r="J169" s="284"/>
      <c r="K169" s="67">
        <v>3000</v>
      </c>
      <c r="L169" s="66">
        <f>SUM(K169/6)</f>
        <v>500</v>
      </c>
    </row>
    <row r="172" spans="2:12" x14ac:dyDescent="0.2">
      <c r="B172" s="299" t="s">
        <v>499</v>
      </c>
      <c r="C172" s="299"/>
      <c r="D172" s="299"/>
      <c r="E172" s="299"/>
      <c r="F172" s="299"/>
      <c r="G172" s="299"/>
      <c r="H172" s="299"/>
      <c r="I172" s="299"/>
      <c r="J172" s="299"/>
      <c r="K172" s="296" t="s">
        <v>411</v>
      </c>
      <c r="L172" s="296" t="s">
        <v>412</v>
      </c>
    </row>
    <row r="173" spans="2:12" x14ac:dyDescent="0.2">
      <c r="B173" s="299"/>
      <c r="C173" s="299"/>
      <c r="D173" s="299"/>
      <c r="E173" s="299"/>
      <c r="F173" s="299"/>
      <c r="G173" s="299"/>
      <c r="H173" s="299"/>
      <c r="I173" s="299"/>
      <c r="J173" s="299"/>
      <c r="K173" s="296"/>
      <c r="L173" s="296"/>
    </row>
    <row r="174" spans="2:12" x14ac:dyDescent="0.2">
      <c r="B174" s="294" t="s">
        <v>413</v>
      </c>
      <c r="C174" s="32" t="s">
        <v>48</v>
      </c>
      <c r="D174" s="279" t="s">
        <v>500</v>
      </c>
      <c r="E174" s="279"/>
      <c r="F174" s="279"/>
      <c r="G174" s="279"/>
      <c r="H174" s="279"/>
      <c r="I174" s="279"/>
      <c r="J174" s="279"/>
      <c r="K174" s="62">
        <f>SUM(200*768)</f>
        <v>153600</v>
      </c>
      <c r="L174" s="55"/>
    </row>
    <row r="175" spans="2:12" x14ac:dyDescent="0.2">
      <c r="B175" s="295"/>
      <c r="C175" s="32" t="s">
        <v>501</v>
      </c>
      <c r="D175" s="279" t="s">
        <v>458</v>
      </c>
      <c r="E175" s="279"/>
      <c r="F175" s="279"/>
      <c r="G175" s="279"/>
      <c r="H175" s="279"/>
      <c r="I175" s="279"/>
      <c r="J175" s="279"/>
      <c r="K175" s="62">
        <f>SUM(5*1080)</f>
        <v>5400</v>
      </c>
      <c r="L175" s="55"/>
    </row>
    <row r="176" spans="2:12" x14ac:dyDescent="0.2">
      <c r="B176" s="1"/>
      <c r="C176" s="32"/>
      <c r="D176" s="286" t="s">
        <v>502</v>
      </c>
      <c r="E176" s="287"/>
      <c r="F176" s="287"/>
      <c r="G176" s="287"/>
      <c r="H176" s="287"/>
      <c r="I176" s="287"/>
      <c r="J176" s="288"/>
      <c r="K176" s="62">
        <f>'SUPPLIER &amp; PRICE'!F60</f>
        <v>5625</v>
      </c>
      <c r="L176" s="55"/>
    </row>
    <row r="177" spans="2:12" x14ac:dyDescent="0.2">
      <c r="B177" s="1"/>
      <c r="C177" s="53" t="s">
        <v>418</v>
      </c>
      <c r="D177" s="291" t="s">
        <v>500</v>
      </c>
      <c r="E177" s="292"/>
      <c r="F177" s="292"/>
      <c r="G177" s="292"/>
      <c r="H177" s="292"/>
      <c r="I177" s="292"/>
      <c r="J177" s="293"/>
      <c r="K177" s="70">
        <f>SUM(K174:K176)</f>
        <v>164625</v>
      </c>
      <c r="L177" s="66">
        <f>SUM(K177/200)</f>
        <v>823.125</v>
      </c>
    </row>
  </sheetData>
  <mergeCells count="172">
    <mergeCell ref="B6:J7"/>
    <mergeCell ref="C11:J12"/>
    <mergeCell ref="B14:J15"/>
    <mergeCell ref="C19:J20"/>
    <mergeCell ref="B1:L4"/>
    <mergeCell ref="B22:J23"/>
    <mergeCell ref="C27:J28"/>
    <mergeCell ref="B122:J123"/>
    <mergeCell ref="B30:J31"/>
    <mergeCell ref="C65:J66"/>
    <mergeCell ref="B70:J71"/>
    <mergeCell ref="B105:J106"/>
    <mergeCell ref="B49:J50"/>
    <mergeCell ref="B84:J85"/>
    <mergeCell ref="C45:J46"/>
    <mergeCell ref="B95:J96"/>
    <mergeCell ref="B40:J41"/>
    <mergeCell ref="C54:J55"/>
    <mergeCell ref="B57:J58"/>
    <mergeCell ref="B67:J69"/>
    <mergeCell ref="C80:J81"/>
    <mergeCell ref="C90:J91"/>
    <mergeCell ref="C36:J37"/>
    <mergeCell ref="B113:J114"/>
    <mergeCell ref="K172:K173"/>
    <mergeCell ref="L6:L7"/>
    <mergeCell ref="L14:L15"/>
    <mergeCell ref="L22:L23"/>
    <mergeCell ref="L30:L31"/>
    <mergeCell ref="L40:L41"/>
    <mergeCell ref="L49:L50"/>
    <mergeCell ref="L57:L58"/>
    <mergeCell ref="L70:L71"/>
    <mergeCell ref="L84:L85"/>
    <mergeCell ref="L95:L96"/>
    <mergeCell ref="L105:L106"/>
    <mergeCell ref="L113:L114"/>
    <mergeCell ref="L122:L123"/>
    <mergeCell ref="L144:L145"/>
    <mergeCell ref="L150:L151"/>
    <mergeCell ref="L156:L157"/>
    <mergeCell ref="L161:L162"/>
    <mergeCell ref="L166:L167"/>
    <mergeCell ref="L172:L173"/>
    <mergeCell ref="B146:B147"/>
    <mergeCell ref="B152:B153"/>
    <mergeCell ref="B158:B159"/>
    <mergeCell ref="B163:B164"/>
    <mergeCell ref="B168:B169"/>
    <mergeCell ref="B174:B175"/>
    <mergeCell ref="K6:K7"/>
    <mergeCell ref="K14:K15"/>
    <mergeCell ref="K22:K23"/>
    <mergeCell ref="K30:K31"/>
    <mergeCell ref="K40:K41"/>
    <mergeCell ref="K49:K50"/>
    <mergeCell ref="K57:K58"/>
    <mergeCell ref="K70:K71"/>
    <mergeCell ref="K84:K85"/>
    <mergeCell ref="K95:K96"/>
    <mergeCell ref="K105:K106"/>
    <mergeCell ref="K113:K114"/>
    <mergeCell ref="K122:K123"/>
    <mergeCell ref="K144:K145"/>
    <mergeCell ref="K150:K151"/>
    <mergeCell ref="K156:K157"/>
    <mergeCell ref="K161:K162"/>
    <mergeCell ref="K166:K167"/>
    <mergeCell ref="D176:J176"/>
    <mergeCell ref="D177:J177"/>
    <mergeCell ref="B8:B9"/>
    <mergeCell ref="B11:B12"/>
    <mergeCell ref="B16:B17"/>
    <mergeCell ref="B19:B20"/>
    <mergeCell ref="B24:B25"/>
    <mergeCell ref="B27:B28"/>
    <mergeCell ref="B32:B34"/>
    <mergeCell ref="B36:B37"/>
    <mergeCell ref="B42:B43"/>
    <mergeCell ref="B45:B46"/>
    <mergeCell ref="B51:B52"/>
    <mergeCell ref="B54:B55"/>
    <mergeCell ref="B59:B60"/>
    <mergeCell ref="B65:B66"/>
    <mergeCell ref="B72:B73"/>
    <mergeCell ref="B80:B81"/>
    <mergeCell ref="B86:B87"/>
    <mergeCell ref="B90:B91"/>
    <mergeCell ref="B97:B98"/>
    <mergeCell ref="B107:B108"/>
    <mergeCell ref="B115:B116"/>
    <mergeCell ref="B124:B125"/>
    <mergeCell ref="D154:J154"/>
    <mergeCell ref="D158:J158"/>
    <mergeCell ref="D159:J159"/>
    <mergeCell ref="D163:J163"/>
    <mergeCell ref="D164:J164"/>
    <mergeCell ref="D168:J168"/>
    <mergeCell ref="D169:J169"/>
    <mergeCell ref="D174:J174"/>
    <mergeCell ref="D175:J175"/>
    <mergeCell ref="B156:J157"/>
    <mergeCell ref="B161:J162"/>
    <mergeCell ref="B166:J167"/>
    <mergeCell ref="B172:J173"/>
    <mergeCell ref="C134:J134"/>
    <mergeCell ref="D139:J139"/>
    <mergeCell ref="D140:J140"/>
    <mergeCell ref="C141:J141"/>
    <mergeCell ref="D146:J146"/>
    <mergeCell ref="D147:J147"/>
    <mergeCell ref="D148:J148"/>
    <mergeCell ref="D152:J152"/>
    <mergeCell ref="D153:J153"/>
    <mergeCell ref="B137:J138"/>
    <mergeCell ref="B150:J151"/>
    <mergeCell ref="B144:J145"/>
    <mergeCell ref="D116:J116"/>
    <mergeCell ref="D117:J117"/>
    <mergeCell ref="C118:J118"/>
    <mergeCell ref="D124:J124"/>
    <mergeCell ref="D125:J125"/>
    <mergeCell ref="D126:J126"/>
    <mergeCell ref="C127:J127"/>
    <mergeCell ref="D132:J132"/>
    <mergeCell ref="D133:J133"/>
    <mergeCell ref="B130:J131"/>
    <mergeCell ref="D97:J97"/>
    <mergeCell ref="D98:J98"/>
    <mergeCell ref="D99:J99"/>
    <mergeCell ref="C100:J100"/>
    <mergeCell ref="D107:J107"/>
    <mergeCell ref="D108:J108"/>
    <mergeCell ref="D109:J109"/>
    <mergeCell ref="C110:J110"/>
    <mergeCell ref="D115:J115"/>
    <mergeCell ref="D75:J75"/>
    <mergeCell ref="D76:J76"/>
    <mergeCell ref="D77:J77"/>
    <mergeCell ref="D78:J78"/>
    <mergeCell ref="D79:J79"/>
    <mergeCell ref="D86:J86"/>
    <mergeCell ref="D87:J87"/>
    <mergeCell ref="D88:J88"/>
    <mergeCell ref="D89:J89"/>
    <mergeCell ref="D59:J59"/>
    <mergeCell ref="D60:J60"/>
    <mergeCell ref="D61:J61"/>
    <mergeCell ref="D62:J62"/>
    <mergeCell ref="D63:J63"/>
    <mergeCell ref="D64:J64"/>
    <mergeCell ref="D72:J72"/>
    <mergeCell ref="D73:J73"/>
    <mergeCell ref="D74:J74"/>
    <mergeCell ref="D32:J32"/>
    <mergeCell ref="D34:J34"/>
    <mergeCell ref="D35:J35"/>
    <mergeCell ref="D42:J42"/>
    <mergeCell ref="D43:J43"/>
    <mergeCell ref="D44:J44"/>
    <mergeCell ref="D51:J51"/>
    <mergeCell ref="D52:J52"/>
    <mergeCell ref="D53:J53"/>
    <mergeCell ref="D8:J8"/>
    <mergeCell ref="D9:J9"/>
    <mergeCell ref="D10:J10"/>
    <mergeCell ref="D16:J16"/>
    <mergeCell ref="D17:J17"/>
    <mergeCell ref="D18:J18"/>
    <mergeCell ref="D24:J24"/>
    <mergeCell ref="D25:J25"/>
    <mergeCell ref="D26:J26"/>
  </mergeCells>
  <pageMargins left="0.90486111111111101" right="0.75" top="1.0236111111111099" bottom="1" header="0.39305555555555599"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64"/>
  <sheetViews>
    <sheetView topLeftCell="B31" zoomScale="85" zoomScaleNormal="85" workbookViewId="0">
      <selection activeCell="M15" sqref="M15"/>
    </sheetView>
  </sheetViews>
  <sheetFormatPr baseColWidth="10" defaultColWidth="9.1640625" defaultRowHeight="15" x14ac:dyDescent="0.2"/>
  <cols>
    <col min="2" max="2" width="21" style="1" customWidth="1"/>
    <col min="3" max="3" width="22" style="1" customWidth="1"/>
    <col min="4" max="4" width="19.1640625" style="2" customWidth="1"/>
    <col min="5" max="5" width="15.33203125" style="2" customWidth="1"/>
    <col min="6" max="6" width="21.6640625" style="1" customWidth="1"/>
    <col min="8" max="8" width="17" style="1" customWidth="1"/>
    <col min="9" max="9" width="22.1640625" style="1" customWidth="1"/>
    <col min="10" max="10" width="17.83203125" style="2" customWidth="1"/>
    <col min="11" max="11" width="11" style="1" customWidth="1"/>
    <col min="12" max="12" width="22.5" style="2" customWidth="1"/>
  </cols>
  <sheetData>
    <row r="2" spans="2:12" x14ac:dyDescent="0.2">
      <c r="B2" s="314" t="s">
        <v>503</v>
      </c>
      <c r="C2" s="314" t="s">
        <v>504</v>
      </c>
      <c r="D2" s="335" t="s">
        <v>505</v>
      </c>
      <c r="E2" s="335" t="s">
        <v>506</v>
      </c>
      <c r="F2" s="314" t="s">
        <v>507</v>
      </c>
      <c r="H2" s="319" t="s">
        <v>503</v>
      </c>
      <c r="I2" s="319" t="s">
        <v>504</v>
      </c>
      <c r="J2" s="337" t="s">
        <v>505</v>
      </c>
      <c r="K2" s="319" t="s">
        <v>506</v>
      </c>
      <c r="L2" s="337" t="s">
        <v>507</v>
      </c>
    </row>
    <row r="3" spans="2:12" x14ac:dyDescent="0.2">
      <c r="B3" s="315"/>
      <c r="C3" s="334"/>
      <c r="D3" s="336"/>
      <c r="E3" s="336"/>
      <c r="F3" s="334"/>
      <c r="H3" s="324"/>
      <c r="I3" s="324"/>
      <c r="J3" s="338"/>
      <c r="K3" s="324"/>
      <c r="L3" s="338"/>
    </row>
    <row r="4" spans="2:12" x14ac:dyDescent="0.15">
      <c r="B4" s="316" t="s">
        <v>508</v>
      </c>
      <c r="C4" s="3" t="s">
        <v>509</v>
      </c>
      <c r="D4" s="4">
        <v>24000</v>
      </c>
      <c r="E4" s="4" t="s">
        <v>510</v>
      </c>
      <c r="F4" s="5">
        <f>SUM(D4/1000)</f>
        <v>24</v>
      </c>
      <c r="H4" s="316" t="s">
        <v>511</v>
      </c>
      <c r="I4" s="28" t="s">
        <v>73</v>
      </c>
      <c r="J4" s="29">
        <f>'[1]Price List'!$E$110</f>
        <v>420000</v>
      </c>
      <c r="K4" s="30" t="s">
        <v>424</v>
      </c>
      <c r="L4" s="5">
        <f t="shared" ref="L4:L9" si="0">SUM(J4/750)</f>
        <v>560</v>
      </c>
    </row>
    <row r="5" spans="2:12" x14ac:dyDescent="0.15">
      <c r="B5" s="317"/>
      <c r="C5" s="6" t="s">
        <v>512</v>
      </c>
      <c r="D5" s="7">
        <v>35000</v>
      </c>
      <c r="E5" s="7" t="s">
        <v>510</v>
      </c>
      <c r="F5" s="8">
        <f>SUM(D5/1000)</f>
        <v>35</v>
      </c>
      <c r="H5" s="317"/>
      <c r="I5" s="31" t="s">
        <v>144</v>
      </c>
      <c r="J5" s="13">
        <f>'[1]Price List'!$E$111</f>
        <v>420000</v>
      </c>
      <c r="K5" s="32" t="s">
        <v>424</v>
      </c>
      <c r="L5" s="8">
        <f t="shared" si="0"/>
        <v>560</v>
      </c>
    </row>
    <row r="6" spans="2:12" x14ac:dyDescent="0.15">
      <c r="B6" s="317"/>
      <c r="C6" s="6" t="s">
        <v>513</v>
      </c>
      <c r="D6" s="7">
        <v>42000</v>
      </c>
      <c r="E6" s="7" t="s">
        <v>510</v>
      </c>
      <c r="F6" s="8">
        <f>SUM(D6/1000)</f>
        <v>42</v>
      </c>
      <c r="H6" s="317"/>
      <c r="I6" s="31" t="s">
        <v>95</v>
      </c>
      <c r="J6" s="13">
        <f>'[1]Price List'!$E$5</f>
        <v>297000</v>
      </c>
      <c r="K6" s="32" t="s">
        <v>500</v>
      </c>
      <c r="L6" s="8">
        <f>SUM(J6/200)</f>
        <v>1485</v>
      </c>
    </row>
    <row r="7" spans="2:12" x14ac:dyDescent="0.15">
      <c r="B7" s="317"/>
      <c r="C7" s="9" t="s">
        <v>208</v>
      </c>
      <c r="D7" s="7">
        <v>48000</v>
      </c>
      <c r="E7" s="7" t="s">
        <v>510</v>
      </c>
      <c r="F7" s="8">
        <f>SUM(D7/1000)</f>
        <v>48</v>
      </c>
      <c r="H7" s="318"/>
      <c r="I7" s="33" t="s">
        <v>514</v>
      </c>
      <c r="J7" s="19">
        <f>'[1]Price List'!$E$3</f>
        <v>171000</v>
      </c>
      <c r="K7" s="34" t="s">
        <v>424</v>
      </c>
      <c r="L7" s="20">
        <f t="shared" si="0"/>
        <v>228</v>
      </c>
    </row>
    <row r="8" spans="2:12" x14ac:dyDescent="0.15">
      <c r="B8" s="317"/>
      <c r="C8" s="6" t="s">
        <v>16</v>
      </c>
      <c r="D8" s="7">
        <v>35000</v>
      </c>
      <c r="E8" s="7" t="s">
        <v>515</v>
      </c>
      <c r="F8" s="8">
        <f>SUM(D8/300)</f>
        <v>116.666666666667</v>
      </c>
      <c r="H8" s="316" t="s">
        <v>516</v>
      </c>
      <c r="I8" s="28" t="s">
        <v>118</v>
      </c>
      <c r="J8" s="29">
        <v>154440</v>
      </c>
      <c r="K8" s="30" t="s">
        <v>424</v>
      </c>
      <c r="L8" s="5">
        <f t="shared" si="0"/>
        <v>205.92</v>
      </c>
    </row>
    <row r="9" spans="2:12" x14ac:dyDescent="0.15">
      <c r="B9" s="317"/>
      <c r="C9" s="6" t="s">
        <v>218</v>
      </c>
      <c r="D9" s="7">
        <v>20000</v>
      </c>
      <c r="E9" s="7" t="s">
        <v>517</v>
      </c>
      <c r="F9" s="8">
        <f>SUM(D9/300)</f>
        <v>66.6666666666667</v>
      </c>
      <c r="H9" s="318"/>
      <c r="I9" s="33" t="s">
        <v>518</v>
      </c>
      <c r="J9" s="19">
        <v>275000</v>
      </c>
      <c r="K9" s="34" t="s">
        <v>424</v>
      </c>
      <c r="L9" s="20">
        <f t="shared" si="0"/>
        <v>366.66666666666703</v>
      </c>
    </row>
    <row r="10" spans="2:12" x14ac:dyDescent="0.15">
      <c r="B10" s="317"/>
      <c r="C10" s="6" t="s">
        <v>519</v>
      </c>
      <c r="D10" s="7">
        <v>35000</v>
      </c>
      <c r="E10" s="7" t="s">
        <v>520</v>
      </c>
      <c r="F10" s="8">
        <f t="shared" ref="F10:F15" si="1">SUM(D10/1000)</f>
        <v>35</v>
      </c>
      <c r="H10" s="10" t="s">
        <v>521</v>
      </c>
      <c r="I10" s="35" t="s">
        <v>187</v>
      </c>
      <c r="J10" s="36">
        <f>'[1]Price List'!$E$82</f>
        <v>420000</v>
      </c>
      <c r="K10" s="37" t="s">
        <v>522</v>
      </c>
      <c r="L10" s="38">
        <f>SUM(J10/12)</f>
        <v>35000</v>
      </c>
    </row>
    <row r="11" spans="2:12" x14ac:dyDescent="0.15">
      <c r="B11" s="317"/>
      <c r="C11" s="6" t="s">
        <v>523</v>
      </c>
      <c r="D11" s="7">
        <v>60000</v>
      </c>
      <c r="E11" s="7" t="s">
        <v>524</v>
      </c>
      <c r="F11" s="8">
        <f t="shared" si="1"/>
        <v>60</v>
      </c>
      <c r="H11" s="10" t="s">
        <v>525</v>
      </c>
      <c r="I11" s="35" t="s">
        <v>183</v>
      </c>
      <c r="J11" s="36">
        <f>'[1]Price List'!$E$84</f>
        <v>1190000</v>
      </c>
      <c r="K11" s="37" t="s">
        <v>526</v>
      </c>
      <c r="L11" s="38">
        <f>'[1]Price List'!$F$84</f>
        <v>49583.333333333299</v>
      </c>
    </row>
    <row r="12" spans="2:12" x14ac:dyDescent="0.15">
      <c r="B12" s="317"/>
      <c r="C12" s="6" t="s">
        <v>345</v>
      </c>
      <c r="D12" s="7">
        <v>15000</v>
      </c>
      <c r="E12" s="7" t="s">
        <v>524</v>
      </c>
      <c r="F12" s="8">
        <f t="shared" si="1"/>
        <v>15</v>
      </c>
      <c r="H12" s="10" t="s">
        <v>527</v>
      </c>
      <c r="I12" s="35" t="s">
        <v>528</v>
      </c>
      <c r="J12" s="36">
        <f>'[1]Price List'!$E$83</f>
        <v>768000</v>
      </c>
      <c r="K12" s="37" t="s">
        <v>526</v>
      </c>
      <c r="L12" s="38">
        <f>'[1]Price List'!$F$83</f>
        <v>32000</v>
      </c>
    </row>
    <row r="13" spans="2:12" x14ac:dyDescent="0.15">
      <c r="B13" s="317"/>
      <c r="C13" s="6" t="s">
        <v>529</v>
      </c>
      <c r="D13" s="7">
        <v>150000</v>
      </c>
      <c r="E13" s="7" t="s">
        <v>520</v>
      </c>
      <c r="F13" s="8">
        <f t="shared" si="1"/>
        <v>150</v>
      </c>
      <c r="H13" s="10" t="s">
        <v>530</v>
      </c>
      <c r="I13" s="35" t="s">
        <v>185</v>
      </c>
      <c r="J13" s="36">
        <f>'[1]Price List'!$E$106</f>
        <v>750000</v>
      </c>
      <c r="K13" s="37" t="s">
        <v>526</v>
      </c>
      <c r="L13" s="38">
        <f>'[1]Price List'!$F$106</f>
        <v>31250</v>
      </c>
    </row>
    <row r="14" spans="2:12" x14ac:dyDescent="0.15">
      <c r="B14" s="317"/>
      <c r="C14" s="6" t="s">
        <v>400</v>
      </c>
      <c r="D14" s="7">
        <v>200000</v>
      </c>
      <c r="E14" s="7" t="s">
        <v>520</v>
      </c>
      <c r="F14" s="8">
        <f t="shared" si="1"/>
        <v>200</v>
      </c>
      <c r="H14" s="316" t="s">
        <v>531</v>
      </c>
      <c r="I14" s="39" t="s">
        <v>532</v>
      </c>
      <c r="J14" s="40">
        <f>'[1]Price List'!$E$26</f>
        <v>145000</v>
      </c>
      <c r="K14" s="41" t="s">
        <v>415</v>
      </c>
      <c r="L14" s="42">
        <f>SUM(J14/500)</f>
        <v>290</v>
      </c>
    </row>
    <row r="15" spans="2:12" x14ac:dyDescent="0.15">
      <c r="B15" s="317"/>
      <c r="C15" s="6" t="s">
        <v>402</v>
      </c>
      <c r="D15" s="7">
        <v>190000</v>
      </c>
      <c r="E15" s="7" t="s">
        <v>520</v>
      </c>
      <c r="F15" s="8">
        <f t="shared" si="1"/>
        <v>190</v>
      </c>
      <c r="H15" s="318"/>
      <c r="I15" s="39" t="s">
        <v>533</v>
      </c>
      <c r="J15" s="40">
        <v>90000</v>
      </c>
      <c r="K15" s="41" t="s">
        <v>438</v>
      </c>
      <c r="L15" s="42">
        <f>SUM(J15/350)</f>
        <v>257.142857142857</v>
      </c>
    </row>
    <row r="16" spans="2:12" x14ac:dyDescent="0.15">
      <c r="B16" s="317"/>
      <c r="C16" s="6" t="s">
        <v>215</v>
      </c>
      <c r="D16" s="7">
        <v>10000</v>
      </c>
      <c r="E16" s="7" t="s">
        <v>487</v>
      </c>
      <c r="F16" s="8">
        <f>SUM(D16/450)</f>
        <v>22.2222222222222</v>
      </c>
      <c r="H16" s="339" t="s">
        <v>534</v>
      </c>
      <c r="I16" s="28" t="s">
        <v>11</v>
      </c>
      <c r="J16" s="29">
        <v>285000</v>
      </c>
      <c r="K16" s="30" t="s">
        <v>489</v>
      </c>
      <c r="L16" s="5">
        <f>SUM(J16/700)</f>
        <v>407.142857142857</v>
      </c>
    </row>
    <row r="17" spans="2:12" x14ac:dyDescent="0.15">
      <c r="B17" s="317"/>
      <c r="C17" s="6" t="s">
        <v>212</v>
      </c>
      <c r="D17" s="7">
        <v>22000</v>
      </c>
      <c r="E17" s="7" t="s">
        <v>524</v>
      </c>
      <c r="F17" s="8">
        <f>SUM(D17/1000)</f>
        <v>22</v>
      </c>
      <c r="H17" s="340"/>
      <c r="I17" s="31" t="s">
        <v>535</v>
      </c>
      <c r="J17" s="13">
        <f>'[1]Price List'!$E$4</f>
        <v>455000</v>
      </c>
      <c r="K17" s="32" t="s">
        <v>489</v>
      </c>
      <c r="L17" s="8">
        <f>'[1]Price List'!$F$4</f>
        <v>650</v>
      </c>
    </row>
    <row r="18" spans="2:12" x14ac:dyDescent="0.15">
      <c r="B18" s="317"/>
      <c r="C18" s="6" t="s">
        <v>536</v>
      </c>
      <c r="D18" s="7">
        <f>'[2]TOKO BUNGA'!$E$95</f>
        <v>15000</v>
      </c>
      <c r="E18" s="7" t="s">
        <v>537</v>
      </c>
      <c r="F18" s="8">
        <f>SUM(D18/300)</f>
        <v>50</v>
      </c>
      <c r="H18" s="340"/>
      <c r="I18" s="31" t="s">
        <v>538</v>
      </c>
      <c r="J18" s="13">
        <f>'[1]Price List'!$E$4</f>
        <v>455000</v>
      </c>
      <c r="K18" s="32" t="s">
        <v>489</v>
      </c>
      <c r="L18" s="8">
        <f>'[1]Price List'!$F$4</f>
        <v>650</v>
      </c>
    </row>
    <row r="19" spans="2:12" x14ac:dyDescent="0.15">
      <c r="B19" s="317"/>
      <c r="C19" s="6" t="s">
        <v>213</v>
      </c>
      <c r="D19" s="7">
        <v>30000</v>
      </c>
      <c r="E19" s="7" t="s">
        <v>524</v>
      </c>
      <c r="F19" s="8">
        <f>SUM(D19/1000)</f>
        <v>30</v>
      </c>
      <c r="H19" s="340"/>
      <c r="I19" s="31" t="s">
        <v>539</v>
      </c>
      <c r="J19" s="13">
        <f>'[1]Price List'!$E$4</f>
        <v>455000</v>
      </c>
      <c r="K19" s="32" t="s">
        <v>489</v>
      </c>
      <c r="L19" s="8">
        <f>'[1]Price List'!$F$4</f>
        <v>650</v>
      </c>
    </row>
    <row r="20" spans="2:12" x14ac:dyDescent="0.15">
      <c r="B20" s="317"/>
      <c r="C20" s="6" t="s">
        <v>216</v>
      </c>
      <c r="D20" s="7">
        <v>10000</v>
      </c>
      <c r="E20" s="7" t="s">
        <v>524</v>
      </c>
      <c r="F20" s="8">
        <f>SUM(D20/1000)</f>
        <v>10</v>
      </c>
      <c r="H20" s="341"/>
      <c r="I20" s="33" t="s">
        <v>540</v>
      </c>
      <c r="J20" s="19">
        <f>'[1]Price List'!$E$4</f>
        <v>455000</v>
      </c>
      <c r="K20" s="34" t="s">
        <v>489</v>
      </c>
      <c r="L20" s="20">
        <f>'[1]Price List'!$F$4</f>
        <v>650</v>
      </c>
    </row>
    <row r="21" spans="2:12" x14ac:dyDescent="0.15">
      <c r="B21" s="317"/>
      <c r="C21" s="6" t="s">
        <v>541</v>
      </c>
      <c r="D21" s="7">
        <v>60000</v>
      </c>
      <c r="E21" s="7" t="s">
        <v>524</v>
      </c>
      <c r="F21" s="8">
        <f>SUM(D21/1000)</f>
        <v>60</v>
      </c>
      <c r="H21" s="12"/>
    </row>
    <row r="22" spans="2:12" x14ac:dyDescent="0.15">
      <c r="B22" s="317"/>
      <c r="C22" s="6" t="s">
        <v>326</v>
      </c>
      <c r="D22" s="7">
        <v>36000</v>
      </c>
      <c r="E22" s="7" t="s">
        <v>542</v>
      </c>
      <c r="F22" s="8">
        <f>SUM(D22/12)</f>
        <v>3000</v>
      </c>
      <c r="H22" s="12"/>
    </row>
    <row r="23" spans="2:12" x14ac:dyDescent="0.15">
      <c r="B23" s="317"/>
      <c r="C23" s="6" t="s">
        <v>377</v>
      </c>
      <c r="D23" s="7">
        <v>35000</v>
      </c>
      <c r="E23" s="7" t="s">
        <v>524</v>
      </c>
      <c r="F23" s="8">
        <f t="shared" ref="F23:F30" si="2">SUM(D23/1000)</f>
        <v>35</v>
      </c>
    </row>
    <row r="24" spans="2:12" x14ac:dyDescent="0.15">
      <c r="B24" s="317"/>
      <c r="C24" s="6" t="s">
        <v>93</v>
      </c>
      <c r="D24" s="7">
        <v>18000</v>
      </c>
      <c r="E24" s="7" t="s">
        <v>524</v>
      </c>
      <c r="F24" s="8">
        <f t="shared" si="2"/>
        <v>18</v>
      </c>
    </row>
    <row r="25" spans="2:12" x14ac:dyDescent="0.15">
      <c r="B25" s="317"/>
      <c r="C25" s="6" t="s">
        <v>223</v>
      </c>
      <c r="D25" s="7">
        <v>85000</v>
      </c>
      <c r="E25" s="7" t="s">
        <v>524</v>
      </c>
      <c r="F25" s="8">
        <f t="shared" si="2"/>
        <v>85</v>
      </c>
    </row>
    <row r="26" spans="2:12" x14ac:dyDescent="0.15">
      <c r="B26" s="317"/>
      <c r="C26" s="6" t="s">
        <v>543</v>
      </c>
      <c r="D26" s="7">
        <v>40000</v>
      </c>
      <c r="E26" s="7" t="s">
        <v>524</v>
      </c>
      <c r="F26" s="8">
        <f t="shared" si="2"/>
        <v>40</v>
      </c>
    </row>
    <row r="27" spans="2:12" x14ac:dyDescent="0.15">
      <c r="B27" s="317"/>
      <c r="C27" s="6" t="s">
        <v>235</v>
      </c>
      <c r="D27" s="7">
        <v>35000</v>
      </c>
      <c r="E27" s="7" t="s">
        <v>524</v>
      </c>
      <c r="F27" s="8">
        <f t="shared" si="2"/>
        <v>35</v>
      </c>
    </row>
    <row r="28" spans="2:12" x14ac:dyDescent="0.15">
      <c r="B28" s="317"/>
      <c r="C28" s="6" t="s">
        <v>449</v>
      </c>
      <c r="D28" s="7">
        <v>18000</v>
      </c>
      <c r="E28" s="7" t="s">
        <v>524</v>
      </c>
      <c r="F28" s="8">
        <f t="shared" si="2"/>
        <v>18</v>
      </c>
    </row>
    <row r="29" spans="2:12" x14ac:dyDescent="0.15">
      <c r="B29" s="317"/>
      <c r="C29" s="6" t="s">
        <v>373</v>
      </c>
      <c r="D29" s="7">
        <v>80000</v>
      </c>
      <c r="E29" s="7" t="s">
        <v>544</v>
      </c>
      <c r="F29" s="8">
        <f t="shared" si="2"/>
        <v>80</v>
      </c>
    </row>
    <row r="30" spans="2:12" x14ac:dyDescent="0.15">
      <c r="B30" s="317"/>
      <c r="C30" s="6" t="s">
        <v>335</v>
      </c>
      <c r="D30" s="7">
        <v>35000</v>
      </c>
      <c r="E30" s="7" t="s">
        <v>520</v>
      </c>
      <c r="F30" s="8">
        <f t="shared" si="2"/>
        <v>35</v>
      </c>
    </row>
    <row r="31" spans="2:12" x14ac:dyDescent="0.15">
      <c r="B31" s="317"/>
      <c r="C31" s="6" t="s">
        <v>336</v>
      </c>
      <c r="D31" s="7">
        <v>35000</v>
      </c>
      <c r="E31" s="7" t="s">
        <v>489</v>
      </c>
      <c r="F31" s="8">
        <f>SUM(D31/700)</f>
        <v>50</v>
      </c>
    </row>
    <row r="32" spans="2:12" x14ac:dyDescent="0.15">
      <c r="B32" s="317"/>
      <c r="C32" s="6" t="s">
        <v>385</v>
      </c>
      <c r="D32" s="7">
        <v>25000</v>
      </c>
      <c r="E32" s="7" t="s">
        <v>545</v>
      </c>
      <c r="F32" s="8">
        <f>SUM(D32/75)</f>
        <v>333.33333333333297</v>
      </c>
    </row>
    <row r="33" spans="2:8" x14ac:dyDescent="0.15">
      <c r="B33" s="317"/>
      <c r="C33" s="6" t="s">
        <v>546</v>
      </c>
      <c r="D33" s="7">
        <v>160000</v>
      </c>
      <c r="E33" s="7" t="s">
        <v>450</v>
      </c>
      <c r="F33" s="8">
        <f>D33/1000</f>
        <v>160</v>
      </c>
    </row>
    <row r="34" spans="2:8" x14ac:dyDescent="0.15">
      <c r="B34" s="317"/>
      <c r="C34" s="6" t="s">
        <v>547</v>
      </c>
      <c r="D34" s="7">
        <v>55000</v>
      </c>
      <c r="E34" s="7" t="s">
        <v>548</v>
      </c>
      <c r="F34" s="8">
        <f>SUM(D34/165)</f>
        <v>333.33333333333297</v>
      </c>
    </row>
    <row r="35" spans="2:8" x14ac:dyDescent="0.15">
      <c r="B35" s="317"/>
      <c r="C35" s="6" t="s">
        <v>374</v>
      </c>
      <c r="D35" s="7">
        <v>40000</v>
      </c>
      <c r="E35" s="7" t="s">
        <v>450</v>
      </c>
      <c r="F35" s="8">
        <f>D35/1000</f>
        <v>40</v>
      </c>
    </row>
    <row r="36" spans="2:8" x14ac:dyDescent="0.15">
      <c r="B36" s="317"/>
      <c r="C36" s="6" t="s">
        <v>375</v>
      </c>
      <c r="D36" s="7">
        <v>75000</v>
      </c>
      <c r="E36" s="7" t="s">
        <v>448</v>
      </c>
      <c r="F36" s="8">
        <f>SUM(D36/1000)</f>
        <v>75</v>
      </c>
    </row>
    <row r="37" spans="2:8" x14ac:dyDescent="0.15">
      <c r="B37" s="317"/>
      <c r="C37" s="6" t="s">
        <v>387</v>
      </c>
      <c r="D37" s="7">
        <v>25000</v>
      </c>
      <c r="E37" s="7" t="s">
        <v>549</v>
      </c>
      <c r="F37" s="8">
        <f>SUM(D37/40)</f>
        <v>625</v>
      </c>
    </row>
    <row r="38" spans="2:8" x14ac:dyDescent="0.15">
      <c r="B38" s="317"/>
      <c r="C38" s="6" t="s">
        <v>383</v>
      </c>
      <c r="D38" s="7">
        <v>60000</v>
      </c>
      <c r="E38" s="7" t="s">
        <v>550</v>
      </c>
      <c r="F38" s="8">
        <f>SUM(D38/500)</f>
        <v>120</v>
      </c>
      <c r="H38" s="2"/>
    </row>
    <row r="39" spans="2:8" x14ac:dyDescent="0.15">
      <c r="B39" s="317"/>
      <c r="C39" s="6" t="s">
        <v>392</v>
      </c>
      <c r="D39" s="7">
        <v>12500</v>
      </c>
      <c r="E39" s="7" t="s">
        <v>551</v>
      </c>
      <c r="F39" s="8">
        <f>SUM(D39/5)</f>
        <v>2500</v>
      </c>
    </row>
    <row r="40" spans="2:8" x14ac:dyDescent="0.15">
      <c r="B40" s="317"/>
      <c r="C40" s="6" t="s">
        <v>552</v>
      </c>
      <c r="D40" s="7">
        <v>56000</v>
      </c>
      <c r="E40" s="13" t="s">
        <v>553</v>
      </c>
      <c r="F40" s="8">
        <f>SUM(D40/50)</f>
        <v>1120</v>
      </c>
    </row>
    <row r="41" spans="2:8" ht="16" customHeight="1" x14ac:dyDescent="0.15">
      <c r="B41" s="317"/>
      <c r="C41" s="6" t="s">
        <v>554</v>
      </c>
      <c r="D41" s="7">
        <v>25000</v>
      </c>
      <c r="E41" s="13" t="s">
        <v>555</v>
      </c>
      <c r="F41" s="8">
        <f>SUM(D41/100)</f>
        <v>250</v>
      </c>
    </row>
    <row r="42" spans="2:8" ht="16" customHeight="1" x14ac:dyDescent="0.15">
      <c r="B42" s="317"/>
      <c r="C42" s="6" t="s">
        <v>432</v>
      </c>
      <c r="D42" s="7">
        <v>150000</v>
      </c>
      <c r="E42" s="13" t="s">
        <v>520</v>
      </c>
      <c r="F42" s="8">
        <f>SUM(D42/1000)</f>
        <v>150</v>
      </c>
    </row>
    <row r="43" spans="2:8" ht="16" customHeight="1" x14ac:dyDescent="0.15">
      <c r="B43" s="317"/>
      <c r="C43" s="6" t="s">
        <v>556</v>
      </c>
      <c r="D43" s="7">
        <v>280000</v>
      </c>
      <c r="E43" s="13" t="s">
        <v>520</v>
      </c>
      <c r="F43" s="8">
        <f>SUM(D43/1000)</f>
        <v>280</v>
      </c>
    </row>
    <row r="44" spans="2:8" ht="16" customHeight="1" x14ac:dyDescent="0.15">
      <c r="B44" s="317"/>
      <c r="C44" s="6" t="s">
        <v>557</v>
      </c>
      <c r="D44" s="7">
        <v>150000</v>
      </c>
      <c r="E44" s="13" t="s">
        <v>520</v>
      </c>
      <c r="F44" s="8">
        <f>SUM(D44/1000)</f>
        <v>150</v>
      </c>
    </row>
    <row r="45" spans="2:8" ht="16" customHeight="1" x14ac:dyDescent="0.15">
      <c r="B45" s="317"/>
      <c r="C45" s="6" t="s">
        <v>429</v>
      </c>
      <c r="D45" s="7">
        <v>150000</v>
      </c>
      <c r="E45" s="13" t="s">
        <v>520</v>
      </c>
      <c r="F45" s="8">
        <f>SUM(D45/1000)</f>
        <v>150</v>
      </c>
    </row>
    <row r="46" spans="2:8" ht="16" customHeight="1" x14ac:dyDescent="0.15">
      <c r="B46" s="317"/>
      <c r="C46" s="6" t="s">
        <v>558</v>
      </c>
      <c r="D46" s="7">
        <v>75000</v>
      </c>
      <c r="E46" s="13" t="s">
        <v>559</v>
      </c>
      <c r="F46" s="8">
        <f>SUM(D46/1000)</f>
        <v>75</v>
      </c>
    </row>
    <row r="47" spans="2:8" x14ac:dyDescent="0.15">
      <c r="B47" s="317"/>
      <c r="C47" s="6" t="s">
        <v>560</v>
      </c>
      <c r="D47" s="7">
        <v>170000</v>
      </c>
      <c r="E47" s="13" t="s">
        <v>561</v>
      </c>
      <c r="F47" s="8">
        <f>SUM(D47/8000)</f>
        <v>21.25</v>
      </c>
    </row>
    <row r="48" spans="2:8" x14ac:dyDescent="0.15">
      <c r="B48" s="317"/>
      <c r="C48" s="6" t="s">
        <v>25</v>
      </c>
      <c r="D48" s="7">
        <v>15500</v>
      </c>
      <c r="E48" s="13" t="s">
        <v>562</v>
      </c>
      <c r="F48" s="8">
        <f>SUM(D48/500)</f>
        <v>31</v>
      </c>
    </row>
    <row r="49" spans="2:6" x14ac:dyDescent="0.15">
      <c r="B49" s="317"/>
      <c r="C49" s="6" t="s">
        <v>563</v>
      </c>
      <c r="D49" s="7">
        <v>27000</v>
      </c>
      <c r="E49" s="13" t="s">
        <v>564</v>
      </c>
      <c r="F49" s="8">
        <f>SUM(D49/1000)</f>
        <v>27</v>
      </c>
    </row>
    <row r="50" spans="2:6" x14ac:dyDescent="0.15">
      <c r="B50" s="317"/>
      <c r="C50" s="14" t="s">
        <v>378</v>
      </c>
      <c r="D50" s="15">
        <v>2000</v>
      </c>
      <c r="E50" s="16" t="s">
        <v>470</v>
      </c>
      <c r="F50" s="8">
        <f>SUM(D50/20)</f>
        <v>100</v>
      </c>
    </row>
    <row r="51" spans="2:6" x14ac:dyDescent="0.15">
      <c r="B51" s="318"/>
      <c r="C51" s="17" t="s">
        <v>75</v>
      </c>
      <c r="D51" s="18">
        <v>2000</v>
      </c>
      <c r="E51" s="19" t="s">
        <v>565</v>
      </c>
      <c r="F51" s="20">
        <f>D51</f>
        <v>2000</v>
      </c>
    </row>
    <row r="52" spans="2:6" x14ac:dyDescent="0.2">
      <c r="B52" s="12"/>
    </row>
    <row r="54" spans="2:6" x14ac:dyDescent="0.2">
      <c r="B54" s="319" t="s">
        <v>503</v>
      </c>
      <c r="C54" s="319" t="s">
        <v>504</v>
      </c>
      <c r="D54" s="337" t="s">
        <v>505</v>
      </c>
      <c r="E54" s="337" t="s">
        <v>506</v>
      </c>
      <c r="F54" s="319" t="s">
        <v>507</v>
      </c>
    </row>
    <row r="55" spans="2:6" x14ac:dyDescent="0.2">
      <c r="B55" s="320"/>
      <c r="C55" s="324"/>
      <c r="D55" s="338"/>
      <c r="E55" s="338"/>
      <c r="F55" s="324"/>
    </row>
    <row r="56" spans="2:6" x14ac:dyDescent="0.2">
      <c r="B56" s="321" t="s">
        <v>566</v>
      </c>
      <c r="C56" s="21" t="s">
        <v>567</v>
      </c>
      <c r="D56" s="22">
        <v>20000</v>
      </c>
      <c r="E56" s="22" t="s">
        <v>568</v>
      </c>
      <c r="F56" s="23">
        <f>SUM(D56/19000)</f>
        <v>1.0526315789473699</v>
      </c>
    </row>
    <row r="57" spans="2:6" x14ac:dyDescent="0.2">
      <c r="B57" s="322"/>
      <c r="C57" s="24" t="s">
        <v>569</v>
      </c>
      <c r="D57" s="25">
        <v>22000</v>
      </c>
      <c r="E57" s="25" t="s">
        <v>568</v>
      </c>
      <c r="F57" s="26">
        <f>SUM(D57/19000)</f>
        <v>1.15789473684211</v>
      </c>
    </row>
    <row r="58" spans="2:6" x14ac:dyDescent="0.2">
      <c r="B58" s="322"/>
      <c r="C58" s="24" t="s">
        <v>570</v>
      </c>
      <c r="D58" s="25">
        <v>8000</v>
      </c>
      <c r="E58" s="25" t="s">
        <v>565</v>
      </c>
      <c r="F58" s="26">
        <f>SUM(D58/5000)</f>
        <v>1.6</v>
      </c>
    </row>
    <row r="59" spans="2:6" x14ac:dyDescent="0.15">
      <c r="B59" s="322"/>
      <c r="C59" s="9" t="s">
        <v>57</v>
      </c>
      <c r="D59" s="7">
        <v>125000</v>
      </c>
      <c r="E59" s="25" t="s">
        <v>571</v>
      </c>
      <c r="F59" s="26">
        <f>SUM(D59/24)</f>
        <v>5208.3333333333303</v>
      </c>
    </row>
    <row r="60" spans="2:6" x14ac:dyDescent="0.15">
      <c r="B60" s="322"/>
      <c r="C60" s="9" t="s">
        <v>572</v>
      </c>
      <c r="D60" s="25">
        <v>135000</v>
      </c>
      <c r="E60" s="25" t="s">
        <v>571</v>
      </c>
      <c r="F60" s="26">
        <f>SUM(D60/24)</f>
        <v>5625</v>
      </c>
    </row>
    <row r="61" spans="2:6" x14ac:dyDescent="0.15">
      <c r="B61" s="322"/>
      <c r="C61" s="9" t="s">
        <v>573</v>
      </c>
      <c r="D61" s="25">
        <v>135000</v>
      </c>
      <c r="E61" s="25" t="s">
        <v>571</v>
      </c>
      <c r="F61" s="26">
        <f>SUM(D61/24)</f>
        <v>5625</v>
      </c>
    </row>
    <row r="62" spans="2:6" x14ac:dyDescent="0.15">
      <c r="B62" s="322"/>
      <c r="C62" s="9" t="s">
        <v>574</v>
      </c>
      <c r="D62" s="25">
        <v>121000</v>
      </c>
      <c r="E62" s="25" t="s">
        <v>571</v>
      </c>
      <c r="F62" s="26">
        <f>SUM(D62/24)</f>
        <v>5041.6666666666697</v>
      </c>
    </row>
    <row r="63" spans="2:6" x14ac:dyDescent="0.15">
      <c r="B63" s="322"/>
      <c r="C63" s="9" t="s">
        <v>575</v>
      </c>
      <c r="D63" s="25">
        <v>115000</v>
      </c>
      <c r="E63" s="27" t="s">
        <v>576</v>
      </c>
      <c r="F63" s="26">
        <f>SUM(D63/6)</f>
        <v>19166.666666666701</v>
      </c>
    </row>
    <row r="64" spans="2:6" x14ac:dyDescent="0.15">
      <c r="B64" s="322"/>
      <c r="C64" s="9" t="s">
        <v>577</v>
      </c>
      <c r="D64" s="25">
        <v>125000</v>
      </c>
      <c r="E64" s="27" t="s">
        <v>578</v>
      </c>
      <c r="F64" s="26">
        <f>SUM(D64/12)</f>
        <v>10416.666666666701</v>
      </c>
    </row>
    <row r="65" spans="2:6" x14ac:dyDescent="0.15">
      <c r="B65" s="322"/>
      <c r="C65" s="9" t="s">
        <v>579</v>
      </c>
      <c r="D65" s="25">
        <v>120000</v>
      </c>
      <c r="E65" s="27" t="s">
        <v>576</v>
      </c>
      <c r="F65" s="26">
        <f>SUM(D65/6)</f>
        <v>20000</v>
      </c>
    </row>
    <row r="66" spans="2:6" x14ac:dyDescent="0.15">
      <c r="B66" s="322"/>
      <c r="C66" s="9" t="s">
        <v>580</v>
      </c>
      <c r="D66" s="25">
        <v>135000</v>
      </c>
      <c r="E66" s="27" t="s">
        <v>578</v>
      </c>
      <c r="F66" s="26">
        <f>SUM(D66/12)</f>
        <v>11250</v>
      </c>
    </row>
    <row r="67" spans="2:6" x14ac:dyDescent="0.15">
      <c r="B67" s="322"/>
      <c r="C67" s="9" t="s">
        <v>184</v>
      </c>
      <c r="D67" s="25">
        <v>440000</v>
      </c>
      <c r="E67" s="25" t="s">
        <v>581</v>
      </c>
      <c r="F67" s="26">
        <f>SUM(D67/24)</f>
        <v>18333.333333333299</v>
      </c>
    </row>
    <row r="68" spans="2:6" x14ac:dyDescent="0.15">
      <c r="B68" s="322"/>
      <c r="C68" s="9" t="s">
        <v>84</v>
      </c>
      <c r="D68" s="25">
        <v>125000</v>
      </c>
      <c r="E68" s="25" t="s">
        <v>571</v>
      </c>
      <c r="F68" s="26">
        <f>SUM(D68/24)</f>
        <v>5208.3333333333303</v>
      </c>
    </row>
    <row r="69" spans="2:6" x14ac:dyDescent="0.15">
      <c r="B69" s="322"/>
      <c r="C69" s="9" t="s">
        <v>582</v>
      </c>
      <c r="D69" s="25">
        <v>125000</v>
      </c>
      <c r="E69" s="25" t="s">
        <v>571</v>
      </c>
      <c r="F69" s="26">
        <f>SUM(D69/24)</f>
        <v>5208.3333333333303</v>
      </c>
    </row>
    <row r="70" spans="2:6" x14ac:dyDescent="0.15">
      <c r="B70" s="322"/>
      <c r="C70" s="9" t="s">
        <v>583</v>
      </c>
      <c r="D70" s="25">
        <v>475000</v>
      </c>
      <c r="E70" s="25" t="s">
        <v>581</v>
      </c>
      <c r="F70" s="26">
        <f>SUM(D70/24)</f>
        <v>19791.666666666701</v>
      </c>
    </row>
    <row r="71" spans="2:6" x14ac:dyDescent="0.15">
      <c r="B71" s="323"/>
      <c r="C71" s="17" t="s">
        <v>584</v>
      </c>
      <c r="D71" s="43">
        <v>500000</v>
      </c>
      <c r="E71" s="43" t="s">
        <v>571</v>
      </c>
      <c r="F71" s="44">
        <f>SUM(D71/24)</f>
        <v>20833.333333333299</v>
      </c>
    </row>
    <row r="72" spans="2:6" x14ac:dyDescent="0.2">
      <c r="B72" s="45"/>
      <c r="C72" s="45"/>
      <c r="D72" s="46"/>
      <c r="E72" s="46"/>
      <c r="F72" s="45"/>
    </row>
    <row r="74" spans="2:6" x14ac:dyDescent="0.2">
      <c r="B74" s="319" t="s">
        <v>503</v>
      </c>
      <c r="C74" s="319" t="s">
        <v>504</v>
      </c>
      <c r="D74" s="337" t="s">
        <v>505</v>
      </c>
      <c r="E74" s="337" t="s">
        <v>506</v>
      </c>
      <c r="F74" s="319" t="s">
        <v>507</v>
      </c>
    </row>
    <row r="75" spans="2:6" x14ac:dyDescent="0.2">
      <c r="B75" s="324"/>
      <c r="C75" s="324"/>
      <c r="D75" s="338"/>
      <c r="E75" s="338"/>
      <c r="F75" s="324"/>
    </row>
    <row r="76" spans="2:6" x14ac:dyDescent="0.2">
      <c r="B76" s="325" t="s">
        <v>585</v>
      </c>
      <c r="C76" s="28" t="s">
        <v>8</v>
      </c>
      <c r="D76" s="29">
        <f>'[1]Price List'!$E$64</f>
        <v>425000</v>
      </c>
      <c r="E76" s="29" t="s">
        <v>424</v>
      </c>
      <c r="F76" s="5">
        <f>SUM(D76/750)</f>
        <v>566.66666666666697</v>
      </c>
    </row>
    <row r="77" spans="2:6" x14ac:dyDescent="0.2">
      <c r="B77" s="326"/>
      <c r="C77" s="31" t="s">
        <v>586</v>
      </c>
      <c r="D77" s="13">
        <v>625000</v>
      </c>
      <c r="E77" s="13" t="s">
        <v>424</v>
      </c>
      <c r="F77" s="8">
        <f>SUM(D77/750)</f>
        <v>833.33333333333303</v>
      </c>
    </row>
    <row r="78" spans="2:6" x14ac:dyDescent="0.2">
      <c r="B78" s="326"/>
      <c r="C78" s="31" t="s">
        <v>587</v>
      </c>
      <c r="D78" s="13">
        <v>360000</v>
      </c>
      <c r="E78" s="13" t="s">
        <v>424</v>
      </c>
      <c r="F78" s="8">
        <f>SUM(D78/750)</f>
        <v>480</v>
      </c>
    </row>
    <row r="79" spans="2:6" x14ac:dyDescent="0.2">
      <c r="B79" s="326"/>
      <c r="C79" s="31" t="s">
        <v>588</v>
      </c>
      <c r="D79" s="13">
        <v>550000</v>
      </c>
      <c r="E79" s="13" t="s">
        <v>489</v>
      </c>
      <c r="F79" s="8">
        <f t="shared" ref="F79:F81" si="3">SUM(D79/700)</f>
        <v>785.71428571428601</v>
      </c>
    </row>
    <row r="80" spans="2:6" x14ac:dyDescent="0.2">
      <c r="B80" s="326"/>
      <c r="C80" s="31" t="s">
        <v>589</v>
      </c>
      <c r="D80" s="13">
        <v>500000</v>
      </c>
      <c r="E80" s="13" t="s">
        <v>489</v>
      </c>
      <c r="F80" s="8">
        <f t="shared" si="3"/>
        <v>714.28571428571399</v>
      </c>
    </row>
    <row r="81" spans="2:6" x14ac:dyDescent="0.2">
      <c r="B81" s="326"/>
      <c r="C81" s="31" t="s">
        <v>590</v>
      </c>
      <c r="D81" s="13">
        <v>725000</v>
      </c>
      <c r="E81" s="13" t="s">
        <v>489</v>
      </c>
      <c r="F81" s="8">
        <f t="shared" si="3"/>
        <v>1035.7142857142901</v>
      </c>
    </row>
    <row r="82" spans="2:6" x14ac:dyDescent="0.2">
      <c r="B82" s="326"/>
      <c r="C82" s="31" t="s">
        <v>591</v>
      </c>
      <c r="D82" s="13">
        <v>550000</v>
      </c>
      <c r="E82" s="13" t="s">
        <v>424</v>
      </c>
      <c r="F82" s="8">
        <f>SUM(D82/750)</f>
        <v>733.33333333333303</v>
      </c>
    </row>
    <row r="83" spans="2:6" x14ac:dyDescent="0.2">
      <c r="B83" s="326"/>
      <c r="C83" s="31" t="s">
        <v>169</v>
      </c>
      <c r="D83" s="13">
        <v>925000</v>
      </c>
      <c r="E83" s="13" t="s">
        <v>489</v>
      </c>
      <c r="F83" s="8">
        <f>SUM(D83/700)</f>
        <v>1321.42857142857</v>
      </c>
    </row>
    <row r="84" spans="2:6" x14ac:dyDescent="0.2">
      <c r="B84" s="326"/>
      <c r="C84" s="31" t="s">
        <v>592</v>
      </c>
      <c r="D84" s="13">
        <v>780000</v>
      </c>
      <c r="E84" s="13" t="s">
        <v>489</v>
      </c>
      <c r="F84" s="8">
        <f>SUM(D84/700)</f>
        <v>1114.2857142857099</v>
      </c>
    </row>
    <row r="85" spans="2:6" x14ac:dyDescent="0.2">
      <c r="B85" s="326"/>
      <c r="C85" s="31" t="s">
        <v>593</v>
      </c>
      <c r="D85" s="13">
        <v>850000</v>
      </c>
      <c r="E85" s="13" t="s">
        <v>424</v>
      </c>
      <c r="F85" s="8">
        <f>SUM(D85/750)</f>
        <v>1133.3333333333301</v>
      </c>
    </row>
    <row r="86" spans="2:6" x14ac:dyDescent="0.2">
      <c r="B86" s="326"/>
      <c r="C86" s="31" t="s">
        <v>151</v>
      </c>
      <c r="D86" s="13">
        <v>975000</v>
      </c>
      <c r="E86" s="13" t="s">
        <v>424</v>
      </c>
      <c r="F86" s="8">
        <f>SUM(D86/750)</f>
        <v>1300</v>
      </c>
    </row>
    <row r="87" spans="2:6" x14ac:dyDescent="0.2">
      <c r="B87" s="326"/>
      <c r="C87" s="31" t="s">
        <v>594</v>
      </c>
      <c r="D87" s="13">
        <v>855000</v>
      </c>
      <c r="E87" s="13" t="s">
        <v>595</v>
      </c>
      <c r="F87" s="8">
        <f>SUM(D87/750)</f>
        <v>1140</v>
      </c>
    </row>
    <row r="88" spans="2:6" x14ac:dyDescent="0.15">
      <c r="B88" s="326"/>
      <c r="C88" s="9" t="s">
        <v>34</v>
      </c>
      <c r="D88" s="13">
        <v>280000</v>
      </c>
      <c r="E88" s="13" t="s">
        <v>415</v>
      </c>
      <c r="F88" s="8">
        <f>SUM(D88/500)</f>
        <v>560</v>
      </c>
    </row>
    <row r="89" spans="2:6" x14ac:dyDescent="0.15">
      <c r="B89" s="326"/>
      <c r="C89" s="9" t="s">
        <v>596</v>
      </c>
      <c r="D89" s="13">
        <v>500000</v>
      </c>
      <c r="E89" s="13" t="s">
        <v>424</v>
      </c>
      <c r="F89" s="8">
        <f>SUM(D89/750)</f>
        <v>666.66666666666697</v>
      </c>
    </row>
    <row r="90" spans="2:6" x14ac:dyDescent="0.15">
      <c r="B90" s="327"/>
      <c r="C90" s="9" t="s">
        <v>597</v>
      </c>
      <c r="D90" s="13">
        <v>500000</v>
      </c>
      <c r="E90" s="13" t="s">
        <v>424</v>
      </c>
      <c r="F90" s="8">
        <f>SUM(D90/750)</f>
        <v>666.66666666666697</v>
      </c>
    </row>
    <row r="91" spans="2:6" x14ac:dyDescent="0.15">
      <c r="B91" s="328"/>
      <c r="C91" s="17" t="s">
        <v>598</v>
      </c>
      <c r="D91" s="19">
        <v>500000</v>
      </c>
      <c r="E91" s="19" t="s">
        <v>424</v>
      </c>
      <c r="F91" s="20">
        <f>SUM(D91/750)</f>
        <v>666.66666666666697</v>
      </c>
    </row>
    <row r="94" spans="2:6" x14ac:dyDescent="0.2">
      <c r="B94" s="319" t="s">
        <v>503</v>
      </c>
      <c r="C94" s="319" t="s">
        <v>504</v>
      </c>
      <c r="D94" s="337" t="s">
        <v>505</v>
      </c>
      <c r="E94" s="319" t="s">
        <v>506</v>
      </c>
      <c r="F94" s="337" t="s">
        <v>507</v>
      </c>
    </row>
    <row r="95" spans="2:6" x14ac:dyDescent="0.2">
      <c r="B95" s="324"/>
      <c r="C95" s="324"/>
      <c r="D95" s="338"/>
      <c r="E95" s="324"/>
      <c r="F95" s="338"/>
    </row>
    <row r="96" spans="2:6" x14ac:dyDescent="0.2">
      <c r="B96" s="316" t="s">
        <v>599</v>
      </c>
      <c r="C96" s="28" t="s">
        <v>423</v>
      </c>
      <c r="D96" s="29">
        <f>'[1]Price List'!$E$14</f>
        <v>246000</v>
      </c>
      <c r="E96" s="30" t="s">
        <v>424</v>
      </c>
      <c r="F96" s="5">
        <f>SUM(D96/750)</f>
        <v>328</v>
      </c>
    </row>
    <row r="97" spans="2:6" x14ac:dyDescent="0.2">
      <c r="B97" s="317"/>
      <c r="C97" s="31" t="s">
        <v>600</v>
      </c>
      <c r="D97" s="13">
        <f>'[1]Price List'!$E$17</f>
        <v>300000</v>
      </c>
      <c r="E97" s="32" t="s">
        <v>424</v>
      </c>
      <c r="F97" s="8">
        <f>SUM(D97/750)</f>
        <v>400</v>
      </c>
    </row>
    <row r="98" spans="2:6" x14ac:dyDescent="0.2">
      <c r="B98" s="317"/>
      <c r="C98" s="31" t="s">
        <v>157</v>
      </c>
      <c r="D98" s="13">
        <f>'[1]Price List'!$E$62</f>
        <v>700000</v>
      </c>
      <c r="E98" s="32" t="s">
        <v>424</v>
      </c>
      <c r="F98" s="8">
        <f>SUM(D98/750)</f>
        <v>933.33333333333303</v>
      </c>
    </row>
    <row r="99" spans="2:6" x14ac:dyDescent="0.2">
      <c r="B99" s="317"/>
      <c r="C99" s="31" t="s">
        <v>601</v>
      </c>
      <c r="D99" s="13">
        <f>'[1]Price List'!$E$90</f>
        <v>700000</v>
      </c>
      <c r="E99" s="32" t="s">
        <v>489</v>
      </c>
      <c r="F99" s="8">
        <f>SUM(D99/700)</f>
        <v>1000</v>
      </c>
    </row>
    <row r="100" spans="2:6" x14ac:dyDescent="0.2">
      <c r="B100" s="317"/>
      <c r="C100" s="31" t="s">
        <v>602</v>
      </c>
      <c r="D100" s="13">
        <f>'[1]Price List'!$E$63</f>
        <v>600000</v>
      </c>
      <c r="E100" s="32" t="s">
        <v>424</v>
      </c>
      <c r="F100" s="8">
        <f>SUM(D100/750)</f>
        <v>800</v>
      </c>
    </row>
    <row r="101" spans="2:6" x14ac:dyDescent="0.2">
      <c r="B101" s="317"/>
      <c r="C101" s="31" t="s">
        <v>177</v>
      </c>
      <c r="D101" s="13">
        <v>335000</v>
      </c>
      <c r="E101" s="32" t="s">
        <v>424</v>
      </c>
      <c r="F101" s="8">
        <f>SUM(D101/750)</f>
        <v>446.66666666666703</v>
      </c>
    </row>
    <row r="102" spans="2:6" x14ac:dyDescent="0.2">
      <c r="B102" s="317"/>
      <c r="C102" s="31" t="s">
        <v>603</v>
      </c>
      <c r="D102" s="13">
        <v>450000</v>
      </c>
      <c r="E102" s="32" t="s">
        <v>424</v>
      </c>
      <c r="F102" s="8">
        <f>SUM(D102/750)</f>
        <v>600</v>
      </c>
    </row>
    <row r="103" spans="2:6" x14ac:dyDescent="0.2">
      <c r="B103" s="317"/>
      <c r="C103" s="31" t="s">
        <v>74</v>
      </c>
      <c r="D103" s="13">
        <f>'[1]Price List'!$E$8</f>
        <v>450000</v>
      </c>
      <c r="E103" s="32" t="s">
        <v>424</v>
      </c>
      <c r="F103" s="8">
        <f t="shared" ref="F103:F116" si="4">SUM(D103/750)</f>
        <v>600</v>
      </c>
    </row>
    <row r="104" spans="2:6" x14ac:dyDescent="0.2">
      <c r="B104" s="317"/>
      <c r="C104" s="31" t="s">
        <v>333</v>
      </c>
      <c r="D104" s="13">
        <f>'[1]Price List'!$E$9</f>
        <v>435000</v>
      </c>
      <c r="E104" s="32" t="s">
        <v>424</v>
      </c>
      <c r="F104" s="8">
        <f t="shared" si="4"/>
        <v>580</v>
      </c>
    </row>
    <row r="105" spans="2:6" x14ac:dyDescent="0.2">
      <c r="B105" s="317"/>
      <c r="C105" s="31" t="s">
        <v>604</v>
      </c>
      <c r="D105" s="13">
        <f>'[1]Price List'!$E$23</f>
        <v>925000</v>
      </c>
      <c r="E105" s="32" t="s">
        <v>424</v>
      </c>
      <c r="F105" s="8">
        <f t="shared" si="4"/>
        <v>1233.3333333333301</v>
      </c>
    </row>
    <row r="106" spans="2:6" x14ac:dyDescent="0.2">
      <c r="B106" s="317"/>
      <c r="C106" s="31" t="s">
        <v>605</v>
      </c>
      <c r="D106" s="13">
        <f>'[1]Price List'!$E$53</f>
        <v>270000</v>
      </c>
      <c r="E106" s="32" t="s">
        <v>424</v>
      </c>
      <c r="F106" s="8">
        <f t="shared" si="4"/>
        <v>360</v>
      </c>
    </row>
    <row r="107" spans="2:6" x14ac:dyDescent="0.2">
      <c r="B107" s="317"/>
      <c r="C107" s="31" t="s">
        <v>606</v>
      </c>
      <c r="D107" s="13">
        <v>346500</v>
      </c>
      <c r="E107" s="32" t="s">
        <v>424</v>
      </c>
      <c r="F107" s="8">
        <f t="shared" si="4"/>
        <v>462</v>
      </c>
    </row>
    <row r="108" spans="2:6" x14ac:dyDescent="0.2">
      <c r="B108" s="317"/>
      <c r="C108" s="31" t="s">
        <v>134</v>
      </c>
      <c r="D108" s="13">
        <v>465500</v>
      </c>
      <c r="E108" s="32" t="s">
        <v>424</v>
      </c>
      <c r="F108" s="8">
        <f t="shared" si="4"/>
        <v>620.66666666666697</v>
      </c>
    </row>
    <row r="109" spans="2:6" x14ac:dyDescent="0.2">
      <c r="B109" s="317"/>
      <c r="C109" s="31" t="s">
        <v>135</v>
      </c>
      <c r="D109" s="13">
        <v>243000</v>
      </c>
      <c r="E109" s="32" t="s">
        <v>424</v>
      </c>
      <c r="F109" s="8">
        <f t="shared" si="4"/>
        <v>324</v>
      </c>
    </row>
    <row r="110" spans="2:6" x14ac:dyDescent="0.2">
      <c r="B110" s="317"/>
      <c r="C110" s="31" t="s">
        <v>397</v>
      </c>
      <c r="D110" s="13">
        <v>250000</v>
      </c>
      <c r="E110" s="32" t="s">
        <v>424</v>
      </c>
      <c r="F110" s="8">
        <f t="shared" si="4"/>
        <v>333.33333333333297</v>
      </c>
    </row>
    <row r="111" spans="2:6" x14ac:dyDescent="0.2">
      <c r="B111" s="317"/>
      <c r="C111" s="31" t="s">
        <v>607</v>
      </c>
      <c r="D111" s="13">
        <f>'[1]Price List'!$E$61</f>
        <v>337500</v>
      </c>
      <c r="E111" s="32" t="s">
        <v>424</v>
      </c>
      <c r="F111" s="8">
        <f t="shared" si="4"/>
        <v>450</v>
      </c>
    </row>
    <row r="112" spans="2:6" x14ac:dyDescent="0.15">
      <c r="B112" s="317"/>
      <c r="C112" s="9" t="s">
        <v>608</v>
      </c>
      <c r="D112" s="13">
        <f>'[1]Price List'!$E$54</f>
        <v>270000</v>
      </c>
      <c r="E112" s="32" t="s">
        <v>424</v>
      </c>
      <c r="F112" s="8">
        <f t="shared" si="4"/>
        <v>360</v>
      </c>
    </row>
    <row r="113" spans="2:6" x14ac:dyDescent="0.15">
      <c r="B113" s="317"/>
      <c r="C113" s="9" t="s">
        <v>609</v>
      </c>
      <c r="D113" s="13">
        <v>351000</v>
      </c>
      <c r="E113" s="32" t="s">
        <v>424</v>
      </c>
      <c r="F113" s="8">
        <f t="shared" si="4"/>
        <v>468</v>
      </c>
    </row>
    <row r="114" spans="2:6" x14ac:dyDescent="0.15">
      <c r="B114" s="317"/>
      <c r="C114" s="9" t="s">
        <v>610</v>
      </c>
      <c r="D114" s="13">
        <v>990000</v>
      </c>
      <c r="E114" s="32" t="s">
        <v>424</v>
      </c>
      <c r="F114" s="8">
        <f t="shared" si="4"/>
        <v>1320</v>
      </c>
    </row>
    <row r="115" spans="2:6" x14ac:dyDescent="0.15">
      <c r="B115" s="317"/>
      <c r="C115" s="9" t="s">
        <v>611</v>
      </c>
      <c r="D115" s="13">
        <f>'[1]Price List'!$E$88</f>
        <v>1201500</v>
      </c>
      <c r="E115" s="32" t="s">
        <v>424</v>
      </c>
      <c r="F115" s="8">
        <f t="shared" si="4"/>
        <v>1602</v>
      </c>
    </row>
    <row r="116" spans="2:6" x14ac:dyDescent="0.15">
      <c r="B116" s="318"/>
      <c r="C116" s="17" t="s">
        <v>612</v>
      </c>
      <c r="D116" s="19">
        <f>'[1]Price List'!$E$89</f>
        <v>310500</v>
      </c>
      <c r="E116" s="34" t="s">
        <v>424</v>
      </c>
      <c r="F116" s="20">
        <f t="shared" si="4"/>
        <v>414</v>
      </c>
    </row>
    <row r="118" spans="2:6" x14ac:dyDescent="0.2">
      <c r="B118" s="319" t="s">
        <v>503</v>
      </c>
      <c r="C118" s="319" t="s">
        <v>504</v>
      </c>
      <c r="D118" s="337" t="s">
        <v>505</v>
      </c>
      <c r="E118" s="319" t="s">
        <v>506</v>
      </c>
      <c r="F118" s="337" t="s">
        <v>507</v>
      </c>
    </row>
    <row r="119" spans="2:6" x14ac:dyDescent="0.2">
      <c r="B119" s="324"/>
      <c r="C119" s="324"/>
      <c r="D119" s="338"/>
      <c r="E119" s="324"/>
      <c r="F119" s="338"/>
    </row>
    <row r="120" spans="2:6" x14ac:dyDescent="0.2">
      <c r="B120" s="316" t="s">
        <v>613</v>
      </c>
      <c r="C120" s="28" t="s">
        <v>614</v>
      </c>
      <c r="D120" s="29">
        <f>'[1]Price List'!$E$95</f>
        <v>196000</v>
      </c>
      <c r="E120" s="30" t="s">
        <v>435</v>
      </c>
      <c r="F120" s="5">
        <f>'[1]Price List'!$F$95</f>
        <v>3920</v>
      </c>
    </row>
    <row r="121" spans="2:6" x14ac:dyDescent="0.2">
      <c r="B121" s="317"/>
      <c r="C121" s="31" t="s">
        <v>615</v>
      </c>
      <c r="D121" s="13">
        <f>'[1]Price List'!$E$94</f>
        <v>308000</v>
      </c>
      <c r="E121" s="32" t="s">
        <v>435</v>
      </c>
      <c r="F121" s="8">
        <f>'[1]Price List'!$F$94</f>
        <v>6160</v>
      </c>
    </row>
    <row r="122" spans="2:6" x14ac:dyDescent="0.2">
      <c r="B122" s="317"/>
      <c r="C122" s="31" t="s">
        <v>616</v>
      </c>
      <c r="D122" s="13">
        <f>'[1]Price List'!$E$96</f>
        <v>196000</v>
      </c>
      <c r="E122" s="32" t="s">
        <v>435</v>
      </c>
      <c r="F122" s="8">
        <f>'[1]Price List'!$F$96</f>
        <v>3920</v>
      </c>
    </row>
    <row r="123" spans="2:6" x14ac:dyDescent="0.2">
      <c r="B123" s="317"/>
      <c r="C123" s="31" t="s">
        <v>255</v>
      </c>
      <c r="D123" s="13">
        <v>196000</v>
      </c>
      <c r="E123" s="32" t="str">
        <f>E122</f>
        <v>50 gr</v>
      </c>
      <c r="F123" s="8">
        <f>'[1]Price List'!$F$96</f>
        <v>3920</v>
      </c>
    </row>
    <row r="124" spans="2:6" x14ac:dyDescent="0.2">
      <c r="B124" s="317"/>
      <c r="C124" s="31" t="s">
        <v>617</v>
      </c>
      <c r="D124" s="13">
        <f>'[1]Price List'!$E$97</f>
        <v>133000</v>
      </c>
      <c r="E124" s="32" t="s">
        <v>435</v>
      </c>
      <c r="F124" s="8">
        <f>'[1]Price List'!$F$97</f>
        <v>2660</v>
      </c>
    </row>
    <row r="125" spans="2:6" x14ac:dyDescent="0.2">
      <c r="B125" s="317"/>
      <c r="C125" s="31" t="s">
        <v>252</v>
      </c>
      <c r="D125" s="13">
        <f>'[1]Price List'!$E$98</f>
        <v>77000</v>
      </c>
      <c r="E125" s="32" t="s">
        <v>435</v>
      </c>
      <c r="F125" s="8">
        <f>'[1]Price List'!$F$98</f>
        <v>1540</v>
      </c>
    </row>
    <row r="126" spans="2:6" x14ac:dyDescent="0.2">
      <c r="B126" s="317"/>
      <c r="C126" s="33" t="s">
        <v>244</v>
      </c>
      <c r="D126" s="19">
        <v>800000</v>
      </c>
      <c r="E126" s="34" t="s">
        <v>618</v>
      </c>
      <c r="F126" s="20">
        <f>SUM(D126/360)</f>
        <v>2222.2222222222199</v>
      </c>
    </row>
    <row r="127" spans="2:6" x14ac:dyDescent="0.2">
      <c r="B127" s="47" t="s">
        <v>619</v>
      </c>
      <c r="C127" s="48" t="s">
        <v>620</v>
      </c>
      <c r="D127" s="40">
        <f>'[1]Price List'!$E$85</f>
        <v>270000</v>
      </c>
      <c r="E127" s="41" t="s">
        <v>621</v>
      </c>
      <c r="F127" s="42">
        <f>'[1]Price List'!$F$85</f>
        <v>1080</v>
      </c>
    </row>
    <row r="128" spans="2:6" x14ac:dyDescent="0.2">
      <c r="B128" s="47" t="s">
        <v>622</v>
      </c>
      <c r="C128" s="48" t="s">
        <v>192</v>
      </c>
      <c r="D128" s="40">
        <v>280000</v>
      </c>
      <c r="E128" s="41" t="s">
        <v>450</v>
      </c>
      <c r="F128" s="42">
        <f>SUM(D128/1000)</f>
        <v>280</v>
      </c>
    </row>
    <row r="129" spans="2:6" x14ac:dyDescent="0.2">
      <c r="B129" s="316" t="s">
        <v>623</v>
      </c>
      <c r="C129" s="28" t="s">
        <v>624</v>
      </c>
      <c r="D129" s="29">
        <f>'[1]Price List'!$E$101</f>
        <v>122000</v>
      </c>
      <c r="E129" s="30" t="s">
        <v>522</v>
      </c>
      <c r="F129" s="5">
        <f>'[1]Price List'!$F$101</f>
        <v>10166.666666666701</v>
      </c>
    </row>
    <row r="130" spans="2:6" x14ac:dyDescent="0.2">
      <c r="B130" s="317"/>
      <c r="C130" s="31" t="s">
        <v>625</v>
      </c>
      <c r="D130" s="13">
        <f>'[1]Price List'!$E$102</f>
        <v>112000</v>
      </c>
      <c r="E130" s="32" t="s">
        <v>626</v>
      </c>
      <c r="F130" s="8">
        <f>'[1]Price List'!$F$102</f>
        <v>18666.666666666701</v>
      </c>
    </row>
    <row r="131" spans="2:6" x14ac:dyDescent="0.2">
      <c r="B131" s="317"/>
      <c r="C131" s="31" t="s">
        <v>627</v>
      </c>
      <c r="D131" s="13">
        <f>'[1]Price List'!$E$103</f>
        <v>135000</v>
      </c>
      <c r="E131" s="32" t="s">
        <v>522</v>
      </c>
      <c r="F131" s="8">
        <f>'[1]Price List'!$F$103</f>
        <v>11250</v>
      </c>
    </row>
    <row r="132" spans="2:6" x14ac:dyDescent="0.2">
      <c r="B132" s="318"/>
      <c r="C132" s="49" t="s">
        <v>628</v>
      </c>
      <c r="D132" s="16">
        <f>'[1]Price List'!$E$104</f>
        <v>120000</v>
      </c>
      <c r="E132" s="50" t="s">
        <v>626</v>
      </c>
      <c r="F132" s="51">
        <f>'[1]Price List'!$F$104</f>
        <v>20000</v>
      </c>
    </row>
    <row r="133" spans="2:6" x14ac:dyDescent="0.2">
      <c r="B133" s="11" t="s">
        <v>272</v>
      </c>
      <c r="C133" s="48" t="s">
        <v>629</v>
      </c>
      <c r="D133" s="40">
        <f>'[1]Price List'!$E$105</f>
        <v>1122876</v>
      </c>
      <c r="E133" s="41" t="s">
        <v>630</v>
      </c>
      <c r="F133" s="42">
        <f>'[1]Price List'!$F$105</f>
        <v>31191</v>
      </c>
    </row>
    <row r="134" spans="2:6" x14ac:dyDescent="0.2">
      <c r="B134" s="10" t="s">
        <v>631</v>
      </c>
      <c r="C134" s="52" t="s">
        <v>632</v>
      </c>
      <c r="D134" s="36">
        <v>240000</v>
      </c>
      <c r="E134" s="37" t="s">
        <v>633</v>
      </c>
      <c r="F134" s="38">
        <f>SUM(D134/20)</f>
        <v>12000</v>
      </c>
    </row>
    <row r="135" spans="2:6" x14ac:dyDescent="0.2">
      <c r="B135" s="47" t="s">
        <v>634</v>
      </c>
      <c r="C135" s="48" t="s">
        <v>635</v>
      </c>
      <c r="D135" s="40">
        <v>100000</v>
      </c>
      <c r="E135" s="41" t="s">
        <v>450</v>
      </c>
      <c r="F135" s="42">
        <f>SUM(D135/1000)</f>
        <v>100</v>
      </c>
    </row>
    <row r="136" spans="2:6" x14ac:dyDescent="0.2">
      <c r="B136" s="316" t="s">
        <v>636</v>
      </c>
      <c r="C136" s="28" t="s">
        <v>637</v>
      </c>
      <c r="D136" s="29">
        <v>111000</v>
      </c>
      <c r="E136" s="30" t="s">
        <v>489</v>
      </c>
      <c r="F136" s="5">
        <f t="shared" ref="F136:F147" si="5">SUM(D136/700)</f>
        <v>158.57142857142901</v>
      </c>
    </row>
    <row r="137" spans="2:6" x14ac:dyDescent="0.2">
      <c r="B137" s="317"/>
      <c r="C137" s="31" t="s">
        <v>638</v>
      </c>
      <c r="D137" s="13">
        <v>111000</v>
      </c>
      <c r="E137" s="32" t="s">
        <v>489</v>
      </c>
      <c r="F137" s="8">
        <f t="shared" si="5"/>
        <v>158.57142857142901</v>
      </c>
    </row>
    <row r="138" spans="2:6" x14ac:dyDescent="0.2">
      <c r="B138" s="317"/>
      <c r="C138" s="31" t="s">
        <v>384</v>
      </c>
      <c r="D138" s="13">
        <v>111000</v>
      </c>
      <c r="E138" s="32" t="s">
        <v>489</v>
      </c>
      <c r="F138" s="8">
        <f t="shared" si="5"/>
        <v>158.57142857142901</v>
      </c>
    </row>
    <row r="139" spans="2:6" x14ac:dyDescent="0.2">
      <c r="B139" s="317"/>
      <c r="C139" s="31" t="s">
        <v>639</v>
      </c>
      <c r="D139" s="13">
        <v>111000</v>
      </c>
      <c r="E139" s="32" t="s">
        <v>489</v>
      </c>
      <c r="F139" s="8">
        <f t="shared" si="5"/>
        <v>158.57142857142901</v>
      </c>
    </row>
    <row r="140" spans="2:6" x14ac:dyDescent="0.2">
      <c r="B140" s="317"/>
      <c r="C140" s="31" t="s">
        <v>640</v>
      </c>
      <c r="D140" s="13">
        <v>111000</v>
      </c>
      <c r="E140" s="32" t="s">
        <v>489</v>
      </c>
      <c r="F140" s="8">
        <f t="shared" si="5"/>
        <v>158.57142857142901</v>
      </c>
    </row>
    <row r="141" spans="2:6" x14ac:dyDescent="0.2">
      <c r="B141" s="317"/>
      <c r="C141" s="31" t="s">
        <v>641</v>
      </c>
      <c r="D141" s="13">
        <v>111000</v>
      </c>
      <c r="E141" s="32" t="s">
        <v>489</v>
      </c>
      <c r="F141" s="8">
        <f t="shared" si="5"/>
        <v>158.57142857142901</v>
      </c>
    </row>
    <row r="142" spans="2:6" x14ac:dyDescent="0.2">
      <c r="B142" s="317"/>
      <c r="C142" s="31" t="s">
        <v>642</v>
      </c>
      <c r="D142" s="13">
        <v>111000</v>
      </c>
      <c r="E142" s="32" t="s">
        <v>489</v>
      </c>
      <c r="F142" s="8">
        <f t="shared" si="5"/>
        <v>158.57142857142901</v>
      </c>
    </row>
    <row r="143" spans="2:6" x14ac:dyDescent="0.2">
      <c r="B143" s="317"/>
      <c r="C143" s="31" t="s">
        <v>643</v>
      </c>
      <c r="D143" s="13">
        <v>111000</v>
      </c>
      <c r="E143" s="32" t="s">
        <v>489</v>
      </c>
      <c r="F143" s="8">
        <f t="shared" si="5"/>
        <v>158.57142857142901</v>
      </c>
    </row>
    <row r="144" spans="2:6" x14ac:dyDescent="0.2">
      <c r="B144" s="317"/>
      <c r="C144" s="31" t="s">
        <v>644</v>
      </c>
      <c r="D144" s="13">
        <v>111000</v>
      </c>
      <c r="E144" s="32" t="s">
        <v>489</v>
      </c>
      <c r="F144" s="8">
        <f t="shared" si="5"/>
        <v>158.57142857142901</v>
      </c>
    </row>
    <row r="145" spans="2:6" x14ac:dyDescent="0.2">
      <c r="B145" s="317"/>
      <c r="C145" s="31" t="s">
        <v>645</v>
      </c>
      <c r="D145" s="13">
        <v>111000</v>
      </c>
      <c r="E145" s="32" t="s">
        <v>489</v>
      </c>
      <c r="F145" s="8">
        <f t="shared" si="5"/>
        <v>158.57142857142901</v>
      </c>
    </row>
    <row r="146" spans="2:6" x14ac:dyDescent="0.2">
      <c r="B146" s="317"/>
      <c r="C146" s="31" t="s">
        <v>646</v>
      </c>
      <c r="D146" s="13">
        <v>111000</v>
      </c>
      <c r="E146" s="32" t="s">
        <v>489</v>
      </c>
      <c r="F146" s="8">
        <f t="shared" si="5"/>
        <v>158.57142857142901</v>
      </c>
    </row>
    <row r="147" spans="2:6" x14ac:dyDescent="0.2">
      <c r="B147" s="318"/>
      <c r="C147" s="49" t="s">
        <v>647</v>
      </c>
      <c r="D147" s="16">
        <v>111000</v>
      </c>
      <c r="E147" s="50" t="s">
        <v>489</v>
      </c>
      <c r="F147" s="51">
        <f t="shared" si="5"/>
        <v>158.57142857142901</v>
      </c>
    </row>
    <row r="148" spans="2:6" x14ac:dyDescent="0.2">
      <c r="B148" s="329" t="s">
        <v>648</v>
      </c>
      <c r="C148" s="28" t="s">
        <v>649</v>
      </c>
      <c r="D148" s="29">
        <v>45000</v>
      </c>
      <c r="E148" s="30" t="s">
        <v>435</v>
      </c>
      <c r="F148" s="5">
        <f>SUM(D148/50)</f>
        <v>900</v>
      </c>
    </row>
    <row r="149" spans="2:6" x14ac:dyDescent="0.2">
      <c r="B149" s="330"/>
      <c r="C149" s="49" t="s">
        <v>650</v>
      </c>
      <c r="D149" s="16">
        <v>28000</v>
      </c>
      <c r="E149" s="50" t="s">
        <v>651</v>
      </c>
      <c r="F149" s="51">
        <f>SUM(D149/30)</f>
        <v>933.33333333333303</v>
      </c>
    </row>
    <row r="150" spans="2:6" x14ac:dyDescent="0.2">
      <c r="B150" s="331" t="s">
        <v>652</v>
      </c>
      <c r="C150" s="28" t="s">
        <v>653</v>
      </c>
      <c r="D150" s="29">
        <v>50000</v>
      </c>
      <c r="E150" s="30" t="s">
        <v>654</v>
      </c>
      <c r="F150" s="5">
        <f>SUM(D150/110)</f>
        <v>454.54545454545502</v>
      </c>
    </row>
    <row r="151" spans="2:6" x14ac:dyDescent="0.2">
      <c r="B151" s="332"/>
      <c r="C151" s="31" t="s">
        <v>655</v>
      </c>
      <c r="D151" s="13">
        <v>25000</v>
      </c>
      <c r="E151" s="32" t="s">
        <v>633</v>
      </c>
      <c r="F151" s="8">
        <f>SUM(D151/20)</f>
        <v>1250</v>
      </c>
    </row>
    <row r="152" spans="2:6" x14ac:dyDescent="0.2">
      <c r="B152" s="332"/>
      <c r="C152" s="31" t="s">
        <v>75</v>
      </c>
      <c r="D152" s="13">
        <v>2000</v>
      </c>
      <c r="E152" s="32" t="s">
        <v>656</v>
      </c>
      <c r="F152" s="8">
        <f>D152</f>
        <v>2000</v>
      </c>
    </row>
    <row r="153" spans="2:6" x14ac:dyDescent="0.2">
      <c r="B153" s="332"/>
      <c r="C153" s="31" t="s">
        <v>657</v>
      </c>
      <c r="D153" s="13">
        <v>35000</v>
      </c>
      <c r="E153" s="32" t="s">
        <v>658</v>
      </c>
      <c r="F153" s="8">
        <f>SUM(D153/65)</f>
        <v>538.461538461538</v>
      </c>
    </row>
    <row r="154" spans="2:6" x14ac:dyDescent="0.2">
      <c r="B154" s="332"/>
      <c r="C154" s="31" t="s">
        <v>356</v>
      </c>
      <c r="D154" s="13">
        <v>60000</v>
      </c>
      <c r="E154" s="32" t="s">
        <v>659</v>
      </c>
      <c r="F154" s="8">
        <f>SUM(D154/60)</f>
        <v>1000</v>
      </c>
    </row>
    <row r="155" spans="2:6" x14ac:dyDescent="0.2">
      <c r="B155" s="332"/>
      <c r="C155" s="31" t="s">
        <v>660</v>
      </c>
      <c r="D155" s="13">
        <v>80000</v>
      </c>
      <c r="E155" s="32" t="s">
        <v>661</v>
      </c>
      <c r="F155" s="8">
        <f>SUM(D155/284)</f>
        <v>281.69014084507</v>
      </c>
    </row>
    <row r="156" spans="2:6" x14ac:dyDescent="0.2">
      <c r="B156" s="332"/>
      <c r="C156" s="31" t="s">
        <v>355</v>
      </c>
      <c r="D156" s="13">
        <v>120000</v>
      </c>
      <c r="E156" s="32" t="s">
        <v>662</v>
      </c>
      <c r="F156" s="8">
        <f>SUM(D156/1500)</f>
        <v>80</v>
      </c>
    </row>
    <row r="157" spans="2:6" x14ac:dyDescent="0.2">
      <c r="B157" s="332"/>
      <c r="C157" s="31" t="s">
        <v>663</v>
      </c>
      <c r="D157" s="13">
        <v>16000</v>
      </c>
      <c r="E157" s="32" t="s">
        <v>520</v>
      </c>
      <c r="F157" s="8">
        <f>SUM(D157/1000)</f>
        <v>16</v>
      </c>
    </row>
    <row r="158" spans="2:6" x14ac:dyDescent="0.2">
      <c r="B158" s="332"/>
      <c r="C158" s="31" t="s">
        <v>664</v>
      </c>
      <c r="D158" s="13">
        <v>160000</v>
      </c>
      <c r="E158" s="32" t="s">
        <v>520</v>
      </c>
      <c r="F158" s="8">
        <f>SUM(D158/1000)</f>
        <v>160</v>
      </c>
    </row>
    <row r="159" spans="2:6" x14ac:dyDescent="0.2">
      <c r="B159" s="332"/>
      <c r="C159" s="31" t="s">
        <v>361</v>
      </c>
      <c r="D159" s="13">
        <v>48000</v>
      </c>
      <c r="E159" s="32" t="s">
        <v>559</v>
      </c>
      <c r="F159" s="8">
        <f>SUM(D159/1000)</f>
        <v>48</v>
      </c>
    </row>
    <row r="160" spans="2:6" x14ac:dyDescent="0.2">
      <c r="B160" s="332"/>
      <c r="C160" s="31" t="s">
        <v>665</v>
      </c>
      <c r="D160" s="13">
        <v>8000</v>
      </c>
      <c r="E160" s="32" t="s">
        <v>502</v>
      </c>
      <c r="F160" s="8">
        <v>8000</v>
      </c>
    </row>
    <row r="161" spans="2:6" x14ac:dyDescent="0.2">
      <c r="B161" s="332"/>
      <c r="C161" s="31" t="s">
        <v>666</v>
      </c>
      <c r="D161" s="13">
        <v>34000</v>
      </c>
      <c r="E161" s="32" t="s">
        <v>448</v>
      </c>
      <c r="F161" s="8">
        <f>SUM(D161/1000)</f>
        <v>34</v>
      </c>
    </row>
    <row r="162" spans="2:6" x14ac:dyDescent="0.2">
      <c r="B162" s="332"/>
      <c r="C162" s="31" t="s">
        <v>643</v>
      </c>
      <c r="D162" s="13"/>
      <c r="E162" s="32"/>
      <c r="F162" s="8"/>
    </row>
    <row r="163" spans="2:6" x14ac:dyDescent="0.2">
      <c r="B163" s="332"/>
      <c r="C163" s="31" t="s">
        <v>55</v>
      </c>
      <c r="D163" s="13">
        <f>PREPARATION!K79</f>
        <v>50456.9230769231</v>
      </c>
      <c r="E163" s="32" t="s">
        <v>667</v>
      </c>
      <c r="F163" s="8">
        <f>SUM(D163/1500)</f>
        <v>33.637948717948703</v>
      </c>
    </row>
    <row r="164" spans="2:6" x14ac:dyDescent="0.2">
      <c r="B164" s="333"/>
      <c r="C164" s="33" t="s">
        <v>668</v>
      </c>
      <c r="D164" s="19">
        <f>PREPARATION!K64</f>
        <v>85133.333333333299</v>
      </c>
      <c r="E164" s="34" t="s">
        <v>667</v>
      </c>
      <c r="F164" s="20">
        <f>SUM(D164/1500)</f>
        <v>56.755555555555603</v>
      </c>
    </row>
  </sheetData>
  <mergeCells count="43">
    <mergeCell ref="I2:I3"/>
    <mergeCell ref="J2:J3"/>
    <mergeCell ref="K2:K3"/>
    <mergeCell ref="L2:L3"/>
    <mergeCell ref="H2:H3"/>
    <mergeCell ref="H4:H7"/>
    <mergeCell ref="H8:H9"/>
    <mergeCell ref="H14:H15"/>
    <mergeCell ref="H16:H20"/>
    <mergeCell ref="F2:F3"/>
    <mergeCell ref="F54:F55"/>
    <mergeCell ref="F74:F75"/>
    <mergeCell ref="F94:F95"/>
    <mergeCell ref="F118:F119"/>
    <mergeCell ref="E2:E3"/>
    <mergeCell ref="E54:E55"/>
    <mergeCell ref="E74:E75"/>
    <mergeCell ref="E94:E95"/>
    <mergeCell ref="E118:E119"/>
    <mergeCell ref="D2:D3"/>
    <mergeCell ref="D54:D55"/>
    <mergeCell ref="D74:D75"/>
    <mergeCell ref="D94:D95"/>
    <mergeCell ref="D118:D119"/>
    <mergeCell ref="B129:B132"/>
    <mergeCell ref="B136:B147"/>
    <mergeCell ref="B148:B149"/>
    <mergeCell ref="B150:B164"/>
    <mergeCell ref="C2:C3"/>
    <mergeCell ref="C54:C55"/>
    <mergeCell ref="C74:C75"/>
    <mergeCell ref="C94:C95"/>
    <mergeCell ref="C118:C119"/>
    <mergeCell ref="B76:B91"/>
    <mergeCell ref="B94:B95"/>
    <mergeCell ref="B96:B116"/>
    <mergeCell ref="B118:B119"/>
    <mergeCell ref="B120:B126"/>
    <mergeCell ref="B2:B3"/>
    <mergeCell ref="B4:B51"/>
    <mergeCell ref="B54:B55"/>
    <mergeCell ref="B56:B71"/>
    <mergeCell ref="B74:B75"/>
  </mergeCells>
  <pageMargins left="0.75" right="0.75" top="1" bottom="1" header="0.5" footer="0.5"/>
  <ignoredErrors>
    <ignoredError sqref="F51:F62 F23:F27 F40:F41 F48 F15:F20 F67 F70:F76"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ALCOHOL</vt:lpstr>
      <vt:lpstr>NON ALCOHOL</vt:lpstr>
      <vt:lpstr>NEW MENU</vt:lpstr>
      <vt:lpstr>PREPARATION</vt:lpstr>
      <vt:lpstr>SUPPLIER &amp; 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Hype GLK</dc:creator>
  <cp:lastModifiedBy>andika putra</cp:lastModifiedBy>
  <dcterms:created xsi:type="dcterms:W3CDTF">2024-07-25T06:45:00Z</dcterms:created>
  <dcterms:modified xsi:type="dcterms:W3CDTF">2026-01-15T09:22:32Z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00138E3E727142C09F8134D8B4B12784_13</vt:lpwstr>
  </property>
  <property fmtid="{D5CDD505-2E9C-101B-9397-08002B2CF9AE}" pid="3" name="KSOProductBuildVer">
    <vt:lpwstr>1033-12.2.0.23155</vt:lpwstr>
  </property>
</Properties>
</file>