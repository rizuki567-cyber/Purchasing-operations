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KSP (CHICKEN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1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3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4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5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<sst xmlns="http://schemas.openxmlformats.org/spreadsheetml/2006/main" count="24" uniqueCount="18">
  <si>
    <t>DATE</t>
  </si>
  <si>
    <t>INV NO.</t>
  </si>
  <si>
    <t>DESCRIPTIONS</t>
  </si>
  <si>
    <t>QTY</t>
  </si>
  <si>
    <t>BILLS</t>
  </si>
  <si>
    <t>PRICE</t>
  </si>
  <si>
    <t>SUB TOTAL</t>
  </si>
  <si>
    <t>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</si>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</sst>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_ [$IDR]\ * #,##0_ ;_ [$IDR]\ * \-#,##0_ ;_ [$IDR]\ * &quot;-&quot;_ ;_ @_ "/>
  </numFmts>
  <fonts count="22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78" fontId="1" fillId="2" borderId="1" xfId="0" applyNumberFormat="1" applyFont="1" applyFill="1" applyBorder="1" applyAlignment="1">
      <alignment horizontal="center" vertical="center"/>
    </xf>
    <xf numFmtId="179" fontId="0" fillId="3" borderId="2" xfId="0" applyNumberForma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 wrapText="1"/>
    </xf>
    <xf numFmtId="0" fontId="0" fillId="0" borderId="3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79" fontId="0" fillId="3" borderId="4" xfId="0" applyNumberFormat="1" applyFill="1" applyBorder="1" applyAlignment="1">
      <alignment horizontal="center" vertical="center"/>
    </xf>
    <xf numFmtId="0" fontId="0" fillId="0" borderId="4" xfId="0" applyNumberFormat="1" applyFill="1" applyBorder="1" applyAlignment="1">
      <alignment horizontal="center" vertical="center"/>
    </xf>
    <xf numFmtId="180" fontId="0" fillId="0" borderId="4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78" fontId="0" fillId="3" borderId="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8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zoomScale="55" zoomScaleNormal="55" workbookViewId="0">
      <selection activeCell="A1" sqref="$A1:$XFD1048576"/>
    </sheetView>
  </sheetViews>
  <sheetFormatPr defaultColWidth="9.14285714285714" defaultRowHeight="15"/>
  <cols>
    <col min="1" max="1" width="8.88571428571429" style="1" customWidth="1"/>
    <col min="2" max="2" width="20.1428571428571" style="1" customWidth="1"/>
    <col min="3" max="3" width="25.1428571428571" style="2" customWidth="1"/>
    <col min="4" max="4" width="14.7238095238095" style="2" customWidth="1"/>
    <col min="5" max="5" width="35.1238095238095" style="1" customWidth="1"/>
    <col min="6" max="8" width="20.9904761904762" style="1" customWidth="1"/>
    <col min="9" max="9" width="12.8571428571429" style="1"/>
    <col min="10" max="16384" width="9.14285714285714" style="1"/>
  </cols>
  <sheetData>
    <row r="1" s="1" customFormat="1" ht="16" customHeight="1" spans="1:8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1" ht="64" customHeight="1" spans="1:12">
      <c r="A2" s="5">
        <v>45965</v>
      </c>
      <c r="B2" s="5" t="s">
        <v>8</v>
      </c>
      <c r="C2" s="6" t="s">
        <v>9</v>
      </c>
      <c r="D2" s="7">
        <v>7.9</v>
      </c>
      <c r="E2" s="8" t="str">
        <f>_xlfn.DISPIMG("ID_BC41213F5DF34C9FA380163A0DB01F5E",1)</f>
        <v>=DISPIMG("ID_BC41213F5DF34C9FA380163A0DB01F5E",1)</v>
      </c>
      <c r="F2" s="9">
        <v>48000</v>
      </c>
      <c r="G2" s="9">
        <f t="shared" ref="G2:G8" si="0">SUM(D2*F2)</f>
        <v>379200</v>
      </c>
      <c r="H2" s="10">
        <f>SUM(D2*F2+D3*F3)</f>
        <v>1118400</v>
      </c>
      <c r="L2" s="27"/>
    </row>
    <row r="3" s="1" customFormat="1" ht="64" customHeight="1" spans="1:11">
      <c r="A3" s="11"/>
      <c r="B3" s="11"/>
      <c r="C3" s="12" t="s">
        <v>10</v>
      </c>
      <c r="D3" s="13">
        <v>15.4</v>
      </c>
      <c r="E3" s="14"/>
      <c r="F3" s="9">
        <v>48000</v>
      </c>
      <c r="G3" s="9">
        <f t="shared" si="0"/>
        <v>739200</v>
      </c>
      <c r="H3" s="15"/>
      <c r="K3" s="27"/>
    </row>
    <row r="4" s="1" customFormat="1" ht="43" customHeight="1" spans="1:11">
      <c r="A4" s="5">
        <v>45968</v>
      </c>
      <c r="B4" s="5" t="s">
        <v>11</v>
      </c>
      <c r="C4" s="12" t="s">
        <v>9</v>
      </c>
      <c r="D4" s="13">
        <v>5.8</v>
      </c>
      <c r="E4" s="8" t="str">
        <f>_xlfn.DISPIMG("ID_840C154ED5C648A3AFFBFA4A3E161E08",1)</f>
        <v>=DISPIMG("ID_840C154ED5C648A3AFFBFA4A3E161E08",1)</v>
      </c>
      <c r="F4" s="16">
        <v>48000</v>
      </c>
      <c r="G4" s="9">
        <f t="shared" si="0"/>
        <v>278400</v>
      </c>
      <c r="H4" s="10">
        <f>SUM(D4*F4+D5*F5+D6*F6)</f>
        <v>960600</v>
      </c>
      <c r="K4" s="27"/>
    </row>
    <row r="5" s="1" customFormat="1" ht="43" customHeight="1" spans="1:11">
      <c r="A5" s="17"/>
      <c r="B5" s="17"/>
      <c r="C5" s="12" t="s">
        <v>10</v>
      </c>
      <c r="D5" s="13">
        <v>10.6</v>
      </c>
      <c r="E5" s="18"/>
      <c r="F5" s="16">
        <v>48000</v>
      </c>
      <c r="G5" s="9">
        <f t="shared" si="0"/>
        <v>508800</v>
      </c>
      <c r="H5" s="19"/>
      <c r="K5" s="27"/>
    </row>
    <row r="6" s="1" customFormat="1" ht="43" customHeight="1" spans="1:8">
      <c r="A6" s="11"/>
      <c r="B6" s="11"/>
      <c r="C6" s="12" t="s">
        <v>12</v>
      </c>
      <c r="D6" s="13">
        <v>5.1</v>
      </c>
      <c r="E6" s="14"/>
      <c r="F6" s="20">
        <v>34000</v>
      </c>
      <c r="G6" s="9">
        <f t="shared" si="0"/>
        <v>173400</v>
      </c>
      <c r="H6" s="15"/>
    </row>
    <row r="7" s="1" customFormat="1" ht="43" customHeight="1" spans="1:8">
      <c r="A7" s="5">
        <v>45975</v>
      </c>
      <c r="B7" s="5" t="s">
        <v>13</v>
      </c>
      <c r="C7" s="21" t="s">
        <v>9</v>
      </c>
      <c r="D7" s="13">
        <v>5.8</v>
      </c>
      <c r="E7" s="8" t="str">
        <f>_xlfn.DISPIMG("ID_E04E53902D31429B9CCCC3BF0D548570",1)</f>
        <v>=DISPIMG("ID_E04E53902D31429B9CCCC3BF0D548570",1)</v>
      </c>
      <c r="F7" s="22">
        <v>48000</v>
      </c>
      <c r="G7" s="9">
        <f t="shared" si="0"/>
        <v>278400</v>
      </c>
      <c r="H7" s="23">
        <f t="shared" ref="H7:H11" si="1">SUM(G7:G8)</f>
        <v>782400</v>
      </c>
    </row>
    <row r="8" s="1" customFormat="1" ht="65" customHeight="1" spans="1:8">
      <c r="A8" s="17"/>
      <c r="B8" s="17"/>
      <c r="C8" s="21" t="s">
        <v>10</v>
      </c>
      <c r="D8" s="13">
        <v>10.5</v>
      </c>
      <c r="E8" s="24"/>
      <c r="F8" s="22">
        <v>48000</v>
      </c>
      <c r="G8" s="9">
        <f t="shared" si="0"/>
        <v>504000</v>
      </c>
      <c r="H8" s="24"/>
    </row>
    <row r="9" s="1" customFormat="1" ht="55" customHeight="1" spans="1:11">
      <c r="A9" s="5">
        <v>45980</v>
      </c>
      <c r="B9" s="5" t="s">
        <v>14</v>
      </c>
      <c r="C9" s="12" t="s">
        <v>15</v>
      </c>
      <c r="D9" s="13">
        <v>4.85</v>
      </c>
      <c r="E9" s="8" t="str">
        <f>_xlfn.DISPIMG("ID_D0D7F85949BC4377AA6D333D4CD41D95",1)</f>
        <v>=DISPIMG("ID_D0D7F85949BC4377AA6D333D4CD41D95",1)</v>
      </c>
      <c r="F9" s="20">
        <v>50000</v>
      </c>
      <c r="G9" s="20">
        <f t="shared" ref="G9:G12" si="2">D9*F9</f>
        <v>242500</v>
      </c>
      <c r="H9" s="23">
        <f t="shared" si="1"/>
        <v>1187250</v>
      </c>
      <c r="K9" s="27"/>
    </row>
    <row r="10" s="1" customFormat="1" ht="55" customHeight="1" spans="1:11">
      <c r="A10" s="11"/>
      <c r="B10" s="17"/>
      <c r="C10" s="12" t="s">
        <v>16</v>
      </c>
      <c r="D10" s="13">
        <v>18.895</v>
      </c>
      <c r="E10" s="14"/>
      <c r="F10" s="20">
        <v>50000</v>
      </c>
      <c r="G10" s="20">
        <f t="shared" si="2"/>
        <v>944750</v>
      </c>
      <c r="H10" s="25"/>
      <c r="K10" s="27"/>
    </row>
    <row r="11" s="1" customFormat="1" ht="55" customHeight="1" spans="1:11">
      <c r="A11" s="5">
        <v>45989</v>
      </c>
      <c r="B11" s="5" t="s">
        <v>17</v>
      </c>
      <c r="C11" s="12" t="s">
        <v>9</v>
      </c>
      <c r="D11" s="13">
        <v>5.6</v>
      </c>
      <c r="E11" s="8" t="str">
        <f>_xlfn.DISPIMG("ID_3B01175CA21E443B8591D01EA0BFD05B",1)</f>
        <v>=DISPIMG("ID_3B01175CA21E443B8591D01EA0BFD05B",1)</v>
      </c>
      <c r="F11" s="20">
        <v>52000</v>
      </c>
      <c r="G11" s="20">
        <f t="shared" si="2"/>
        <v>291200</v>
      </c>
      <c r="H11" s="23">
        <f t="shared" si="1"/>
        <v>1021200</v>
      </c>
      <c r="K11" s="27"/>
    </row>
    <row r="12" s="1" customFormat="1" ht="55" customHeight="1" spans="1:11">
      <c r="A12" s="11"/>
      <c r="B12" s="11"/>
      <c r="C12" s="12" t="s">
        <v>10</v>
      </c>
      <c r="D12" s="13">
        <v>14.6</v>
      </c>
      <c r="E12" s="14"/>
      <c r="F12" s="20">
        <v>50000</v>
      </c>
      <c r="G12" s="20">
        <f t="shared" si="2"/>
        <v>730000</v>
      </c>
      <c r="H12" s="25"/>
      <c r="K12" s="27"/>
    </row>
    <row r="13" s="1" customFormat="1" customHeight="1" spans="1:8">
      <c r="A13" s="26"/>
      <c r="B13" s="26"/>
      <c r="C13" s="26"/>
      <c r="D13" s="26"/>
      <c r="E13" s="20"/>
      <c r="F13" s="20"/>
      <c r="G13" s="20"/>
      <c r="H13" s="20">
        <f>SUM(H2:H11)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KSP (CHICKEN)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2025-12-01T06:56:01Z</dcterms:created>
  <dcterms:modified xsi:type="dcterms:W3CDTF">2025-12-01T06:59:21Z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4C3CA59CFB24487D84CEBC00D98E01FC_13</vt:lpwstr>
  </property>
  <property fmtid="{D5CDD505-2E9C-101B-9397-08002B2CF9AE}" pid="3" name="KSOProductBuildVer">
    <vt:lpwstr>1033-12.2.0.23155</vt:lpwstr>
  </property>
</Properties>
</file>