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20"/>
  </bookViews>
  <sheets>
    <sheet name="ABISEKA (FRESH MILK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<sst xmlns="http://schemas.openxmlformats.org/spreadsheetml/2006/main" count="13" uniqueCount="13">
  <si>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DATE</t>
  </si>
  <si>
    <t>INV NO.</t>
  </si>
  <si>
    <t>DESCRIPTION</t>
  </si>
  <si>
    <t>QUANTITY</t>
  </si>
  <si>
    <t>PRICE</t>
  </si>
  <si>
    <t>BILLS</t>
  </si>
  <si>
    <t>SUBTOTAL</t>
  </si>
  <si>
    <t>TOTAL</t>
  </si>
  <si>
    <t>DUE DATE</t>
  </si>
  <si>
    <t>PAYMENT STATUS</t>
  </si>
  <si>
    <t>FRESH MILK</t>
  </si>
  <si>
    <t>UNPAID</t>
  </si>
  <si>
    <t>DELIVERY COST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</si>
</sst>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09]d\-mmm\-yyyy;@"/>
    <numFmt numFmtId="177" formatCode="[$-809]dd\ mmmm\ yyyy;@"/>
    <numFmt numFmtId="178" formatCode="_-&quot;Rp&quot;* #,##0_-;\-&quot;Rp&quot;* #,##0_-;_-&quot;Rp&quot;* &quot;-&quot;??_-;_-@_-"/>
    <numFmt numFmtId="179" formatCode="_ [$IDR]\ * #,##0_ ;_ [$IDR]\ * \-#,##0_ ;_ [$IDR]\ * &quot;-&quot;_ ;_ @_ "/>
  </numFmts>
  <fonts count="25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6"/>
      <color theme="1"/>
      <name val="Garamond"/>
      <charset val="134"/>
    </font>
    <font>
      <sz val="16"/>
      <color theme="1"/>
      <name val="Arial Narrow"/>
      <charset val="134"/>
    </font>
    <font>
      <b/>
      <i/>
      <sz val="16"/>
      <color theme="1"/>
      <name val="Calibri"/>
      <charset val="134"/>
      <scheme val="minor"/>
    </font>
    <font>
      <sz val="16"/>
      <color theme="1"/>
      <name val="Calibri Light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8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Border="1">
      <alignment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76" fontId="1" fillId="3" borderId="2" xfId="0" applyNumberFormat="1" applyFont="1" applyFill="1" applyBorder="1" applyAlignment="1">
      <alignment horizontal="center" vertical="center"/>
    </xf>
    <xf numFmtId="0" fontId="2" fillId="3" borderId="2" xfId="0" applyNumberFormat="1" applyFont="1" applyFill="1" applyBorder="1" applyAlignment="1">
      <alignment horizontal="center" vertical="center" wrapText="1"/>
    </xf>
    <xf numFmtId="178" fontId="2" fillId="3" borderId="1" xfId="0" applyNumberFormat="1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176" fontId="1" fillId="3" borderId="3" xfId="0" applyNumberFormat="1" applyFont="1" applyFill="1" applyBorder="1" applyAlignment="1">
      <alignment horizontal="center" vertical="center"/>
    </xf>
    <xf numFmtId="0" fontId="2" fillId="3" borderId="3" xfId="0" applyNumberFormat="1" applyFont="1" applyFill="1" applyBorder="1" applyAlignment="1">
      <alignment horizontal="center" vertical="center" wrapText="1"/>
    </xf>
    <xf numFmtId="176" fontId="1" fillId="3" borderId="1" xfId="0" applyNumberFormat="1" applyFont="1" applyFill="1" applyBorder="1" applyAlignment="1">
      <alignment vertical="center"/>
    </xf>
    <xf numFmtId="0" fontId="2" fillId="3" borderId="1" xfId="0" applyNumberFormat="1" applyFont="1" applyFill="1" applyBorder="1" applyAlignment="1">
      <alignment horizontal="center" vertical="center" wrapText="1"/>
    </xf>
    <xf numFmtId="0" fontId="1" fillId="4" borderId="4" xfId="0" applyNumberFormat="1" applyFont="1" applyFill="1" applyBorder="1" applyAlignment="1">
      <alignment horizontal="center" vertical="center"/>
    </xf>
    <xf numFmtId="0" fontId="1" fillId="4" borderId="4" xfId="0" applyNumberFormat="1" applyFont="1" applyFill="1" applyBorder="1" applyAlignment="1">
      <alignment vertical="center"/>
    </xf>
    <xf numFmtId="178" fontId="4" fillId="4" borderId="4" xfId="0" applyNumberFormat="1" applyFont="1" applyFill="1" applyBorder="1" applyAlignment="1">
      <alignment horizontal="center" vertical="center"/>
    </xf>
    <xf numFmtId="179" fontId="5" fillId="3" borderId="1" xfId="0" applyNumberFormat="1" applyFont="1" applyFill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179" fontId="1" fillId="3" borderId="1" xfId="0" applyNumberFormat="1" applyFont="1" applyFill="1" applyBorder="1" applyAlignment="1">
      <alignment vertical="center"/>
    </xf>
    <xf numFmtId="179" fontId="1" fillId="3" borderId="2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79" fontId="1" fillId="3" borderId="3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2" fillId="3" borderId="1" xfId="0" applyNumberFormat="1" applyFont="1" applyFill="1" applyBorder="1" applyAlignment="1">
      <alignment vertical="center" wrapText="1"/>
    </xf>
    <xf numFmtId="0" fontId="1" fillId="3" borderId="1" xfId="0" applyNumberFormat="1" applyFont="1" applyFill="1" applyBorder="1" applyAlignment="1">
      <alignment vertical="center"/>
    </xf>
    <xf numFmtId="179" fontId="5" fillId="3" borderId="2" xfId="0" applyNumberFormat="1" applyFont="1" applyFill="1" applyBorder="1" applyAlignment="1">
      <alignment vertical="center"/>
    </xf>
    <xf numFmtId="0" fontId="1" fillId="3" borderId="2" xfId="0" applyNumberFormat="1" applyFont="1" applyFill="1" applyBorder="1" applyAlignment="1">
      <alignment vertical="center"/>
    </xf>
    <xf numFmtId="179" fontId="1" fillId="3" borderId="2" xfId="0" applyNumberFormat="1" applyFont="1" applyFill="1" applyBorder="1" applyAlignment="1">
      <alignment vertical="center"/>
    </xf>
    <xf numFmtId="178" fontId="4" fillId="4" borderId="1" xfId="0" applyNumberFormat="1" applyFont="1" applyFill="1" applyBorder="1" applyAlignment="1">
      <alignment horizontal="center" vertical="center"/>
    </xf>
    <xf numFmtId="179" fontId="1" fillId="0" borderId="0" xfId="0" applyNumberFormat="1" applyFont="1">
      <alignment vertical="center"/>
    </xf>
    <xf numFmtId="177" fontId="1" fillId="2" borderId="1" xfId="0" applyNumberFormat="1" applyFont="1" applyFill="1" applyBorder="1" applyAlignment="1">
      <alignment horizontal="center" vertical="center"/>
    </xf>
    <xf numFmtId="177" fontId="1" fillId="0" borderId="2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177" fontId="1" fillId="0" borderId="3" xfId="0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7" fontId="1" fillId="0" borderId="2" xfId="0" applyNumberFormat="1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80010</xdr:colOff>
      <xdr:row>1</xdr:row>
      <xdr:rowOff>29210</xdr:rowOff>
    </xdr:from>
    <xdr:to>
      <xdr:col>5</xdr:col>
      <xdr:colOff>2926080</xdr:colOff>
      <xdr:row>2</xdr:row>
      <xdr:rowOff>990600</xdr:rowOff>
    </xdr:to>
    <xdr:pic>
      <xdr:nvPicPr>
        <xdr:cNvPr id="2" name="ID_26FA262E5FEE4424A43A70221A257EF6" descr="PHOTO-2026-02-07-18-37-0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rot="16200000">
          <a:off x="10195560" y="-110490"/>
          <a:ext cx="1977390" cy="28460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tabSelected="1" zoomScale="66" zoomScaleNormal="66" workbookViewId="0">
      <selection activeCell="I4" sqref="I4"/>
    </sheetView>
  </sheetViews>
  <sheetFormatPr defaultColWidth="9.140625" defaultRowHeight="23.2"/>
  <cols>
    <col min="1" max="1" width="18.859375" style="3" customWidth="1"/>
    <col min="2" max="2" width="15.78125" style="4" customWidth="1"/>
    <col min="3" max="3" width="35.5703125" style="5" customWidth="1"/>
    <col min="4" max="4" width="24.1875" style="6" customWidth="1"/>
    <col min="5" max="5" width="24.7109375" style="1" customWidth="1"/>
    <col min="6" max="6" width="36.9609375" style="1" customWidth="1"/>
    <col min="7" max="7" width="27.0078125" style="1" customWidth="1"/>
    <col min="8" max="8" width="22" style="1" customWidth="1"/>
    <col min="9" max="9" width="22.25" style="7" customWidth="1"/>
    <col min="10" max="10" width="25.125" style="6" customWidth="1"/>
    <col min="11" max="12" width="12.859375" style="1"/>
    <col min="13" max="16384" width="9.140625" style="1"/>
  </cols>
  <sheetData>
    <row r="1" s="1" customFormat="1" spans="1:10">
      <c r="A1" s="8" t="s">
        <v>0</v>
      </c>
      <c r="B1" s="9" t="s">
        <v>1</v>
      </c>
      <c r="C1" s="10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37" t="s">
        <v>8</v>
      </c>
      <c r="J1" s="11" t="s">
        <v>9</v>
      </c>
    </row>
    <row r="2" s="1" customFormat="1" ht="80" customHeight="1" spans="1:10">
      <c r="A2" s="12">
        <v>46060</v>
      </c>
      <c r="B2" s="13">
        <v>8045</v>
      </c>
      <c r="C2" s="14" t="s">
        <v>10</v>
      </c>
      <c r="D2" s="15">
        <v>70</v>
      </c>
      <c r="E2" s="23">
        <v>13500</v>
      </c>
      <c r="F2" s="24"/>
      <c r="G2" s="25">
        <f t="shared" ref="G2:G23" si="0">SUM(D2*E2)</f>
        <v>945000</v>
      </c>
      <c r="H2" s="26">
        <f>SUM(G2:G3)</f>
        <v>1010000</v>
      </c>
      <c r="I2" s="38">
        <v>46074</v>
      </c>
      <c r="J2" s="39" t="s">
        <v>11</v>
      </c>
    </row>
    <row r="3" s="1" customFormat="1" ht="80" customHeight="1" spans="1:10">
      <c r="A3" s="16"/>
      <c r="B3" s="17"/>
      <c r="C3" s="14" t="s">
        <v>12</v>
      </c>
      <c r="D3" s="15">
        <v>1</v>
      </c>
      <c r="E3" s="23">
        <v>65000</v>
      </c>
      <c r="F3" s="27"/>
      <c r="G3" s="25">
        <f t="shared" si="0"/>
        <v>65000</v>
      </c>
      <c r="H3" s="28"/>
      <c r="I3" s="40"/>
      <c r="J3" s="41"/>
    </row>
    <row r="4" s="1" customFormat="1" spans="1:10">
      <c r="A4" s="18"/>
      <c r="B4" s="19"/>
      <c r="C4" s="14"/>
      <c r="D4" s="15"/>
      <c r="E4" s="23"/>
      <c r="F4" s="29"/>
      <c r="G4" s="25">
        <f t="shared" si="0"/>
        <v>0</v>
      </c>
      <c r="H4" s="25">
        <f t="shared" ref="H4:H23" si="1">SUM(G4)</f>
        <v>0</v>
      </c>
      <c r="I4" s="42"/>
      <c r="J4" s="43"/>
    </row>
    <row r="5" s="1" customFormat="1" spans="1:10">
      <c r="A5" s="18"/>
      <c r="B5" s="19"/>
      <c r="C5" s="14"/>
      <c r="D5" s="15"/>
      <c r="E5" s="23"/>
      <c r="F5" s="29"/>
      <c r="G5" s="25">
        <f t="shared" si="0"/>
        <v>0</v>
      </c>
      <c r="H5" s="25">
        <f t="shared" si="1"/>
        <v>0</v>
      </c>
      <c r="I5" s="42"/>
      <c r="J5" s="43"/>
    </row>
    <row r="6" s="1" customFormat="1" spans="1:10">
      <c r="A6" s="18"/>
      <c r="B6" s="19"/>
      <c r="C6" s="14"/>
      <c r="D6" s="15"/>
      <c r="E6" s="23"/>
      <c r="F6" s="29"/>
      <c r="G6" s="25">
        <f t="shared" si="0"/>
        <v>0</v>
      </c>
      <c r="H6" s="25">
        <f t="shared" si="1"/>
        <v>0</v>
      </c>
      <c r="I6" s="42"/>
      <c r="J6" s="44"/>
    </row>
    <row r="7" s="1" customFormat="1" spans="1:10">
      <c r="A7" s="18"/>
      <c r="B7" s="19"/>
      <c r="C7" s="14"/>
      <c r="D7" s="15"/>
      <c r="E7" s="14"/>
      <c r="F7" s="30"/>
      <c r="G7" s="25">
        <f t="shared" si="0"/>
        <v>0</v>
      </c>
      <c r="H7" s="25">
        <f t="shared" si="1"/>
        <v>0</v>
      </c>
      <c r="I7" s="42"/>
      <c r="J7" s="44"/>
    </row>
    <row r="8" s="1" customFormat="1" spans="1:10">
      <c r="A8" s="18"/>
      <c r="B8" s="19"/>
      <c r="C8" s="14"/>
      <c r="D8" s="15"/>
      <c r="E8" s="14"/>
      <c r="F8" s="30"/>
      <c r="G8" s="25">
        <f t="shared" si="0"/>
        <v>0</v>
      </c>
      <c r="H8" s="25">
        <f t="shared" si="1"/>
        <v>0</v>
      </c>
      <c r="I8" s="42"/>
      <c r="J8" s="44"/>
    </row>
    <row r="9" s="1" customFormat="1" spans="1:10">
      <c r="A9" s="18"/>
      <c r="B9" s="19"/>
      <c r="C9" s="14"/>
      <c r="D9" s="15"/>
      <c r="E9" s="14"/>
      <c r="F9" s="30"/>
      <c r="G9" s="25">
        <f t="shared" si="0"/>
        <v>0</v>
      </c>
      <c r="H9" s="25">
        <f t="shared" si="1"/>
        <v>0</v>
      </c>
      <c r="I9" s="42"/>
      <c r="J9" s="44"/>
    </row>
    <row r="10" s="1" customFormat="1" spans="1:10">
      <c r="A10" s="18"/>
      <c r="B10" s="19"/>
      <c r="C10" s="14"/>
      <c r="D10" s="15"/>
      <c r="E10" s="14"/>
      <c r="F10" s="30"/>
      <c r="G10" s="25">
        <f t="shared" si="0"/>
        <v>0</v>
      </c>
      <c r="H10" s="25">
        <f t="shared" si="1"/>
        <v>0</v>
      </c>
      <c r="I10" s="42"/>
      <c r="J10" s="44"/>
    </row>
    <row r="11" s="1" customFormat="1" spans="1:10">
      <c r="A11" s="18"/>
      <c r="B11" s="19"/>
      <c r="C11" s="14"/>
      <c r="D11" s="15"/>
      <c r="E11" s="23"/>
      <c r="F11" s="30"/>
      <c r="G11" s="25">
        <f t="shared" si="0"/>
        <v>0</v>
      </c>
      <c r="H11" s="25">
        <f t="shared" si="1"/>
        <v>0</v>
      </c>
      <c r="I11" s="42"/>
      <c r="J11" s="44"/>
    </row>
    <row r="12" s="1" customFormat="1" spans="1:10">
      <c r="A12" s="18"/>
      <c r="B12" s="19"/>
      <c r="C12" s="14"/>
      <c r="D12" s="15"/>
      <c r="E12" s="23"/>
      <c r="F12" s="30"/>
      <c r="G12" s="25">
        <f t="shared" si="0"/>
        <v>0</v>
      </c>
      <c r="H12" s="25">
        <f t="shared" si="1"/>
        <v>0</v>
      </c>
      <c r="I12" s="42"/>
      <c r="J12" s="44"/>
    </row>
    <row r="13" s="1" customFormat="1" spans="1:10">
      <c r="A13" s="18"/>
      <c r="B13" s="19"/>
      <c r="C13" s="14"/>
      <c r="D13" s="15"/>
      <c r="E13" s="23"/>
      <c r="F13" s="30"/>
      <c r="G13" s="25">
        <f t="shared" si="0"/>
        <v>0</v>
      </c>
      <c r="H13" s="25">
        <f t="shared" si="1"/>
        <v>0</v>
      </c>
      <c r="I13" s="42"/>
      <c r="J13" s="44"/>
    </row>
    <row r="14" s="1" customFormat="1" spans="1:10">
      <c r="A14" s="18"/>
      <c r="B14" s="19"/>
      <c r="C14" s="14"/>
      <c r="D14" s="15"/>
      <c r="E14" s="23"/>
      <c r="F14" s="30"/>
      <c r="G14" s="25">
        <f t="shared" si="0"/>
        <v>0</v>
      </c>
      <c r="H14" s="25">
        <f t="shared" si="1"/>
        <v>0</v>
      </c>
      <c r="I14" s="42"/>
      <c r="J14" s="44"/>
    </row>
    <row r="15" s="1" customFormat="1" spans="1:10">
      <c r="A15" s="18"/>
      <c r="B15" s="19"/>
      <c r="C15" s="14"/>
      <c r="D15" s="15"/>
      <c r="E15" s="23"/>
      <c r="F15" s="30"/>
      <c r="G15" s="25">
        <f t="shared" si="0"/>
        <v>0</v>
      </c>
      <c r="H15" s="25">
        <f t="shared" si="1"/>
        <v>0</v>
      </c>
      <c r="I15" s="42"/>
      <c r="J15" s="44"/>
    </row>
    <row r="16" s="2" customFormat="1" spans="1:10">
      <c r="A16" s="18"/>
      <c r="B16" s="19"/>
      <c r="C16" s="14"/>
      <c r="D16" s="15"/>
      <c r="E16" s="23"/>
      <c r="F16" s="29"/>
      <c r="G16" s="25">
        <f t="shared" si="0"/>
        <v>0</v>
      </c>
      <c r="H16" s="25">
        <f t="shared" si="1"/>
        <v>0</v>
      </c>
      <c r="I16" s="42"/>
      <c r="J16" s="44"/>
    </row>
    <row r="17" s="2" customFormat="1" spans="1:10">
      <c r="A17" s="18"/>
      <c r="B17" s="19"/>
      <c r="C17" s="14"/>
      <c r="D17" s="15"/>
      <c r="E17" s="23"/>
      <c r="F17" s="29"/>
      <c r="G17" s="25">
        <f t="shared" si="0"/>
        <v>0</v>
      </c>
      <c r="H17" s="25">
        <f t="shared" si="1"/>
        <v>0</v>
      </c>
      <c r="I17" s="42"/>
      <c r="J17" s="44"/>
    </row>
    <row r="18" s="2" customFormat="1" spans="1:10">
      <c r="A18" s="18"/>
      <c r="B18" s="19"/>
      <c r="C18" s="14"/>
      <c r="D18" s="15"/>
      <c r="E18" s="23"/>
      <c r="F18" s="29"/>
      <c r="G18" s="25">
        <f t="shared" si="0"/>
        <v>0</v>
      </c>
      <c r="H18" s="25">
        <f t="shared" si="1"/>
        <v>0</v>
      </c>
      <c r="I18" s="42"/>
      <c r="J18" s="44"/>
    </row>
    <row r="19" s="2" customFormat="1" spans="1:10">
      <c r="A19" s="18"/>
      <c r="B19" s="19"/>
      <c r="C19" s="14"/>
      <c r="D19" s="15"/>
      <c r="E19" s="23"/>
      <c r="F19" s="31"/>
      <c r="G19" s="25">
        <f t="shared" si="0"/>
        <v>0</v>
      </c>
      <c r="H19" s="25">
        <f t="shared" si="1"/>
        <v>0</v>
      </c>
      <c r="I19" s="42"/>
      <c r="J19" s="44"/>
    </row>
    <row r="20" s="2" customFormat="1" spans="1:10">
      <c r="A20" s="18"/>
      <c r="B20" s="19"/>
      <c r="C20" s="14"/>
      <c r="D20" s="15"/>
      <c r="E20" s="23"/>
      <c r="F20" s="31"/>
      <c r="G20" s="25">
        <f t="shared" si="0"/>
        <v>0</v>
      </c>
      <c r="H20" s="25">
        <f t="shared" si="1"/>
        <v>0</v>
      </c>
      <c r="I20" s="42"/>
      <c r="J20" s="44"/>
    </row>
    <row r="21" s="2" customFormat="1" spans="1:10">
      <c r="A21" s="18"/>
      <c r="B21" s="19"/>
      <c r="C21" s="14"/>
      <c r="D21" s="15"/>
      <c r="E21" s="23"/>
      <c r="F21" s="31"/>
      <c r="G21" s="25">
        <f t="shared" si="0"/>
        <v>0</v>
      </c>
      <c r="H21" s="25">
        <f t="shared" si="1"/>
        <v>0</v>
      </c>
      <c r="I21" s="42"/>
      <c r="J21" s="44"/>
    </row>
    <row r="22" s="2" customFormat="1" spans="1:10">
      <c r="A22" s="18"/>
      <c r="B22" s="19"/>
      <c r="C22" s="14"/>
      <c r="D22" s="15"/>
      <c r="E22" s="23"/>
      <c r="F22" s="31"/>
      <c r="G22" s="25">
        <f t="shared" si="0"/>
        <v>0</v>
      </c>
      <c r="H22" s="25">
        <f t="shared" si="1"/>
        <v>0</v>
      </c>
      <c r="I22" s="42"/>
      <c r="J22" s="44"/>
    </row>
    <row r="23" s="2" customFormat="1" spans="1:10">
      <c r="A23" s="18"/>
      <c r="B23" s="19"/>
      <c r="C23" s="14"/>
      <c r="D23" s="15"/>
      <c r="E23" s="32"/>
      <c r="F23" s="33"/>
      <c r="G23" s="34">
        <f t="shared" si="0"/>
        <v>0</v>
      </c>
      <c r="H23" s="34">
        <f t="shared" si="1"/>
        <v>0</v>
      </c>
      <c r="I23" s="45"/>
      <c r="J23" s="44"/>
    </row>
    <row r="24" s="1" customFormat="1" spans="1:10">
      <c r="A24" s="20"/>
      <c r="B24" s="20"/>
      <c r="C24" s="21"/>
      <c r="D24" s="22"/>
      <c r="E24" s="35">
        <f>SUM(H2:H23)-SUMIF(J:J,"PAID*",H:H)</f>
        <v>1010000</v>
      </c>
      <c r="F24" s="35"/>
      <c r="G24" s="35"/>
      <c r="H24" s="35"/>
      <c r="I24" s="35"/>
      <c r="J24" s="44"/>
    </row>
    <row r="26" spans="7:7">
      <c r="G26" s="36"/>
    </row>
  </sheetData>
  <mergeCells count="7">
    <mergeCell ref="E24:I24"/>
    <mergeCell ref="A2:A3"/>
    <mergeCell ref="B2:B3"/>
    <mergeCell ref="F2:F3"/>
    <mergeCell ref="H2:H3"/>
    <mergeCell ref="I2:I3"/>
    <mergeCell ref="J2:J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ABISEKA (FRESH MILK)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2026-02-07T19:20:13Z</dcterms:created>
  <dcterms:modified xsi:type="dcterms:W3CDTF">2026-02-07T19:20:28Z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A0DDE0FF6A48C2E5ED1F87696BBA079F_41</vt:lpwstr>
  </property>
  <property fmtid="{D5CDD505-2E9C-101B-9397-08002B2CF9AE}" pid="3" name="KSOProductBuildVer">
    <vt:lpwstr>1033-12.1.23155.23155</vt:lpwstr>
  </property>
</Properties>
</file>