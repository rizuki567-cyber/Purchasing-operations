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BALI PERMATA JAYA (CORONA BEER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<sst xmlns="http://schemas.openxmlformats.org/spreadsheetml/2006/main" count="26" uniqueCount="13">
  <si>
    <t>DATE</t>
  </si>
  <si>
    <t>INV NO.</t>
  </si>
  <si>
    <t>DESCRIPTIONS</t>
  </si>
  <si>
    <t>AMOUNT</t>
  </si>
  <si>
    <t>BILLS</t>
  </si>
  <si>
    <t>PRICE</t>
  </si>
  <si>
    <t>TOTAL</t>
  </si>
  <si>
    <t>STATUS</t>
  </si>
  <si>
    <t>INV/PERMAQ/25/11/0549</t>
  </si>
  <si>
    <t>CORONA BEER</t>
  </si>
  <si>
    <t>SUB TOTAL</t>
  </si>
  <si>
    <t>PPN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</si>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</sst>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  <numFmt numFmtId="179" formatCode="dd\-mmm"/>
    <numFmt numFmtId="180" formatCode="_-&quot;Rp&quot;* #,##0_-;\-&quot;Rp&quot;* #,##0_-;_-&quot;Rp&quot;* &quot;-&quot;??_-;_-@_-"/>
    <numFmt numFmtId="181" formatCode="_ [$IDR]\ * #,##0_ ;_ [$IDR]\ * \-#,##0_ ;_ [$IDR]\ * &quot;-&quot;_ ;_ @_ "/>
  </numFmts>
  <fonts count="25">
    <font>
      <sz val="11"/>
      <color theme="1"/>
      <name val="Calibri"/>
      <charset val="134"/>
      <scheme val="minor"/>
    </font>
    <font>
      <sz val="12"/>
      <color theme="1"/>
      <name val="Garamond"/>
      <charset val="134"/>
    </font>
    <font>
      <sz val="12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7" borderId="12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8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179" fontId="0" fillId="3" borderId="1" xfId="0" applyNumberFormat="1" applyFill="1" applyBorder="1" applyAlignment="1">
      <alignment horizontal="center" vertical="center"/>
    </xf>
    <xf numFmtId="180" fontId="0" fillId="3" borderId="1" xfId="0" applyNumberFormat="1" applyFill="1" applyBorder="1" applyAlignment="1">
      <alignment horizontal="left" vertical="center" wrapText="1"/>
    </xf>
    <xf numFmtId="0" fontId="0" fillId="3" borderId="1" xfId="0" applyFill="1" applyBorder="1" applyAlignment="1">
      <alignment vertical="center"/>
    </xf>
    <xf numFmtId="181" fontId="0" fillId="3" borderId="1" xfId="0" applyNumberForma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180" fontId="2" fillId="3" borderId="0" xfId="0" applyNumberFormat="1" applyFont="1" applyFill="1" applyBorder="1" applyAlignment="1">
      <alignment horizontal="center" vertical="center"/>
    </xf>
    <xf numFmtId="180" fontId="2" fillId="3" borderId="1" xfId="0" applyNumberFormat="1" applyFont="1" applyFill="1" applyBorder="1" applyAlignment="1">
      <alignment horizontal="center" vertical="center"/>
    </xf>
    <xf numFmtId="180" fontId="0" fillId="3" borderId="1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3" borderId="3" xfId="0" applyNumberFormat="1" applyFont="1" applyFill="1" applyBorder="1" applyAlignment="1">
      <alignment horizontal="center" vertical="center"/>
    </xf>
    <xf numFmtId="180" fontId="4" fillId="3" borderId="1" xfId="0" applyNumberFormat="1" applyFont="1" applyFill="1" applyBorder="1" applyAlignment="1">
      <alignment horizontal="center" vertical="center"/>
    </xf>
    <xf numFmtId="178" fontId="0" fillId="3" borderId="1" xfId="0" applyNumberFormat="1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3" xfId="0" applyNumberFormat="1" applyFont="1" applyFill="1" applyBorder="1" applyAlignment="1">
      <alignment vertical="center"/>
    </xf>
    <xf numFmtId="180" fontId="3" fillId="3" borderId="6" xfId="0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180" fontId="3" fillId="3" borderId="1" xfId="0" applyNumberFormat="1" applyFont="1" applyFill="1" applyBorder="1" applyAlignment="1">
      <alignment horizontal="center" vertical="center"/>
    </xf>
    <xf numFmtId="58" fontId="0" fillId="3" borderId="1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80" fontId="0" fillId="4" borderId="2" xfId="0" applyNumberForma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27305</xdr:colOff>
      <xdr:row>1</xdr:row>
      <xdr:rowOff>19685</xdr:rowOff>
    </xdr:from>
    <xdr:to>
      <xdr:col>4</xdr:col>
      <xdr:colOff>3019425</xdr:colOff>
      <xdr:row>1</xdr:row>
      <xdr:rowOff>1743075</xdr:rowOff>
    </xdr:to>
    <xdr:pic>
      <xdr:nvPicPr>
        <xdr:cNvPr id="18" name="ID_85ED321DBE384C98BA6FB71C673D3AC6" descr="WhatsApp Image 2025-11-21 at 18.10.55_91256dc0"/>
        <xdr:cNvPicPr>
          <a:picLocks noChangeAspect="1"/>
        </xdr:cNvPicPr>
      </xdr:nvPicPr>
      <xdr:blipFill>
        <a:blip r:embed="rId1"/>
        <a:srcRect l="2885" t="2143" r="2144" b="5361"/>
        <a:stretch>
          <a:fillRect/>
        </a:stretch>
      </xdr:blipFill>
      <xdr:spPr>
        <a:xfrm rot="16200000">
          <a:off x="5417185" y="-411480"/>
          <a:ext cx="1723390" cy="2992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abSelected="1" workbookViewId="0">
      <selection activeCell="A1" sqref="$A1:$XFD1048576"/>
    </sheetView>
  </sheetViews>
  <sheetFormatPr defaultColWidth="9.14285714285714" defaultRowHeight="15" outlineLevelCol="7"/>
  <cols>
    <col min="1" max="1" width="13.4" style="1" customWidth="1"/>
    <col min="2" max="2" width="25.7142857142857" style="1" customWidth="1"/>
    <col min="3" max="3" width="18.5714285714286" style="1" customWidth="1"/>
    <col min="4" max="4" width="13.6380952380952" style="1" customWidth="1"/>
    <col min="5" max="5" width="45.5047619047619" style="1" customWidth="1"/>
    <col min="6" max="6" width="19.7333333333333" style="1" customWidth="1"/>
    <col min="7" max="7" width="17.9619047619048" style="1" customWidth="1"/>
    <col min="8" max="16384" width="9.14285714285714" style="1"/>
  </cols>
  <sheetData>
    <row r="1" s="1" customFormat="1" ht="16" customHeight="1" spans="1: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="1" customFormat="1" ht="138.55" customHeight="1" spans="1:8">
      <c r="A2" s="4">
        <v>45978</v>
      </c>
      <c r="B2" s="5" t="s">
        <v>8</v>
      </c>
      <c r="C2" s="6" t="s">
        <v>9</v>
      </c>
      <c r="D2" s="7">
        <v>24</v>
      </c>
      <c r="E2" s="7"/>
      <c r="F2" s="8">
        <v>44670</v>
      </c>
      <c r="G2" s="8">
        <f>SUM(D2*F2)</f>
        <v>1072080</v>
      </c>
      <c r="H2" s="7"/>
    </row>
    <row r="3" s="1" customFormat="1" ht="23.25" spans="1:8">
      <c r="A3" s="9" t="s">
        <v>10</v>
      </c>
      <c r="B3" s="10"/>
      <c r="C3" s="11"/>
      <c r="D3" s="12">
        <f>SUM(D2)</f>
        <v>24</v>
      </c>
      <c r="E3" s="13"/>
      <c r="F3" s="14" t="s">
        <v>11</v>
      </c>
      <c r="G3" s="15">
        <f>G2*11%</f>
        <v>117928.8</v>
      </c>
      <c r="H3" s="16"/>
    </row>
    <row r="4" s="1" customFormat="1" ht="23.25" spans="1:8">
      <c r="A4" s="17" t="s">
        <v>6</v>
      </c>
      <c r="B4" s="18"/>
      <c r="C4" s="19"/>
      <c r="D4" s="20"/>
      <c r="E4" s="21">
        <f>SUM(G2:G3)</f>
        <v>1190008.8</v>
      </c>
      <c r="F4" s="21"/>
      <c r="G4" s="21"/>
      <c r="H4" s="21"/>
    </row>
    <row r="5" s="1" customFormat="1" ht="168" customHeight="1" spans="1:8">
      <c r="A5" s="22"/>
      <c r="B5" s="23"/>
      <c r="C5" s="23"/>
      <c r="D5" s="24"/>
      <c r="E5" s="25"/>
      <c r="F5" s="8"/>
      <c r="G5" s="8">
        <f>SUM(D5*F5)</f>
        <v>0</v>
      </c>
      <c r="H5" s="26"/>
    </row>
    <row r="6" s="1" customFormat="1" ht="23.25" spans="1:8">
      <c r="A6" s="9" t="s">
        <v>10</v>
      </c>
      <c r="B6" s="10"/>
      <c r="C6" s="11"/>
      <c r="D6" s="20">
        <f>SUM(D5)</f>
        <v>0</v>
      </c>
      <c r="E6" s="27"/>
      <c r="F6" s="14" t="s">
        <v>11</v>
      </c>
      <c r="G6" s="15">
        <f>G5*11%</f>
        <v>0</v>
      </c>
      <c r="H6" s="16"/>
    </row>
    <row r="7" s="1" customFormat="1" ht="23.25" spans="1:8">
      <c r="A7" s="17" t="s">
        <v>6</v>
      </c>
      <c r="B7" s="18"/>
      <c r="C7" s="19"/>
      <c r="D7" s="20"/>
      <c r="E7" s="27">
        <f>SUM(G5:G6)</f>
        <v>0</v>
      </c>
      <c r="F7" s="27"/>
      <c r="G7" s="27"/>
      <c r="H7" s="27"/>
    </row>
    <row r="8" s="1" customFormat="1" ht="168" customHeight="1" spans="1:8">
      <c r="A8" s="22"/>
      <c r="B8" s="23"/>
      <c r="C8" s="23"/>
      <c r="D8" s="24"/>
      <c r="E8" s="25"/>
      <c r="F8" s="8"/>
      <c r="G8" s="8">
        <f>SUM(D8*F8)</f>
        <v>0</v>
      </c>
      <c r="H8" s="26"/>
    </row>
    <row r="9" s="1" customFormat="1" ht="23.25" spans="1:8">
      <c r="A9" s="9" t="s">
        <v>10</v>
      </c>
      <c r="B9" s="10"/>
      <c r="C9" s="11"/>
      <c r="D9" s="20"/>
      <c r="E9" s="27"/>
      <c r="F9" s="14" t="s">
        <v>11</v>
      </c>
      <c r="G9" s="15">
        <f>G8*11%</f>
        <v>0</v>
      </c>
      <c r="H9" s="16"/>
    </row>
    <row r="10" s="1" customFormat="1" ht="23.25" spans="1:8">
      <c r="A10" s="17" t="s">
        <v>6</v>
      </c>
      <c r="B10" s="18"/>
      <c r="C10" s="19"/>
      <c r="D10" s="20"/>
      <c r="E10" s="27">
        <f>SUM(G8:G9)</f>
        <v>0</v>
      </c>
      <c r="F10" s="27"/>
      <c r="G10" s="27"/>
      <c r="H10" s="27"/>
    </row>
    <row r="11" s="1" customFormat="1" ht="168" customHeight="1" spans="1:8">
      <c r="A11" s="28"/>
      <c r="B11" s="23"/>
      <c r="C11" s="23"/>
      <c r="D11" s="24"/>
      <c r="E11" s="25"/>
      <c r="F11" s="8"/>
      <c r="G11" s="8">
        <f>SUM(D11*F11)</f>
        <v>0</v>
      </c>
      <c r="H11" s="26"/>
    </row>
    <row r="12" s="1" customFormat="1" ht="23.25" spans="1:8">
      <c r="A12" s="9" t="s">
        <v>10</v>
      </c>
      <c r="B12" s="10"/>
      <c r="C12" s="11"/>
      <c r="D12" s="20"/>
      <c r="E12" s="27"/>
      <c r="F12" s="14" t="s">
        <v>11</v>
      </c>
      <c r="G12" s="15">
        <f>G11*11%</f>
        <v>0</v>
      </c>
      <c r="H12" s="16"/>
    </row>
    <row r="13" s="1" customFormat="1" ht="23.25" spans="1:8">
      <c r="A13" s="17" t="s">
        <v>6</v>
      </c>
      <c r="B13" s="18"/>
      <c r="C13" s="19"/>
      <c r="D13" s="20"/>
      <c r="E13" s="27">
        <f>SUM(G11:G12)</f>
        <v>0</v>
      </c>
      <c r="F13" s="27"/>
      <c r="G13" s="27"/>
      <c r="H13" s="27"/>
    </row>
    <row r="14" s="1" customFormat="1" ht="168" customHeight="1" spans="1:8">
      <c r="A14" s="28"/>
      <c r="B14" s="23"/>
      <c r="C14" s="23"/>
      <c r="D14" s="24"/>
      <c r="E14" s="25"/>
      <c r="F14" s="8"/>
      <c r="G14" s="8"/>
      <c r="H14" s="26"/>
    </row>
    <row r="15" s="1" customFormat="1" ht="23.25" spans="1:8">
      <c r="A15" s="9" t="s">
        <v>10</v>
      </c>
      <c r="B15" s="10"/>
      <c r="C15" s="11"/>
      <c r="D15" s="20"/>
      <c r="E15" s="27"/>
      <c r="F15" s="14" t="s">
        <v>11</v>
      </c>
      <c r="G15" s="15">
        <f>G14*11%</f>
        <v>0</v>
      </c>
      <c r="H15" s="16"/>
    </row>
    <row r="16" s="1" customFormat="1" ht="23.25" spans="1:8">
      <c r="A16" s="17" t="s">
        <v>6</v>
      </c>
      <c r="B16" s="18"/>
      <c r="C16" s="19"/>
      <c r="D16" s="20"/>
      <c r="E16" s="27">
        <f>SUM(G14:G15)</f>
        <v>0</v>
      </c>
      <c r="F16" s="27"/>
      <c r="G16" s="27"/>
      <c r="H16" s="27"/>
    </row>
    <row r="17" s="1" customFormat="1" ht="26" customHeight="1" spans="1:8">
      <c r="A17" s="29" t="s">
        <v>12</v>
      </c>
      <c r="B17" s="30"/>
      <c r="C17" s="30"/>
      <c r="D17" s="31"/>
      <c r="E17" s="32">
        <f>E4+E7+E10+E13+E16</f>
        <v>1190008.8</v>
      </c>
      <c r="F17" s="33"/>
      <c r="G17" s="33"/>
      <c r="H17" s="34"/>
    </row>
  </sheetData>
  <mergeCells count="17">
    <mergeCell ref="A3:C3"/>
    <mergeCell ref="A4:C4"/>
    <mergeCell ref="E4:H4"/>
    <mergeCell ref="A6:C6"/>
    <mergeCell ref="A7:C7"/>
    <mergeCell ref="E7:H7"/>
    <mergeCell ref="A9:C9"/>
    <mergeCell ref="A10:C10"/>
    <mergeCell ref="E10:H10"/>
    <mergeCell ref="A12:C12"/>
    <mergeCell ref="A13:C13"/>
    <mergeCell ref="E13:H13"/>
    <mergeCell ref="A15:C15"/>
    <mergeCell ref="A16:C16"/>
    <mergeCell ref="E16:H16"/>
    <mergeCell ref="A17:D17"/>
    <mergeCell ref="E17:H17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BALI PERMATA JAYA (CORONA BEER)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Balagan Uluwatu</cp:lastModifiedBy>
  <dcterms:created xsi:type="dcterms:W3CDTF">2025-12-01T14:16:43Z</dcterms:created>
  <dcterms:modified xsi:type="dcterms:W3CDTF">2025-12-01T14:18:02Z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63A0E04ABFC845CD9CB61EA436F308F1_11</vt:lpwstr>
  </property>
  <property fmtid="{D5CDD505-2E9C-101B-9397-08002B2CF9AE}" pid="3" name="KSOProductBuildVer">
    <vt:lpwstr>1033-12.2.0.23155</vt:lpwstr>
  </property>
</Properties>
</file>