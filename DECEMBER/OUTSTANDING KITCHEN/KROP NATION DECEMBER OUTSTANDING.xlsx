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<sst xmlns="http://schemas.openxmlformats.org/spreadsheetml/2006/main" count="17" uniqueCount="13">
  <si>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</si>
  <si>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</si>
  <si>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</si>
  <si>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</si>
  <si>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</si>
  <si>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</si>
  <si>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</si>
  <si>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</si>
  <si>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ELDER FLOWER (N)</t>
  </si>
  <si>
    <t>EDIBLE FLOWER MIX (N)</t>
  </si>
  <si>
    <t>GREEN MUSTARD</t>
  </si>
  <si>
    <t>RED RADISH</t>
  </si>
  <si>
    <t>STARFLOWER (20 GR)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</si>
</sst>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left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424815</xdr:colOff>
      <xdr:row>1</xdr:row>
      <xdr:rowOff>31750</xdr:rowOff>
    </xdr:from>
    <xdr:to>
      <xdr:col>4</xdr:col>
      <xdr:colOff>3486785</xdr:colOff>
      <xdr:row>4</xdr:row>
      <xdr:rowOff>993775</xdr:rowOff>
    </xdr:to>
    <xdr:pic>
      <xdr:nvPicPr>
        <xdr:cNvPr id="2" name="ID_8F921BF7E7AD4DE39EDA81F284BE5F0A" descr="WhatsApp Image 2025-12-05 at 23.00.56_0a17d9c2"/>
        <xdr:cNvPicPr>
          <a:picLocks noChangeAspect="1"/>
        </xdr:cNvPicPr>
      </xdr:nvPicPr>
      <xdr:blipFill>
        <a:blip r:embed="rId1"/>
        <a:srcRect l="1863" t="13783" r="1728" b="14709"/>
        <a:stretch>
          <a:fillRect/>
        </a:stretch>
      </xdr:blipFill>
      <xdr:spPr>
        <a:xfrm>
          <a:off x="8884285" y="476250"/>
          <a:ext cx="3061970" cy="4010025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5</xdr:row>
      <xdr:rowOff>31750</xdr:rowOff>
    </xdr:from>
    <xdr:to>
      <xdr:col>4</xdr:col>
      <xdr:colOff>3855085</xdr:colOff>
      <xdr:row>8</xdr:row>
      <xdr:rowOff>1378585</xdr:rowOff>
    </xdr:to>
    <xdr:pic>
      <xdr:nvPicPr>
        <xdr:cNvPr id="4" name="ID_D30F0DFD97A3451B95AD1AD9F4910746" descr="PHOTO-2025-12-27-20-08-21"/>
        <xdr:cNvPicPr>
          <a:picLocks noChangeAspect="1"/>
        </xdr:cNvPicPr>
      </xdr:nvPicPr>
      <xdr:blipFill>
        <a:blip r:embed="rId2"/>
        <a:srcRect l="31919" t="18288" r="3099" b="29102"/>
        <a:stretch>
          <a:fillRect/>
        </a:stretch>
      </xdr:blipFill>
      <xdr:spPr>
        <a:xfrm>
          <a:off x="8515985" y="4540250"/>
          <a:ext cx="3798570" cy="5537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76" zoomScaleNormal="76" workbookViewId="0">
      <selection activeCell="H10" sqref="H10"/>
    </sheetView>
  </sheetViews>
  <sheetFormatPr defaultColWidth="9.140625" defaultRowHeight="16.8" outlineLevelCol="7"/>
  <cols>
    <col min="1" max="1" width="19.578125" style="2" customWidth="1"/>
    <col min="2" max="2" width="19.0390625" customWidth="1"/>
    <col min="3" max="3" width="34.7109375" customWidth="1"/>
    <col min="4" max="4" width="30.75" customWidth="1"/>
    <col min="5" max="5" width="48.0546875" customWidth="1"/>
    <col min="6" max="8" width="32.3359375" style="3" customWidth="1"/>
    <col min="10" max="10" width="12.859375"/>
  </cols>
  <sheetData>
    <row r="1" s="1" customFormat="1" ht="35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1" ht="80" customHeight="1" spans="1:8">
      <c r="A2" s="6">
        <v>45995</v>
      </c>
      <c r="B2" s="7">
        <v>115510</v>
      </c>
      <c r="C2" s="8" t="s">
        <v>8</v>
      </c>
      <c r="D2" s="9">
        <v>1</v>
      </c>
      <c r="E2" s="7"/>
      <c r="F2" s="23">
        <v>35000</v>
      </c>
      <c r="G2" s="24">
        <f t="shared" ref="G2:G9" si="0">D2*F2</f>
        <v>35000</v>
      </c>
      <c r="H2" s="25">
        <f>SUM(G2:G5)</f>
        <v>117000</v>
      </c>
    </row>
    <row r="3" customFormat="1" ht="80" customHeight="1" spans="1:8">
      <c r="A3" s="10"/>
      <c r="B3" s="11"/>
      <c r="C3" s="12" t="s">
        <v>9</v>
      </c>
      <c r="D3" s="12">
        <v>1</v>
      </c>
      <c r="E3" s="11"/>
      <c r="F3" s="26">
        <v>35000</v>
      </c>
      <c r="G3" s="24">
        <f t="shared" si="0"/>
        <v>35000</v>
      </c>
      <c r="H3" s="27"/>
    </row>
    <row r="4" customFormat="1" ht="80" customHeight="1" spans="1:8">
      <c r="A4" s="10"/>
      <c r="B4" s="11"/>
      <c r="C4" s="12" t="s">
        <v>10</v>
      </c>
      <c r="D4" s="12">
        <v>1</v>
      </c>
      <c r="E4" s="11"/>
      <c r="F4" s="26">
        <v>22000</v>
      </c>
      <c r="G4" s="24">
        <f t="shared" si="0"/>
        <v>22000</v>
      </c>
      <c r="H4" s="27"/>
    </row>
    <row r="5" customFormat="1" ht="80" customHeight="1" spans="1:8">
      <c r="A5" s="13"/>
      <c r="B5" s="14"/>
      <c r="C5" s="12" t="s">
        <v>11</v>
      </c>
      <c r="D5" s="12">
        <v>1</v>
      </c>
      <c r="E5" s="14"/>
      <c r="F5" s="26">
        <v>25000</v>
      </c>
      <c r="G5" s="24">
        <f t="shared" si="0"/>
        <v>25000</v>
      </c>
      <c r="H5" s="28"/>
    </row>
    <row r="6" customFormat="1" ht="110" customHeight="1" spans="1:8">
      <c r="A6" s="15">
        <v>46017</v>
      </c>
      <c r="B6" s="16">
        <v>118014</v>
      </c>
      <c r="C6" s="12" t="s">
        <v>9</v>
      </c>
      <c r="D6" s="12">
        <v>3</v>
      </c>
      <c r="E6" s="29"/>
      <c r="F6" s="26">
        <v>35000</v>
      </c>
      <c r="G6" s="24">
        <f t="shared" si="0"/>
        <v>105000</v>
      </c>
      <c r="H6" s="30">
        <f>SUM(G6:G9)</f>
        <v>212000</v>
      </c>
    </row>
    <row r="7" customFormat="1" ht="110" customHeight="1" spans="1:8">
      <c r="A7" s="17"/>
      <c r="B7" s="18"/>
      <c r="C7" s="12" t="s">
        <v>12</v>
      </c>
      <c r="D7" s="12">
        <v>1</v>
      </c>
      <c r="E7" s="31"/>
      <c r="F7" s="26">
        <v>35000</v>
      </c>
      <c r="G7" s="24">
        <f t="shared" si="0"/>
        <v>35000</v>
      </c>
      <c r="H7" s="32"/>
    </row>
    <row r="8" customFormat="1" ht="110" customHeight="1" spans="1:8">
      <c r="A8" s="17"/>
      <c r="B8" s="18"/>
      <c r="C8" s="12" t="s">
        <v>10</v>
      </c>
      <c r="D8" s="12">
        <v>1</v>
      </c>
      <c r="E8" s="31"/>
      <c r="F8" s="26">
        <v>22000</v>
      </c>
      <c r="G8" s="24">
        <f t="shared" si="0"/>
        <v>22000</v>
      </c>
      <c r="H8" s="32"/>
    </row>
    <row r="9" customFormat="1" ht="110" customHeight="1" spans="1:8">
      <c r="A9" s="19"/>
      <c r="B9" s="20"/>
      <c r="C9" s="12" t="s">
        <v>11</v>
      </c>
      <c r="D9" s="12">
        <v>2</v>
      </c>
      <c r="E9" s="33"/>
      <c r="F9" s="26">
        <v>25000</v>
      </c>
      <c r="G9" s="24">
        <f t="shared" si="0"/>
        <v>50000</v>
      </c>
      <c r="H9" s="34"/>
    </row>
    <row r="10" customFormat="1" ht="39" customHeight="1" spans="1:8">
      <c r="A10" s="21" t="s">
        <v>7</v>
      </c>
      <c r="B10" s="22"/>
      <c r="C10" s="22"/>
      <c r="D10" s="12"/>
      <c r="E10" s="35"/>
      <c r="F10" s="26"/>
      <c r="G10" s="24"/>
      <c r="H10" s="36">
        <f>SUM(H2:H9)</f>
        <v>329000</v>
      </c>
    </row>
  </sheetData>
  <mergeCells count="9">
    <mergeCell ref="A10:C10"/>
    <mergeCell ref="A2:A5"/>
    <mergeCell ref="A6:A9"/>
    <mergeCell ref="B2:B5"/>
    <mergeCell ref="B6:B9"/>
    <mergeCell ref="E2:E5"/>
    <mergeCell ref="E6:E9"/>
    <mergeCell ref="H2:H5"/>
    <mergeCell ref="H6:H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2025-12-17T08:10:00Z</dcterms:created>
  <dcterms:modified xsi:type="dcterms:W3CDTF">2026-01-02T19:03:46Z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