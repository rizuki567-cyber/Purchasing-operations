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00" windowHeight="17020"/>
  </bookViews>
  <sheets>
    <sheet name="FORNO (Burger&amp;Croissan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<sst xmlns="http://schemas.openxmlformats.org/spreadsheetml/2006/main" count="17" uniqueCount="11">
  <si>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DATE</t>
  </si>
  <si>
    <t>DESCRIPTION</t>
  </si>
  <si>
    <t>QUANTITY</t>
  </si>
  <si>
    <t>PRICE</t>
  </si>
  <si>
    <t>BILLS</t>
  </si>
  <si>
    <t>SUBTOTAL</t>
  </si>
  <si>
    <t>TOTAL</t>
  </si>
  <si>
    <t>BURGER BUN 80 GR</t>
  </si>
  <si>
    <t>PLAIN CROISSANT</t>
  </si>
  <si>
    <t>PPN 11%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</si>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</sst>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vertical="center"/>
    </xf>
    <xf numFmtId="0" fontId="5" fillId="4" borderId="4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177" fontId="6" fillId="4" borderId="6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176" fontId="5" fillId="2" borderId="7" xfId="0" applyNumberFormat="1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177" fontId="5" fillId="2" borderId="6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vertical="center"/>
    </xf>
    <xf numFmtId="177" fontId="6" fillId="4" borderId="7" xfId="0" applyNumberFormat="1" applyFont="1" applyFill="1" applyBorder="1" applyAlignment="1">
      <alignment horizontal="center" vertical="center"/>
    </xf>
    <xf numFmtId="177" fontId="6" fillId="4" borderId="8" xfId="0" applyNumberFormat="1" applyFont="1" applyFill="1" applyBorder="1" applyAlignment="1">
      <alignment horizontal="center" vertical="center"/>
    </xf>
    <xf numFmtId="177" fontId="5" fillId="2" borderId="7" xfId="0" applyNumberFormat="1" applyFont="1" applyFill="1" applyBorder="1" applyAlignment="1">
      <alignment horizontal="center" vertical="center"/>
    </xf>
    <xf numFmtId="177" fontId="5" fillId="2" borderId="8" xfId="0" applyNumberFormat="1" applyFont="1" applyFill="1" applyBorder="1" applyAlignment="1">
      <alignment horizontal="center"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92075</xdr:colOff>
      <xdr:row>1</xdr:row>
      <xdr:rowOff>29845</xdr:rowOff>
    </xdr:from>
    <xdr:to>
      <xdr:col>4</xdr:col>
      <xdr:colOff>2915920</xdr:colOff>
      <xdr:row>2</xdr:row>
      <xdr:rowOff>2510790</xdr:rowOff>
    </xdr:to>
    <xdr:pic>
      <xdr:nvPicPr>
        <xdr:cNvPr id="2" name="ID_6196216A3FFA46BC8AA062353646AB61" descr="PHOTO-2026-02-20-22-50-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90585" y="324485"/>
          <a:ext cx="2823845" cy="5020945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</xdr:colOff>
      <xdr:row>3</xdr:row>
      <xdr:rowOff>29845</xdr:rowOff>
    </xdr:from>
    <xdr:to>
      <xdr:col>4</xdr:col>
      <xdr:colOff>2947035</xdr:colOff>
      <xdr:row>3</xdr:row>
      <xdr:rowOff>5165090</xdr:rowOff>
    </xdr:to>
    <xdr:pic>
      <xdr:nvPicPr>
        <xdr:cNvPr id="3" name="ID_64C2050295634282BCEF0D81D8D54F96" descr="PHOTO-2026-02-20-22-51-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58835" y="5404485"/>
          <a:ext cx="2886710" cy="5135245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4</xdr:row>
      <xdr:rowOff>29210</xdr:rowOff>
    </xdr:from>
    <xdr:to>
      <xdr:col>4</xdr:col>
      <xdr:colOff>2915920</xdr:colOff>
      <xdr:row>5</xdr:row>
      <xdr:rowOff>2510790</xdr:rowOff>
    </xdr:to>
    <xdr:pic>
      <xdr:nvPicPr>
        <xdr:cNvPr id="4" name="ID_083A64BF3F8A4742A54B57EE05F2FE38" descr="PHOTO-2026-02-24-18-43-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89950" y="10604500"/>
          <a:ext cx="2824480" cy="502158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</xdr:colOff>
      <xdr:row>6</xdr:row>
      <xdr:rowOff>38100</xdr:rowOff>
    </xdr:from>
    <xdr:to>
      <xdr:col>4</xdr:col>
      <xdr:colOff>2948305</xdr:colOff>
      <xdr:row>7</xdr:row>
      <xdr:rowOff>2570480</xdr:rowOff>
    </xdr:to>
    <xdr:pic>
      <xdr:nvPicPr>
        <xdr:cNvPr id="5" name="ID_E1CBC1AC724B4423AF49CB57942D1DB6" descr="PHOTO-2026-02-27-15-48-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457565" y="15693390"/>
          <a:ext cx="2889250" cy="5135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61" zoomScaleNormal="61" workbookViewId="0">
      <pane xSplit="1" ySplit="1" topLeftCell="B7" activePane="bottomRight" state="frozen"/>
      <selection/>
      <selection pane="topRight"/>
      <selection pane="bottomLeft"/>
      <selection pane="bottomRight" activeCell="B39" sqref="B39"/>
    </sheetView>
  </sheetViews>
  <sheetFormatPr defaultColWidth="9.140625" defaultRowHeight="23.2" outlineLevelCol="6"/>
  <cols>
    <col min="1" max="1" width="18.859375" style="3" customWidth="1"/>
    <col min="2" max="2" width="35.5703125" style="4" customWidth="1"/>
    <col min="3" max="3" width="24.1875" style="5" customWidth="1"/>
    <col min="4" max="4" width="24.7109375" style="1" customWidth="1"/>
    <col min="5" max="5" width="36.9609375" style="1" customWidth="1"/>
    <col min="6" max="6" width="27.0078125" style="1" customWidth="1"/>
    <col min="7" max="7" width="22" style="1" customWidth="1"/>
    <col min="8" max="9" width="12.859375" style="1"/>
    <col min="10" max="16384" width="9.140625" style="1"/>
  </cols>
  <sheetData>
    <row r="1" s="1" customFormat="1" spans="1:7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1" customFormat="1" ht="200" customHeight="1" spans="1:7">
      <c r="A2" s="9">
        <v>46072</v>
      </c>
      <c r="B2" s="10" t="s">
        <v>7</v>
      </c>
      <c r="C2" s="11">
        <v>20</v>
      </c>
      <c r="D2" s="12">
        <v>8000</v>
      </c>
      <c r="E2" s="25"/>
      <c r="F2" s="26">
        <f t="shared" ref="F2:F23" si="0">SUM(C2*D2)</f>
        <v>160000</v>
      </c>
      <c r="G2" s="27">
        <f t="shared" ref="G2:G7" si="1">SUM(F2:F3)</f>
        <v>410000</v>
      </c>
    </row>
    <row r="3" s="1" customFormat="1" ht="200" customHeight="1" spans="1:7">
      <c r="A3" s="13"/>
      <c r="B3" s="10" t="s">
        <v>8</v>
      </c>
      <c r="C3" s="11">
        <v>10</v>
      </c>
      <c r="D3" s="12">
        <v>25000</v>
      </c>
      <c r="E3" s="28"/>
      <c r="F3" s="26">
        <f t="shared" si="0"/>
        <v>250000</v>
      </c>
      <c r="G3" s="29"/>
    </row>
    <row r="4" s="1" customFormat="1" ht="409.5" customHeight="1" spans="1:7">
      <c r="A4" s="14">
        <v>46073</v>
      </c>
      <c r="B4" s="10" t="s">
        <v>7</v>
      </c>
      <c r="C4" s="11">
        <v>20</v>
      </c>
      <c r="D4" s="12">
        <v>8000</v>
      </c>
      <c r="E4" s="30"/>
      <c r="F4" s="26">
        <f t="shared" si="0"/>
        <v>160000</v>
      </c>
      <c r="G4" s="26">
        <f>SUM(F4)</f>
        <v>160000</v>
      </c>
    </row>
    <row r="5" s="1" customFormat="1" ht="200" customHeight="1" spans="1:7">
      <c r="A5" s="9">
        <v>46077</v>
      </c>
      <c r="B5" s="10" t="s">
        <v>7</v>
      </c>
      <c r="C5" s="11">
        <v>20</v>
      </c>
      <c r="D5" s="12">
        <v>8000</v>
      </c>
      <c r="E5" s="25"/>
      <c r="F5" s="26">
        <f t="shared" si="0"/>
        <v>160000</v>
      </c>
      <c r="G5" s="27">
        <f t="shared" si="1"/>
        <v>410000</v>
      </c>
    </row>
    <row r="6" s="1" customFormat="1" ht="200" customHeight="1" spans="1:7">
      <c r="A6" s="13"/>
      <c r="B6" s="10" t="s">
        <v>8</v>
      </c>
      <c r="C6" s="11">
        <v>10</v>
      </c>
      <c r="D6" s="12">
        <v>25000</v>
      </c>
      <c r="E6" s="28"/>
      <c r="F6" s="26">
        <f t="shared" si="0"/>
        <v>250000</v>
      </c>
      <c r="G6" s="29"/>
    </row>
    <row r="7" s="1" customFormat="1" ht="205" customHeight="1" spans="1:7">
      <c r="A7" s="9">
        <v>46080</v>
      </c>
      <c r="B7" s="10" t="s">
        <v>7</v>
      </c>
      <c r="C7" s="11">
        <v>25</v>
      </c>
      <c r="D7" s="10">
        <v>8000</v>
      </c>
      <c r="E7" s="31"/>
      <c r="F7" s="26">
        <f t="shared" si="0"/>
        <v>200000</v>
      </c>
      <c r="G7" s="27">
        <f t="shared" si="1"/>
        <v>450000</v>
      </c>
    </row>
    <row r="8" s="1" customFormat="1" ht="205" customHeight="1" spans="1:7">
      <c r="A8" s="13"/>
      <c r="B8" s="10" t="s">
        <v>8</v>
      </c>
      <c r="C8" s="11">
        <v>10</v>
      </c>
      <c r="D8" s="10">
        <v>25000</v>
      </c>
      <c r="E8" s="32"/>
      <c r="F8" s="26">
        <f t="shared" si="0"/>
        <v>250000</v>
      </c>
      <c r="G8" s="29"/>
    </row>
    <row r="9" s="1" customFormat="1" spans="1:7">
      <c r="A9" s="14"/>
      <c r="B9" s="10"/>
      <c r="C9" s="11"/>
      <c r="D9" s="10"/>
      <c r="E9" s="33"/>
      <c r="F9" s="26">
        <f t="shared" si="0"/>
        <v>0</v>
      </c>
      <c r="G9" s="26">
        <f t="shared" ref="G9:G23" si="2">SUM(F9)</f>
        <v>0</v>
      </c>
    </row>
    <row r="10" s="1" customFormat="1" spans="1:7">
      <c r="A10" s="14"/>
      <c r="B10" s="10"/>
      <c r="C10" s="11"/>
      <c r="D10" s="10"/>
      <c r="E10" s="33"/>
      <c r="F10" s="26">
        <f t="shared" si="0"/>
        <v>0</v>
      </c>
      <c r="G10" s="26">
        <f t="shared" si="2"/>
        <v>0</v>
      </c>
    </row>
    <row r="11" s="1" customFormat="1" spans="1:7">
      <c r="A11" s="14"/>
      <c r="B11" s="10"/>
      <c r="C11" s="11"/>
      <c r="D11" s="12"/>
      <c r="E11" s="33"/>
      <c r="F11" s="26">
        <f t="shared" si="0"/>
        <v>0</v>
      </c>
      <c r="G11" s="26">
        <f t="shared" si="2"/>
        <v>0</v>
      </c>
    </row>
    <row r="12" s="1" customFormat="1" spans="1:7">
      <c r="A12" s="14"/>
      <c r="B12" s="10"/>
      <c r="C12" s="11"/>
      <c r="D12" s="12"/>
      <c r="E12" s="33"/>
      <c r="F12" s="26">
        <f t="shared" si="0"/>
        <v>0</v>
      </c>
      <c r="G12" s="26">
        <f t="shared" si="2"/>
        <v>0</v>
      </c>
    </row>
    <row r="13" s="1" customFormat="1" spans="1:7">
      <c r="A13" s="14"/>
      <c r="B13" s="10"/>
      <c r="C13" s="11"/>
      <c r="D13" s="12"/>
      <c r="E13" s="33"/>
      <c r="F13" s="26">
        <f t="shared" si="0"/>
        <v>0</v>
      </c>
      <c r="G13" s="26">
        <f t="shared" si="2"/>
        <v>0</v>
      </c>
    </row>
    <row r="14" s="1" customFormat="1" spans="1:7">
      <c r="A14" s="14"/>
      <c r="B14" s="10"/>
      <c r="C14" s="11"/>
      <c r="D14" s="12"/>
      <c r="E14" s="33"/>
      <c r="F14" s="26">
        <f t="shared" si="0"/>
        <v>0</v>
      </c>
      <c r="G14" s="26">
        <f t="shared" si="2"/>
        <v>0</v>
      </c>
    </row>
    <row r="15" s="1" customFormat="1" spans="1:7">
      <c r="A15" s="14"/>
      <c r="B15" s="10"/>
      <c r="C15" s="11"/>
      <c r="D15" s="12"/>
      <c r="E15" s="33"/>
      <c r="F15" s="26">
        <f t="shared" si="0"/>
        <v>0</v>
      </c>
      <c r="G15" s="26">
        <f t="shared" si="2"/>
        <v>0</v>
      </c>
    </row>
    <row r="16" s="2" customFormat="1" spans="1:7">
      <c r="A16" s="14"/>
      <c r="B16" s="10"/>
      <c r="C16" s="11"/>
      <c r="D16" s="12"/>
      <c r="E16" s="30"/>
      <c r="F16" s="26">
        <f t="shared" si="0"/>
        <v>0</v>
      </c>
      <c r="G16" s="26">
        <f t="shared" si="2"/>
        <v>0</v>
      </c>
    </row>
    <row r="17" s="2" customFormat="1" spans="1:7">
      <c r="A17" s="14"/>
      <c r="B17" s="10"/>
      <c r="C17" s="11"/>
      <c r="D17" s="12"/>
      <c r="E17" s="30"/>
      <c r="F17" s="26">
        <f t="shared" si="0"/>
        <v>0</v>
      </c>
      <c r="G17" s="26">
        <f t="shared" si="2"/>
        <v>0</v>
      </c>
    </row>
    <row r="18" s="2" customFormat="1" spans="1:7">
      <c r="A18" s="14"/>
      <c r="B18" s="10"/>
      <c r="C18" s="11"/>
      <c r="D18" s="12"/>
      <c r="E18" s="30"/>
      <c r="F18" s="26">
        <f t="shared" si="0"/>
        <v>0</v>
      </c>
      <c r="G18" s="26">
        <f t="shared" si="2"/>
        <v>0</v>
      </c>
    </row>
    <row r="19" s="2" customFormat="1" spans="1:7">
      <c r="A19" s="14"/>
      <c r="B19" s="10"/>
      <c r="C19" s="11"/>
      <c r="D19" s="12"/>
      <c r="E19" s="34"/>
      <c r="F19" s="26">
        <f t="shared" si="0"/>
        <v>0</v>
      </c>
      <c r="G19" s="26">
        <f t="shared" si="2"/>
        <v>0</v>
      </c>
    </row>
    <row r="20" s="2" customFormat="1" spans="1:7">
      <c r="A20" s="14"/>
      <c r="B20" s="10"/>
      <c r="C20" s="11"/>
      <c r="D20" s="12"/>
      <c r="E20" s="34"/>
      <c r="F20" s="26">
        <f t="shared" si="0"/>
        <v>0</v>
      </c>
      <c r="G20" s="26">
        <f t="shared" si="2"/>
        <v>0</v>
      </c>
    </row>
    <row r="21" s="2" customFormat="1" spans="1:7">
      <c r="A21" s="14"/>
      <c r="B21" s="10"/>
      <c r="C21" s="11"/>
      <c r="D21" s="12"/>
      <c r="E21" s="34"/>
      <c r="F21" s="26">
        <f t="shared" si="0"/>
        <v>0</v>
      </c>
      <c r="G21" s="26">
        <f t="shared" si="2"/>
        <v>0</v>
      </c>
    </row>
    <row r="22" s="2" customFormat="1" spans="1:7">
      <c r="A22" s="14"/>
      <c r="B22" s="10"/>
      <c r="C22" s="11"/>
      <c r="D22" s="12"/>
      <c r="E22" s="34"/>
      <c r="F22" s="26">
        <f t="shared" si="0"/>
        <v>0</v>
      </c>
      <c r="G22" s="26">
        <f t="shared" si="2"/>
        <v>0</v>
      </c>
    </row>
    <row r="23" s="2" customFormat="1" spans="1:7">
      <c r="A23" s="14"/>
      <c r="B23" s="10"/>
      <c r="C23" s="11"/>
      <c r="D23" s="15"/>
      <c r="E23" s="35"/>
      <c r="F23" s="36">
        <f t="shared" si="0"/>
        <v>0</v>
      </c>
      <c r="G23" s="36">
        <f t="shared" si="2"/>
        <v>0</v>
      </c>
    </row>
    <row r="24" s="1" customFormat="1" spans="1:7">
      <c r="A24" s="16" t="s">
        <v>6</v>
      </c>
      <c r="B24" s="16"/>
      <c r="C24" s="17"/>
      <c r="D24" s="18">
        <f>SUM(G:G)</f>
        <v>1430000</v>
      </c>
      <c r="E24" s="37"/>
      <c r="F24" s="37"/>
      <c r="G24" s="38"/>
    </row>
    <row r="25" customFormat="1" spans="1:7">
      <c r="A25" s="19" t="s">
        <v>9</v>
      </c>
      <c r="B25" s="19"/>
      <c r="C25" s="19"/>
      <c r="D25" s="20">
        <f>D24*11%</f>
        <v>157300</v>
      </c>
      <c r="E25" s="20"/>
      <c r="F25" s="20"/>
      <c r="G25" s="20"/>
    </row>
    <row r="26" customFormat="1" spans="1:7">
      <c r="A26" s="21" t="s">
        <v>10</v>
      </c>
      <c r="B26" s="22"/>
      <c r="C26" s="23"/>
      <c r="D26" s="24">
        <f>SUM(D24:G25)</f>
        <v>1587300</v>
      </c>
      <c r="E26" s="39"/>
      <c r="F26" s="39"/>
      <c r="G26" s="40"/>
    </row>
    <row r="28" s="1" customFormat="1" spans="1:6">
      <c r="A28" s="3"/>
      <c r="B28" s="4"/>
      <c r="C28" s="5"/>
      <c r="F28" s="41"/>
    </row>
  </sheetData>
  <mergeCells count="15">
    <mergeCell ref="A24:C24"/>
    <mergeCell ref="D24:G24"/>
    <mergeCell ref="A25:C25"/>
    <mergeCell ref="D25:G25"/>
    <mergeCell ref="A26:C26"/>
    <mergeCell ref="D26:G26"/>
    <mergeCell ref="A2:A3"/>
    <mergeCell ref="A5:A6"/>
    <mergeCell ref="A7:A8"/>
    <mergeCell ref="E2:E3"/>
    <mergeCell ref="E5:E6"/>
    <mergeCell ref="E7:E8"/>
    <mergeCell ref="G2:G3"/>
    <mergeCell ref="G5:G6"/>
    <mergeCell ref="G7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FORNO (Burger&amp;Croissant)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2026-03-03T11:55:46Z</dcterms:created>
  <dcterms:modified xsi:type="dcterms:W3CDTF">2026-03-03T11:56:07Z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5A328FAD1A37E5B2C25BA66902B59B06_41</vt:lpwstr>
  </property>
  <property fmtid="{D5CDD505-2E9C-101B-9397-08002B2CF9AE}" pid="3" name="KSOProductBuildVer">
    <vt:lpwstr>1033-12.1.23155.23155</vt:lpwstr>
  </property>
</Properties>
</file>