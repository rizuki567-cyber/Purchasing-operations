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5C9481A39E37485AB4779E27F62B0768" descr="WhatsApp Image 2025-12-10 at 17.58.30_9c5b62ad"/>
        <xdr:cNvPicPr>
          <a:picLocks noChangeAspect="1"/>
        </xdr:cNvPicPr>
      </xdr:nvPicPr>
      <xdr:blipFill>
        <a:blip r:embed="rId1"/>
        <a:srcRect l="2773" t="11011" b="4003"/>
        <a:stretch>
          <a:fillRect/>
        </a:stretch>
      </xdr:blipFill>
      <xdr:spPr>
        <a:xfrm rot="16200000">
          <a:off x="5544820" y="-278130"/>
          <a:ext cx="1870710" cy="287464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<sst xmlns="http://schemas.openxmlformats.org/spreadsheetml/2006/main" count="20" uniqueCount="13">
  <si>
    <t>DATE</t>
  </si>
  <si>
    <t>INV NO.</t>
  </si>
  <si>
    <t>DESCRIPTIONS</t>
  </si>
  <si>
    <t>AMOUNT</t>
  </si>
  <si>
    <t>BILLS</t>
  </si>
  <si>
    <t>PRICE</t>
  </si>
  <si>
    <t>TOTAL</t>
  </si>
  <si>
    <t>CAPE DISCOVERY BRUT CUVEE 750ML</t>
  </si>
  <si>
    <t>SUB TOTAL</t>
  </si>
  <si>
    <t>PPN</t>
  </si>
  <si>
    <t>00867</t>
  </si>
  <si>
    <t>GORDON GIN PREMIUM DRY 750ML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</si>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</sst>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d\-mmm\-yyyy;@"/>
    <numFmt numFmtId="177" formatCode="_-&quot;Rp&quot;* #,##0_-;\-&quot;Rp&quot;* #,##0_-;_-&quot;Rp&quot;* &quot;-&quot;??_-;_-@_-"/>
    <numFmt numFmtId="178" formatCode="_ [$IDR]\ * #,##0_ ;_ [$IDR]\ * \-#,##0_ ;_ [$IDR]\ * &quot;-&quot;_ ;_ @_ "/>
  </numFmts>
  <fonts count="26">
    <font>
      <sz val="11"/>
      <color theme="1"/>
      <name val="Calibri"/>
      <charset val="134"/>
      <scheme val="minor"/>
    </font>
    <font>
      <sz val="12"/>
      <color theme="1"/>
      <name val="Garamond"/>
      <charset val="134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176" fontId="3" fillId="3" borderId="2" xfId="0" applyNumberFormat="1" applyFont="1" applyFill="1" applyBorder="1" applyAlignment="1">
      <alignment horizontal="center" vertical="center"/>
    </xf>
    <xf numFmtId="176" fontId="3" fillId="3" borderId="3" xfId="0" applyNumberFormat="1" applyFont="1" applyFill="1" applyBorder="1" applyAlignment="1">
      <alignment horizontal="center" vertical="center"/>
    </xf>
    <xf numFmtId="176" fontId="3" fillId="3" borderId="4" xfId="0" applyNumberFormat="1" applyFont="1" applyFill="1" applyBorder="1" applyAlignment="1">
      <alignment horizontal="center" vertical="center"/>
    </xf>
    <xf numFmtId="176" fontId="0" fillId="3" borderId="5" xfId="0" applyNumberFormat="1" applyFill="1" applyBorder="1" applyAlignment="1">
      <alignment horizontal="center" vertical="center"/>
    </xf>
    <xf numFmtId="0" fontId="0" fillId="3" borderId="5" xfId="0" applyNumberFormat="1" applyFill="1" applyBorder="1" applyAlignment="1">
      <alignment horizontal="center" vertical="center"/>
    </xf>
    <xf numFmtId="176" fontId="0" fillId="3" borderId="6" xfId="0" applyNumberFormat="1" applyFill="1" applyBorder="1" applyAlignment="1">
      <alignment horizontal="center" vertical="center"/>
    </xf>
    <xf numFmtId="0" fontId="0" fillId="3" borderId="6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8" fontId="0" fillId="3" borderId="1" xfId="0" applyNumberFormat="1" applyFill="1" applyBorder="1">
      <alignment vertical="center"/>
    </xf>
    <xf numFmtId="178" fontId="5" fillId="3" borderId="1" xfId="0" applyNumberFormat="1" applyFon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177" fontId="5" fillId="3" borderId="1" xfId="0" applyNumberFormat="1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8" fontId="6" fillId="4" borderId="2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0" fontId="0" fillId="3" borderId="5" xfId="0" applyNumberForma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50800</xdr:colOff>
      <xdr:row>4</xdr:row>
      <xdr:rowOff>26035</xdr:rowOff>
    </xdr:from>
    <xdr:to>
      <xdr:col>4</xdr:col>
      <xdr:colOff>3524885</xdr:colOff>
      <xdr:row>5</xdr:row>
      <xdr:rowOff>1070610</xdr:rowOff>
    </xdr:to>
    <xdr:pic>
      <xdr:nvPicPr>
        <xdr:cNvPr id="11" name="ID_A56B582F807A49CBA493B60910BC1E61" descr="PHOTO-2026-01-03-03-55-50"/>
        <xdr:cNvPicPr>
          <a:picLocks noChangeAspect="1"/>
        </xdr:cNvPicPr>
      </xdr:nvPicPr>
      <xdr:blipFill>
        <a:blip r:embed="rId1"/>
        <a:srcRect l="18850" t="2038" r="11397" b="35664"/>
        <a:stretch>
          <a:fillRect/>
        </a:stretch>
      </xdr:blipFill>
      <xdr:spPr>
        <a:xfrm rot="16200000">
          <a:off x="5741035" y="2063750"/>
          <a:ext cx="2124075" cy="34740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zoomScale="76" zoomScaleNormal="76" workbookViewId="0">
      <selection activeCell="J5" sqref="J5"/>
    </sheetView>
  </sheetViews>
  <sheetFormatPr defaultColWidth="9.140625" defaultRowHeight="16.8"/>
  <cols>
    <col min="1" max="1" width="13.3984375" customWidth="1"/>
    <col min="2" max="2" width="11.1640625" customWidth="1"/>
    <col min="3" max="4" width="18.5703125" customWidth="1"/>
    <col min="5" max="5" width="43.8671875" customWidth="1"/>
    <col min="6" max="6" width="17.9609375" customWidth="1"/>
    <col min="7" max="7" width="22" customWidth="1"/>
    <col min="9" max="9" width="11.5703125"/>
  </cols>
  <sheetData>
    <row r="1" customFormat="1" ht="16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1" ht="150.6" customHeight="1" spans="1:7">
      <c r="A2" s="3">
        <v>45999</v>
      </c>
      <c r="B2" s="4">
        <v>38678</v>
      </c>
      <c r="C2" s="5" t="s">
        <v>7</v>
      </c>
      <c r="D2" s="6">
        <v>3</v>
      </c>
      <c r="E2" s="22" t="str">
        <f>_xlfn.DISPIMG("ID_5C9481A39E37485AB4779E27F62B0768",1)</f>
        <v>=DISPIMG("ID_5C9481A39E37485AB4779E27F62B0768",1)</v>
      </c>
      <c r="F2" s="23">
        <v>157658</v>
      </c>
      <c r="G2" s="23">
        <f>SUM(D2*F2)</f>
        <v>472974</v>
      </c>
    </row>
    <row r="3" customFormat="1" ht="23.5" customHeight="1" spans="1:7">
      <c r="A3" s="7" t="s">
        <v>8</v>
      </c>
      <c r="B3" s="8"/>
      <c r="C3" s="9"/>
      <c r="D3" s="6"/>
      <c r="E3" s="22"/>
      <c r="F3" s="24" t="s">
        <v>9</v>
      </c>
      <c r="G3" s="25">
        <f>G2*11%</f>
        <v>52027.14</v>
      </c>
    </row>
    <row r="4" customFormat="1" ht="23.5" customHeight="1" spans="1:7">
      <c r="A4" s="7" t="s">
        <v>6</v>
      </c>
      <c r="B4" s="8"/>
      <c r="C4" s="9"/>
      <c r="D4" s="5"/>
      <c r="E4" s="26">
        <f>SUM(G2:G3)</f>
        <v>525001.14</v>
      </c>
      <c r="F4" s="26"/>
      <c r="G4" s="26"/>
    </row>
    <row r="5" customFormat="1" ht="85" customHeight="1" spans="1:7">
      <c r="A5" s="10">
        <v>46021</v>
      </c>
      <c r="B5" s="34" t="s">
        <v>10</v>
      </c>
      <c r="C5" s="5" t="s">
        <v>11</v>
      </c>
      <c r="D5" s="6">
        <v>3</v>
      </c>
      <c r="E5" s="27"/>
      <c r="F5" s="23">
        <v>236487</v>
      </c>
      <c r="G5" s="23">
        <f>D5*F5</f>
        <v>709461</v>
      </c>
    </row>
    <row r="6" customFormat="1" ht="85" customHeight="1" spans="1:9">
      <c r="A6" s="12"/>
      <c r="B6" s="13"/>
      <c r="C6" s="5" t="s">
        <v>7</v>
      </c>
      <c r="D6" s="14">
        <v>3</v>
      </c>
      <c r="E6" s="28"/>
      <c r="F6" s="26">
        <v>157658</v>
      </c>
      <c r="G6" s="23">
        <f>D6*F6</f>
        <v>472974</v>
      </c>
      <c r="I6" s="33"/>
    </row>
    <row r="7" customFormat="1" ht="23.5" customHeight="1" spans="1:9">
      <c r="A7" s="15" t="s">
        <v>8</v>
      </c>
      <c r="B7" s="16"/>
      <c r="C7" s="17"/>
      <c r="D7" s="18"/>
      <c r="E7" s="29"/>
      <c r="F7" s="26" t="s">
        <v>9</v>
      </c>
      <c r="G7" s="29">
        <v>130067</v>
      </c>
      <c r="I7" s="33"/>
    </row>
    <row r="8" customFormat="1" ht="23.5" customHeight="1" spans="1:7">
      <c r="A8" s="15" t="s">
        <v>6</v>
      </c>
      <c r="B8" s="16"/>
      <c r="C8" s="17"/>
      <c r="D8" s="18"/>
      <c r="E8" s="26">
        <f>SUM(G5:G7)</f>
        <v>1312502</v>
      </c>
      <c r="F8" s="26"/>
      <c r="G8" s="26"/>
    </row>
    <row r="9" customFormat="1" ht="168" customHeight="1" spans="1:7">
      <c r="A9" s="3"/>
      <c r="B9" s="4"/>
      <c r="C9" s="5"/>
      <c r="D9" s="6"/>
      <c r="E9" s="22"/>
      <c r="F9" s="23"/>
      <c r="G9" s="23"/>
    </row>
    <row r="10" customFormat="1" ht="23.5" customHeight="1" spans="1:7">
      <c r="A10" s="15"/>
      <c r="B10" s="16"/>
      <c r="C10" s="17"/>
      <c r="D10" s="18"/>
      <c r="E10" s="29"/>
      <c r="F10" s="29"/>
      <c r="G10" s="29"/>
    </row>
    <row r="11" customFormat="1" ht="23.5" customHeight="1" spans="1:7">
      <c r="A11" s="15" t="s">
        <v>6</v>
      </c>
      <c r="B11" s="16"/>
      <c r="C11" s="17"/>
      <c r="D11" s="18"/>
      <c r="E11" s="26"/>
      <c r="F11" s="26"/>
      <c r="G11" s="26"/>
    </row>
    <row r="12" customFormat="1" ht="168" customHeight="1" spans="1:7">
      <c r="A12" s="3"/>
      <c r="B12" s="4"/>
      <c r="C12" s="5"/>
      <c r="D12" s="6"/>
      <c r="E12" s="22"/>
      <c r="F12" s="23"/>
      <c r="G12" s="23"/>
    </row>
    <row r="13" customFormat="1" ht="23.5" customHeight="1" spans="1:7">
      <c r="A13" s="15"/>
      <c r="B13" s="16"/>
      <c r="C13" s="17"/>
      <c r="D13" s="18"/>
      <c r="E13" s="29"/>
      <c r="F13" s="29"/>
      <c r="G13" s="25"/>
    </row>
    <row r="14" customFormat="1" ht="23.5" customHeight="1" spans="1:7">
      <c r="A14" s="15" t="s">
        <v>6</v>
      </c>
      <c r="B14" s="16"/>
      <c r="C14" s="17"/>
      <c r="D14" s="18"/>
      <c r="E14" s="26"/>
      <c r="F14" s="26"/>
      <c r="G14" s="26"/>
    </row>
    <row r="15" customFormat="1" ht="24" customHeight="1" spans="1:7">
      <c r="A15" s="19" t="s">
        <v>12</v>
      </c>
      <c r="B15" s="20"/>
      <c r="C15" s="20"/>
      <c r="D15" s="21"/>
      <c r="E15" s="30">
        <f>SUM(E4+E8+E11+E14)</f>
        <v>1837503.14</v>
      </c>
      <c r="F15" s="31"/>
      <c r="G15" s="32"/>
    </row>
  </sheetData>
  <mergeCells count="17">
    <mergeCell ref="A3:C3"/>
    <mergeCell ref="A4:C4"/>
    <mergeCell ref="E4:G4"/>
    <mergeCell ref="A7:C7"/>
    <mergeCell ref="A8:C8"/>
    <mergeCell ref="E8:G8"/>
    <mergeCell ref="A10:C10"/>
    <mergeCell ref="A11:C11"/>
    <mergeCell ref="E11:G11"/>
    <mergeCell ref="A13:C13"/>
    <mergeCell ref="A14:C14"/>
    <mergeCell ref="E14:G14"/>
    <mergeCell ref="A15:D15"/>
    <mergeCell ref="E15:G15"/>
    <mergeCell ref="A5:A6"/>
    <mergeCell ref="B5:B6"/>
    <mergeCell ref="E5:E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2025-12-18T08:10:00Z</dcterms:created>
  <dcterms:modified xsi:type="dcterms:W3CDTF">2026-01-03T06:11:27Z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6BB37E5384F80DF16AC23F69DB453A7F_41</vt:lpwstr>
  </property>
  <property fmtid="{D5CDD505-2E9C-101B-9397-08002B2CF9AE}" pid="3" name="KSOProductBuildVer">
    <vt:lpwstr>1033-12.1.23152.23152</vt:lpwstr>
  </property>
</Properties>
</file>