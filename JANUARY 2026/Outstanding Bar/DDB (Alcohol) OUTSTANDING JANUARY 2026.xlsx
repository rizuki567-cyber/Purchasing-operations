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D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<sst xmlns="http://schemas.openxmlformats.org/spreadsheetml/2006/main" count="22" uniqueCount="12">
  <si>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DATE</t>
  </si>
  <si>
    <t>INV NO.</t>
  </si>
  <si>
    <t>DESCRIPTIONS</t>
  </si>
  <si>
    <t>AMOUNT</t>
  </si>
  <si>
    <t>BILLS</t>
  </si>
  <si>
    <t>PRICE</t>
  </si>
  <si>
    <t>TOTAL</t>
  </si>
  <si>
    <t>CAPE DISCOVERY BRUT CUVEE 750ML</t>
  </si>
  <si>
    <t>GORDON GIN PREMIUM DRY 750ML</t>
  </si>
  <si>
    <t>SUB 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</si>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</sst>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1" xfId="0" applyNumberFormat="1" applyFill="1" applyBorder="1">
      <alignment vertical="center"/>
    </xf>
    <xf numFmtId="178" fontId="0" fillId="3" borderId="2" xfId="0" applyNumberForma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6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31750</xdr:colOff>
      <xdr:row>1</xdr:row>
      <xdr:rowOff>41910</xdr:rowOff>
    </xdr:from>
    <xdr:to>
      <xdr:col>4</xdr:col>
      <xdr:colOff>3541395</xdr:colOff>
      <xdr:row>2</xdr:row>
      <xdr:rowOff>1053465</xdr:rowOff>
    </xdr:to>
    <xdr:pic>
      <xdr:nvPicPr>
        <xdr:cNvPr id="2" name="ID_90FED95FFC5F4E16B0E23B300E9233DB" descr="PHOTO-2026-01-14-15-32-30"/>
        <xdr:cNvPicPr>
          <a:picLocks noChangeAspect="1"/>
        </xdr:cNvPicPr>
      </xdr:nvPicPr>
      <xdr:blipFill>
        <a:blip r:embed="rId1"/>
        <a:srcRect t="4870" r="5471" b="5303"/>
        <a:stretch>
          <a:fillRect/>
        </a:stretch>
      </xdr:blipFill>
      <xdr:spPr>
        <a:xfrm rot="5400000">
          <a:off x="5756275" y="-464185"/>
          <a:ext cx="2091055" cy="3509645"/>
        </a:xfrm>
        <a:prstGeom prst="rect">
          <a:avLst/>
        </a:prstGeom>
      </xdr:spPr>
    </xdr:pic>
    <xdr:clientData/>
  </xdr:twoCellAnchor>
  <xdr:twoCellAnchor editAs="oneCell">
    <xdr:from>
      <xdr:col>4</xdr:col>
      <xdr:colOff>33655</xdr:colOff>
      <xdr:row>5</xdr:row>
      <xdr:rowOff>23495</xdr:rowOff>
    </xdr:from>
    <xdr:to>
      <xdr:col>4</xdr:col>
      <xdr:colOff>3542030</xdr:colOff>
      <xdr:row>5</xdr:row>
      <xdr:rowOff>2322830</xdr:rowOff>
    </xdr:to>
    <xdr:pic>
      <xdr:nvPicPr>
        <xdr:cNvPr id="3" name="ID_12781FD1058C44E99707F0A2D248843D" descr="PHOTO-2026-01-17-17-49-40"/>
        <xdr:cNvPicPr>
          <a:picLocks noChangeAspect="1"/>
        </xdr:cNvPicPr>
      </xdr:nvPicPr>
      <xdr:blipFill>
        <a:blip r:embed="rId2"/>
        <a:srcRect t="9853" b="2355"/>
        <a:stretch>
          <a:fillRect/>
        </a:stretch>
      </xdr:blipFill>
      <xdr:spPr>
        <a:xfrm rot="16200000">
          <a:off x="5653405" y="2378075"/>
          <a:ext cx="2299335" cy="3508375"/>
        </a:xfrm>
        <a:prstGeom prst="rect">
          <a:avLst/>
        </a:prstGeom>
      </xdr:spPr>
    </xdr:pic>
    <xdr:clientData/>
  </xdr:twoCellAnchor>
  <xdr:twoCellAnchor editAs="oneCell">
    <xdr:from>
      <xdr:col>4</xdr:col>
      <xdr:colOff>26987</xdr:colOff>
      <xdr:row>8</xdr:row>
      <xdr:rowOff>23177</xdr:rowOff>
    </xdr:from>
    <xdr:to>
      <xdr:col>4</xdr:col>
      <xdr:colOff>3549332</xdr:colOff>
      <xdr:row>8</xdr:row>
      <xdr:rowOff>2225357</xdr:rowOff>
    </xdr:to>
    <xdr:pic>
      <xdr:nvPicPr>
        <xdr:cNvPr id="4" name="ID_20DBEA62E9384B3ABB61B03FDA7C2C67" descr="PHOTO-2026-01-30-14-40-46"/>
        <xdr:cNvPicPr>
          <a:picLocks noChangeAspect="1"/>
        </xdr:cNvPicPr>
      </xdr:nvPicPr>
      <xdr:blipFill>
        <a:blip r:embed="rId3"/>
        <a:srcRect b="7659"/>
        <a:stretch>
          <a:fillRect/>
        </a:stretch>
      </xdr:blipFill>
      <xdr:spPr>
        <a:xfrm rot="16200000">
          <a:off x="5701665" y="5260975"/>
          <a:ext cx="2202180" cy="352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98" zoomScaleNormal="98" workbookViewId="0">
      <pane ySplit="1" topLeftCell="A2" activePane="bottomLeft" state="frozen"/>
      <selection/>
      <selection pane="bottomLeft" activeCell="E12" sqref="E12"/>
    </sheetView>
  </sheetViews>
  <sheetFormatPr defaultColWidth="9.140625" defaultRowHeight="16.8"/>
  <cols>
    <col min="1" max="1" width="13.3984375" customWidth="1"/>
    <col min="2" max="2" width="11.1640625" customWidth="1"/>
    <col min="3" max="4" width="18.5703125" customWidth="1"/>
    <col min="5" max="5" width="43.8671875" customWidth="1"/>
    <col min="6" max="6" width="17.9609375" customWidth="1"/>
    <col min="7" max="7" width="22" customWidth="1"/>
    <col min="9" max="9" width="11.5703125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85" customHeight="1" spans="1:7">
      <c r="A2" s="3">
        <v>46036</v>
      </c>
      <c r="B2" s="4">
        <v>41492</v>
      </c>
      <c r="C2" s="5" t="s">
        <v>7</v>
      </c>
      <c r="D2" s="6">
        <v>1</v>
      </c>
      <c r="E2" s="21"/>
      <c r="F2" s="22">
        <v>157658</v>
      </c>
      <c r="G2" s="23">
        <f>F2*D2</f>
        <v>157658</v>
      </c>
    </row>
    <row r="3" ht="85" customHeight="1" spans="1:7">
      <c r="A3" s="7"/>
      <c r="B3" s="8"/>
      <c r="C3" s="5" t="s">
        <v>8</v>
      </c>
      <c r="D3" s="6">
        <v>2</v>
      </c>
      <c r="E3" s="24"/>
      <c r="F3" s="22">
        <v>236487</v>
      </c>
      <c r="G3" s="23">
        <f>F3*D3</f>
        <v>472974</v>
      </c>
    </row>
    <row r="4" ht="23.5" customHeight="1" spans="1:7">
      <c r="A4" s="9" t="s">
        <v>9</v>
      </c>
      <c r="B4" s="10"/>
      <c r="C4" s="11"/>
      <c r="D4" s="6"/>
      <c r="E4" s="25"/>
      <c r="F4" s="26" t="s">
        <v>10</v>
      </c>
      <c r="G4" s="27">
        <f>SUM(G2:G3)*11%</f>
        <v>69369.52</v>
      </c>
    </row>
    <row r="5" ht="23.5" customHeight="1" spans="1:7">
      <c r="A5" s="9" t="s">
        <v>6</v>
      </c>
      <c r="B5" s="10"/>
      <c r="C5" s="11"/>
      <c r="D5" s="5"/>
      <c r="E5" s="28">
        <f>SUM(G2:G4)</f>
        <v>700001.52</v>
      </c>
      <c r="F5" s="28"/>
      <c r="G5" s="28"/>
    </row>
    <row r="6" ht="184.45" customHeight="1" spans="1:7">
      <c r="A6" s="12">
        <v>46037</v>
      </c>
      <c r="B6" s="13">
        <v>41593</v>
      </c>
      <c r="C6" s="5" t="s">
        <v>7</v>
      </c>
      <c r="D6" s="6">
        <v>4</v>
      </c>
      <c r="E6" s="25"/>
      <c r="F6" s="22">
        <v>157658</v>
      </c>
      <c r="G6" s="22">
        <f>D6*F6</f>
        <v>630632</v>
      </c>
    </row>
    <row r="7" ht="23.5" customHeight="1" spans="1:9">
      <c r="A7" s="14" t="s">
        <v>9</v>
      </c>
      <c r="B7" s="15"/>
      <c r="C7" s="16"/>
      <c r="D7" s="17"/>
      <c r="E7" s="29"/>
      <c r="F7" s="28" t="s">
        <v>10</v>
      </c>
      <c r="G7" s="29">
        <f>G6*11%</f>
        <v>69369.52</v>
      </c>
      <c r="I7" s="33"/>
    </row>
    <row r="8" ht="23.5" customHeight="1" spans="1:7">
      <c r="A8" s="14" t="s">
        <v>6</v>
      </c>
      <c r="B8" s="15"/>
      <c r="C8" s="16"/>
      <c r="D8" s="17"/>
      <c r="E8" s="28">
        <f>SUM(G6:G7)</f>
        <v>700001.52</v>
      </c>
      <c r="F8" s="28"/>
      <c r="G8" s="28"/>
    </row>
    <row r="9" ht="176" customHeight="1" spans="1:7">
      <c r="A9" s="12">
        <v>46052</v>
      </c>
      <c r="B9" s="13">
        <v>42382</v>
      </c>
      <c r="C9" s="5" t="s">
        <v>8</v>
      </c>
      <c r="D9" s="6">
        <v>4</v>
      </c>
      <c r="E9" s="25"/>
      <c r="F9" s="22">
        <v>236487</v>
      </c>
      <c r="G9" s="22">
        <f>F9*D9</f>
        <v>945948</v>
      </c>
    </row>
    <row r="10" ht="23.5" customHeight="1" spans="1:7">
      <c r="A10" s="14" t="s">
        <v>9</v>
      </c>
      <c r="B10" s="15"/>
      <c r="C10" s="16"/>
      <c r="D10" s="17"/>
      <c r="E10" s="29"/>
      <c r="F10" s="28" t="s">
        <v>10</v>
      </c>
      <c r="G10" s="29">
        <f>G9*11%</f>
        <v>104054.28</v>
      </c>
    </row>
    <row r="11" ht="23.5" customHeight="1" spans="1:7">
      <c r="A11" s="14" t="s">
        <v>6</v>
      </c>
      <c r="B11" s="15"/>
      <c r="C11" s="16"/>
      <c r="D11" s="17"/>
      <c r="E11" s="28">
        <f>SUM(G9:G10)</f>
        <v>1050002.28</v>
      </c>
      <c r="F11" s="28"/>
      <c r="G11" s="28"/>
    </row>
    <row r="12" ht="168" customHeight="1" spans="1:7">
      <c r="A12" s="12"/>
      <c r="B12" s="13"/>
      <c r="C12" s="5"/>
      <c r="D12" s="6"/>
      <c r="E12" s="25"/>
      <c r="F12" s="22"/>
      <c r="G12" s="22"/>
    </row>
    <row r="13" ht="23.5" customHeight="1" spans="1:7">
      <c r="A13" s="14"/>
      <c r="B13" s="15"/>
      <c r="C13" s="16"/>
      <c r="D13" s="17"/>
      <c r="E13" s="29"/>
      <c r="F13" s="29"/>
      <c r="G13" s="27"/>
    </row>
    <row r="14" ht="23.5" customHeight="1" spans="1:7">
      <c r="A14" s="14" t="s">
        <v>6</v>
      </c>
      <c r="B14" s="15"/>
      <c r="C14" s="16"/>
      <c r="D14" s="17"/>
      <c r="E14" s="28"/>
      <c r="F14" s="28"/>
      <c r="G14" s="28"/>
    </row>
    <row r="15" ht="24" customHeight="1" spans="1:7">
      <c r="A15" s="18" t="s">
        <v>11</v>
      </c>
      <c r="B15" s="19"/>
      <c r="C15" s="19"/>
      <c r="D15" s="20"/>
      <c r="E15" s="30">
        <f>SUM(E5+E8+E11+E14)</f>
        <v>2450005.32</v>
      </c>
      <c r="F15" s="31"/>
      <c r="G15" s="32"/>
    </row>
  </sheetData>
  <mergeCells count="17">
    <mergeCell ref="A4:C4"/>
    <mergeCell ref="A5:C5"/>
    <mergeCell ref="E5:G5"/>
    <mergeCell ref="A7:C7"/>
    <mergeCell ref="A8:C8"/>
    <mergeCell ref="E8:G8"/>
    <mergeCell ref="A10:C10"/>
    <mergeCell ref="A11:C11"/>
    <mergeCell ref="E11:G11"/>
    <mergeCell ref="A13:C13"/>
    <mergeCell ref="A14:C14"/>
    <mergeCell ref="E14:G14"/>
    <mergeCell ref="A15:D15"/>
    <mergeCell ref="E15:G15"/>
    <mergeCell ref="A2:A3"/>
    <mergeCell ref="B2:B3"/>
    <mergeCell ref="E2:E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2026-01-31T19:26:02Z</dcterms:created>
  <dcterms:modified xsi:type="dcterms:W3CDTF">2026-01-31T19:26:27Z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3F4582CF1B842362CAE67D69271BB8C0_41</vt:lpwstr>
  </property>
  <property fmtid="{D5CDD505-2E9C-101B-9397-08002B2CF9AE}" pid="3" name="KSOProductBuildVer">
    <vt:lpwstr>1033-12.1.23155.23155</vt:lpwstr>
  </property>
</Properties>
</file>