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200" windowHeight="12620"/>
  </bookViews>
  <sheets>
    <sheet name="KSP (CHICKEN)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<etc:cellImage>
    <xdr:pic>
      <xdr:nvPicPr>
        <xdr:cNvPr id="26" name="ID_3B01175CA21E443B8591D01EA0BFD05B" descr="WhatsApp Image 2025-11-26 at 15.16.40_90256ba8"/>
        <xdr:cNvPicPr>
          <a:picLocks noChangeAspect="1"/>
        </xdr:cNvPicPr>
      </xdr:nvPicPr>
      <xdr:blipFill>
        <a:blip r:embed="rId1"/>
        <a:srcRect l="3178" t="5478" b="1980"/>
        <a:stretch>
          <a:fillRect/>
        </a:stretch>
      </xdr:blipFill>
      <xdr:spPr>
        <a:xfrm rot="16200000">
          <a:off x="5683250" y="6353810"/>
          <a:ext cx="1581785" cy="2663190"/>
        </a:xfrm>
        <a:prstGeom prst="rect">
          <a:avLst/>
        </a:prstGeom>
      </xdr:spPr>
    </xdr:pic>
  </etc:cellImage>
  <etc:cellImage>
    <xdr:pic>
      <xdr:nvPicPr>
        <xdr:cNvPr id="3" name="ID_BC41213F5DF34C9FA380163A0DB01F5E" descr="WhatsApp Image 2025-11-04 at 13.53.29_69df7815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 rot="16200000">
          <a:off x="4913630" y="18415"/>
          <a:ext cx="1894840" cy="2638425"/>
        </a:xfrm>
        <a:prstGeom prst="rect">
          <a:avLst/>
        </a:prstGeom>
      </xdr:spPr>
    </xdr:pic>
  </etc:cellImage>
  <etc:cellImage>
    <xdr:pic>
      <xdr:nvPicPr>
        <xdr:cNvPr id="17" name="ID_D0D7F85949BC4377AA6D333D4CD41D95" descr="WhatsApp Image 2025-11-19 at 14.38.16_583c6c11"/>
        <xdr:cNvPicPr>
          <a:picLocks noChangeAspect="1"/>
        </xdr:cNvPicPr>
      </xdr:nvPicPr>
      <xdr:blipFill>
        <a:blip r:embed="rId3"/>
        <a:srcRect l="5739" t="9911" r="1303" b="1300"/>
        <a:stretch>
          <a:fillRect/>
        </a:stretch>
      </xdr:blipFill>
      <xdr:spPr>
        <a:xfrm rot="16200000">
          <a:off x="5400675" y="4602480"/>
          <a:ext cx="1587500" cy="2689860"/>
        </a:xfrm>
        <a:prstGeom prst="rect">
          <a:avLst/>
        </a:prstGeom>
      </xdr:spPr>
    </xdr:pic>
  </etc:cellImage>
  <etc:cellImage>
    <xdr:pic>
      <xdr:nvPicPr>
        <xdr:cNvPr id="2" name="ID_840C154ED5C648A3AFFBFA4A3E161E08" descr="WhatsApp Image 2025-11-07 at 10.30.47_dcf96840"/>
        <xdr:cNvPicPr>
          <a:picLocks noChangeAspect="1"/>
        </xdr:cNvPicPr>
      </xdr:nvPicPr>
      <xdr:blipFill>
        <a:blip r:embed="rId4"/>
        <a:srcRect l="-1338" t="4021" r="1338" b="4799"/>
        <a:stretch>
          <a:fillRect/>
        </a:stretch>
      </xdr:blipFill>
      <xdr:spPr>
        <a:xfrm rot="16200000">
          <a:off x="5534025" y="1318260"/>
          <a:ext cx="3424555" cy="4893945"/>
        </a:xfrm>
        <a:prstGeom prst="rect">
          <a:avLst/>
        </a:prstGeom>
      </xdr:spPr>
    </xdr:pic>
  </etc:cellImage>
  <etc:cellImage>
    <xdr:pic>
      <xdr:nvPicPr>
        <xdr:cNvPr id="12" name="ID_E04E53902D31429B9CCCC3BF0D548570" descr="WhatsApp Image 2025-11-14 at 17.37.33_e7244ea1"/>
        <xdr:cNvPicPr>
          <a:picLocks noChangeAspect="1"/>
        </xdr:cNvPicPr>
      </xdr:nvPicPr>
      <xdr:blipFill>
        <a:blip r:embed="rId5"/>
        <a:srcRect l="2139" t="6007" r="3448" b="1921"/>
        <a:stretch>
          <a:fillRect/>
        </a:stretch>
      </xdr:blipFill>
      <xdr:spPr>
        <a:xfrm rot="16200000">
          <a:off x="5244465" y="3086100"/>
          <a:ext cx="1397635" cy="2383155"/>
        </a:xfrm>
        <a:prstGeom prst="rect">
          <a:avLst/>
        </a:prstGeom>
      </xdr:spPr>
    </xdr:pic>
  </etc:cellImage>
</etc:cellImages>
</file>

<file path=xl/sharedStrings.xml><?xml version="1.0" encoding="utf-8"?>
<sst xmlns="http://schemas.openxmlformats.org/spreadsheetml/2006/main" count="24" uniqueCount="18">
  <si>
    <t>DATE</t>
  </si>
  <si>
    <t>INV NO.</t>
  </si>
  <si>
    <t>DESCRIPTIONS</t>
  </si>
  <si>
    <t>QTY</t>
  </si>
  <si>
    <t>BILLS</t>
  </si>
  <si>
    <t>PRICE</t>
  </si>
  <si>
    <t>SUB TOTAL</t>
  </si>
  <si>
    <t>TOTAL</t>
  </si>
  <si>
    <t>B00330/PRN-R/2025</t>
  </si>
  <si>
    <t>BONELESS BREAST TK SP</t>
  </si>
  <si>
    <t>BONELESS LEG TK SP</t>
  </si>
  <si>
    <t>B00355/PRN-R/2025</t>
  </si>
  <si>
    <t>WING TD</t>
  </si>
  <si>
    <t>B00418/PRN-R/2025</t>
  </si>
  <si>
    <t>B14829/2025M</t>
  </si>
  <si>
    <t>BONELESS BREAST TK SP FROZEN</t>
  </si>
  <si>
    <t>BONELESS LEG TK SP FROZEN</t>
  </si>
  <si>
    <t>B00475/PRN-R/2025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</si>
</sst>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176" formatCode="_ * #,##0.00_ ;_ * \-#,##0.00_ ;_ * &quot;-&quot;??_ ;_ @_ "/>
    <numFmt numFmtId="177" formatCode="_(&quot;$&quot;* #,##0.00_);_(&quot;$&quot;* \(#,##0.00\);_(&quot;$&quot;* &quot;-&quot;??_);_(@_)"/>
    <numFmt numFmtId="178" formatCode="_ * #,##0_ ;_ * \-#,##0_ ;_ * &quot;-&quot;_ ;_ @_ "/>
    <numFmt numFmtId="179" formatCode="_(&quot;$&quot;* #,##0_);_(&quot;$&quot;* \(#,##0\);_(&quot;$&quot;* &quot;-&quot;_);_(@_)"/>
    <numFmt numFmtId="180" formatCode="_-&quot;Rp&quot;* #,##0_-;\-&quot;Rp&quot;* #,##0_-;_-&quot;Rp&quot;* &quot;-&quot;??_-;_-@_-"/>
    <numFmt numFmtId="181" formatCode="dd\-mmm"/>
    <numFmt numFmtId="182" formatCode="_ [$IDR]\ * #,##0_ ;_ [$IDR]\ * \-#,##0_ ;_ [$IDR]\ * &quot;-&quot;_ ;_ @_ "/>
  </numFmts>
  <fonts count="22">
    <font>
      <sz val="11"/>
      <color theme="1"/>
      <name val="Calibri"/>
      <charset val="134"/>
      <scheme val="minor"/>
    </font>
    <font>
      <sz val="14"/>
      <color theme="1"/>
      <name val="Garamond"/>
      <charset val="134"/>
    </font>
    <font>
      <sz val="11"/>
      <color theme="1"/>
      <name val="Calibri Light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0" fillId="0" borderId="7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8" applyNumberFormat="0" applyAlignment="0" applyProtection="0">
      <alignment vertical="center"/>
    </xf>
    <xf numFmtId="0" fontId="12" fillId="6" borderId="9" applyNumberFormat="0" applyAlignment="0" applyProtection="0">
      <alignment vertical="center"/>
    </xf>
    <xf numFmtId="0" fontId="13" fillId="6" borderId="8" applyNumberFormat="0" applyAlignment="0" applyProtection="0">
      <alignment vertical="center"/>
    </xf>
    <xf numFmtId="0" fontId="14" fillId="7" borderId="10" applyNumberFormat="0" applyAlignment="0" applyProtection="0">
      <alignment vertical="center"/>
    </xf>
    <xf numFmtId="0" fontId="15" fillId="0" borderId="11" applyNumberFormat="0" applyFill="0" applyAlignment="0" applyProtection="0">
      <alignment vertical="center"/>
    </xf>
    <xf numFmtId="0" fontId="16" fillId="0" borderId="12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28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180" fontId="0" fillId="0" borderId="0" xfId="0" applyNumberFormat="1" applyFill="1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180" fontId="1" fillId="2" borderId="1" xfId="0" applyNumberFormat="1" applyFont="1" applyFill="1" applyBorder="1" applyAlignment="1">
      <alignment horizontal="center" vertical="center"/>
    </xf>
    <xf numFmtId="181" fontId="0" fillId="3" borderId="2" xfId="0" applyNumberFormat="1" applyFill="1" applyBorder="1" applyAlignment="1">
      <alignment horizontal="center" vertical="center"/>
    </xf>
    <xf numFmtId="180" fontId="2" fillId="3" borderId="1" xfId="0" applyNumberFormat="1" applyFont="1" applyFill="1" applyBorder="1" applyAlignment="1">
      <alignment horizontal="center" vertical="center" wrapText="1"/>
    </xf>
    <xf numFmtId="0" fontId="2" fillId="3" borderId="1" xfId="0" applyNumberFormat="1" applyFont="1" applyFill="1" applyBorder="1" applyAlignment="1">
      <alignment horizontal="center" vertical="center" wrapText="1"/>
    </xf>
    <xf numFmtId="181" fontId="0" fillId="3" borderId="3" xfId="0" applyNumberFormat="1" applyFill="1" applyBorder="1" applyAlignment="1">
      <alignment horizontal="center" vertical="center"/>
    </xf>
    <xf numFmtId="180" fontId="0" fillId="3" borderId="1" xfId="0" applyNumberFormat="1" applyFill="1" applyBorder="1" applyAlignment="1">
      <alignment horizontal="center" vertical="center" wrapText="1"/>
    </xf>
    <xf numFmtId="0" fontId="0" fillId="3" borderId="1" xfId="0" applyNumberFormat="1" applyFill="1" applyBorder="1" applyAlignment="1">
      <alignment horizontal="center" vertical="center" wrapText="1"/>
    </xf>
    <xf numFmtId="181" fontId="0" fillId="3" borderId="4" xfId="0" applyNumberFormat="1" applyFill="1" applyBorder="1" applyAlignment="1">
      <alignment horizontal="center" vertical="center"/>
    </xf>
    <xf numFmtId="180" fontId="0" fillId="3" borderId="1" xfId="0" applyNumberFormat="1" applyFill="1" applyBorder="1" applyAlignment="1">
      <alignment horizontal="center" vertical="center"/>
    </xf>
    <xf numFmtId="0" fontId="0" fillId="0" borderId="1" xfId="0" applyFill="1" applyBorder="1" applyAlignment="1">
      <alignment vertical="center"/>
    </xf>
    <xf numFmtId="0" fontId="0" fillId="0" borderId="2" xfId="0" applyNumberFormat="1" applyFill="1" applyBorder="1" applyAlignment="1">
      <alignment horizontal="center" vertical="center"/>
    </xf>
    <xf numFmtId="182" fontId="0" fillId="0" borderId="1" xfId="0" applyNumberFormat="1" applyFill="1" applyBorder="1" applyAlignment="1">
      <alignment horizontal="center" vertical="center"/>
    </xf>
    <xf numFmtId="182" fontId="0" fillId="0" borderId="2" xfId="0" applyNumberFormat="1" applyFill="1" applyBorder="1" applyAlignment="1">
      <alignment horizontal="center" vertical="center"/>
    </xf>
    <xf numFmtId="0" fontId="0" fillId="0" borderId="3" xfId="0" applyNumberFormat="1" applyFill="1" applyBorder="1" applyAlignment="1">
      <alignment horizontal="center" vertical="center"/>
    </xf>
    <xf numFmtId="182" fontId="0" fillId="0" borderId="3" xfId="0" applyNumberFormat="1" applyFill="1" applyBorder="1" applyAlignment="1">
      <alignment horizontal="center" vertical="center"/>
    </xf>
    <xf numFmtId="182" fontId="0" fillId="0" borderId="1" xfId="0" applyNumberFormat="1" applyFill="1" applyBorder="1" applyAlignment="1">
      <alignment vertical="center"/>
    </xf>
    <xf numFmtId="0" fontId="0" fillId="0" borderId="4" xfId="0" applyNumberFormat="1" applyFill="1" applyBorder="1" applyAlignment="1">
      <alignment horizontal="center" vertical="center"/>
    </xf>
    <xf numFmtId="182" fontId="0" fillId="0" borderId="4" xfId="0" applyNumberFormat="1" applyFill="1" applyBorder="1" applyAlignment="1">
      <alignment horizontal="center" vertical="center"/>
    </xf>
    <xf numFmtId="180" fontId="0" fillId="0" borderId="1" xfId="0" applyNumberFormat="1" applyFill="1" applyBorder="1" applyAlignment="1">
      <alignment vertical="center"/>
    </xf>
    <xf numFmtId="180" fontId="0" fillId="0" borderId="1" xfId="0" applyNumberFormat="1" applyFill="1" applyBorder="1" applyAlignment="1">
      <alignment horizontal="center" vertical="center"/>
    </xf>
    <xf numFmtId="180" fontId="0" fillId="0" borderId="2" xfId="0" applyNumberFormat="1" applyFill="1" applyBorder="1" applyAlignment="1">
      <alignment horizontal="center" vertical="center"/>
    </xf>
    <xf numFmtId="180" fontId="0" fillId="0" borderId="4" xfId="0" applyNumberFormat="1" applyFill="1" applyBorder="1" applyAlignment="1">
      <alignment horizontal="center" vertical="center"/>
    </xf>
    <xf numFmtId="180" fontId="0" fillId="0" borderId="3" xfId="0" applyNumberFormat="1" applyFill="1" applyBorder="1" applyAlignment="1">
      <alignment horizontal="center" vertical="center"/>
    </xf>
    <xf numFmtId="0" fontId="0" fillId="0" borderId="0" xfId="0" applyNumberFormat="1" applyFill="1" applyAlignme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cellimages.xml.rels><?xml version="1.0" encoding="UTF-8" standalone="yes"?>
<Relationships xmlns="http://schemas.openxmlformats.org/package/2006/relationships"><Relationship Id="rId5" Type="http://schemas.openxmlformats.org/officeDocument/2006/relationships/image" Target="media/image5.jpeg"/><Relationship Id="rId4" Type="http://schemas.openxmlformats.org/officeDocument/2006/relationships/image" Target="media/image4.jpeg"/><Relationship Id="rId3" Type="http://schemas.openxmlformats.org/officeDocument/2006/relationships/image" Target="media/image3.jpeg"/><Relationship Id="rId2" Type="http://schemas.openxmlformats.org/officeDocument/2006/relationships/image" Target="media/image2.jpeg"/><Relationship Id="rId1" Type="http://schemas.openxmlformats.org/officeDocument/2006/relationships/image" Target="media/image1.jpeg"/></Relationships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www.wps.cn/officeDocument/2020/cellImage" Target="cellimag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3"/>
  <sheetViews>
    <sheetView tabSelected="1" zoomScale="82" zoomScaleNormal="82" topLeftCell="B3" workbookViewId="0">
      <selection activeCell="H14" sqref="H14"/>
    </sheetView>
  </sheetViews>
  <sheetFormatPr defaultColWidth="9.140625" defaultRowHeight="16.8"/>
  <cols>
    <col min="1" max="1" width="8.8828125" style="1" customWidth="1"/>
    <col min="2" max="2" width="20.140625" style="1" customWidth="1"/>
    <col min="3" max="3" width="25.140625" style="2" customWidth="1"/>
    <col min="4" max="4" width="14.7265625" style="2" customWidth="1"/>
    <col min="5" max="5" width="35.125" style="1" customWidth="1"/>
    <col min="6" max="8" width="20.9921875" style="1" customWidth="1"/>
    <col min="9" max="9" width="12.859375" style="1"/>
    <col min="10" max="16384" width="9.140625" style="1"/>
  </cols>
  <sheetData>
    <row r="1" s="1" customFormat="1" ht="16" customHeight="1" spans="1:8">
      <c r="A1" s="3" t="s">
        <v>0</v>
      </c>
      <c r="B1" s="3" t="s">
        <v>1</v>
      </c>
      <c r="C1" s="4" t="s">
        <v>2</v>
      </c>
      <c r="D1" s="4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s="1" customFormat="1" ht="64" customHeight="1" spans="1:12">
      <c r="A2" s="5">
        <v>45965</v>
      </c>
      <c r="B2" s="5" t="s">
        <v>8</v>
      </c>
      <c r="C2" s="6" t="s">
        <v>9</v>
      </c>
      <c r="D2" s="7">
        <v>7.9</v>
      </c>
      <c r="E2" s="14" t="str">
        <f>_xlfn.DISPIMG("ID_BC41213F5DF34C9FA380163A0DB01F5E",1)</f>
        <v>=DISPIMG("ID_BC41213F5DF34C9FA380163A0DB01F5E",1)</v>
      </c>
      <c r="F2" s="15">
        <v>48000</v>
      </c>
      <c r="G2" s="15">
        <f t="shared" ref="G2:G8" si="0">SUM(D2*F2)</f>
        <v>379200</v>
      </c>
      <c r="H2" s="16">
        <f>SUM(D2*F2+D3*F3)</f>
        <v>1118400</v>
      </c>
      <c r="L2" s="27"/>
    </row>
    <row r="3" s="1" customFormat="1" ht="64" customHeight="1" spans="1:11">
      <c r="A3" s="8"/>
      <c r="B3" s="8"/>
      <c r="C3" s="9" t="s">
        <v>10</v>
      </c>
      <c r="D3" s="10">
        <v>15.4</v>
      </c>
      <c r="E3" s="17"/>
      <c r="F3" s="15">
        <v>48000</v>
      </c>
      <c r="G3" s="15">
        <f t="shared" si="0"/>
        <v>739200</v>
      </c>
      <c r="H3" s="18"/>
      <c r="K3" s="27"/>
    </row>
    <row r="4" s="1" customFormat="1" ht="43" customHeight="1" spans="1:11">
      <c r="A4" s="5">
        <v>45968</v>
      </c>
      <c r="B4" s="5" t="s">
        <v>11</v>
      </c>
      <c r="C4" s="9" t="s">
        <v>9</v>
      </c>
      <c r="D4" s="10">
        <v>5.8</v>
      </c>
      <c r="E4" s="14" t="str">
        <f>_xlfn.DISPIMG("ID_840C154ED5C648A3AFFBFA4A3E161E08",1)</f>
        <v>=DISPIMG("ID_840C154ED5C648A3AFFBFA4A3E161E08",1)</v>
      </c>
      <c r="F4" s="19">
        <v>48000</v>
      </c>
      <c r="G4" s="15">
        <f t="shared" si="0"/>
        <v>278400</v>
      </c>
      <c r="H4" s="16">
        <f>SUM(D4*F4+D5*F5+D6*F6)</f>
        <v>960600</v>
      </c>
      <c r="K4" s="27"/>
    </row>
    <row r="5" s="1" customFormat="1" ht="43" customHeight="1" spans="1:11">
      <c r="A5" s="11"/>
      <c r="B5" s="11"/>
      <c r="C5" s="9" t="s">
        <v>10</v>
      </c>
      <c r="D5" s="10">
        <v>10.6</v>
      </c>
      <c r="E5" s="20"/>
      <c r="F5" s="19">
        <v>48000</v>
      </c>
      <c r="G5" s="15">
        <f t="shared" si="0"/>
        <v>508800</v>
      </c>
      <c r="H5" s="21"/>
      <c r="K5" s="27"/>
    </row>
    <row r="6" s="1" customFormat="1" ht="43" customHeight="1" spans="1:8">
      <c r="A6" s="8"/>
      <c r="B6" s="8"/>
      <c r="C6" s="9" t="s">
        <v>12</v>
      </c>
      <c r="D6" s="10">
        <v>5.1</v>
      </c>
      <c r="E6" s="17"/>
      <c r="F6" s="22">
        <v>34000</v>
      </c>
      <c r="G6" s="15">
        <f t="shared" si="0"/>
        <v>173400</v>
      </c>
      <c r="H6" s="18"/>
    </row>
    <row r="7" s="1" customFormat="1" ht="43" customHeight="1" spans="1:8">
      <c r="A7" s="5">
        <v>45975</v>
      </c>
      <c r="B7" s="5" t="s">
        <v>13</v>
      </c>
      <c r="C7" s="12" t="s">
        <v>9</v>
      </c>
      <c r="D7" s="10">
        <v>5.8</v>
      </c>
      <c r="E7" s="14" t="str">
        <f>_xlfn.DISPIMG("ID_E04E53902D31429B9CCCC3BF0D548570",1)</f>
        <v>=DISPIMG("ID_E04E53902D31429B9CCCC3BF0D548570",1)</v>
      </c>
      <c r="F7" s="23">
        <v>48000</v>
      </c>
      <c r="G7" s="15">
        <f t="shared" si="0"/>
        <v>278400</v>
      </c>
      <c r="H7" s="24">
        <f t="shared" ref="H7:H11" si="1">SUM(G7:G8)</f>
        <v>782400</v>
      </c>
    </row>
    <row r="8" s="1" customFormat="1" ht="65" customHeight="1" spans="1:8">
      <c r="A8" s="11"/>
      <c r="B8" s="11"/>
      <c r="C8" s="12" t="s">
        <v>10</v>
      </c>
      <c r="D8" s="10">
        <v>10.5</v>
      </c>
      <c r="E8" s="25"/>
      <c r="F8" s="23">
        <v>48000</v>
      </c>
      <c r="G8" s="15">
        <f t="shared" si="0"/>
        <v>504000</v>
      </c>
      <c r="H8" s="25"/>
    </row>
    <row r="9" s="1" customFormat="1" ht="55" customHeight="1" spans="1:11">
      <c r="A9" s="5">
        <v>45980</v>
      </c>
      <c r="B9" s="5" t="s">
        <v>14</v>
      </c>
      <c r="C9" s="9" t="s">
        <v>15</v>
      </c>
      <c r="D9" s="10">
        <v>4.85</v>
      </c>
      <c r="E9" s="14" t="str">
        <f>_xlfn.DISPIMG("ID_D0D7F85949BC4377AA6D333D4CD41D95",1)</f>
        <v>=DISPIMG("ID_D0D7F85949BC4377AA6D333D4CD41D95",1)</v>
      </c>
      <c r="F9" s="22">
        <v>50000</v>
      </c>
      <c r="G9" s="22">
        <f t="shared" ref="G9:G12" si="2">D9*F9</f>
        <v>242500</v>
      </c>
      <c r="H9" s="24">
        <f t="shared" si="1"/>
        <v>1187250</v>
      </c>
      <c r="K9" s="27"/>
    </row>
    <row r="10" s="1" customFormat="1" ht="55" customHeight="1" spans="1:11">
      <c r="A10" s="8"/>
      <c r="B10" s="11"/>
      <c r="C10" s="9" t="s">
        <v>16</v>
      </c>
      <c r="D10" s="10">
        <v>18.895</v>
      </c>
      <c r="E10" s="17"/>
      <c r="F10" s="22">
        <v>50000</v>
      </c>
      <c r="G10" s="22">
        <f t="shared" si="2"/>
        <v>944750</v>
      </c>
      <c r="H10" s="26"/>
      <c r="K10" s="27"/>
    </row>
    <row r="11" s="1" customFormat="1" ht="55" customHeight="1" spans="1:11">
      <c r="A11" s="5">
        <v>45989</v>
      </c>
      <c r="B11" s="5" t="s">
        <v>17</v>
      </c>
      <c r="C11" s="9" t="s">
        <v>9</v>
      </c>
      <c r="D11" s="10">
        <v>5.6</v>
      </c>
      <c r="E11" s="14" t="str">
        <f>_xlfn.DISPIMG("ID_3B01175CA21E443B8591D01EA0BFD05B",1)</f>
        <v>=DISPIMG("ID_3B01175CA21E443B8591D01EA0BFD05B",1)</v>
      </c>
      <c r="F11" s="22">
        <v>52000</v>
      </c>
      <c r="G11" s="22">
        <f t="shared" si="2"/>
        <v>291200</v>
      </c>
      <c r="H11" s="24">
        <f t="shared" si="1"/>
        <v>1021200</v>
      </c>
      <c r="K11" s="27"/>
    </row>
    <row r="12" s="1" customFormat="1" ht="55" customHeight="1" spans="1:11">
      <c r="A12" s="8"/>
      <c r="B12" s="8"/>
      <c r="C12" s="9" t="s">
        <v>10</v>
      </c>
      <c r="D12" s="10">
        <v>14.6</v>
      </c>
      <c r="E12" s="17"/>
      <c r="F12" s="22">
        <v>50000</v>
      </c>
      <c r="G12" s="22">
        <f t="shared" si="2"/>
        <v>730000</v>
      </c>
      <c r="H12" s="26"/>
      <c r="K12" s="27"/>
    </row>
    <row r="13" s="1" customFormat="1" ht="15" customHeight="1" spans="1:8">
      <c r="A13" s="13"/>
      <c r="B13" s="13"/>
      <c r="C13" s="13"/>
      <c r="D13" s="13"/>
      <c r="E13" s="22"/>
      <c r="F13" s="22"/>
      <c r="G13" s="22"/>
      <c r="H13" s="22">
        <f>SUM(H2:H12)</f>
        <v>5069850</v>
      </c>
    </row>
  </sheetData>
  <mergeCells count="21">
    <mergeCell ref="A13:C13"/>
    <mergeCell ref="A2:A3"/>
    <mergeCell ref="A4:A6"/>
    <mergeCell ref="A7:A8"/>
    <mergeCell ref="A9:A10"/>
    <mergeCell ref="A11:A12"/>
    <mergeCell ref="B2:B3"/>
    <mergeCell ref="B4:B6"/>
    <mergeCell ref="B7:B8"/>
    <mergeCell ref="B9:B10"/>
    <mergeCell ref="B11:B12"/>
    <mergeCell ref="E2:E3"/>
    <mergeCell ref="E4:E6"/>
    <mergeCell ref="E7:E8"/>
    <mergeCell ref="E9:E10"/>
    <mergeCell ref="E11:E12"/>
    <mergeCell ref="H2:H3"/>
    <mergeCell ref="H4:H6"/>
    <mergeCell ref="H7:H8"/>
    <mergeCell ref="H9:H10"/>
    <mergeCell ref="H11:H1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KSP (CHICKEN)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Hype GLK</dc:creator>
  <cp:lastModifiedBy>andreal</cp:lastModifiedBy>
  <dcterms:created xsi:type="dcterms:W3CDTF">2025-12-01T14:56:00Z</dcterms:created>
  <dcterms:modified xsi:type="dcterms:W3CDTF">2025-12-03T03:59:48Z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4C3CA59CFB24487D84CEBC00D98E01FC_13</vt:lpwstr>
  </property>
  <property fmtid="{D5CDD505-2E9C-101B-9397-08002B2CF9AE}" pid="3" name="KSOProductBuildVer">
    <vt:lpwstr>1033-12.1.23152.23152</vt:lpwstr>
  </property>
</Properties>
</file>