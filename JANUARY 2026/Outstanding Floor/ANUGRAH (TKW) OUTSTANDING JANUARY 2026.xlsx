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Anugrah (Bag, Cup, Box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<sst xmlns="http://schemas.openxmlformats.org/spreadsheetml/2006/main" count="12" uniqueCount="12">
  <si>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</si>
  <si>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</si>
  <si>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</si>
  <si>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</si>
  <si>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</si>
  <si>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</si>
  <si>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</si>
  <si>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</si>
  <si>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DISHWASHING SPONGE</t>
  </si>
  <si>
    <t>DISHWASHING WIRE</t>
  </si>
  <si>
    <t>TRASH BAG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</si>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</sst>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7" fontId="1" fillId="2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76200</xdr:colOff>
      <xdr:row>1</xdr:row>
      <xdr:rowOff>27305</xdr:rowOff>
    </xdr:from>
    <xdr:to>
      <xdr:col>4</xdr:col>
      <xdr:colOff>2639695</xdr:colOff>
      <xdr:row>3</xdr:row>
      <xdr:rowOff>1252220</xdr:rowOff>
    </xdr:to>
    <xdr:pic>
      <xdr:nvPicPr>
        <xdr:cNvPr id="2" name="ID_1CACBEEAF13042EB8ABD4CB52304E3D5" descr="PHOTO-2026-01-06-00-43-33"/>
        <xdr:cNvPicPr>
          <a:picLocks noChangeAspect="1"/>
        </xdr:cNvPicPr>
      </xdr:nvPicPr>
      <xdr:blipFill>
        <a:blip r:embed="rId1"/>
        <a:srcRect l="1066" t="8123" r="5377" b="14876"/>
        <a:stretch>
          <a:fillRect/>
        </a:stretch>
      </xdr:blipFill>
      <xdr:spPr>
        <a:xfrm>
          <a:off x="7240905" y="230505"/>
          <a:ext cx="2563495" cy="3764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="70" zoomScaleNormal="70" workbookViewId="0">
      <selection activeCell="G4" sqref="G4"/>
    </sheetView>
  </sheetViews>
  <sheetFormatPr defaultColWidth="9.140625" defaultRowHeight="20.4"/>
  <cols>
    <col min="1" max="1" width="17.4296875" style="2"/>
    <col min="2" max="2" width="13.4296875" style="2" customWidth="1"/>
    <col min="3" max="3" width="36" style="2" customWidth="1"/>
    <col min="4" max="4" width="21.2890625" style="3" customWidth="1"/>
    <col min="5" max="5" width="33.2890625" style="2" customWidth="1"/>
    <col min="6" max="6" width="17.2890625" style="2" customWidth="1"/>
    <col min="7" max="8" width="20.859375" style="2" customWidth="1"/>
    <col min="9" max="9" width="12.859375" style="2"/>
    <col min="10" max="10" width="15" style="2"/>
    <col min="11" max="16384" width="18.0390625" style="2"/>
  </cols>
  <sheetData>
    <row r="1" s="1" customFormat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100" customHeight="1" spans="1:10">
      <c r="A2" s="6">
        <v>46027</v>
      </c>
      <c r="B2" s="7">
        <v>2963</v>
      </c>
      <c r="C2" s="8" t="s">
        <v>8</v>
      </c>
      <c r="D2" s="9">
        <v>24</v>
      </c>
      <c r="E2" s="19"/>
      <c r="F2" s="20">
        <v>4833.33</v>
      </c>
      <c r="G2" s="21">
        <f t="shared" ref="G2:G9" si="0">SUM(D2*F2)</f>
        <v>115999.92</v>
      </c>
      <c r="H2" s="21">
        <f>SUM(G2:G4)</f>
        <v>266999.88</v>
      </c>
      <c r="J2" s="1">
        <f>116000/24</f>
        <v>4833.33333333333</v>
      </c>
    </row>
    <row r="3" s="1" customFormat="1" ht="100" customHeight="1" spans="1:10">
      <c r="A3" s="10"/>
      <c r="B3" s="7"/>
      <c r="C3" s="8" t="s">
        <v>9</v>
      </c>
      <c r="D3" s="9">
        <v>12</v>
      </c>
      <c r="E3" s="22"/>
      <c r="F3" s="20">
        <v>3833.33</v>
      </c>
      <c r="G3" s="21">
        <f t="shared" si="0"/>
        <v>45999.96</v>
      </c>
      <c r="H3" s="23"/>
      <c r="J3" s="1">
        <f>46000/12</f>
        <v>3833.33333333333</v>
      </c>
    </row>
    <row r="4" s="1" customFormat="1" ht="100" customHeight="1" spans="1:10">
      <c r="A4" s="10"/>
      <c r="B4" s="7"/>
      <c r="C4" s="8" t="s">
        <v>10</v>
      </c>
      <c r="D4" s="9">
        <v>100</v>
      </c>
      <c r="E4" s="22"/>
      <c r="F4" s="20">
        <v>1050</v>
      </c>
      <c r="G4" s="21">
        <f t="shared" si="0"/>
        <v>105000</v>
      </c>
      <c r="H4" s="23"/>
      <c r="J4" s="1">
        <f>105000/100</f>
        <v>1050</v>
      </c>
    </row>
    <row r="5" s="1" customFormat="1" ht="64.3" customHeight="1" spans="1:8">
      <c r="A5" s="6"/>
      <c r="B5" s="11"/>
      <c r="C5" s="12"/>
      <c r="D5" s="9"/>
      <c r="E5" s="19"/>
      <c r="F5" s="21"/>
      <c r="G5" s="21">
        <f t="shared" si="0"/>
        <v>0</v>
      </c>
      <c r="H5" s="21">
        <f>SUM(G5:G8)</f>
        <v>0</v>
      </c>
    </row>
    <row r="6" s="1" customFormat="1" ht="64.3" customHeight="1" spans="1:8">
      <c r="A6" s="10"/>
      <c r="B6" s="13"/>
      <c r="C6" s="7"/>
      <c r="D6" s="7"/>
      <c r="E6" s="22"/>
      <c r="F6" s="24"/>
      <c r="G6" s="21">
        <f t="shared" si="0"/>
        <v>0</v>
      </c>
      <c r="H6" s="23"/>
    </row>
    <row r="7" s="1" customFormat="1" ht="64.3" customHeight="1" spans="1:8">
      <c r="A7" s="10"/>
      <c r="B7" s="13"/>
      <c r="C7" s="7"/>
      <c r="D7" s="7"/>
      <c r="E7" s="22"/>
      <c r="F7" s="24"/>
      <c r="G7" s="21">
        <f t="shared" si="0"/>
        <v>0</v>
      </c>
      <c r="H7" s="23"/>
    </row>
    <row r="8" s="1" customFormat="1" ht="64.3" customHeight="1" spans="1:8">
      <c r="A8" s="10"/>
      <c r="B8" s="13"/>
      <c r="C8" s="11"/>
      <c r="D8" s="11"/>
      <c r="E8" s="22"/>
      <c r="F8" s="24"/>
      <c r="G8" s="21">
        <f t="shared" si="0"/>
        <v>0</v>
      </c>
      <c r="H8" s="23"/>
    </row>
    <row r="9" s="1" customFormat="1" ht="258" customHeight="1" spans="1:8">
      <c r="A9" s="14"/>
      <c r="B9" s="7"/>
      <c r="C9" s="7"/>
      <c r="D9" s="7"/>
      <c r="E9" s="25"/>
      <c r="F9" s="26"/>
      <c r="G9" s="20">
        <f t="shared" si="0"/>
        <v>0</v>
      </c>
      <c r="H9" s="20">
        <f>SUM(G9)</f>
        <v>0</v>
      </c>
    </row>
    <row r="10" s="1" customFormat="1" ht="18" customHeight="1" spans="1:8">
      <c r="A10" s="15" t="s">
        <v>11</v>
      </c>
      <c r="B10" s="16"/>
      <c r="C10" s="17"/>
      <c r="D10" s="18"/>
      <c r="E10" s="27"/>
      <c r="F10" s="27"/>
      <c r="G10" s="28"/>
      <c r="H10" s="29">
        <f>SUM(H2:H9)</f>
        <v>266999.88</v>
      </c>
    </row>
  </sheetData>
  <mergeCells count="9">
    <mergeCell ref="A10:C10"/>
    <mergeCell ref="A2:A4"/>
    <mergeCell ref="A5:A8"/>
    <mergeCell ref="B2:B4"/>
    <mergeCell ref="B5:B8"/>
    <mergeCell ref="E2:E4"/>
    <mergeCell ref="E5:E8"/>
    <mergeCell ref="H2:H4"/>
    <mergeCell ref="H5:H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Anugrah (Bag, Cup, Box)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2026-01-31T19:34:56Z</dcterms:created>
  <dcterms:modified xsi:type="dcterms:W3CDTF">2026-01-31T19:35:37Z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865203FF4A02E11BE0E87D69150F190D_41</vt:lpwstr>
  </property>
  <property fmtid="{D5CDD505-2E9C-101B-9397-08002B2CF9AE}" pid="3" name="KSOProductBuildVer">
    <vt:lpwstr>1033-12.1.23155.23155</vt:lpwstr>
  </property>
</Properties>
</file>