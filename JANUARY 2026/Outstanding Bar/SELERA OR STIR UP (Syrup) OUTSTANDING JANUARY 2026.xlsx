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SELERA OR STIR UP (Syrup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<sst xmlns="http://schemas.openxmlformats.org/spreadsheetml/2006/main" count="30" uniqueCount="22">
  <si>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</si>
  <si>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</si>
  <si>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</si>
  <si>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</si>
  <si>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</si>
  <si>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</si>
  <si>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</si>
  <si>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</si>
  <si>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SO.03-260021</t>
  </si>
  <si>
    <t>MARVELOUS MANGO PET</t>
  </si>
  <si>
    <t>KOOL KIWI PET</t>
  </si>
  <si>
    <t>LOYAL LYCHEE PET</t>
  </si>
  <si>
    <t>SUB TOTAL</t>
  </si>
  <si>
    <t>PPN (11%)</t>
  </si>
  <si>
    <t>SO.03-260025</t>
  </si>
  <si>
    <t>BLISSFUL BLUEBERRY PET</t>
  </si>
  <si>
    <t>SO.03-260026</t>
  </si>
  <si>
    <t>CHEERFUL AMARENA CHERRY</t>
  </si>
  <si>
    <t>PANDANESIA PET</t>
  </si>
  <si>
    <t>VOILA VANILLA PET</t>
  </si>
  <si>
    <t>BESPOKE BUTTERSCOTCH PET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</si>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</sst>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  <numFmt numFmtId="179" formatCode="[$Rp-421]#,##0.00;[Red][$Rp-421]#,##0.00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sz val="22"/>
      <color theme="1"/>
      <name val="Calibri"/>
      <charset val="134"/>
    </font>
    <font>
      <b/>
      <i/>
      <sz val="16"/>
      <color theme="1"/>
      <name val="Calibri"/>
      <charset val="134"/>
    </font>
    <font>
      <b/>
      <i/>
      <sz val="24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left" vertical="center" wrapText="1"/>
    </xf>
    <xf numFmtId="177" fontId="3" fillId="4" borderId="4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178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179" fontId="4" fillId="3" borderId="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7" fontId="3" fillId="4" borderId="7" xfId="0" applyNumberFormat="1" applyFont="1" applyFill="1" applyBorder="1" applyAlignment="1">
      <alignment vertical="center"/>
    </xf>
    <xf numFmtId="177" fontId="5" fillId="4" borderId="4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30480</xdr:colOff>
      <xdr:row>1</xdr:row>
      <xdr:rowOff>44450</xdr:rowOff>
    </xdr:from>
    <xdr:to>
      <xdr:col>4</xdr:col>
      <xdr:colOff>3653790</xdr:colOff>
      <xdr:row>3</xdr:row>
      <xdr:rowOff>1611630</xdr:rowOff>
    </xdr:to>
    <xdr:pic>
      <xdr:nvPicPr>
        <xdr:cNvPr id="2" name="ID_B20FCFD7AF4A4C8594BBFAF7C5B41672" descr="PHOTO-2026-01-15-16-50-57"/>
        <xdr:cNvPicPr>
          <a:picLocks noChangeAspect="1"/>
        </xdr:cNvPicPr>
      </xdr:nvPicPr>
      <xdr:blipFill>
        <a:blip r:embed="rId1"/>
        <a:srcRect t="11184" b="12303"/>
        <a:stretch>
          <a:fillRect/>
        </a:stretch>
      </xdr:blipFill>
      <xdr:spPr>
        <a:xfrm>
          <a:off x="5883910" y="476250"/>
          <a:ext cx="3623310" cy="4869180"/>
        </a:xfrm>
        <a:prstGeom prst="rect">
          <a:avLst/>
        </a:prstGeom>
      </xdr:spPr>
    </xdr:pic>
    <xdr:clientData/>
  </xdr:twoCellAnchor>
  <xdr:twoCellAnchor editAs="oneCell">
    <xdr:from>
      <xdr:col>4</xdr:col>
      <xdr:colOff>100330</xdr:colOff>
      <xdr:row>6</xdr:row>
      <xdr:rowOff>29845</xdr:rowOff>
    </xdr:from>
    <xdr:to>
      <xdr:col>4</xdr:col>
      <xdr:colOff>3583940</xdr:colOff>
      <xdr:row>6</xdr:row>
      <xdr:rowOff>5178425</xdr:rowOff>
    </xdr:to>
    <xdr:pic>
      <xdr:nvPicPr>
        <xdr:cNvPr id="3" name="ID_20C0AF31C2A2435F881BC3FD5CB631B7" descr="PHOTO-2026-01-15-16-51-29"/>
        <xdr:cNvPicPr>
          <a:picLocks noChangeAspect="1"/>
        </xdr:cNvPicPr>
      </xdr:nvPicPr>
      <xdr:blipFill>
        <a:blip r:embed="rId2"/>
        <a:srcRect t="7137" b="10074"/>
        <a:stretch>
          <a:fillRect/>
        </a:stretch>
      </xdr:blipFill>
      <xdr:spPr>
        <a:xfrm>
          <a:off x="5953760" y="6303645"/>
          <a:ext cx="3483610" cy="514858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9</xdr:row>
      <xdr:rowOff>30480</xdr:rowOff>
    </xdr:from>
    <xdr:to>
      <xdr:col>4</xdr:col>
      <xdr:colOff>3639185</xdr:colOff>
      <xdr:row>13</xdr:row>
      <xdr:rowOff>1052830</xdr:rowOff>
    </xdr:to>
    <xdr:pic>
      <xdr:nvPicPr>
        <xdr:cNvPr id="4" name="ID_1542E60353974BAC9C5566BAC63063F6" descr="PHOTO-2026-01-15-16-51-59"/>
        <xdr:cNvPicPr>
          <a:picLocks noChangeAspect="1"/>
        </xdr:cNvPicPr>
      </xdr:nvPicPr>
      <xdr:blipFill>
        <a:blip r:embed="rId3"/>
        <a:srcRect t="3745" b="13122"/>
        <a:stretch>
          <a:fillRect/>
        </a:stretch>
      </xdr:blipFill>
      <xdr:spPr>
        <a:xfrm>
          <a:off x="5897880" y="12244070"/>
          <a:ext cx="3594735" cy="534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59" zoomScaleNormal="59" topLeftCell="C5" workbookViewId="0">
      <selection activeCell="F10" sqref="F10"/>
    </sheetView>
  </sheetViews>
  <sheetFormatPr defaultColWidth="9.140625" defaultRowHeight="23.2" outlineLevelCol="7"/>
  <cols>
    <col min="1" max="1" width="17" style="1" customWidth="1"/>
    <col min="2" max="2" width="18" style="2" customWidth="1"/>
    <col min="3" max="3" width="24.2890625" style="2" customWidth="1"/>
    <col min="4" max="4" width="12.7265625" style="2" customWidth="1"/>
    <col min="5" max="5" width="45.203125" style="2" customWidth="1"/>
    <col min="6" max="7" width="29.0703125" style="2" customWidth="1"/>
    <col min="8" max="8" width="23.1171875" style="2" customWidth="1"/>
    <col min="9" max="12" width="9.140625" style="2"/>
    <col min="13" max="13" width="13.140625" style="2" customWidth="1"/>
    <col min="14" max="16384" width="9.140625" style="2"/>
  </cols>
  <sheetData>
    <row r="1" ht="34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3" t="s">
        <v>7</v>
      </c>
    </row>
    <row r="2" ht="130" customHeight="1" spans="1:8">
      <c r="A2" s="5">
        <v>46031</v>
      </c>
      <c r="B2" s="5" t="s">
        <v>8</v>
      </c>
      <c r="C2" s="6" t="s">
        <v>9</v>
      </c>
      <c r="D2" s="7">
        <v>3</v>
      </c>
      <c r="E2" s="14"/>
      <c r="F2" s="15">
        <v>100000</v>
      </c>
      <c r="G2" s="16">
        <f t="shared" ref="G2:G7" si="0">D2*F2</f>
        <v>300000</v>
      </c>
      <c r="H2" s="17">
        <f>SUM(G2:G4)</f>
        <v>700000</v>
      </c>
    </row>
    <row r="3" ht="130" customHeight="1" spans="1:8">
      <c r="A3" s="8"/>
      <c r="B3" s="8"/>
      <c r="C3" s="6" t="s">
        <v>10</v>
      </c>
      <c r="D3" s="7">
        <v>2</v>
      </c>
      <c r="E3" s="14"/>
      <c r="F3" s="15">
        <v>100000</v>
      </c>
      <c r="G3" s="16">
        <f t="shared" si="0"/>
        <v>200000</v>
      </c>
      <c r="H3" s="18"/>
    </row>
    <row r="4" ht="130" customHeight="1" spans="1:8">
      <c r="A4" s="8"/>
      <c r="B4" s="8"/>
      <c r="C4" s="6" t="s">
        <v>11</v>
      </c>
      <c r="D4" s="7">
        <v>2</v>
      </c>
      <c r="E4" s="14"/>
      <c r="F4" s="15">
        <v>100000</v>
      </c>
      <c r="G4" s="16">
        <f t="shared" si="0"/>
        <v>200000</v>
      </c>
      <c r="H4" s="18"/>
    </row>
    <row r="5" ht="35" customHeight="1" spans="1:8">
      <c r="A5" s="9" t="s">
        <v>12</v>
      </c>
      <c r="B5" s="9"/>
      <c r="C5" s="9"/>
      <c r="D5" s="7">
        <f>SUM(D2:D4)</f>
        <v>7</v>
      </c>
      <c r="E5" s="19"/>
      <c r="F5" s="20" t="s">
        <v>13</v>
      </c>
      <c r="G5" s="20"/>
      <c r="H5" s="20">
        <f>H2*11%</f>
        <v>77000</v>
      </c>
    </row>
    <row r="6" ht="35" customHeight="1" spans="1:8">
      <c r="A6" s="9" t="s">
        <v>7</v>
      </c>
      <c r="B6" s="9"/>
      <c r="C6" s="9"/>
      <c r="D6" s="7"/>
      <c r="E6" s="21">
        <f>SUM(H2:H5)</f>
        <v>777000</v>
      </c>
      <c r="F6" s="22"/>
      <c r="G6" s="22"/>
      <c r="H6" s="23"/>
    </row>
    <row r="7" ht="409.5" customHeight="1" spans="1:8">
      <c r="A7" s="5">
        <v>46034</v>
      </c>
      <c r="B7" s="5" t="s">
        <v>14</v>
      </c>
      <c r="C7" s="6" t="s">
        <v>15</v>
      </c>
      <c r="D7" s="7">
        <v>2</v>
      </c>
      <c r="E7" s="14"/>
      <c r="F7" s="15">
        <v>100000</v>
      </c>
      <c r="G7" s="16">
        <f t="shared" si="0"/>
        <v>200000</v>
      </c>
      <c r="H7" s="17">
        <f>SUM(G7:G7)</f>
        <v>200000</v>
      </c>
    </row>
    <row r="8" spans="1:8">
      <c r="A8" s="9" t="s">
        <v>12</v>
      </c>
      <c r="B8" s="9"/>
      <c r="C8" s="9"/>
      <c r="D8" s="7">
        <f>SUM(D7:D7)</f>
        <v>2</v>
      </c>
      <c r="E8" s="19"/>
      <c r="F8" s="20" t="s">
        <v>13</v>
      </c>
      <c r="G8" s="20"/>
      <c r="H8" s="20">
        <f>H7*11%</f>
        <v>22000</v>
      </c>
    </row>
    <row r="9" ht="35" customHeight="1" spans="1:8">
      <c r="A9" s="9" t="s">
        <v>7</v>
      </c>
      <c r="B9" s="9"/>
      <c r="C9" s="9"/>
      <c r="D9" s="7"/>
      <c r="E9" s="21">
        <f>SUM(H7:H8)</f>
        <v>222000</v>
      </c>
      <c r="F9" s="22"/>
      <c r="G9" s="22"/>
      <c r="H9" s="23"/>
    </row>
    <row r="10" ht="85" customHeight="1" spans="1:8">
      <c r="A10" s="5">
        <v>46036</v>
      </c>
      <c r="B10" s="5" t="s">
        <v>16</v>
      </c>
      <c r="C10" s="6" t="s">
        <v>17</v>
      </c>
      <c r="D10" s="7">
        <v>3</v>
      </c>
      <c r="E10" s="14"/>
      <c r="F10" s="15">
        <v>100000</v>
      </c>
      <c r="G10" s="16">
        <f t="shared" ref="G10:G14" si="1">D10*F10</f>
        <v>300000</v>
      </c>
      <c r="H10" s="17">
        <f>SUM(G10:G14)</f>
        <v>1100000</v>
      </c>
    </row>
    <row r="11" ht="85" customHeight="1" spans="1:8">
      <c r="A11" s="8"/>
      <c r="B11" s="8"/>
      <c r="C11" s="6" t="s">
        <v>18</v>
      </c>
      <c r="D11" s="7">
        <v>2</v>
      </c>
      <c r="E11" s="14"/>
      <c r="F11" s="15">
        <v>100000</v>
      </c>
      <c r="G11" s="16">
        <f t="shared" si="1"/>
        <v>200000</v>
      </c>
      <c r="H11" s="18"/>
    </row>
    <row r="12" ht="85" customHeight="1" spans="1:8">
      <c r="A12" s="8"/>
      <c r="B12" s="8"/>
      <c r="C12" s="6" t="s">
        <v>19</v>
      </c>
      <c r="D12" s="7">
        <v>2</v>
      </c>
      <c r="E12" s="14"/>
      <c r="F12" s="15">
        <v>100000</v>
      </c>
      <c r="G12" s="16">
        <f t="shared" si="1"/>
        <v>200000</v>
      </c>
      <c r="H12" s="18"/>
    </row>
    <row r="13" ht="85" customHeight="1" spans="1:8">
      <c r="A13" s="8"/>
      <c r="B13" s="8"/>
      <c r="C13" s="6" t="s">
        <v>9</v>
      </c>
      <c r="D13" s="7">
        <v>2</v>
      </c>
      <c r="E13" s="14"/>
      <c r="F13" s="15">
        <v>100000</v>
      </c>
      <c r="G13" s="16">
        <f t="shared" si="1"/>
        <v>200000</v>
      </c>
      <c r="H13" s="18"/>
    </row>
    <row r="14" ht="85" customHeight="1" spans="1:8">
      <c r="A14" s="8"/>
      <c r="B14" s="8"/>
      <c r="C14" s="10" t="s">
        <v>20</v>
      </c>
      <c r="D14" s="7">
        <v>2</v>
      </c>
      <c r="E14" s="14"/>
      <c r="F14" s="15">
        <v>100000</v>
      </c>
      <c r="G14" s="16">
        <f t="shared" si="1"/>
        <v>200000</v>
      </c>
      <c r="H14" s="24"/>
    </row>
    <row r="15" spans="1:8">
      <c r="A15" s="9" t="s">
        <v>12</v>
      </c>
      <c r="B15" s="9"/>
      <c r="C15" s="9"/>
      <c r="D15" s="7">
        <f>SUM(D10:D14)</f>
        <v>11</v>
      </c>
      <c r="E15" s="19"/>
      <c r="F15" s="20" t="s">
        <v>13</v>
      </c>
      <c r="G15" s="20"/>
      <c r="H15" s="20">
        <f>H10*11%</f>
        <v>121000</v>
      </c>
    </row>
    <row r="16" ht="34" customHeight="1" spans="1:8">
      <c r="A16" s="9" t="s">
        <v>7</v>
      </c>
      <c r="B16" s="9"/>
      <c r="C16" s="9"/>
      <c r="D16" s="7"/>
      <c r="E16" s="21">
        <f>SUM(H10:H15)</f>
        <v>1221000</v>
      </c>
      <c r="F16" s="22"/>
      <c r="G16" s="22"/>
      <c r="H16" s="23"/>
    </row>
    <row r="17" ht="58" customHeight="1" spans="1:8">
      <c r="A17" s="11" t="s">
        <v>21</v>
      </c>
      <c r="B17" s="12"/>
      <c r="C17" s="12"/>
      <c r="D17" s="12"/>
      <c r="E17" s="25"/>
      <c r="F17" s="26">
        <f>SUM(E6,E9,E16)</f>
        <v>2220000</v>
      </c>
      <c r="G17" s="27"/>
      <c r="H17" s="28"/>
    </row>
    <row r="18" ht="58" customHeight="1"/>
    <row r="19" ht="58" customHeight="1"/>
    <row r="20" ht="58" customHeight="1"/>
    <row r="21" ht="58" customHeight="1"/>
    <row r="22" ht="58" customHeight="1"/>
    <row r="23" ht="58" customHeight="1"/>
    <row r="24" ht="58" customHeight="1"/>
    <row r="25" ht="58" customHeight="1"/>
  </sheetData>
  <mergeCells count="22">
    <mergeCell ref="A5:C5"/>
    <mergeCell ref="F5:G5"/>
    <mergeCell ref="A6:C6"/>
    <mergeCell ref="E6:H6"/>
    <mergeCell ref="A8:C8"/>
    <mergeCell ref="F8:G8"/>
    <mergeCell ref="A9:C9"/>
    <mergeCell ref="E9:H9"/>
    <mergeCell ref="A15:C15"/>
    <mergeCell ref="F15:G15"/>
    <mergeCell ref="A16:C16"/>
    <mergeCell ref="E16:H16"/>
    <mergeCell ref="A17:E17"/>
    <mergeCell ref="F17:H17"/>
    <mergeCell ref="A2:A4"/>
    <mergeCell ref="A10:A14"/>
    <mergeCell ref="B2:B4"/>
    <mergeCell ref="B10:B14"/>
    <mergeCell ref="E2:E4"/>
    <mergeCell ref="E10:E14"/>
    <mergeCell ref="H2:H4"/>
    <mergeCell ref="H10:H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SELERA OR STIR UP (Syrup)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2026-01-31T19:21:48Z</dcterms:created>
  <dcterms:modified xsi:type="dcterms:W3CDTF">2026-01-31T19:22:37Z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BDE2FA52178F8371CCE57D69B7D6D2E3_41</vt:lpwstr>
  </property>
  <property fmtid="{D5CDD505-2E9C-101B-9397-08002B2CF9AE}" pid="3" name="KSOProductBuildVer">
    <vt:lpwstr>1033-12.1.23155.23155</vt:lpwstr>
  </property>
</Properties>
</file>