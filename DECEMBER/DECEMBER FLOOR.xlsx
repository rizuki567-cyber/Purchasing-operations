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000" firstSheet="1" activeTab="1"/>
  </bookViews>
  <sheets>
    <sheet name="Anugrah (Bag, Cup, Box)" sheetId="1" r:id="rId1"/>
    <sheet name="UD Abdi Jaya (Bag, Cup, Box)" sheetId="2" r:id="rId2"/>
    <sheet name="PT. SUPARMA JAYA TBK (Tissue)" sheetId="3" r:id="rId3"/>
    <sheet name="Vickel Laundry" sheetId="5" r:id="rId4"/>
    <sheet name="Dishy Soap" sheetId="6" r:id="rId5"/>
    <sheet name="TOTAL" sheetId="4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AF642E9448564DC2B9A94250BEBF50D7" descr="WhatsApp Image 2025-12-03 at 18.16.51_a036882e"/>
        <xdr:cNvPicPr>
          <a:picLocks noChangeAspect="1"/>
        </xdr:cNvPicPr>
      </xdr:nvPicPr>
      <xdr:blipFill>
        <a:blip r:embed="rId1"/>
        <a:srcRect l="1437" t="10012" b="11665"/>
        <a:stretch>
          <a:fillRect/>
        </a:stretch>
      </xdr:blipFill>
      <xdr:spPr>
        <a:xfrm>
          <a:off x="5927090" y="226060"/>
          <a:ext cx="2122170" cy="3007360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<sst xmlns="http://schemas.openxmlformats.org/spreadsheetml/2006/main" count="76" uniqueCount="44">
  <si>
    <t>DATE</t>
  </si>
  <si>
    <t>INV NO.</t>
  </si>
  <si>
    <t>DESCRIPTIONS</t>
  </si>
  <si>
    <t>AMOUNT</t>
  </si>
  <si>
    <t>BILLS</t>
  </si>
  <si>
    <t>PRICE</t>
  </si>
  <si>
    <t>SUBTOTAL</t>
  </si>
  <si>
    <t>TOTAL</t>
  </si>
  <si>
    <t>HAND TOWEL TISSUE</t>
  </si>
  <si>
    <t>COCKTAIL NAPKIN</t>
  </si>
  <si>
    <t>GRAND TOTAL</t>
  </si>
  <si>
    <t>HAND GLOVES (M)</t>
  </si>
  <si>
    <t>0414</t>
  </si>
  <si>
    <t>TISSUE COCKTAIL NAPKIN</t>
  </si>
  <si>
    <t>TISSUE SEE U</t>
  </si>
  <si>
    <t>PAPER BAG CB 8</t>
  </si>
  <si>
    <t>PLASTIC SPOON</t>
  </si>
  <si>
    <t>PLASTIC FORK</t>
  </si>
  <si>
    <t>HAND GLOVE M BLACK</t>
  </si>
  <si>
    <t>CUP HOLDER SINGLE</t>
  </si>
  <si>
    <t>CUP HOLDER DOUBLE</t>
  </si>
  <si>
    <t>0608</t>
  </si>
  <si>
    <t>TOOTHPICK COVER PLAIN</t>
  </si>
  <si>
    <t>SALES PRICE</t>
  </si>
  <si>
    <t>PPN</t>
  </si>
  <si>
    <t>PPh 22</t>
  </si>
  <si>
    <t>STATUS</t>
  </si>
  <si>
    <t>DESCRIPTION</t>
  </si>
  <si>
    <t>QTY</t>
  </si>
  <si>
    <t>DISHY VANILA 5L</t>
  </si>
  <si>
    <t>FLOOR CLEANER</t>
  </si>
  <si>
    <t>FLOOR CLEANER 5L</t>
  </si>
  <si>
    <t>FURNITURE POLISH</t>
  </si>
  <si>
    <t>HANDSOAP 5L</t>
  </si>
  <si>
    <t>GLASS CLEANER</t>
  </si>
  <si>
    <t>HANDSANITIZER GEL 5L</t>
  </si>
  <si>
    <t>NO</t>
  </si>
  <si>
    <t>SUPLAYER</t>
  </si>
  <si>
    <t>QYR</t>
  </si>
  <si>
    <t>Anugrah</t>
  </si>
  <si>
    <t>UD Abdi Jaya</t>
  </si>
  <si>
    <t>PT. SUPARMA JAYA TBK</t>
  </si>
  <si>
    <t>Vickel Laundry</t>
  </si>
  <si>
    <t>Dishy Soap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</si>
</sst>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_-&quot;Rp&quot;* #,##0_-;\-&quot;Rp&quot;* #,##0_-;_-&quot;Rp&quot;* &quot;-&quot;??_-;_-@_-"/>
    <numFmt numFmtId="181" formatCode="[$-409]d\-mmm\-yyyy;@"/>
    <numFmt numFmtId="182" formatCode="dd\-mmm"/>
    <numFmt numFmtId="183" formatCode="_ [$IDR]\ * #,##0_ ;_ [$IDR]\ * \-#,##0_ ;_ [$IDR]\ * &quot;-&quot;_ ;_ @_ "/>
    <numFmt numFmtId="184" formatCode="_ * #,##0_ ;_ * \-#,##0_ ;_ * &quot;-&quot;??_ ;_ @_ "/>
    <numFmt numFmtId="185" formatCode="_-&quot;Rp&quot;* #,##0.00_-;\-&quot;Rp&quot;* #,##0.00_-;_-&quot;Rp&quot;* &quot;-&quot;??.00_-;_-@_-"/>
  </numFmts>
  <fonts count="33">
    <font>
      <sz val="11"/>
      <color theme="1"/>
      <name val="Calibri"/>
      <charset val="134"/>
      <scheme val="minor"/>
    </font>
    <font>
      <sz val="20"/>
      <color theme="1"/>
      <name val="Calibri"/>
      <charset val="134"/>
      <scheme val="minor"/>
    </font>
    <font>
      <sz val="16"/>
      <color theme="1"/>
      <name val="Calibri"/>
      <charset val="134"/>
      <scheme val="minor"/>
    </font>
    <font>
      <sz val="18"/>
      <color theme="1"/>
      <name val="Calibri"/>
      <charset val="134"/>
      <scheme val="minor"/>
    </font>
    <font>
      <sz val="11"/>
      <color theme="1"/>
      <name val="Cambria"/>
      <charset val="134"/>
    </font>
    <font>
      <sz val="18"/>
      <color theme="1"/>
      <name val="Cambria"/>
      <charset val="134"/>
    </font>
    <font>
      <sz val="16"/>
      <color theme="1"/>
      <name val="Garamond"/>
      <charset val="134"/>
    </font>
    <font>
      <b/>
      <sz val="11"/>
      <color theme="1"/>
      <name val="Calibri"/>
      <charset val="134"/>
      <scheme val="minor"/>
    </font>
    <font>
      <b/>
      <i/>
      <sz val="11"/>
      <color theme="1"/>
      <name val="Calibri"/>
      <charset val="134"/>
      <scheme val="minor"/>
    </font>
    <font>
      <sz val="14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i/>
      <sz val="14"/>
      <color theme="1"/>
      <name val="Calibri"/>
      <charset val="134"/>
      <scheme val="minor"/>
    </font>
    <font>
      <b/>
      <sz val="14"/>
      <color theme="1"/>
      <name val="Garamond"/>
      <charset val="134"/>
    </font>
    <font>
      <sz val="14"/>
      <color theme="1"/>
      <name val="Calibri Light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theme="5" tint="0.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6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7" borderId="15" applyNumberFormat="0" applyAlignment="0" applyProtection="0">
      <alignment vertical="center"/>
    </xf>
    <xf numFmtId="0" fontId="23" fillId="8" borderId="16" applyNumberFormat="0" applyAlignment="0" applyProtection="0">
      <alignment vertical="center"/>
    </xf>
    <xf numFmtId="0" fontId="24" fillId="8" borderId="15" applyNumberFormat="0" applyAlignment="0" applyProtection="0">
      <alignment vertical="center"/>
    </xf>
    <xf numFmtId="0" fontId="25" fillId="9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</cellStyleXfs>
  <cellXfs count="13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 vertical="top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top"/>
    </xf>
    <xf numFmtId="180" fontId="0" fillId="3" borderId="1" xfId="0" applyNumberFormat="1" applyFill="1" applyBorder="1" applyAlignment="1">
      <alignment horizontal="left" vertical="center"/>
    </xf>
    <xf numFmtId="180" fontId="0" fillId="3" borderId="1" xfId="0" applyNumberFormat="1" applyFill="1" applyBorder="1"/>
    <xf numFmtId="180" fontId="0" fillId="2" borderId="1" xfId="0" applyNumberFormat="1" applyFill="1" applyBorder="1"/>
    <xf numFmtId="0" fontId="1" fillId="0" borderId="0" xfId="0" applyFont="1" applyFill="1" applyAlignment="1">
      <alignment vertical="center"/>
    </xf>
    <xf numFmtId="0" fontId="0" fillId="0" borderId="0" xfId="0" applyFill="1" applyAlignment="1">
      <alignment vertical="center"/>
    </xf>
    <xf numFmtId="181" fontId="0" fillId="0" borderId="0" xfId="0" applyNumberFormat="1" applyFill="1" applyAlignment="1">
      <alignment vertical="center"/>
    </xf>
    <xf numFmtId="181" fontId="1" fillId="4" borderId="1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181" fontId="2" fillId="3" borderId="2" xfId="0" applyNumberFormat="1" applyFont="1" applyFill="1" applyBorder="1" applyAlignment="1">
      <alignment horizontal="center" vertical="center"/>
    </xf>
    <xf numFmtId="180" fontId="2" fillId="3" borderId="3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2" fillId="3" borderId="2" xfId="0" applyNumberFormat="1" applyFont="1" applyFill="1" applyBorder="1" applyAlignment="1">
      <alignment horizontal="center" vertical="center"/>
    </xf>
    <xf numFmtId="181" fontId="2" fillId="3" borderId="4" xfId="0" applyNumberFormat="1" applyFont="1" applyFill="1" applyBorder="1" applyAlignment="1">
      <alignment horizontal="center" vertical="center"/>
    </xf>
    <xf numFmtId="0" fontId="3" fillId="3" borderId="5" xfId="0" applyNumberFormat="1" applyFont="1" applyFill="1" applyBorder="1" applyAlignment="1">
      <alignment horizontal="center" vertical="center"/>
    </xf>
    <xf numFmtId="0" fontId="3" fillId="3" borderId="6" xfId="0" applyNumberFormat="1" applyFont="1" applyFill="1" applyBorder="1" applyAlignment="1">
      <alignment horizontal="center" vertical="center"/>
    </xf>
    <xf numFmtId="0" fontId="2" fillId="3" borderId="4" xfId="0" applyNumberFormat="1" applyFont="1" applyFill="1" applyBorder="1" applyAlignment="1">
      <alignment horizontal="center" vertical="center"/>
    </xf>
    <xf numFmtId="181" fontId="3" fillId="3" borderId="2" xfId="0" applyNumberFormat="1" applyFont="1" applyFill="1" applyBorder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81" fontId="3" fillId="3" borderId="7" xfId="0" applyNumberFormat="1" applyFont="1" applyFill="1" applyBorder="1" applyAlignment="1">
      <alignment horizontal="center" vertical="center"/>
    </xf>
    <xf numFmtId="181" fontId="3" fillId="3" borderId="4" xfId="0" applyNumberFormat="1" applyFont="1" applyFill="1" applyBorder="1" applyAlignment="1">
      <alignment horizontal="center" vertical="center"/>
    </xf>
    <xf numFmtId="181" fontId="3" fillId="3" borderId="1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left" vertical="center"/>
    </xf>
    <xf numFmtId="180" fontId="2" fillId="3" borderId="8" xfId="0" applyNumberFormat="1" applyFont="1" applyFill="1" applyBorder="1" applyAlignment="1">
      <alignment horizontal="center" vertical="center"/>
    </xf>
    <xf numFmtId="180" fontId="2" fillId="3" borderId="1" xfId="0" applyNumberFormat="1" applyFont="1" applyFill="1" applyBorder="1" applyAlignment="1">
      <alignment horizontal="center" vertical="center"/>
    </xf>
    <xf numFmtId="180" fontId="3" fillId="3" borderId="7" xfId="0" applyNumberFormat="1" applyFont="1" applyFill="1" applyBorder="1" applyAlignment="1">
      <alignment horizontal="center" vertical="center"/>
    </xf>
    <xf numFmtId="180" fontId="3" fillId="3" borderId="4" xfId="0" applyNumberFormat="1" applyFont="1" applyFill="1" applyBorder="1" applyAlignment="1">
      <alignment horizontal="center" vertical="center"/>
    </xf>
    <xf numFmtId="180" fontId="3" fillId="3" borderId="1" xfId="0" applyNumberFormat="1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1" xfId="0" applyNumberFormat="1" applyFont="1" applyFill="1" applyBorder="1" applyAlignment="1">
      <alignment horizontal="center" vertical="center"/>
    </xf>
    <xf numFmtId="182" fontId="0" fillId="3" borderId="1" xfId="0" applyNumberFormat="1" applyFill="1" applyBorder="1" applyAlignment="1">
      <alignment horizontal="center" vertical="center"/>
    </xf>
    <xf numFmtId="0" fontId="0" fillId="3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183" fontId="0" fillId="0" borderId="1" xfId="0" applyNumberFormat="1" applyFill="1" applyBorder="1" applyAlignment="1">
      <alignment vertical="center"/>
    </xf>
    <xf numFmtId="183" fontId="0" fillId="0" borderId="3" xfId="0" applyNumberFormat="1" applyFill="1" applyBorder="1" applyAlignment="1">
      <alignment vertical="center"/>
    </xf>
    <xf numFmtId="0" fontId="0" fillId="0" borderId="9" xfId="0" applyFill="1" applyBorder="1" applyAlignment="1">
      <alignment horizontal="center" vertical="center"/>
    </xf>
    <xf numFmtId="0" fontId="0" fillId="0" borderId="3" xfId="0" applyNumberFormat="1" applyFill="1" applyBorder="1" applyAlignment="1">
      <alignment horizontal="center" vertical="center"/>
    </xf>
    <xf numFmtId="180" fontId="0" fillId="0" borderId="8" xfId="0" applyNumberFormat="1" applyFill="1" applyBorder="1" applyAlignment="1">
      <alignment horizontal="center" vertical="center"/>
    </xf>
    <xf numFmtId="180" fontId="0" fillId="0" borderId="9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vertical="center"/>
    </xf>
    <xf numFmtId="0" fontId="0" fillId="0" borderId="3" xfId="0" applyFill="1" applyBorder="1" applyAlignment="1">
      <alignment horizontal="center" vertical="center"/>
    </xf>
    <xf numFmtId="0" fontId="6" fillId="4" borderId="1" xfId="0" applyNumberFormat="1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81" fontId="0" fillId="3" borderId="1" xfId="0" applyNumberFormat="1" applyFill="1" applyBorder="1" applyAlignment="1">
      <alignment horizontal="center" vertical="center"/>
    </xf>
    <xf numFmtId="180" fontId="0" fillId="3" borderId="2" xfId="0" applyNumberFormat="1" applyFill="1" applyBorder="1" applyAlignment="1">
      <alignment horizontal="center" vertical="center" wrapText="1"/>
    </xf>
    <xf numFmtId="0" fontId="0" fillId="0" borderId="2" xfId="0" applyNumberFormat="1" applyFill="1" applyBorder="1" applyAlignment="1">
      <alignment horizontal="center" vertical="center"/>
    </xf>
    <xf numFmtId="180" fontId="0" fillId="3" borderId="4" xfId="0" applyNumberFormat="1" applyFill="1" applyBorder="1" applyAlignment="1">
      <alignment horizontal="center" vertical="center" wrapText="1"/>
    </xf>
    <xf numFmtId="0" fontId="0" fillId="0" borderId="4" xfId="0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180" fontId="0" fillId="0" borderId="1" xfId="0" applyNumberFormat="1" applyBorder="1" applyAlignment="1">
      <alignment horizontal="center"/>
    </xf>
    <xf numFmtId="182" fontId="0" fillId="3" borderId="2" xfId="0" applyNumberFormat="1" applyFill="1" applyBorder="1" applyAlignment="1">
      <alignment horizontal="center" vertical="center"/>
    </xf>
    <xf numFmtId="180" fontId="0" fillId="3" borderId="1" xfId="0" applyNumberFormat="1" applyFill="1" applyBorder="1" applyAlignment="1">
      <alignment horizontal="left" vertical="center" wrapText="1"/>
    </xf>
    <xf numFmtId="0" fontId="0" fillId="0" borderId="1" xfId="0" applyNumberFormat="1" applyFill="1" applyBorder="1" applyAlignment="1">
      <alignment horizontal="center" vertical="center"/>
    </xf>
    <xf numFmtId="182" fontId="0" fillId="3" borderId="4" xfId="0" applyNumberFormat="1" applyFill="1" applyBorder="1" applyAlignment="1">
      <alignment horizontal="center" vertical="center"/>
    </xf>
    <xf numFmtId="0" fontId="0" fillId="3" borderId="0" xfId="0" applyFill="1" applyBorder="1" applyAlignment="1"/>
    <xf numFmtId="0" fontId="0" fillId="3" borderId="7" xfId="0" applyFill="1" applyBorder="1" applyAlignment="1"/>
    <xf numFmtId="0" fontId="0" fillId="3" borderId="8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3" borderId="4" xfId="0" applyFill="1" applyBorder="1" applyAlignment="1"/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7" fillId="5" borderId="8" xfId="0" applyFont="1" applyFill="1" applyBorder="1" applyAlignment="1">
      <alignment horizontal="center"/>
    </xf>
    <xf numFmtId="0" fontId="7" fillId="5" borderId="9" xfId="0" applyFont="1" applyFill="1" applyBorder="1" applyAlignment="1">
      <alignment horizontal="center"/>
    </xf>
    <xf numFmtId="0" fontId="7" fillId="5" borderId="3" xfId="0" applyFont="1" applyFill="1" applyBorder="1" applyAlignment="1">
      <alignment horizontal="center"/>
    </xf>
    <xf numFmtId="0" fontId="0" fillId="0" borderId="1" xfId="0" applyFill="1" applyBorder="1" applyAlignment="1">
      <alignment horizontal="center" vertical="center"/>
    </xf>
    <xf numFmtId="183" fontId="0" fillId="0" borderId="2" xfId="0" applyNumberFormat="1" applyFill="1" applyBorder="1" applyAlignment="1">
      <alignment horizontal="center" vertical="center"/>
    </xf>
    <xf numFmtId="184" fontId="0" fillId="0" borderId="1" xfId="1" applyNumberFormat="1" applyFill="1" applyBorder="1" applyAlignment="1">
      <alignment horizontal="center" vertical="center"/>
    </xf>
    <xf numFmtId="183" fontId="0" fillId="0" borderId="4" xfId="0" applyNumberFormat="1" applyFill="1" applyBorder="1" applyAlignment="1">
      <alignment horizontal="center" vertical="center"/>
    </xf>
    <xf numFmtId="185" fontId="0" fillId="0" borderId="1" xfId="0" applyNumberFormat="1" applyBorder="1" applyAlignment="1">
      <alignment horizontal="center"/>
    </xf>
    <xf numFmtId="180" fontId="0" fillId="0" borderId="1" xfId="0" applyNumberFormat="1" applyBorder="1" applyAlignment="1"/>
    <xf numFmtId="0" fontId="0" fillId="0" borderId="2" xfId="0" applyFill="1" applyBorder="1" applyAlignment="1">
      <alignment horizontal="center" vertical="center"/>
    </xf>
    <xf numFmtId="184" fontId="0" fillId="0" borderId="1" xfId="1" applyNumberFormat="1" applyFill="1" applyBorder="1" applyAlignment="1">
      <alignment vertical="center"/>
    </xf>
    <xf numFmtId="0" fontId="0" fillId="0" borderId="4" xfId="0" applyFill="1" applyBorder="1" applyAlignment="1">
      <alignment horizontal="center" vertical="center"/>
    </xf>
    <xf numFmtId="180" fontId="0" fillId="0" borderId="4" xfId="0" applyNumberFormat="1" applyBorder="1" applyAlignment="1">
      <alignment horizontal="center"/>
    </xf>
    <xf numFmtId="180" fontId="0" fillId="0" borderId="8" xfId="0" applyNumberFormat="1" applyBorder="1" applyAlignment="1"/>
    <xf numFmtId="180" fontId="8" fillId="5" borderId="8" xfId="0" applyNumberFormat="1" applyFont="1" applyFill="1" applyBorder="1" applyAlignment="1">
      <alignment horizontal="center"/>
    </xf>
    <xf numFmtId="0" fontId="8" fillId="5" borderId="9" xfId="0" applyFont="1" applyFill="1" applyBorder="1" applyAlignment="1">
      <alignment horizontal="center"/>
    </xf>
    <xf numFmtId="0" fontId="8" fillId="5" borderId="3" xfId="0" applyFont="1" applyFill="1" applyBorder="1" applyAlignment="1">
      <alignment horizontal="center"/>
    </xf>
    <xf numFmtId="0" fontId="9" fillId="0" borderId="0" xfId="0" applyFont="1" applyFill="1" applyAlignment="1">
      <alignment vertical="center"/>
    </xf>
    <xf numFmtId="0" fontId="9" fillId="0" borderId="0" xfId="0" applyFont="1" applyAlignment="1">
      <alignment horizontal="center"/>
    </xf>
    <xf numFmtId="0" fontId="9" fillId="0" borderId="0" xfId="0" applyFont="1" applyAlignment="1"/>
    <xf numFmtId="0" fontId="9" fillId="0" borderId="0" xfId="0" applyFont="1"/>
    <xf numFmtId="0" fontId="10" fillId="4" borderId="1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vertical="center"/>
    </xf>
    <xf numFmtId="181" fontId="9" fillId="3" borderId="1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horizontal="center" vertical="center"/>
    </xf>
    <xf numFmtId="0" fontId="9" fillId="3" borderId="1" xfId="0" applyFont="1" applyFill="1" applyBorder="1" applyAlignment="1">
      <alignment vertical="center"/>
    </xf>
    <xf numFmtId="0" fontId="9" fillId="3" borderId="1" xfId="0" applyFont="1" applyFill="1" applyBorder="1" applyAlignment="1">
      <alignment horizontal="center" vertical="center"/>
    </xf>
    <xf numFmtId="181" fontId="9" fillId="3" borderId="2" xfId="0" applyNumberFormat="1" applyFont="1" applyFill="1" applyBorder="1" applyAlignment="1">
      <alignment horizontal="center" vertical="center"/>
    </xf>
    <xf numFmtId="0" fontId="9" fillId="3" borderId="2" xfId="0" applyNumberFormat="1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vertical="center" wrapText="1"/>
    </xf>
    <xf numFmtId="181" fontId="9" fillId="3" borderId="7" xfId="0" applyNumberFormat="1" applyFont="1" applyFill="1" applyBorder="1" applyAlignment="1">
      <alignment horizontal="center" vertical="center"/>
    </xf>
    <xf numFmtId="0" fontId="9" fillId="3" borderId="7" xfId="0" applyNumberFormat="1" applyFont="1" applyFill="1" applyBorder="1" applyAlignment="1">
      <alignment horizontal="center" vertical="center"/>
    </xf>
    <xf numFmtId="0" fontId="9" fillId="3" borderId="1" xfId="0" applyNumberFormat="1" applyFont="1" applyFill="1" applyBorder="1" applyAlignment="1">
      <alignment vertical="center"/>
    </xf>
    <xf numFmtId="181" fontId="9" fillId="3" borderId="4" xfId="0" applyNumberFormat="1" applyFont="1" applyFill="1" applyBorder="1" applyAlignment="1">
      <alignment horizontal="center" vertical="center"/>
    </xf>
    <xf numFmtId="0" fontId="9" fillId="3" borderId="4" xfId="0" applyNumberFormat="1" applyFont="1" applyFill="1" applyBorder="1" applyAlignment="1">
      <alignment horizontal="center" vertical="center"/>
    </xf>
    <xf numFmtId="182" fontId="9" fillId="0" borderId="4" xfId="0" applyNumberFormat="1" applyFont="1" applyFill="1" applyBorder="1" applyAlignment="1">
      <alignment horizontal="center" vertical="center"/>
    </xf>
    <xf numFmtId="0" fontId="9" fillId="0" borderId="4" xfId="0" applyNumberFormat="1" applyFont="1" applyFill="1" applyBorder="1" applyAlignment="1">
      <alignment horizontal="center" vertical="center"/>
    </xf>
    <xf numFmtId="0" fontId="9" fillId="0" borderId="1" xfId="0" applyNumberFormat="1" applyFont="1" applyFill="1" applyBorder="1" applyAlignment="1">
      <alignment vertical="center"/>
    </xf>
    <xf numFmtId="0" fontId="9" fillId="0" borderId="1" xfId="0" applyNumberFormat="1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183" fontId="9" fillId="3" borderId="1" xfId="0" applyNumberFormat="1" applyFont="1" applyFill="1" applyBorder="1" applyAlignment="1">
      <alignment horizontal="center" vertical="center"/>
    </xf>
    <xf numFmtId="183" fontId="9" fillId="3" borderId="1" xfId="0" applyNumberFormat="1" applyFont="1" applyFill="1" applyBorder="1" applyAlignment="1">
      <alignment vertical="center"/>
    </xf>
    <xf numFmtId="183" fontId="9" fillId="3" borderId="2" xfId="0" applyNumberFormat="1" applyFont="1" applyFill="1" applyBorder="1" applyAlignment="1">
      <alignment horizontal="center" vertical="center"/>
    </xf>
    <xf numFmtId="0" fontId="10" fillId="3" borderId="7" xfId="0" applyFont="1" applyFill="1" applyBorder="1" applyAlignment="1">
      <alignment horizontal="center" vertical="center"/>
    </xf>
    <xf numFmtId="183" fontId="9" fillId="3" borderId="7" xfId="0" applyNumberFormat="1" applyFont="1" applyFill="1" applyBorder="1" applyAlignment="1">
      <alignment horizontal="center" vertical="center"/>
    </xf>
    <xf numFmtId="0" fontId="10" fillId="3" borderId="4" xfId="0" applyFont="1" applyFill="1" applyBorder="1" applyAlignment="1">
      <alignment horizontal="center" vertical="center"/>
    </xf>
    <xf numFmtId="183" fontId="9" fillId="3" borderId="4" xfId="0" applyNumberFormat="1" applyFont="1" applyFill="1" applyBorder="1" applyAlignment="1">
      <alignment horizontal="center" vertical="center"/>
    </xf>
    <xf numFmtId="180" fontId="11" fillId="0" borderId="4" xfId="0" applyNumberFormat="1" applyFont="1" applyFill="1" applyBorder="1" applyAlignment="1">
      <alignment vertical="center"/>
    </xf>
    <xf numFmtId="180" fontId="11" fillId="0" borderId="1" xfId="0" applyNumberFormat="1" applyFont="1" applyFill="1" applyBorder="1" applyAlignment="1">
      <alignment vertical="center"/>
    </xf>
    <xf numFmtId="0" fontId="12" fillId="4" borderId="1" xfId="0" applyNumberFormat="1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180" fontId="9" fillId="3" borderId="5" xfId="0" applyNumberFormat="1" applyFont="1" applyFill="1" applyBorder="1" applyAlignment="1">
      <alignment horizontal="center" vertical="center" wrapText="1"/>
    </xf>
    <xf numFmtId="0" fontId="13" fillId="3" borderId="1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horizontal="center" vertical="center" wrapText="1"/>
    </xf>
    <xf numFmtId="0" fontId="9" fillId="4" borderId="8" xfId="0" applyNumberFormat="1" applyFont="1" applyFill="1" applyBorder="1" applyAlignment="1">
      <alignment horizontal="center" vertical="center"/>
    </xf>
    <xf numFmtId="0" fontId="9" fillId="4" borderId="9" xfId="0" applyNumberFormat="1" applyFont="1" applyFill="1" applyBorder="1" applyAlignment="1">
      <alignment horizontal="center" vertical="center"/>
    </xf>
    <xf numFmtId="0" fontId="9" fillId="4" borderId="3" xfId="0" applyNumberFormat="1" applyFont="1" applyFill="1" applyBorder="1" applyAlignment="1">
      <alignment horizontal="center" vertical="center"/>
    </xf>
    <xf numFmtId="180" fontId="9" fillId="4" borderId="1" xfId="0" applyNumberFormat="1" applyFont="1" applyFill="1" applyBorder="1" applyAlignment="1">
      <alignment horizontal="center" vertical="center"/>
    </xf>
    <xf numFmtId="180" fontId="9" fillId="3" borderId="2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horizontal="center" vertical="center"/>
    </xf>
    <xf numFmtId="180" fontId="9" fillId="3" borderId="1" xfId="0" applyNumberFormat="1" applyFont="1" applyFill="1" applyBorder="1" applyAlignment="1">
      <alignment vertical="center"/>
    </xf>
    <xf numFmtId="180" fontId="9" fillId="4" borderId="1" xfId="0" applyNumberFormat="1" applyFont="1" applyFill="1" applyBorder="1" applyAlignment="1">
      <alignment vertical="center"/>
    </xf>
    <xf numFmtId="183" fontId="9" fillId="4" borderId="1" xfId="0" applyNumberFormat="1" applyFont="1" applyFill="1" applyBorder="1" applyAlignment="1">
      <alignment horizontal="center" vertical="center"/>
    </xf>
    <xf numFmtId="180" fontId="11" fillId="4" borderId="1" xfId="0" applyNumberFormat="1" applyFont="1" applyFill="1" applyBorder="1" applyAlignment="1">
      <alignment vertical="center"/>
    </xf>
    <xf numFmtId="0" fontId="9" fillId="3" borderId="2" xfId="0" applyNumberFormat="1" applyFont="1" applyFill="1" applyBorder="1" applyAlignment="1" quotePrefix="1">
      <alignment horizontal="center" vertical="center"/>
    </xf>
    <xf numFmtId="0" fontId="9" fillId="0" borderId="4" xfId="0" applyNumberFormat="1" applyFont="1" applyFill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1" Type="http://schemas.openxmlformats.org/officeDocument/2006/relationships/image" Target="media/image6.jpeg"/></Relationships>
</file>

<file path=xl/_rels/workbook.xml.rels><?xml version="1.0" encoding="UTF-8" standalone="yes"?>
<Relationships xmlns="http://schemas.openxmlformats.org/package/2006/relationships"><Relationship Id="rId9" Type="http://www.wps.cn/officeDocument/2020/cellImage" Target="cellimag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31750</xdr:colOff>
      <xdr:row>1</xdr:row>
      <xdr:rowOff>27305</xdr:rowOff>
    </xdr:from>
    <xdr:to>
      <xdr:col>4</xdr:col>
      <xdr:colOff>3899535</xdr:colOff>
      <xdr:row>1</xdr:row>
      <xdr:rowOff>2866390</xdr:rowOff>
    </xdr:to>
    <xdr:pic>
      <xdr:nvPicPr>
        <xdr:cNvPr id="3" name="ID_9870CD9F67EF4A49AA830086E9844D26" descr="WhatsApp Image 2025-12-11 at 19.04.33_291d8f18"/>
        <xdr:cNvPicPr>
          <a:picLocks noChangeAspect="1"/>
        </xdr:cNvPicPr>
      </xdr:nvPicPr>
      <xdr:blipFill>
        <a:blip r:embed="rId1"/>
        <a:srcRect t="11037" b="12496"/>
        <a:stretch>
          <a:fillRect/>
        </a:stretch>
      </xdr:blipFill>
      <xdr:spPr>
        <a:xfrm rot="5400000">
          <a:off x="8364220" y="-283845"/>
          <a:ext cx="2839085" cy="3867785"/>
        </a:xfrm>
        <a:prstGeom prst="rect">
          <a:avLst/>
        </a:prstGeom>
      </xdr:spPr>
    </xdr:pic>
    <xdr:clientData/>
  </xdr:twoCellAnchor>
  <xdr:twoCellAnchor editAs="oneCell">
    <xdr:from>
      <xdr:col>4</xdr:col>
      <xdr:colOff>22542</xdr:colOff>
      <xdr:row>2</xdr:row>
      <xdr:rowOff>33972</xdr:rowOff>
    </xdr:from>
    <xdr:to>
      <xdr:col>4</xdr:col>
      <xdr:colOff>3913822</xdr:colOff>
      <xdr:row>9</xdr:row>
      <xdr:rowOff>336867</xdr:rowOff>
    </xdr:to>
    <xdr:pic>
      <xdr:nvPicPr>
        <xdr:cNvPr id="5" name="ID_EA4BA6ECE5B54036826B94B9F6D867FF" descr="WhatsApp Image 2025-12-11 at 18.49.57_9a9d137a"/>
        <xdr:cNvPicPr>
          <a:picLocks noChangeAspect="1"/>
        </xdr:cNvPicPr>
      </xdr:nvPicPr>
      <xdr:blipFill>
        <a:blip r:embed="rId2"/>
        <a:srcRect t="13770" b="11839"/>
        <a:stretch>
          <a:fillRect/>
        </a:stretch>
      </xdr:blipFill>
      <xdr:spPr>
        <a:xfrm rot="16200000">
          <a:off x="8345170" y="2624455"/>
          <a:ext cx="2880995" cy="3891280"/>
        </a:xfrm>
        <a:prstGeom prst="rect">
          <a:avLst/>
        </a:prstGeom>
      </xdr:spPr>
    </xdr:pic>
    <xdr:clientData/>
  </xdr:twoCellAnchor>
  <xdr:twoCellAnchor editAs="oneCell">
    <xdr:from>
      <xdr:col>4</xdr:col>
      <xdr:colOff>30797</xdr:colOff>
      <xdr:row>10</xdr:row>
      <xdr:rowOff>26987</xdr:rowOff>
    </xdr:from>
    <xdr:to>
      <xdr:col>4</xdr:col>
      <xdr:colOff>4770437</xdr:colOff>
      <xdr:row>10</xdr:row>
      <xdr:rowOff>4471352</xdr:rowOff>
    </xdr:to>
    <xdr:pic>
      <xdr:nvPicPr>
        <xdr:cNvPr id="4" name="ID_FDB04E1C200E40C2A01C8C6D07A45482" descr="PHOTO-2025-12-17-17-40-21"/>
        <xdr:cNvPicPr>
          <a:picLocks noChangeAspect="1"/>
        </xdr:cNvPicPr>
      </xdr:nvPicPr>
      <xdr:blipFill>
        <a:blip r:embed="rId3"/>
        <a:srcRect l="2346" t="14598" b="17958"/>
        <a:stretch>
          <a:fillRect/>
        </a:stretch>
      </xdr:blipFill>
      <xdr:spPr>
        <a:xfrm rot="16200000">
          <a:off x="7995920" y="5921375"/>
          <a:ext cx="4444365" cy="47396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26035</xdr:colOff>
      <xdr:row>1</xdr:row>
      <xdr:rowOff>56515</xdr:rowOff>
    </xdr:from>
    <xdr:to>
      <xdr:col>3</xdr:col>
      <xdr:colOff>4355465</xdr:colOff>
      <xdr:row>2</xdr:row>
      <xdr:rowOff>949325</xdr:rowOff>
    </xdr:to>
    <xdr:pic>
      <xdr:nvPicPr>
        <xdr:cNvPr id="3" name="ID_7BEFDB63F16448A5BB21710E631EB358" descr="WhatsApp Image 2025-12-03 at 11.37.37_bfde9d0a"/>
        <xdr:cNvPicPr>
          <a:picLocks noChangeAspect="1"/>
        </xdr:cNvPicPr>
      </xdr:nvPicPr>
      <xdr:blipFill>
        <a:blip r:embed="rId1"/>
        <a:srcRect l="6138" t="14811" b="10638"/>
        <a:stretch>
          <a:fillRect/>
        </a:stretch>
      </xdr:blipFill>
      <xdr:spPr>
        <a:xfrm rot="16200000">
          <a:off x="7953375" y="-131445"/>
          <a:ext cx="3064510" cy="4329430"/>
        </a:xfrm>
        <a:prstGeom prst="rect">
          <a:avLst/>
        </a:prstGeom>
      </xdr:spPr>
    </xdr:pic>
    <xdr:clientData/>
  </xdr:twoCellAnchor>
  <xdr:twoCellAnchor editAs="oneCell">
    <xdr:from>
      <xdr:col>3</xdr:col>
      <xdr:colOff>19367</xdr:colOff>
      <xdr:row>2</xdr:row>
      <xdr:rowOff>1011872</xdr:rowOff>
    </xdr:from>
    <xdr:to>
      <xdr:col>3</xdr:col>
      <xdr:colOff>4348797</xdr:colOff>
      <xdr:row>7</xdr:row>
      <xdr:rowOff>564197</xdr:rowOff>
    </xdr:to>
    <xdr:pic>
      <xdr:nvPicPr>
        <xdr:cNvPr id="4" name="ID_F4D3B8AB0BD24917BF078073AEC51FE5" descr="WhatsApp Image 2025-12-12 at 12.56.20_53e90f5f"/>
        <xdr:cNvPicPr>
          <a:picLocks noChangeAspect="1"/>
        </xdr:cNvPicPr>
      </xdr:nvPicPr>
      <xdr:blipFill>
        <a:blip r:embed="rId2"/>
        <a:srcRect l="5252" t="15894" b="7049"/>
        <a:stretch>
          <a:fillRect/>
        </a:stretch>
      </xdr:blipFill>
      <xdr:spPr>
        <a:xfrm rot="16200000">
          <a:off x="7974965" y="2966085"/>
          <a:ext cx="3006725" cy="432943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"/>
  <sheetViews>
    <sheetView zoomScale="70" zoomScaleNormal="70" workbookViewId="0">
      <selection activeCell="E4" sqref="E4:E7"/>
    </sheetView>
  </sheetViews>
  <sheetFormatPr defaultColWidth="9.140625" defaultRowHeight="20.4" outlineLevelCol="7"/>
  <cols>
    <col min="1" max="1" width="17.4296875" style="90"/>
    <col min="2" max="2" width="13.4296875" style="90" customWidth="1"/>
    <col min="3" max="3" width="36" style="90" customWidth="1"/>
    <col min="4" max="4" width="21.2890625" style="88" customWidth="1"/>
    <col min="5" max="5" width="33.2890625" style="90" customWidth="1"/>
    <col min="6" max="6" width="17.2890625" style="90" customWidth="1"/>
    <col min="7" max="8" width="20.859375" style="90" customWidth="1"/>
    <col min="9" max="9" width="12.859375" style="90"/>
    <col min="10" max="10" width="12" style="90"/>
    <col min="11" max="16384" width="18.0390625" style="90"/>
  </cols>
  <sheetData>
    <row r="1" s="87" customFormat="1" ht="16" customHeight="1" spans="1:8">
      <c r="A1" s="120" t="s">
        <v>0</v>
      </c>
      <c r="B1" s="121" t="s">
        <v>1</v>
      </c>
      <c r="C1" s="121" t="s">
        <v>2</v>
      </c>
      <c r="D1" s="121" t="s">
        <v>3</v>
      </c>
      <c r="E1" s="121" t="s">
        <v>4</v>
      </c>
      <c r="F1" s="121" t="s">
        <v>5</v>
      </c>
      <c r="G1" s="121" t="s">
        <v>6</v>
      </c>
      <c r="H1" s="121" t="s">
        <v>7</v>
      </c>
    </row>
    <row r="2" s="87" customFormat="1" ht="120" customHeight="1" spans="1:8">
      <c r="A2" s="98">
        <v>45994</v>
      </c>
      <c r="B2" s="95">
        <v>2518</v>
      </c>
      <c r="C2" s="122" t="s">
        <v>8</v>
      </c>
      <c r="D2" s="123">
        <v>4</v>
      </c>
      <c r="E2" s="110" t="str">
        <f>_xlfn.DISPIMG("ID_AF642E9448564DC2B9A94250BEBF50D7",1)</f>
        <v>=DISPIMG("ID_AF642E9448564DC2B9A94250BEBF50D7",1)</v>
      </c>
      <c r="F2" s="111">
        <v>178000</v>
      </c>
      <c r="G2" s="113">
        <f t="shared" ref="G2:G8" si="0">SUM(D2*F2)</f>
        <v>712000</v>
      </c>
      <c r="H2" s="113">
        <f>SUM(G2:G3)</f>
        <v>1897000</v>
      </c>
    </row>
    <row r="3" s="87" customFormat="1" ht="120" customHeight="1" spans="1:8">
      <c r="A3" s="101"/>
      <c r="B3" s="95"/>
      <c r="C3" s="122" t="s">
        <v>9</v>
      </c>
      <c r="D3" s="123">
        <v>3</v>
      </c>
      <c r="E3" s="114"/>
      <c r="F3" s="111">
        <v>395000</v>
      </c>
      <c r="G3" s="113">
        <f t="shared" si="0"/>
        <v>1185000</v>
      </c>
      <c r="H3" s="115"/>
    </row>
    <row r="4" s="87" customFormat="1" ht="64.3" customHeight="1" spans="1:8">
      <c r="A4" s="98"/>
      <c r="B4" s="99"/>
      <c r="C4" s="124"/>
      <c r="D4" s="123"/>
      <c r="E4" s="110"/>
      <c r="F4" s="113"/>
      <c r="G4" s="113">
        <f t="shared" si="0"/>
        <v>0</v>
      </c>
      <c r="H4" s="113">
        <f>SUM(G4:G7)</f>
        <v>0</v>
      </c>
    </row>
    <row r="5" s="87" customFormat="1" ht="64.3" customHeight="1" spans="1:8">
      <c r="A5" s="101"/>
      <c r="B5" s="102"/>
      <c r="C5" s="95"/>
      <c r="D5" s="95"/>
      <c r="E5" s="114"/>
      <c r="F5" s="129"/>
      <c r="G5" s="113">
        <f t="shared" si="0"/>
        <v>0</v>
      </c>
      <c r="H5" s="115"/>
    </row>
    <row r="6" s="87" customFormat="1" ht="64.3" customHeight="1" spans="1:8">
      <c r="A6" s="101"/>
      <c r="B6" s="102"/>
      <c r="C6" s="95"/>
      <c r="D6" s="95"/>
      <c r="E6" s="114"/>
      <c r="F6" s="129"/>
      <c r="G6" s="113">
        <f t="shared" si="0"/>
        <v>0</v>
      </c>
      <c r="H6" s="115"/>
    </row>
    <row r="7" s="87" customFormat="1" ht="64.3" customHeight="1" spans="1:8">
      <c r="A7" s="101"/>
      <c r="B7" s="102"/>
      <c r="C7" s="99"/>
      <c r="D7" s="99"/>
      <c r="E7" s="114"/>
      <c r="F7" s="129"/>
      <c r="G7" s="113">
        <f t="shared" si="0"/>
        <v>0</v>
      </c>
      <c r="H7" s="115"/>
    </row>
    <row r="8" s="87" customFormat="1" ht="258" customHeight="1" spans="1:8">
      <c r="A8" s="94"/>
      <c r="B8" s="95"/>
      <c r="C8" s="95"/>
      <c r="D8" s="95"/>
      <c r="E8" s="130"/>
      <c r="F8" s="131"/>
      <c r="G8" s="111">
        <f t="shared" si="0"/>
        <v>0</v>
      </c>
      <c r="H8" s="111">
        <f>SUM(G8)</f>
        <v>0</v>
      </c>
    </row>
    <row r="9" s="87" customFormat="1" ht="18" customHeight="1" spans="1:8">
      <c r="A9" s="125" t="s">
        <v>10</v>
      </c>
      <c r="B9" s="126"/>
      <c r="C9" s="127"/>
      <c r="D9" s="128"/>
      <c r="E9" s="132"/>
      <c r="F9" s="132"/>
      <c r="G9" s="133"/>
      <c r="H9" s="134">
        <f>SUM(H2:H8)</f>
        <v>1897000</v>
      </c>
    </row>
  </sheetData>
  <mergeCells count="9">
    <mergeCell ref="A9:C9"/>
    <mergeCell ref="A2:A3"/>
    <mergeCell ref="A4:A7"/>
    <mergeCell ref="B2:B3"/>
    <mergeCell ref="B4:B7"/>
    <mergeCell ref="E2:E3"/>
    <mergeCell ref="E4:E7"/>
    <mergeCell ref="H2:H3"/>
    <mergeCell ref="H4:H7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"/>
  <sheetViews>
    <sheetView tabSelected="1" zoomScale="70" zoomScaleNormal="70" workbookViewId="0">
      <pane ySplit="1" topLeftCell="A2" activePane="bottomLeft" state="frozen"/>
      <selection/>
      <selection pane="bottomLeft" activeCell="C4" sqref="C4"/>
    </sheetView>
  </sheetViews>
  <sheetFormatPr defaultColWidth="9.140625" defaultRowHeight="20.4" outlineLevelCol="7"/>
  <cols>
    <col min="1" max="1" width="19.859375" style="88"/>
    <col min="2" max="2" width="18.859375" style="88" customWidth="1"/>
    <col min="3" max="3" width="43.0390625" style="89" customWidth="1"/>
    <col min="4" max="4" width="14.4296875" style="88" customWidth="1"/>
    <col min="5" max="5" width="58.9609375" style="90" customWidth="1"/>
    <col min="6" max="6" width="19.5234375" style="90" customWidth="1"/>
    <col min="7" max="8" width="20.859375" style="90" customWidth="1"/>
    <col min="9" max="9" width="12.859375" style="90"/>
    <col min="10" max="16384" width="9.140625" style="90"/>
  </cols>
  <sheetData>
    <row r="1" s="87" customFormat="1" ht="16" customHeight="1" spans="1:8">
      <c r="A1" s="91" t="s">
        <v>0</v>
      </c>
      <c r="B1" s="92" t="s">
        <v>1</v>
      </c>
      <c r="C1" s="93" t="s">
        <v>2</v>
      </c>
      <c r="D1" s="92" t="s">
        <v>3</v>
      </c>
      <c r="E1" s="92" t="s">
        <v>4</v>
      </c>
      <c r="F1" s="92" t="s">
        <v>5</v>
      </c>
      <c r="G1" s="92" t="s">
        <v>6</v>
      </c>
      <c r="H1" s="92" t="s">
        <v>7</v>
      </c>
    </row>
    <row r="2" s="87" customFormat="1" ht="227.8" customHeight="1" spans="1:8">
      <c r="A2" s="94">
        <v>45975</v>
      </c>
      <c r="B2" s="95">
        <v>221</v>
      </c>
      <c r="C2" s="96" t="s">
        <v>11</v>
      </c>
      <c r="D2" s="97">
        <v>3</v>
      </c>
      <c r="E2" s="110"/>
      <c r="F2" s="111">
        <v>55000</v>
      </c>
      <c r="G2" s="112">
        <f t="shared" ref="G2:G11" si="0">D2*F2</f>
        <v>165000</v>
      </c>
      <c r="H2" s="111">
        <f>SUM(G2:G2)</f>
        <v>165000</v>
      </c>
    </row>
    <row r="3" s="87" customFormat="1" ht="29" customHeight="1" spans="1:8">
      <c r="A3" s="98">
        <v>46002</v>
      </c>
      <c r="B3" s="135" t="s">
        <v>12</v>
      </c>
      <c r="C3" s="100" t="s">
        <v>13</v>
      </c>
      <c r="D3" s="97">
        <v>1</v>
      </c>
      <c r="E3" s="110"/>
      <c r="F3" s="112">
        <v>295000</v>
      </c>
      <c r="G3" s="112">
        <f t="shared" si="0"/>
        <v>295000</v>
      </c>
      <c r="H3" s="113">
        <f>SUM(G3:G10)</f>
        <v>5280000</v>
      </c>
    </row>
    <row r="4" s="87" customFormat="1" ht="29" customHeight="1" spans="1:8">
      <c r="A4" s="101"/>
      <c r="B4" s="102"/>
      <c r="C4" s="100" t="s">
        <v>14</v>
      </c>
      <c r="D4" s="97">
        <v>4</v>
      </c>
      <c r="E4" s="114"/>
      <c r="F4" s="112">
        <v>150000</v>
      </c>
      <c r="G4" s="112">
        <f t="shared" si="0"/>
        <v>600000</v>
      </c>
      <c r="H4" s="115"/>
    </row>
    <row r="5" s="87" customFormat="1" ht="29" customHeight="1" spans="1:8">
      <c r="A5" s="101"/>
      <c r="B5" s="102"/>
      <c r="C5" s="100" t="s">
        <v>15</v>
      </c>
      <c r="D5" s="97">
        <v>4</v>
      </c>
      <c r="E5" s="114"/>
      <c r="F5" s="112">
        <v>460000</v>
      </c>
      <c r="G5" s="112">
        <f t="shared" si="0"/>
        <v>1840000</v>
      </c>
      <c r="H5" s="115"/>
    </row>
    <row r="6" s="87" customFormat="1" ht="29" customHeight="1" spans="1:8">
      <c r="A6" s="101"/>
      <c r="B6" s="102"/>
      <c r="C6" s="100" t="s">
        <v>16</v>
      </c>
      <c r="D6" s="97">
        <v>2</v>
      </c>
      <c r="E6" s="114"/>
      <c r="F6" s="112">
        <v>340000</v>
      </c>
      <c r="G6" s="112">
        <f t="shared" si="0"/>
        <v>680000</v>
      </c>
      <c r="H6" s="115"/>
    </row>
    <row r="7" s="87" customFormat="1" ht="29" customHeight="1" spans="1:8">
      <c r="A7" s="101"/>
      <c r="B7" s="102"/>
      <c r="C7" s="100" t="s">
        <v>17</v>
      </c>
      <c r="D7" s="97">
        <v>1</v>
      </c>
      <c r="E7" s="114"/>
      <c r="F7" s="111">
        <v>340000</v>
      </c>
      <c r="G7" s="112">
        <f t="shared" si="0"/>
        <v>340000</v>
      </c>
      <c r="H7" s="115"/>
    </row>
    <row r="8" s="87" customFormat="1" ht="29" customHeight="1" spans="1:8">
      <c r="A8" s="101"/>
      <c r="B8" s="102"/>
      <c r="C8" s="103" t="s">
        <v>18</v>
      </c>
      <c r="D8" s="95">
        <v>5</v>
      </c>
      <c r="E8" s="114"/>
      <c r="F8" s="95">
        <v>55000</v>
      </c>
      <c r="G8" s="112">
        <f t="shared" si="0"/>
        <v>275000</v>
      </c>
      <c r="H8" s="115"/>
    </row>
    <row r="9" s="87" customFormat="1" ht="29" customHeight="1" spans="1:8">
      <c r="A9" s="101"/>
      <c r="B9" s="102"/>
      <c r="C9" s="103" t="s">
        <v>19</v>
      </c>
      <c r="D9" s="95">
        <v>500</v>
      </c>
      <c r="E9" s="114"/>
      <c r="F9" s="95">
        <v>1000</v>
      </c>
      <c r="G9" s="112">
        <f t="shared" si="0"/>
        <v>500000</v>
      </c>
      <c r="H9" s="115"/>
    </row>
    <row r="10" s="87" customFormat="1" ht="29" customHeight="1" spans="1:8">
      <c r="A10" s="104"/>
      <c r="B10" s="105"/>
      <c r="C10" s="103" t="s">
        <v>20</v>
      </c>
      <c r="D10" s="95">
        <v>500</v>
      </c>
      <c r="E10" s="116"/>
      <c r="F10" s="95">
        <v>1500</v>
      </c>
      <c r="G10" s="112">
        <f t="shared" si="0"/>
        <v>750000</v>
      </c>
      <c r="H10" s="117"/>
    </row>
    <row r="11" s="87" customFormat="1" ht="353.9" customHeight="1" spans="1:8">
      <c r="A11" s="106">
        <v>46008</v>
      </c>
      <c r="B11" s="136" t="s">
        <v>21</v>
      </c>
      <c r="C11" s="108" t="s">
        <v>22</v>
      </c>
      <c r="D11" s="109">
        <v>20</v>
      </c>
      <c r="E11" s="107"/>
      <c r="F11" s="109">
        <v>25000</v>
      </c>
      <c r="G11" s="112">
        <f t="shared" si="0"/>
        <v>500000</v>
      </c>
      <c r="H11" s="118">
        <f>SUM(G11)</f>
        <v>500000</v>
      </c>
    </row>
    <row r="12" s="87" customFormat="1" spans="1:8">
      <c r="A12" s="109"/>
      <c r="B12" s="109"/>
      <c r="C12" s="108"/>
      <c r="D12" s="109"/>
      <c r="E12" s="109"/>
      <c r="F12" s="109"/>
      <c r="G12" s="112"/>
      <c r="H12" s="119">
        <f>SUM(H2:H11)</f>
        <v>5945000</v>
      </c>
    </row>
  </sheetData>
  <mergeCells count="5">
    <mergeCell ref="A12:E12"/>
    <mergeCell ref="A3:A10"/>
    <mergeCell ref="B3:B10"/>
    <mergeCell ref="E3:E10"/>
    <mergeCell ref="H3:H10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4"/>
  <sheetViews>
    <sheetView workbookViewId="0">
      <selection activeCell="G15" sqref="G15"/>
    </sheetView>
  </sheetViews>
  <sheetFormatPr defaultColWidth="9.140625" defaultRowHeight="16.8" outlineLevelCol="6"/>
  <cols>
    <col min="1" max="1" width="11.7109375" customWidth="1"/>
    <col min="2" max="2" width="22.140625" customWidth="1"/>
    <col min="3" max="3" width="22.5703125" customWidth="1"/>
    <col min="4" max="4" width="17.5703125" customWidth="1"/>
    <col min="5" max="5" width="34.5703125" customWidth="1"/>
    <col min="6" max="6" width="19.4296875" customWidth="1"/>
    <col min="7" max="7" width="17.2890625" customWidth="1"/>
  </cols>
  <sheetData>
    <row r="1" ht="16" customHeight="1" spans="1:7">
      <c r="A1" s="50" t="s">
        <v>0</v>
      </c>
      <c r="B1" s="51" t="s">
        <v>1</v>
      </c>
      <c r="C1" s="51" t="s">
        <v>2</v>
      </c>
      <c r="D1" s="51" t="s">
        <v>3</v>
      </c>
      <c r="E1" s="51" t="s">
        <v>4</v>
      </c>
      <c r="F1" s="51" t="s">
        <v>5</v>
      </c>
      <c r="G1" s="51" t="s">
        <v>7</v>
      </c>
    </row>
    <row r="2" ht="123.5" customHeight="1" spans="1:7">
      <c r="A2" s="52"/>
      <c r="B2" s="39"/>
      <c r="C2" s="53"/>
      <c r="D2" s="54"/>
      <c r="E2" s="73"/>
      <c r="F2" s="74"/>
      <c r="G2" s="75">
        <f>SUM(D2*F2)</f>
        <v>0</v>
      </c>
    </row>
    <row r="3" ht="123.5" customHeight="1" spans="1:7">
      <c r="A3" s="52"/>
      <c r="B3" s="39"/>
      <c r="C3" s="55"/>
      <c r="D3" s="56"/>
      <c r="E3" s="73"/>
      <c r="F3" s="76"/>
      <c r="G3" s="75"/>
    </row>
    <row r="4" spans="1:7">
      <c r="A4" s="52"/>
      <c r="B4" s="57" t="s">
        <v>23</v>
      </c>
      <c r="C4" s="57"/>
      <c r="D4" s="58"/>
      <c r="E4" s="58"/>
      <c r="F4" s="58"/>
      <c r="G4" s="58">
        <f>SUM(G2:G3)</f>
        <v>0</v>
      </c>
    </row>
    <row r="5" spans="1:7">
      <c r="A5" s="52"/>
      <c r="B5" s="57" t="s">
        <v>24</v>
      </c>
      <c r="C5" s="57"/>
      <c r="D5" s="58"/>
      <c r="E5" s="58"/>
      <c r="F5" s="58"/>
      <c r="G5" s="58">
        <f>G4*11%</f>
        <v>0</v>
      </c>
    </row>
    <row r="6" spans="1:7">
      <c r="A6" s="52"/>
      <c r="B6" s="57" t="s">
        <v>25</v>
      </c>
      <c r="C6" s="57"/>
      <c r="D6" s="58"/>
      <c r="E6" s="58"/>
      <c r="F6" s="58"/>
      <c r="G6" s="77">
        <v>243</v>
      </c>
    </row>
    <row r="7" spans="1:7">
      <c r="A7" s="52"/>
      <c r="B7" s="57" t="s">
        <v>7</v>
      </c>
      <c r="C7" s="57"/>
      <c r="D7" s="58"/>
      <c r="E7" s="78"/>
      <c r="F7" s="78"/>
      <c r="G7" s="78"/>
    </row>
    <row r="8" ht="123.5" customHeight="1" spans="1:7">
      <c r="A8" s="52"/>
      <c r="B8" s="59"/>
      <c r="C8" s="60"/>
      <c r="D8" s="61"/>
      <c r="E8" s="79"/>
      <c r="F8" s="42"/>
      <c r="G8" s="80"/>
    </row>
    <row r="9" ht="123.5" customHeight="1" spans="1:7">
      <c r="A9" s="52"/>
      <c r="B9" s="62"/>
      <c r="C9" s="60"/>
      <c r="D9" s="61"/>
      <c r="E9" s="81"/>
      <c r="F9" s="42"/>
      <c r="G9" s="80"/>
    </row>
    <row r="10" spans="1:7">
      <c r="A10" s="63"/>
      <c r="B10" s="57" t="s">
        <v>23</v>
      </c>
      <c r="C10" s="57"/>
      <c r="D10" s="58"/>
      <c r="E10" s="82"/>
      <c r="F10" s="58"/>
      <c r="G10" s="58">
        <f>SUM(G8:G9)</f>
        <v>0</v>
      </c>
    </row>
    <row r="11" spans="1:7">
      <c r="A11" s="64"/>
      <c r="B11" s="65" t="s">
        <v>24</v>
      </c>
      <c r="C11" s="66"/>
      <c r="D11" s="58"/>
      <c r="E11" s="82"/>
      <c r="F11" s="58"/>
      <c r="G11" s="58"/>
    </row>
    <row r="12" spans="1:7">
      <c r="A12" s="63"/>
      <c r="B12" s="57" t="s">
        <v>25</v>
      </c>
      <c r="C12" s="57"/>
      <c r="D12" s="58"/>
      <c r="E12" s="82"/>
      <c r="F12" s="58"/>
      <c r="G12" s="77"/>
    </row>
    <row r="13" spans="1:7">
      <c r="A13" s="67"/>
      <c r="B13" s="68" t="s">
        <v>7</v>
      </c>
      <c r="C13" s="69"/>
      <c r="D13" s="58"/>
      <c r="E13" s="78"/>
      <c r="F13" s="83"/>
      <c r="G13" s="78">
        <f>SUM(G10:G12)</f>
        <v>0</v>
      </c>
    </row>
    <row r="14" spans="1:7">
      <c r="A14" s="70" t="s">
        <v>10</v>
      </c>
      <c r="B14" s="71"/>
      <c r="C14" s="71"/>
      <c r="D14" s="72"/>
      <c r="E14" s="84">
        <f>G7+G13</f>
        <v>0</v>
      </c>
      <c r="F14" s="85"/>
      <c r="G14" s="86"/>
    </row>
  </sheetData>
  <mergeCells count="20">
    <mergeCell ref="B4:C4"/>
    <mergeCell ref="B5:C5"/>
    <mergeCell ref="B6:C6"/>
    <mergeCell ref="B7:C7"/>
    <mergeCell ref="B10:C10"/>
    <mergeCell ref="B11:C11"/>
    <mergeCell ref="B12:C12"/>
    <mergeCell ref="B13:C13"/>
    <mergeCell ref="A14:D14"/>
    <mergeCell ref="E14:G14"/>
    <mergeCell ref="A2:A7"/>
    <mergeCell ref="A8:A9"/>
    <mergeCell ref="B2:B3"/>
    <mergeCell ref="B8:B9"/>
    <mergeCell ref="C2:C3"/>
    <mergeCell ref="D2:D3"/>
    <mergeCell ref="E2:E3"/>
    <mergeCell ref="E8:E9"/>
    <mergeCell ref="F2:F3"/>
    <mergeCell ref="G2:G3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2"/>
  <sheetViews>
    <sheetView zoomScale="70" zoomScaleNormal="70" workbookViewId="0">
      <pane ySplit="1" topLeftCell="A29" activePane="bottomLeft" state="frozen"/>
      <selection/>
      <selection pane="bottomLeft" activeCell="C32" sqref="C32:E32"/>
    </sheetView>
  </sheetViews>
  <sheetFormatPr defaultColWidth="9.140625" defaultRowHeight="16.8" outlineLevelCol="4"/>
  <cols>
    <col min="1" max="1" width="10.5703125" style="12" customWidth="1"/>
    <col min="2" max="2" width="12.6015625" style="36" customWidth="1"/>
    <col min="3" max="3" width="36.125" style="12" customWidth="1"/>
    <col min="4" max="4" width="18.828125" style="12" customWidth="1"/>
    <col min="5" max="5" width="12.2890625" style="12" customWidth="1"/>
    <col min="6" max="16384" width="9.140625" style="12"/>
  </cols>
  <sheetData>
    <row r="1" s="35" customFormat="1" ht="19" customHeight="1" spans="1:5">
      <c r="A1" s="37" t="s">
        <v>0</v>
      </c>
      <c r="B1" s="38" t="s">
        <v>1</v>
      </c>
      <c r="C1" s="37" t="s">
        <v>4</v>
      </c>
      <c r="D1" s="37" t="s">
        <v>7</v>
      </c>
      <c r="E1" s="37" t="s">
        <v>26</v>
      </c>
    </row>
    <row r="2" s="12" customFormat="1" ht="263.65" customHeight="1" spans="1:5">
      <c r="A2" s="39"/>
      <c r="B2" s="40"/>
      <c r="C2" s="41"/>
      <c r="D2" s="42"/>
      <c r="E2" s="41"/>
    </row>
    <row r="3" s="12" customFormat="1" ht="255.1" customHeight="1" spans="1:5">
      <c r="A3" s="39"/>
      <c r="B3" s="40"/>
      <c r="C3" s="41"/>
      <c r="D3" s="43"/>
      <c r="E3" s="48"/>
    </row>
    <row r="4" s="12" customFormat="1" ht="249.95" customHeight="1" spans="1:5">
      <c r="A4" s="39"/>
      <c r="B4" s="40"/>
      <c r="C4" s="41"/>
      <c r="D4" s="43"/>
      <c r="E4" s="48"/>
    </row>
    <row r="5" s="12" customFormat="1" ht="256.25" customHeight="1" spans="1:5">
      <c r="A5" s="39"/>
      <c r="B5" s="40"/>
      <c r="C5" s="41"/>
      <c r="D5" s="43"/>
      <c r="E5" s="48"/>
    </row>
    <row r="6" s="12" customFormat="1" ht="253.85" customHeight="1" spans="1:5">
      <c r="A6" s="39"/>
      <c r="B6" s="40"/>
      <c r="C6" s="41"/>
      <c r="D6" s="43"/>
      <c r="E6" s="48"/>
    </row>
    <row r="7" s="12" customFormat="1" ht="254.65" customHeight="1" spans="1:5">
      <c r="A7" s="39"/>
      <c r="B7" s="40"/>
      <c r="C7" s="41"/>
      <c r="D7" s="43"/>
      <c r="E7" s="48"/>
    </row>
    <row r="8" s="12" customFormat="1" ht="255.35" customHeight="1" spans="1:5">
      <c r="A8" s="39"/>
      <c r="B8" s="40"/>
      <c r="C8" s="41"/>
      <c r="D8" s="43"/>
      <c r="E8" s="48"/>
    </row>
    <row r="9" s="12" customFormat="1" ht="266.95" customHeight="1" spans="1:5">
      <c r="A9" s="39"/>
      <c r="B9" s="40"/>
      <c r="C9" s="41"/>
      <c r="D9" s="43"/>
      <c r="E9" s="48"/>
    </row>
    <row r="10" s="12" customFormat="1" ht="261.95" customHeight="1" spans="1:5">
      <c r="A10" s="39"/>
      <c r="B10" s="40"/>
      <c r="C10" s="41"/>
      <c r="D10" s="43"/>
      <c r="E10" s="48"/>
    </row>
    <row r="11" s="12" customFormat="1" ht="261.9" customHeight="1" spans="1:5">
      <c r="A11" s="39"/>
      <c r="B11" s="40"/>
      <c r="C11" s="41"/>
      <c r="D11" s="43"/>
      <c r="E11" s="48"/>
    </row>
    <row r="12" s="12" customFormat="1" ht="270.7" customHeight="1" spans="1:5">
      <c r="A12" s="39"/>
      <c r="B12" s="40"/>
      <c r="C12" s="41"/>
      <c r="D12" s="43"/>
      <c r="E12" s="48"/>
    </row>
    <row r="13" s="12" customFormat="1" ht="261.1" customHeight="1" spans="1:5">
      <c r="A13" s="39"/>
      <c r="B13" s="40"/>
      <c r="C13" s="41"/>
      <c r="D13" s="43"/>
      <c r="E13" s="48"/>
    </row>
    <row r="14" s="12" customFormat="1" ht="257.15" customHeight="1" spans="1:5">
      <c r="A14" s="39"/>
      <c r="B14" s="40"/>
      <c r="C14" s="41"/>
      <c r="D14" s="43"/>
      <c r="E14" s="48"/>
    </row>
    <row r="15" s="12" customFormat="1" ht="263.55" customHeight="1" spans="1:5">
      <c r="A15" s="39"/>
      <c r="B15" s="40"/>
      <c r="C15" s="41"/>
      <c r="D15" s="43"/>
      <c r="E15" s="48"/>
    </row>
    <row r="16" s="12" customFormat="1" ht="270.35" customHeight="1" spans="1:5">
      <c r="A16" s="39"/>
      <c r="B16" s="40"/>
      <c r="C16" s="41"/>
      <c r="D16" s="43"/>
      <c r="E16" s="48"/>
    </row>
    <row r="17" s="12" customFormat="1" ht="261.7" customHeight="1" spans="1:5">
      <c r="A17" s="39"/>
      <c r="B17" s="40"/>
      <c r="C17" s="41"/>
      <c r="D17" s="43"/>
      <c r="E17" s="48"/>
    </row>
    <row r="18" s="12" customFormat="1" ht="260" customHeight="1" spans="1:5">
      <c r="A18" s="39"/>
      <c r="B18" s="40"/>
      <c r="C18" s="41"/>
      <c r="D18" s="43"/>
      <c r="E18" s="48"/>
    </row>
    <row r="19" s="12" customFormat="1" ht="263.2" customHeight="1" spans="1:5">
      <c r="A19" s="39"/>
      <c r="B19" s="40"/>
      <c r="C19" s="41"/>
      <c r="D19" s="43"/>
      <c r="E19" s="48"/>
    </row>
    <row r="20" s="12" customFormat="1" ht="289.95" customHeight="1" spans="1:5">
      <c r="A20" s="39"/>
      <c r="B20" s="40"/>
      <c r="C20" s="41"/>
      <c r="D20" s="43"/>
      <c r="E20" s="48"/>
    </row>
    <row r="21" s="12" customFormat="1" ht="200" customHeight="1" spans="1:5">
      <c r="A21" s="39"/>
      <c r="B21" s="40"/>
      <c r="C21" s="41"/>
      <c r="D21" s="43"/>
      <c r="E21" s="48"/>
    </row>
    <row r="22" s="12" customFormat="1" ht="200" customHeight="1" spans="1:5">
      <c r="A22" s="39"/>
      <c r="B22" s="40"/>
      <c r="C22" s="41"/>
      <c r="D22" s="43"/>
      <c r="E22" s="48"/>
    </row>
    <row r="23" s="12" customFormat="1" ht="200" customHeight="1" spans="1:5">
      <c r="A23" s="39"/>
      <c r="B23" s="40"/>
      <c r="C23" s="41"/>
      <c r="D23" s="43"/>
      <c r="E23" s="48"/>
    </row>
    <row r="24" s="12" customFormat="1" ht="200" customHeight="1" spans="1:5">
      <c r="A24" s="39"/>
      <c r="B24" s="40"/>
      <c r="C24" s="41"/>
      <c r="D24" s="42"/>
      <c r="E24" s="41"/>
    </row>
    <row r="25" s="12" customFormat="1" ht="200" customHeight="1" spans="1:5">
      <c r="A25" s="39"/>
      <c r="B25" s="40"/>
      <c r="C25" s="41"/>
      <c r="D25" s="42"/>
      <c r="E25" s="41"/>
    </row>
    <row r="26" s="12" customFormat="1" ht="200" customHeight="1" spans="1:5">
      <c r="A26" s="39"/>
      <c r="B26" s="40"/>
      <c r="C26" s="41"/>
      <c r="D26" s="42"/>
      <c r="E26" s="41"/>
    </row>
    <row r="27" s="12" customFormat="1" ht="200" customHeight="1" spans="1:5">
      <c r="A27" s="39">
        <v>45960</v>
      </c>
      <c r="B27" s="40"/>
      <c r="C27" s="41"/>
      <c r="D27" s="42"/>
      <c r="E27" s="41"/>
    </row>
    <row r="28" s="12" customFormat="1" ht="200" customHeight="1" spans="1:5">
      <c r="A28" s="39">
        <v>45961</v>
      </c>
      <c r="B28" s="40"/>
      <c r="C28" s="41"/>
      <c r="D28" s="42"/>
      <c r="E28" s="41"/>
    </row>
    <row r="29" s="12" customFormat="1" ht="200" customHeight="1" spans="1:5">
      <c r="A29" s="39"/>
      <c r="B29" s="40"/>
      <c r="C29" s="41"/>
      <c r="D29" s="42"/>
      <c r="E29" s="41"/>
    </row>
    <row r="30" s="12" customFormat="1" ht="200" customHeight="1" spans="1:5">
      <c r="A30" s="39"/>
      <c r="B30" s="40"/>
      <c r="C30" s="41"/>
      <c r="D30" s="42"/>
      <c r="E30" s="41"/>
    </row>
    <row r="31" s="12" customFormat="1" ht="200" customHeight="1" spans="1:5">
      <c r="A31" s="39"/>
      <c r="B31" s="40"/>
      <c r="C31" s="41"/>
      <c r="D31" s="42"/>
      <c r="E31" s="41"/>
    </row>
    <row r="32" s="12" customFormat="1" spans="1:5">
      <c r="A32" s="44"/>
      <c r="B32" s="45"/>
      <c r="C32" s="46">
        <f>SUM(D2:D31)</f>
        <v>0</v>
      </c>
      <c r="D32" s="47"/>
      <c r="E32" s="49"/>
    </row>
  </sheetData>
  <mergeCells count="2">
    <mergeCell ref="A32:B32"/>
    <mergeCell ref="C32:E32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63" zoomScaleNormal="63" workbookViewId="0">
      <pane ySplit="1" topLeftCell="A2" activePane="bottomLeft" state="frozen"/>
      <selection/>
      <selection pane="bottomLeft" activeCell="G9" sqref="G9"/>
    </sheetView>
  </sheetViews>
  <sheetFormatPr defaultColWidth="9.140625" defaultRowHeight="16.8" outlineLevelCol="6"/>
  <cols>
    <col min="1" max="1" width="21.140625" style="13" customWidth="1"/>
    <col min="2" max="2" width="37.859375" style="12" customWidth="1"/>
    <col min="3" max="3" width="30.75" style="12" customWidth="1"/>
    <col min="4" max="4" width="65.703125" style="12" customWidth="1"/>
    <col min="5" max="7" width="32.3359375" style="12" customWidth="1"/>
    <col min="8" max="16384" width="9.140625" style="12"/>
  </cols>
  <sheetData>
    <row r="1" s="11" customFormat="1" ht="35" customHeight="1" spans="1:7">
      <c r="A1" s="14" t="s">
        <v>0</v>
      </c>
      <c r="B1" s="15" t="s">
        <v>27</v>
      </c>
      <c r="C1" s="15" t="s">
        <v>28</v>
      </c>
      <c r="D1" s="15" t="s">
        <v>4</v>
      </c>
      <c r="E1" s="15" t="s">
        <v>5</v>
      </c>
      <c r="F1" s="15" t="s">
        <v>6</v>
      </c>
      <c r="G1" s="15" t="s">
        <v>7</v>
      </c>
    </row>
    <row r="2" s="12" customFormat="1" ht="171" customHeight="1" spans="1:7">
      <c r="A2" s="16">
        <v>45992</v>
      </c>
      <c r="B2" s="17" t="s">
        <v>29</v>
      </c>
      <c r="C2" s="18">
        <v>1</v>
      </c>
      <c r="D2" s="19"/>
      <c r="E2" s="29">
        <v>60000</v>
      </c>
      <c r="F2" s="30">
        <f t="shared" ref="F2:F8" si="0">C2*E2</f>
        <v>60000</v>
      </c>
      <c r="G2" s="31">
        <f>SUM(F2:F3)</f>
        <v>115000</v>
      </c>
    </row>
    <row r="3" s="12" customFormat="1" ht="80" customHeight="1" spans="1:7">
      <c r="A3" s="20"/>
      <c r="B3" s="21" t="s">
        <v>30</v>
      </c>
      <c r="C3" s="22">
        <v>1</v>
      </c>
      <c r="D3" s="23"/>
      <c r="E3" s="29">
        <v>55000</v>
      </c>
      <c r="F3" s="30">
        <f t="shared" si="0"/>
        <v>55000</v>
      </c>
      <c r="G3" s="31"/>
    </row>
    <row r="4" s="12" customFormat="1" ht="48" customHeight="1" spans="1:7">
      <c r="A4" s="24">
        <v>46003</v>
      </c>
      <c r="B4" s="21" t="s">
        <v>31</v>
      </c>
      <c r="C4" s="22">
        <v>3</v>
      </c>
      <c r="D4" s="25"/>
      <c r="E4" s="29">
        <v>55000</v>
      </c>
      <c r="F4" s="30">
        <f t="shared" si="0"/>
        <v>165000</v>
      </c>
      <c r="G4" s="32">
        <f>SUM(F4:F8)</f>
        <v>735000</v>
      </c>
    </row>
    <row r="5" s="12" customFormat="1" ht="48" customHeight="1" spans="1:7">
      <c r="A5" s="26"/>
      <c r="B5" s="21" t="s">
        <v>32</v>
      </c>
      <c r="C5" s="22">
        <v>1</v>
      </c>
      <c r="D5" s="25"/>
      <c r="E5" s="29">
        <v>160000</v>
      </c>
      <c r="F5" s="30">
        <f t="shared" si="0"/>
        <v>160000</v>
      </c>
      <c r="G5" s="32"/>
    </row>
    <row r="6" s="12" customFormat="1" ht="48" customHeight="1" spans="1:7">
      <c r="A6" s="26"/>
      <c r="B6" s="21" t="s">
        <v>33</v>
      </c>
      <c r="C6" s="22">
        <v>1</v>
      </c>
      <c r="D6" s="25"/>
      <c r="E6" s="29">
        <v>60000</v>
      </c>
      <c r="F6" s="30">
        <f t="shared" si="0"/>
        <v>60000</v>
      </c>
      <c r="G6" s="32"/>
    </row>
    <row r="7" s="12" customFormat="1" ht="48" customHeight="1" spans="1:7">
      <c r="A7" s="26"/>
      <c r="B7" s="21" t="s">
        <v>34</v>
      </c>
      <c r="C7" s="22">
        <v>3</v>
      </c>
      <c r="D7" s="25"/>
      <c r="E7" s="29">
        <v>50000</v>
      </c>
      <c r="F7" s="30">
        <f t="shared" si="0"/>
        <v>150000</v>
      </c>
      <c r="G7" s="32"/>
    </row>
    <row r="8" s="12" customFormat="1" ht="48" customHeight="1" spans="1:7">
      <c r="A8" s="27"/>
      <c r="B8" s="21" t="s">
        <v>35</v>
      </c>
      <c r="C8" s="22">
        <v>1</v>
      </c>
      <c r="D8" s="25"/>
      <c r="E8" s="29">
        <v>200000</v>
      </c>
      <c r="F8" s="30">
        <f t="shared" si="0"/>
        <v>200000</v>
      </c>
      <c r="G8" s="33"/>
    </row>
    <row r="9" s="12" customFormat="1" ht="39" customHeight="1" spans="1:7">
      <c r="A9" s="28" t="s">
        <v>10</v>
      </c>
      <c r="B9" s="25"/>
      <c r="C9" s="25"/>
      <c r="D9" s="25"/>
      <c r="E9" s="29"/>
      <c r="F9" s="30"/>
      <c r="G9" s="34">
        <f>SUM(G2:G8)</f>
        <v>850000</v>
      </c>
    </row>
  </sheetData>
  <mergeCells count="6">
    <mergeCell ref="A2:A3"/>
    <mergeCell ref="A4:A8"/>
    <mergeCell ref="D2:D3"/>
    <mergeCell ref="D4:D8"/>
    <mergeCell ref="G2:G3"/>
    <mergeCell ref="G4:G8"/>
  </mergeCells>
  <pageMargins left="0.75" right="0.75" top="1" bottom="1" header="0.5" footer="0.5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workbookViewId="0">
      <selection activeCell="D15" sqref="D15"/>
    </sheetView>
  </sheetViews>
  <sheetFormatPr defaultColWidth="9.140625" defaultRowHeight="16.8" outlineLevelRow="6" outlineLevelCol="2"/>
  <cols>
    <col min="1" max="1" width="9.140625" style="1"/>
    <col min="2" max="2" width="21.859375" style="2" customWidth="1"/>
    <col min="3" max="3" width="28" customWidth="1"/>
  </cols>
  <sheetData>
    <row r="1" ht="25" customHeight="1" spans="1:3">
      <c r="A1" s="3" t="s">
        <v>36</v>
      </c>
      <c r="B1" s="4" t="s">
        <v>37</v>
      </c>
      <c r="C1" s="5" t="s">
        <v>38</v>
      </c>
    </row>
    <row r="2" spans="1:3">
      <c r="A2" s="6">
        <v>1</v>
      </c>
      <c r="B2" s="7" t="s">
        <v>39</v>
      </c>
      <c r="C2" s="8">
        <f>'Anugrah (Bag, Cup, Box)'!H9</f>
        <v>1897000</v>
      </c>
    </row>
    <row r="3" spans="1:3">
      <c r="A3" s="6">
        <v>2</v>
      </c>
      <c r="B3" s="7" t="s">
        <v>40</v>
      </c>
      <c r="C3" s="8">
        <f>'UD Abdi Jaya (Bag, Cup, Box)'!H12</f>
        <v>5945000</v>
      </c>
    </row>
    <row r="4" spans="1:3">
      <c r="A4" s="6">
        <v>3</v>
      </c>
      <c r="B4" s="7" t="s">
        <v>41</v>
      </c>
      <c r="C4" s="8">
        <f>'PT. SUPARMA JAYA TBK (Tissue)'!E14</f>
        <v>0</v>
      </c>
    </row>
    <row r="5" spans="1:3">
      <c r="A5" s="6">
        <v>4</v>
      </c>
      <c r="B5" s="7" t="s">
        <v>42</v>
      </c>
      <c r="C5" s="9">
        <f>'Vickel Laundry'!C32</f>
        <v>0</v>
      </c>
    </row>
    <row r="6" spans="1:3">
      <c r="A6" s="6">
        <v>5</v>
      </c>
      <c r="B6" s="7" t="s">
        <v>43</v>
      </c>
      <c r="C6" s="9">
        <f>'Dishy Soap'!G9</f>
        <v>850000</v>
      </c>
    </row>
    <row r="7" spans="1:3">
      <c r="A7" s="6" t="s">
        <v>7</v>
      </c>
      <c r="B7" s="7"/>
      <c r="C7" s="10">
        <f>SUM(C2:C5)</f>
        <v>7842000</v>
      </c>
    </row>
  </sheetData>
  <mergeCells count="1">
    <mergeCell ref="A7:B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Anugrah (Bag, Cup, Box)</vt:lpstr>
      <vt:lpstr>UD Abdi Jaya (Bag, Cup, Box)</vt:lpstr>
      <vt:lpstr>PT. SUPARMA JAYA TBK (Tissue)</vt:lpstr>
      <vt:lpstr>Vickel Laundry</vt:lpstr>
      <vt:lpstr>Dishy Soap</vt:lpstr>
      <vt:lpstr>TOTAL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Hype GLK</dc:creator>
  <cp:lastModifiedBy>andika putra</cp:lastModifiedBy>
  <dcterms:created xsi:type="dcterms:W3CDTF">2025-07-11T08:21:00Z</dcterms:created>
  <dcterms:modified xsi:type="dcterms:W3CDTF">2025-12-20T19:38:39Z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A29148F1284A4E108B88A706AF0A1D4B_12</vt:lpwstr>
  </property>
  <property fmtid="{D5CDD505-2E9C-101B-9397-08002B2CF9AE}" pid="3" name="KSOProductBuildVer">
    <vt:lpwstr>1033-12.1.23152.23152</vt:lpwstr>
  </property>
</Properties>
</file>