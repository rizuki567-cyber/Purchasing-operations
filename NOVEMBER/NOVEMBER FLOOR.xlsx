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5074920" y="374015"/>
          <a:ext cx="2487295" cy="3405505"/>
        </a:xfrm>
        <a:prstGeom prst="rect">
          <a:avLst/>
        </a:prstGeom>
      </xdr:spPr>
    </xdr:pic>
  </etc:cellImage>
  <etc:cellImage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2"/>
        <a:srcRect l="2094" t="17062" b="13764"/>
        <a:stretch>
          <a:fillRect/>
        </a:stretch>
      </xdr:blipFill>
      <xdr:spPr>
        <a:xfrm rot="16200000">
          <a:off x="7059930" y="-55880"/>
          <a:ext cx="3651885" cy="4540885"/>
        </a:xfrm>
        <a:prstGeom prst="rect">
          <a:avLst/>
        </a:prstGeom>
      </xdr:spPr>
    </xdr:pic>
  </etc:cellImage>
  <etc:cellImage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3"/>
        <a:srcRect l="877" t="19263" b="10630"/>
        <a:stretch>
          <a:fillRect/>
        </a:stretch>
      </xdr:blipFill>
      <xdr:spPr>
        <a:xfrm rot="16200000">
          <a:off x="7574915" y="3136900"/>
          <a:ext cx="3300730" cy="4071620"/>
        </a:xfrm>
        <a:prstGeom prst="rect">
          <a:avLst/>
        </a:prstGeom>
      </xdr:spPr>
    </xdr:pic>
  </etc:cellImage>
  <etc:cellImage>
    <xdr:pic>
      <xdr:nvPicPr>
        <xdr:cNvPr id="7" name="ID_65B137B176664CF88877812A0DB613B1" descr="WhatsApp Image 2025-11-24 at 18.54.44_1c844742"/>
        <xdr:cNvPicPr>
          <a:picLocks noChangeAspect="1"/>
        </xdr:cNvPicPr>
      </xdr:nvPicPr>
      <xdr:blipFill>
        <a:blip r:embed="rId4"/>
        <a:srcRect l="842" t="17045" r="2783" b="4116"/>
        <a:stretch>
          <a:fillRect/>
        </a:stretch>
      </xdr:blipFill>
      <xdr:spPr>
        <a:xfrm rot="16200000">
          <a:off x="6950710" y="-20955"/>
          <a:ext cx="2959735" cy="4260215"/>
        </a:xfrm>
        <a:prstGeom prst="rect">
          <a:avLst/>
        </a:prstGeom>
      </xdr:spPr>
    </xdr:pic>
  </etc:cellImage>
  <etc:cellImage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5"/>
        <a:srcRect l="1551" t="17216" b="12348"/>
        <a:stretch>
          <a:fillRect/>
        </a:stretch>
      </xdr:blipFill>
      <xdr:spPr>
        <a:xfrm rot="16200000">
          <a:off x="7005320" y="9714865"/>
          <a:ext cx="3377565" cy="42500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<sst xmlns="http://schemas.openxmlformats.org/spreadsheetml/2006/main" count="63" uniqueCount="31">
  <si>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</si>
  <si>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</si>
  <si>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</si>
  <si>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</si>
  <si>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</si>
  <si>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</si>
  <si>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</si>
  <si>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</si>
  <si>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</si>
  <si>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HAND GLOVES (M)</t>
  </si>
  <si>
    <t>P KILAT 2</t>
  </si>
  <si>
    <t>PAPER BAG L CB08</t>
  </si>
  <si>
    <t>PAPER BAG S CB07</t>
  </si>
  <si>
    <t>BURGER BOX XL</t>
  </si>
  <si>
    <t>SO05LC2511000989/00</t>
  </si>
  <si>
    <t>SEE-U HTM DE/ ECONO RED</t>
  </si>
  <si>
    <t>SALES PRICE</t>
  </si>
  <si>
    <t>PPN</t>
  </si>
  <si>
    <t>PPh 22</t>
  </si>
  <si>
    <t>STATUS</t>
  </si>
  <si>
    <t>DESCRIPTION</t>
  </si>
  <si>
    <t>QTY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</si>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</sst>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78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8" fontId="3" fillId="3" borderId="9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8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181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8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10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10" xfId="0" applyNumberFormat="1" applyBorder="1" applyAlignment="1">
      <alignment horizontal="center"/>
    </xf>
    <xf numFmtId="0" fontId="0" fillId="3" borderId="9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178" fontId="9" fillId="3" borderId="2" xfId="0" applyNumberFormat="1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/>
    </xf>
    <xf numFmtId="178" fontId="9" fillId="3" borderId="8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70" zoomScaleNormal="70" workbookViewId="0">
      <selection activeCell="F14" sqref="A2:F14"/>
    </sheetView>
  </sheetViews>
  <sheetFormatPr defaultColWidth="9.14285714285714" defaultRowHeight="18.75" outlineLevelCol="7"/>
  <cols>
    <col min="1" max="1" width="17.4285714285714" style="89"/>
    <col min="2" max="2" width="13.4285714285714" style="89" customWidth="1"/>
    <col min="3" max="3" width="36" style="89" customWidth="1"/>
    <col min="4" max="4" width="21.2857142857143" style="88" customWidth="1"/>
    <col min="5" max="5" width="33.2857142857143" style="89" customWidth="1"/>
    <col min="6" max="6" width="17.2857142857143" style="89" customWidth="1"/>
    <col min="7" max="8" width="20.8571428571429" style="89" customWidth="1"/>
    <col min="9" max="9" width="12.8571428571429" style="89"/>
    <col min="10" max="10" width="9.14285714285714" style="89"/>
    <col min="11" max="16384" width="18.0380952380952" style="89"/>
  </cols>
  <sheetData>
    <row r="1" s="87" customFormat="1" ht="16" customHeight="1" spans="1:8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5" t="s">
        <v>7</v>
      </c>
    </row>
    <row r="2" s="87" customFormat="1" ht="32.15" customHeight="1" spans="1:8">
      <c r="A2" s="100"/>
      <c r="B2" s="93"/>
      <c r="C2" s="116"/>
      <c r="D2" s="117"/>
      <c r="E2" s="95"/>
      <c r="F2" s="96"/>
      <c r="G2" s="99">
        <f t="shared" ref="G2:G14" si="0">SUM(D2*F2)</f>
        <v>0</v>
      </c>
      <c r="H2" s="99">
        <f>SUM(G2:G9)</f>
        <v>0</v>
      </c>
    </row>
    <row r="3" s="87" customFormat="1" ht="32.15" customHeight="1" spans="1:8">
      <c r="A3" s="102"/>
      <c r="B3" s="93"/>
      <c r="C3" s="116"/>
      <c r="D3" s="117"/>
      <c r="E3" s="105"/>
      <c r="F3" s="96"/>
      <c r="G3" s="99">
        <f t="shared" si="0"/>
        <v>0</v>
      </c>
      <c r="H3" s="106"/>
    </row>
    <row r="4" s="87" customFormat="1" ht="32.15" customHeight="1" spans="1:8">
      <c r="A4" s="102"/>
      <c r="B4" s="93"/>
      <c r="C4" s="116"/>
      <c r="D4" s="117"/>
      <c r="E4" s="105"/>
      <c r="F4" s="96"/>
      <c r="G4" s="99">
        <f t="shared" si="0"/>
        <v>0</v>
      </c>
      <c r="H4" s="106"/>
    </row>
    <row r="5" s="87" customFormat="1" ht="32.15" customHeight="1" spans="1:8">
      <c r="A5" s="102"/>
      <c r="B5" s="93"/>
      <c r="C5" s="116"/>
      <c r="D5" s="117"/>
      <c r="E5" s="105"/>
      <c r="F5" s="96"/>
      <c r="G5" s="99">
        <f t="shared" si="0"/>
        <v>0</v>
      </c>
      <c r="H5" s="106"/>
    </row>
    <row r="6" s="87" customFormat="1" ht="32.15" customHeight="1" spans="1:8">
      <c r="A6" s="102"/>
      <c r="B6" s="93"/>
      <c r="C6" s="116"/>
      <c r="D6" s="117"/>
      <c r="E6" s="105"/>
      <c r="F6" s="96"/>
      <c r="G6" s="99">
        <f t="shared" si="0"/>
        <v>0</v>
      </c>
      <c r="H6" s="106"/>
    </row>
    <row r="7" s="87" customFormat="1" ht="32.15" customHeight="1" spans="1:8">
      <c r="A7" s="102"/>
      <c r="B7" s="93"/>
      <c r="C7" s="116"/>
      <c r="D7" s="118"/>
      <c r="E7" s="105"/>
      <c r="F7" s="96"/>
      <c r="G7" s="99">
        <f t="shared" si="0"/>
        <v>0</v>
      </c>
      <c r="H7" s="106"/>
    </row>
    <row r="8" s="87" customFormat="1" ht="32.15" customHeight="1" spans="1:8">
      <c r="A8" s="102"/>
      <c r="B8" s="93"/>
      <c r="C8" s="119"/>
      <c r="D8" s="117"/>
      <c r="E8" s="105"/>
      <c r="F8" s="96"/>
      <c r="G8" s="99">
        <f t="shared" si="0"/>
        <v>0</v>
      </c>
      <c r="H8" s="106"/>
    </row>
    <row r="9" s="87" customFormat="1" ht="32.15" customHeight="1" spans="1:8">
      <c r="A9" s="102"/>
      <c r="B9" s="93"/>
      <c r="C9" s="98"/>
      <c r="D9" s="120"/>
      <c r="E9" s="109"/>
      <c r="F9" s="96"/>
      <c r="G9" s="99">
        <f t="shared" si="0"/>
        <v>0</v>
      </c>
      <c r="H9" s="106"/>
    </row>
    <row r="10" s="87" customFormat="1" ht="64.3" customHeight="1" spans="1:8">
      <c r="A10" s="100"/>
      <c r="B10" s="101"/>
      <c r="C10" s="98"/>
      <c r="D10" s="117"/>
      <c r="E10" s="95"/>
      <c r="F10" s="99"/>
      <c r="G10" s="99">
        <f t="shared" si="0"/>
        <v>0</v>
      </c>
      <c r="H10" s="99">
        <f>SUM(G10:G13)</f>
        <v>0</v>
      </c>
    </row>
    <row r="11" s="87" customFormat="1" ht="64.3" customHeight="1" spans="1:8">
      <c r="A11" s="102"/>
      <c r="B11" s="103"/>
      <c r="C11" s="93"/>
      <c r="D11" s="93"/>
      <c r="E11" s="105"/>
      <c r="F11" s="121"/>
      <c r="G11" s="99">
        <f t="shared" si="0"/>
        <v>0</v>
      </c>
      <c r="H11" s="106"/>
    </row>
    <row r="12" s="87" customFormat="1" ht="64.3" customHeight="1" spans="1:8">
      <c r="A12" s="102"/>
      <c r="B12" s="103"/>
      <c r="C12" s="93"/>
      <c r="D12" s="93"/>
      <c r="E12" s="105"/>
      <c r="F12" s="121"/>
      <c r="G12" s="99">
        <f t="shared" si="0"/>
        <v>0</v>
      </c>
      <c r="H12" s="106"/>
    </row>
    <row r="13" s="87" customFormat="1" ht="64.3" customHeight="1" spans="1:8">
      <c r="A13" s="102"/>
      <c r="B13" s="103"/>
      <c r="C13" s="101"/>
      <c r="D13" s="101"/>
      <c r="E13" s="105"/>
      <c r="F13" s="121"/>
      <c r="G13" s="99">
        <f t="shared" si="0"/>
        <v>0</v>
      </c>
      <c r="H13" s="106"/>
    </row>
    <row r="14" s="87" customFormat="1" ht="258" customHeight="1" spans="1:8">
      <c r="A14" s="92"/>
      <c r="B14" s="93"/>
      <c r="C14" s="93"/>
      <c r="D14" s="93"/>
      <c r="E14" s="111"/>
      <c r="F14" s="122"/>
      <c r="G14" s="96">
        <f t="shared" si="0"/>
        <v>0</v>
      </c>
      <c r="H14" s="96">
        <f>SUM(G14)</f>
        <v>0</v>
      </c>
    </row>
    <row r="15" s="87" customFormat="1" ht="18" customHeight="1" spans="1:8">
      <c r="A15" s="123" t="s">
        <v>8</v>
      </c>
      <c r="B15" s="124"/>
      <c r="C15" s="125"/>
      <c r="D15" s="126"/>
      <c r="E15" s="127"/>
      <c r="F15" s="127"/>
      <c r="G15" s="128"/>
      <c r="H15" s="129">
        <f>SUM(H2:H14)</f>
        <v>0</v>
      </c>
    </row>
  </sheetData>
  <mergeCells count="9">
    <mergeCell ref="A15:C15"/>
    <mergeCell ref="A2:A9"/>
    <mergeCell ref="A10:A13"/>
    <mergeCell ref="B2:B9"/>
    <mergeCell ref="B10:B13"/>
    <mergeCell ref="E2:E9"/>
    <mergeCell ref="E10:E13"/>
    <mergeCell ref="H2:H9"/>
    <mergeCell ref="H10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zoomScale="55" zoomScaleNormal="55" workbookViewId="0">
      <pane ySplit="1" topLeftCell="A3" activePane="bottomLeft" state="frozen"/>
      <selection/>
      <selection pane="bottomLeft" activeCell="C6" sqref="C6"/>
    </sheetView>
  </sheetViews>
  <sheetFormatPr defaultColWidth="9.14285714285714" defaultRowHeight="18.75" outlineLevelRow="7" outlineLevelCol="7"/>
  <cols>
    <col min="1" max="1" width="19.8571428571429" style="88"/>
    <col min="2" max="2" width="18.8571428571429" style="88" customWidth="1"/>
    <col min="3" max="3" width="43.0380952380952" style="88" customWidth="1"/>
    <col min="4" max="4" width="14.4285714285714" style="88" customWidth="1"/>
    <col min="5" max="5" width="58.9619047619048" style="89" customWidth="1"/>
    <col min="6" max="6" width="19.5238095238095" style="89" customWidth="1"/>
    <col min="7" max="8" width="20.8571428571429" style="89" customWidth="1"/>
    <col min="9" max="9" width="12.8571428571429" style="89"/>
    <col min="10" max="16384" width="9.14285714285714" style="89"/>
  </cols>
  <sheetData>
    <row r="1" s="87" customFormat="1" ht="16" customHeight="1" spans="1:8">
      <c r="A1" s="90" t="s">
        <v>0</v>
      </c>
      <c r="B1" s="91" t="s">
        <v>1</v>
      </c>
      <c r="C1" s="91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7" customFormat="1" ht="249.35" spans="1:8">
      <c r="A2" s="92">
        <v>45975</v>
      </c>
      <c r="B2" s="93">
        <v>221</v>
      </c>
      <c r="C2" s="94" t="s">
        <v>9</v>
      </c>
      <c r="D2" s="94">
        <v>3</v>
      </c>
      <c r="E2" s="95" t="str">
        <f>_xlfn.DISPIMG("ID_77CE357CEE334F6D961BD6780F917C7B",1)</f>
        <v>=DISPIMG("ID_77CE357CEE334F6D961BD6780F917C7B",1)</v>
      </c>
      <c r="F2" s="96">
        <v>55000</v>
      </c>
      <c r="G2" s="97">
        <f>D2*F2</f>
        <v>165000</v>
      </c>
      <c r="H2" s="96">
        <f>SUM(G2:G2)</f>
        <v>165000</v>
      </c>
    </row>
    <row r="3" s="87" customFormat="1" ht="251.35" spans="1:8">
      <c r="A3" s="92">
        <v>45976</v>
      </c>
      <c r="B3" s="93">
        <v>254</v>
      </c>
      <c r="C3" s="98" t="s">
        <v>10</v>
      </c>
      <c r="D3" s="94">
        <v>5</v>
      </c>
      <c r="E3" s="95" t="str">
        <f>_xlfn.DISPIMG("ID_53A5575CEC60468792705E317509501C",1)</f>
        <v>=DISPIMG("ID_53A5575CEC60468792705E317509501C",1)</v>
      </c>
      <c r="F3" s="97">
        <v>13000</v>
      </c>
      <c r="G3" s="97">
        <f>D3*F3</f>
        <v>65000</v>
      </c>
      <c r="H3" s="99">
        <f>SUM(G3:G3)</f>
        <v>65000</v>
      </c>
    </row>
    <row r="4" s="87" customFormat="1" ht="83" customHeight="1" spans="1:8">
      <c r="A4" s="100">
        <v>45985</v>
      </c>
      <c r="B4" s="101">
        <v>523</v>
      </c>
      <c r="C4" s="98" t="s">
        <v>11</v>
      </c>
      <c r="D4" s="94">
        <v>200</v>
      </c>
      <c r="E4" s="95" t="str">
        <f>_xlfn.DISPIMG("ID_0EC8FE7F2FDE486BA9DB2B935A916937",1)</f>
        <v>=DISPIMG("ID_0EC8FE7F2FDE486BA9DB2B935A916937",1)</v>
      </c>
      <c r="F4" s="97">
        <v>2300</v>
      </c>
      <c r="G4" s="97">
        <f>D4*F4</f>
        <v>460000</v>
      </c>
      <c r="H4" s="99">
        <f>SUM(G4:G6)</f>
        <v>1335000</v>
      </c>
    </row>
    <row r="5" s="87" customFormat="1" ht="83" customHeight="1" spans="1:8">
      <c r="A5" s="102"/>
      <c r="B5" s="103"/>
      <c r="C5" s="98" t="s">
        <v>12</v>
      </c>
      <c r="D5" s="104">
        <v>250</v>
      </c>
      <c r="E5" s="105"/>
      <c r="F5" s="99">
        <v>2000</v>
      </c>
      <c r="G5" s="97">
        <f>D5*F5</f>
        <v>500000</v>
      </c>
      <c r="H5" s="106"/>
    </row>
    <row r="6" s="87" customFormat="1" ht="83" customHeight="1" spans="1:8">
      <c r="A6" s="107"/>
      <c r="B6" s="108"/>
      <c r="C6" s="98" t="s">
        <v>13</v>
      </c>
      <c r="D6" s="104">
        <v>150</v>
      </c>
      <c r="E6" s="109"/>
      <c r="F6" s="99">
        <v>2500</v>
      </c>
      <c r="G6" s="97">
        <f>D6*F6</f>
        <v>375000</v>
      </c>
      <c r="H6" s="110"/>
    </row>
    <row r="7" s="87" customFormat="1" ht="200" customHeight="1" spans="1:8">
      <c r="A7" s="92"/>
      <c r="B7" s="93"/>
      <c r="C7" s="98"/>
      <c r="D7" s="104"/>
      <c r="E7" s="111"/>
      <c r="F7" s="99"/>
      <c r="G7" s="99"/>
      <c r="H7" s="96"/>
    </row>
    <row r="8" s="87" customFormat="1" spans="1:8">
      <c r="A8" s="112"/>
      <c r="B8" s="112"/>
      <c r="C8" s="112"/>
      <c r="D8" s="112"/>
      <c r="E8" s="112"/>
      <c r="F8" s="112"/>
      <c r="G8" s="113"/>
      <c r="H8" s="113">
        <f>SUM(H2:H7)</f>
        <v>1565000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8" sqref="D8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>
        <v>45968</v>
      </c>
      <c r="B2" s="39" t="s">
        <v>14</v>
      </c>
      <c r="C2" s="53" t="s">
        <v>15</v>
      </c>
      <c r="D2" s="54">
        <v>40</v>
      </c>
      <c r="E2" s="55" t="str">
        <f>_xlfn.DISPIMG("ID_2900A6598AF34EAF8E34FD7992770F9A",1)</f>
        <v>=DISPIMG("ID_2900A6598AF34EAF8E34FD7992770F9A",1)</v>
      </c>
      <c r="F2" s="56">
        <v>6063.96</v>
      </c>
      <c r="G2" s="57">
        <f>SUM(D2*F2)</f>
        <v>242558.4</v>
      </c>
    </row>
    <row r="3" ht="123.5" customHeight="1" spans="1:7">
      <c r="A3" s="52"/>
      <c r="B3" s="39"/>
      <c r="C3" s="58"/>
      <c r="D3" s="59"/>
      <c r="E3" s="55"/>
      <c r="F3" s="60"/>
      <c r="G3" s="57"/>
    </row>
    <row r="4" spans="1:7">
      <c r="A4" s="52"/>
      <c r="B4" s="61" t="s">
        <v>16</v>
      </c>
      <c r="C4" s="61"/>
      <c r="D4" s="62"/>
      <c r="E4" s="62"/>
      <c r="F4" s="62"/>
      <c r="G4" s="62">
        <f>SUM(G2:G3)</f>
        <v>242558.4</v>
      </c>
    </row>
    <row r="5" spans="1:7">
      <c r="A5" s="52"/>
      <c r="B5" s="61" t="s">
        <v>17</v>
      </c>
      <c r="C5" s="61"/>
      <c r="D5" s="62"/>
      <c r="E5" s="62"/>
      <c r="F5" s="62"/>
      <c r="G5" s="62">
        <f>G4*11%</f>
        <v>26681.424</v>
      </c>
    </row>
    <row r="6" spans="1:7">
      <c r="A6" s="52"/>
      <c r="B6" s="61" t="s">
        <v>18</v>
      </c>
      <c r="C6" s="61"/>
      <c r="D6" s="62"/>
      <c r="E6" s="62"/>
      <c r="F6" s="62"/>
      <c r="G6" s="63">
        <v>243</v>
      </c>
    </row>
    <row r="7" spans="1:7">
      <c r="A7" s="52"/>
      <c r="B7" s="61" t="s">
        <v>7</v>
      </c>
      <c r="C7" s="61"/>
      <c r="D7" s="62"/>
      <c r="E7" s="64"/>
      <c r="F7" s="64"/>
      <c r="G7" s="64">
        <v>269482</v>
      </c>
    </row>
    <row r="8" ht="123.5" customHeight="1" spans="1:7">
      <c r="A8" s="52"/>
      <c r="B8" s="65"/>
      <c r="C8" s="66"/>
      <c r="D8" s="67"/>
      <c r="E8" s="68"/>
      <c r="F8" s="42"/>
      <c r="G8" s="69"/>
    </row>
    <row r="9" ht="123.5" customHeight="1" spans="1:7">
      <c r="A9" s="52"/>
      <c r="B9" s="70"/>
      <c r="C9" s="66"/>
      <c r="D9" s="67"/>
      <c r="E9" s="71"/>
      <c r="F9" s="42"/>
      <c r="G9" s="69"/>
    </row>
    <row r="10" spans="1:7">
      <c r="A10" s="72"/>
      <c r="B10" s="61" t="s">
        <v>16</v>
      </c>
      <c r="C10" s="61"/>
      <c r="D10" s="62"/>
      <c r="E10" s="73"/>
      <c r="F10" s="62"/>
      <c r="G10" s="62">
        <f>SUM(G8:G9)</f>
        <v>0</v>
      </c>
    </row>
    <row r="11" spans="1:7">
      <c r="A11" s="74"/>
      <c r="B11" s="75" t="s">
        <v>17</v>
      </c>
      <c r="C11" s="76"/>
      <c r="D11" s="62"/>
      <c r="E11" s="73"/>
      <c r="F11" s="62"/>
      <c r="G11" s="62"/>
    </row>
    <row r="12" spans="1:7">
      <c r="A12" s="72"/>
      <c r="B12" s="61" t="s">
        <v>18</v>
      </c>
      <c r="C12" s="61"/>
      <c r="D12" s="62"/>
      <c r="E12" s="73"/>
      <c r="F12" s="62"/>
      <c r="G12" s="63"/>
    </row>
    <row r="13" spans="1:7">
      <c r="A13" s="77"/>
      <c r="B13" s="78" t="s">
        <v>7</v>
      </c>
      <c r="C13" s="79"/>
      <c r="D13" s="62"/>
      <c r="E13" s="64"/>
      <c r="F13" s="80"/>
      <c r="G13" s="64">
        <f>SUM(G10:G12)</f>
        <v>0</v>
      </c>
    </row>
    <row r="14" spans="1:7">
      <c r="A14" s="81" t="s">
        <v>8</v>
      </c>
      <c r="B14" s="82"/>
      <c r="C14" s="82"/>
      <c r="D14" s="83"/>
      <c r="E14" s="84">
        <f>G7+G13</f>
        <v>269482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ySplit="1" topLeftCell="A2" activePane="bottomLeft" state="frozen"/>
      <selection/>
      <selection pane="bottomLeft" activeCell="H2" sqref="H2"/>
    </sheetView>
  </sheetViews>
  <sheetFormatPr defaultColWidth="9.14285714285714" defaultRowHeight="15" outlineLevelCol="4"/>
  <cols>
    <col min="1" max="1" width="9.14285714285714" style="12"/>
    <col min="2" max="2" width="12.6" style="36" customWidth="1"/>
    <col min="3" max="3" width="38.7142857142857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19</v>
      </c>
    </row>
    <row r="2" s="12" customFormat="1" ht="200" customHeight="1" spans="1:5">
      <c r="A2" s="39"/>
      <c r="B2" s="40"/>
      <c r="C2" s="41"/>
      <c r="D2" s="42"/>
      <c r="E2" s="41"/>
    </row>
    <row r="3" s="12" customFormat="1" ht="200" customHeight="1" spans="1:5">
      <c r="A3" s="39"/>
      <c r="B3" s="40"/>
      <c r="C3" s="41"/>
      <c r="D3" s="43"/>
      <c r="E3" s="44"/>
    </row>
    <row r="4" s="12" customFormat="1" ht="200" customHeight="1" spans="1:5">
      <c r="A4" s="39"/>
      <c r="B4" s="40"/>
      <c r="C4" s="41"/>
      <c r="D4" s="43"/>
      <c r="E4" s="44"/>
    </row>
    <row r="5" s="12" customFormat="1" ht="200" customHeight="1" spans="1:5">
      <c r="A5" s="39"/>
      <c r="B5" s="40"/>
      <c r="C5" s="41"/>
      <c r="D5" s="43"/>
      <c r="E5" s="44"/>
    </row>
    <row r="6" s="12" customFormat="1" ht="200" customHeight="1" spans="1:5">
      <c r="A6" s="39"/>
      <c r="B6" s="40"/>
      <c r="C6" s="41"/>
      <c r="D6" s="43"/>
      <c r="E6" s="44"/>
    </row>
    <row r="7" s="12" customFormat="1" ht="200" customHeight="1" spans="1:5">
      <c r="A7" s="39"/>
      <c r="B7" s="40"/>
      <c r="C7" s="41"/>
      <c r="D7" s="43"/>
      <c r="E7" s="44"/>
    </row>
    <row r="8" s="12" customFormat="1" ht="200" customHeight="1" spans="1:5">
      <c r="A8" s="39"/>
      <c r="B8" s="40"/>
      <c r="C8" s="41"/>
      <c r="D8" s="43"/>
      <c r="E8" s="44"/>
    </row>
    <row r="9" s="12" customFormat="1" ht="200" customHeight="1" spans="1:5">
      <c r="A9" s="39"/>
      <c r="B9" s="40"/>
      <c r="C9" s="41"/>
      <c r="D9" s="43"/>
      <c r="E9" s="44"/>
    </row>
    <row r="10" s="12" customFormat="1" ht="200" customHeight="1" spans="1:5">
      <c r="A10" s="39"/>
      <c r="B10" s="40"/>
      <c r="C10" s="41"/>
      <c r="D10" s="43"/>
      <c r="E10" s="44"/>
    </row>
    <row r="11" s="12" customFormat="1" ht="200" customHeight="1" spans="1:5">
      <c r="A11" s="39"/>
      <c r="B11" s="40"/>
      <c r="C11" s="41"/>
      <c r="D11" s="43"/>
      <c r="E11" s="44"/>
    </row>
    <row r="12" s="12" customFormat="1" ht="200" customHeight="1" spans="1:5">
      <c r="A12" s="39"/>
      <c r="B12" s="40"/>
      <c r="C12" s="41"/>
      <c r="D12" s="43"/>
      <c r="E12" s="44"/>
    </row>
    <row r="13" s="12" customFormat="1" ht="200" customHeight="1" spans="1:5">
      <c r="A13" s="39"/>
      <c r="B13" s="40"/>
      <c r="C13" s="41"/>
      <c r="D13" s="43"/>
      <c r="E13" s="44"/>
    </row>
    <row r="14" s="12" customFormat="1" ht="200" customHeight="1" spans="1:5">
      <c r="A14" s="39"/>
      <c r="B14" s="40"/>
      <c r="C14" s="41"/>
      <c r="D14" s="43"/>
      <c r="E14" s="44"/>
    </row>
    <row r="15" s="12" customFormat="1" ht="200" customHeight="1" spans="1:5">
      <c r="A15" s="39"/>
      <c r="B15" s="40"/>
      <c r="C15" s="41"/>
      <c r="D15" s="43"/>
      <c r="E15" s="44"/>
    </row>
    <row r="16" s="12" customFormat="1" ht="200" customHeight="1" spans="1:5">
      <c r="A16" s="39"/>
      <c r="B16" s="40"/>
      <c r="C16" s="41"/>
      <c r="D16" s="43"/>
      <c r="E16" s="44"/>
    </row>
    <row r="17" s="12" customFormat="1" ht="200" customHeight="1" spans="1:5">
      <c r="A17" s="39"/>
      <c r="B17" s="40"/>
      <c r="C17" s="41"/>
      <c r="D17" s="43"/>
      <c r="E17" s="44"/>
    </row>
    <row r="18" s="12" customFormat="1" ht="200" customHeight="1" spans="1:5">
      <c r="A18" s="39"/>
      <c r="B18" s="40"/>
      <c r="C18" s="41"/>
      <c r="D18" s="43"/>
      <c r="E18" s="44"/>
    </row>
    <row r="19" s="12" customFormat="1" ht="200" customHeight="1" spans="1:5">
      <c r="A19" s="39"/>
      <c r="B19" s="40"/>
      <c r="C19" s="41"/>
      <c r="D19" s="43"/>
      <c r="E19" s="44"/>
    </row>
    <row r="20" s="12" customFormat="1" ht="200" customHeight="1" spans="1:5">
      <c r="A20" s="39"/>
      <c r="B20" s="40"/>
      <c r="C20" s="41"/>
      <c r="D20" s="43"/>
      <c r="E20" s="44"/>
    </row>
    <row r="21" s="12" customFormat="1" ht="200" customHeight="1" spans="1:5">
      <c r="A21" s="39"/>
      <c r="B21" s="40"/>
      <c r="C21" s="41"/>
      <c r="D21" s="43"/>
      <c r="E21" s="44"/>
    </row>
    <row r="22" s="12" customFormat="1" ht="200" customHeight="1" spans="1:5">
      <c r="A22" s="39"/>
      <c r="B22" s="40"/>
      <c r="C22" s="41"/>
      <c r="D22" s="43"/>
      <c r="E22" s="44"/>
    </row>
    <row r="23" s="12" customFormat="1" ht="200" customHeight="1" spans="1:5">
      <c r="A23" s="39"/>
      <c r="B23" s="40"/>
      <c r="C23" s="41"/>
      <c r="D23" s="43"/>
      <c r="E23" s="44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5"/>
      <c r="B32" s="46"/>
      <c r="C32" s="47">
        <f>SUM(D2:D31)</f>
        <v>0</v>
      </c>
      <c r="D32" s="48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D3" sqref="D3:D5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20</v>
      </c>
      <c r="C1" s="15" t="s">
        <v>21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spans="1:7">
      <c r="A2" s="16">
        <v>45982</v>
      </c>
      <c r="B2" s="17" t="s">
        <v>22</v>
      </c>
      <c r="C2" s="18">
        <v>2</v>
      </c>
      <c r="D2" s="19" t="str">
        <f>_xlfn.DISPIMG("ID_65B137B176664CF88877812A0DB613B1",1)</f>
        <v>=DISPIMG("ID_65B137B176664CF88877812A0DB613B1",1)</v>
      </c>
      <c r="E2" s="20">
        <v>55000</v>
      </c>
      <c r="F2" s="21">
        <f>C2*E2</f>
        <v>110000</v>
      </c>
      <c r="G2" s="22">
        <f>SUM(F2:F2)</f>
        <v>110000</v>
      </c>
    </row>
    <row r="3" s="12" customFormat="1" ht="80" customHeight="1" spans="1:7">
      <c r="A3" s="23"/>
      <c r="B3" s="24"/>
      <c r="C3" s="25"/>
      <c r="D3" s="26"/>
      <c r="E3" s="27"/>
      <c r="F3" s="28"/>
      <c r="G3" s="29"/>
    </row>
    <row r="4" s="12" customFormat="1" ht="80" customHeight="1" spans="1:7">
      <c r="A4" s="23"/>
      <c r="B4" s="24"/>
      <c r="C4" s="25"/>
      <c r="D4" s="26"/>
      <c r="E4" s="27"/>
      <c r="F4" s="28"/>
      <c r="G4" s="30"/>
    </row>
    <row r="5" s="12" customFormat="1" ht="80" customHeight="1" spans="1:7">
      <c r="A5" s="23"/>
      <c r="B5" s="24"/>
      <c r="C5" s="25"/>
      <c r="D5" s="26"/>
      <c r="E5" s="27"/>
      <c r="F5" s="28"/>
      <c r="G5" s="31"/>
    </row>
    <row r="6" s="12" customFormat="1" ht="23.25" spans="1:7">
      <c r="A6" s="23"/>
      <c r="B6" s="24"/>
      <c r="C6" s="25"/>
      <c r="D6" s="26"/>
      <c r="E6" s="27"/>
      <c r="F6" s="28"/>
      <c r="G6" s="32"/>
    </row>
    <row r="7" s="12" customFormat="1" ht="39" customHeight="1" spans="1:7">
      <c r="A7" s="23" t="s">
        <v>8</v>
      </c>
      <c r="B7" s="33"/>
      <c r="C7" s="33"/>
      <c r="D7" s="33"/>
      <c r="E7" s="33"/>
      <c r="F7" s="28"/>
      <c r="G7" s="34">
        <f>SUM(G2)</f>
        <v>110000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23</v>
      </c>
      <c r="B1" s="4" t="s">
        <v>24</v>
      </c>
      <c r="C1" s="5" t="s">
        <v>25</v>
      </c>
    </row>
    <row r="2" spans="1:3">
      <c r="A2" s="6">
        <v>1</v>
      </c>
      <c r="B2" s="7" t="s">
        <v>26</v>
      </c>
      <c r="C2" s="8">
        <f>'Anugrah (Bag, Cup, Box)'!H15</f>
        <v>0</v>
      </c>
    </row>
    <row r="3" spans="1:3">
      <c r="A3" s="6">
        <v>2</v>
      </c>
      <c r="B3" s="7" t="s">
        <v>27</v>
      </c>
      <c r="C3" s="8">
        <f>'UD Abdi Jaya (Bag, Cup, Box)'!H8</f>
        <v>1565000</v>
      </c>
    </row>
    <row r="4" spans="1:3">
      <c r="A4" s="6">
        <v>3</v>
      </c>
      <c r="B4" s="7" t="s">
        <v>28</v>
      </c>
      <c r="C4" s="8">
        <f>'PT. SUPARMA JAYA TBK (Tissue)'!E14</f>
        <v>269482</v>
      </c>
    </row>
    <row r="5" spans="1:3">
      <c r="A5" s="6">
        <v>4</v>
      </c>
      <c r="B5" s="7" t="s">
        <v>29</v>
      </c>
      <c r="C5" s="9">
        <f>'Vickel Laundry'!C32</f>
        <v>0</v>
      </c>
    </row>
    <row r="6" spans="1:3">
      <c r="A6" s="6">
        <v>5</v>
      </c>
      <c r="B6" s="7" t="s">
        <v>30</v>
      </c>
      <c r="C6" s="9">
        <f>'Dishy Soap'!G7</f>
        <v>110000</v>
      </c>
    </row>
    <row r="7" spans="1:3">
      <c r="A7" s="6" t="s">
        <v>7</v>
      </c>
      <c r="B7" s="7"/>
      <c r="C7" s="10">
        <f>SUM(C2:C5)</f>
        <v>1834482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2025-11-25T06:45:36Z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