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Daily Acitivies &amp; Checklists" sheetId="26" r:id="rId1"/>
    <sheet name="Gasoline&amp;Petroleum Costs" sheetId="27" r:id="rId2"/>
    <sheet name="Puchasing cash &amp; transfer costs" sheetId="28" r:id="rId3"/>
    <sheet name="Petty Cash Andika" sheetId="29" r:id="rId4"/>
    <sheet name="Petty Cash Invoice" sheetId="3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A435215B813C404CA26F65668F85307D" descr="WhatsApp Image 2025-11-06 at 13.47.57_d4261872"/>
        <xdr:cNvPicPr>
          <a:picLocks noChangeAspect="1"/>
        </xdr:cNvPicPr>
      </xdr:nvPicPr>
      <xdr:blipFill>
        <a:blip r:embed="rId1"/>
        <a:srcRect l="8286" r="4073" b="4711"/>
        <a:stretch>
          <a:fillRect/>
        </a:stretch>
      </xdr:blipFill>
      <xdr:spPr>
        <a:xfrm>
          <a:off x="4479925" y="222250"/>
          <a:ext cx="2592705" cy="1593850"/>
        </a:xfrm>
        <a:prstGeom prst="rect">
          <a:avLst/>
        </a:prstGeom>
      </xdr:spPr>
    </xdr:pic>
  </etc:cellImage>
  <etc:cellImage>
    <xdr:pic>
      <xdr:nvPicPr>
        <xdr:cNvPr id="2" name="ID_0A956BE1438E41B69C190696196303E1" descr="WhatsApp Image 2025-11-13 at 20.22.54_37d563c5"/>
        <xdr:cNvPicPr>
          <a:picLocks noChangeAspect="1"/>
        </xdr:cNvPicPr>
      </xdr:nvPicPr>
      <xdr:blipFill>
        <a:blip r:embed="rId2"/>
        <a:srcRect l="8145" t="14494" r="10941" b="20896"/>
        <a:stretch>
          <a:fillRect/>
        </a:stretch>
      </xdr:blipFill>
      <xdr:spPr>
        <a:xfrm>
          <a:off x="3091815" y="3514725"/>
          <a:ext cx="2032635" cy="2886075"/>
        </a:xfrm>
        <a:prstGeom prst="rect">
          <a:avLst/>
        </a:prstGeom>
      </xdr:spPr>
    </xdr:pic>
  </etc:cellImage>
  <etc:cellImage>
    <xdr:pic>
      <xdr:nvPicPr>
        <xdr:cNvPr id="6" name="ID_1635F4017F2949E097AC01610113A384" descr="WhatsApp Image 2025-11-13 at 20.23.22_d732675a"/>
        <xdr:cNvPicPr>
          <a:picLocks noChangeAspect="1"/>
        </xdr:cNvPicPr>
      </xdr:nvPicPr>
      <xdr:blipFill>
        <a:blip r:embed="rId3"/>
        <a:srcRect l="12963" t="2178" r="16330" b="9943"/>
        <a:stretch>
          <a:fillRect/>
        </a:stretch>
      </xdr:blipFill>
      <xdr:spPr>
        <a:xfrm>
          <a:off x="2986405" y="1779905"/>
          <a:ext cx="2176145" cy="4812665"/>
        </a:xfrm>
        <a:prstGeom prst="rect">
          <a:avLst/>
        </a:prstGeom>
      </xdr:spPr>
    </xdr:pic>
  </etc:cellImage>
  <etc:cellImage>
    <xdr:pic>
      <xdr:nvPicPr>
        <xdr:cNvPr id="7" name="ID_B793726908DD4B3B9BADF1FE26DC0927" descr="WhatsApp Image 2025-11-13 at 20.23.10_81696b6f"/>
        <xdr:cNvPicPr>
          <a:picLocks noChangeAspect="1"/>
        </xdr:cNvPicPr>
      </xdr:nvPicPr>
      <xdr:blipFill>
        <a:blip r:embed="rId4"/>
        <a:srcRect l="8081" t="18182" r="13131" b="25000"/>
        <a:stretch>
          <a:fillRect/>
        </a:stretch>
      </xdr:blipFill>
      <xdr:spPr>
        <a:xfrm>
          <a:off x="3238500" y="5770880"/>
          <a:ext cx="1885315" cy="2419350"/>
        </a:xfrm>
        <a:prstGeom prst="rect">
          <a:avLst/>
        </a:prstGeom>
      </xdr:spPr>
    </xdr:pic>
  </etc:cellImage>
  <etc:cellImage>
    <xdr:pic>
      <xdr:nvPicPr>
        <xdr:cNvPr id="3" name="ID_78BBA2D7BAB14DEB93596E0834F3EC9F" descr="WhatsApp Image 2025-11-14 at 16.04.12_50aab3a8"/>
        <xdr:cNvPicPr>
          <a:picLocks noChangeAspect="1"/>
        </xdr:cNvPicPr>
      </xdr:nvPicPr>
      <xdr:blipFill>
        <a:blip r:embed="rId5"/>
        <a:srcRect l="4883" t="15201" r="2525" b="8557"/>
        <a:stretch>
          <a:fillRect/>
        </a:stretch>
      </xdr:blipFill>
      <xdr:spPr>
        <a:xfrm rot="16200000">
          <a:off x="3383915" y="7049770"/>
          <a:ext cx="1308735" cy="1915795"/>
        </a:xfrm>
        <a:prstGeom prst="rect">
          <a:avLst/>
        </a:prstGeom>
      </xdr:spPr>
    </xdr:pic>
  </etc:cellImage>
  <etc:cellImage>
    <xdr:pic>
      <xdr:nvPicPr>
        <xdr:cNvPr id="4" name="ID_FB2B4E78CDE640C7B889C532C0253C77" descr="WhatsApp Image 2025-11-14 at 16.25.56_a8b3c3a0"/>
        <xdr:cNvPicPr>
          <a:picLocks noChangeAspect="1"/>
        </xdr:cNvPicPr>
      </xdr:nvPicPr>
      <xdr:blipFill>
        <a:blip r:embed="rId6"/>
        <a:srcRect t="38452" b="23191"/>
        <a:stretch>
          <a:fillRect/>
        </a:stretch>
      </xdr:blipFill>
      <xdr:spPr>
        <a:xfrm>
          <a:off x="2776220" y="836930"/>
          <a:ext cx="1892935" cy="1616075"/>
        </a:xfrm>
        <a:prstGeom prst="rect">
          <a:avLst/>
        </a:prstGeom>
      </xdr:spPr>
    </xdr:pic>
  </etc:cellImage>
  <etc:cellImage>
    <xdr:pic>
      <xdr:nvPicPr>
        <xdr:cNvPr id="8" name="ID_94CE67D117E24BC4856DDEF6FF011A7B" descr="WhatsApp Image 2025-11-14 at 10.39.44_89f2a6a8"/>
        <xdr:cNvPicPr>
          <a:picLocks noChangeAspect="1"/>
        </xdr:cNvPicPr>
      </xdr:nvPicPr>
      <xdr:blipFill>
        <a:blip r:embed="rId7"/>
        <a:srcRect t="10433" b="8806"/>
        <a:stretch>
          <a:fillRect/>
        </a:stretch>
      </xdr:blipFill>
      <xdr:spPr>
        <a:xfrm rot="16200000">
          <a:off x="4975860" y="12677775"/>
          <a:ext cx="1336040" cy="1918970"/>
        </a:xfrm>
        <a:prstGeom prst="rect">
          <a:avLst/>
        </a:prstGeom>
      </xdr:spPr>
    </xdr:pic>
  </etc:cellImage>
  <etc:cellImage>
    <xdr:pic>
      <xdr:nvPicPr>
        <xdr:cNvPr id="9" name="ID_07F3A82E63C84F9385A92B06871CD739" descr="WhatsApp Image 2025-11-14 at 10.29.59_0615a45c"/>
        <xdr:cNvPicPr>
          <a:picLocks noChangeAspect="1"/>
        </xdr:cNvPicPr>
      </xdr:nvPicPr>
      <xdr:blipFill>
        <a:blip r:embed="rId8"/>
        <a:srcRect l="6229" t="8807" r="6566" b="12216"/>
        <a:stretch>
          <a:fillRect/>
        </a:stretch>
      </xdr:blipFill>
      <xdr:spPr>
        <a:xfrm>
          <a:off x="5091430" y="12653645"/>
          <a:ext cx="1966595" cy="31692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<sst xmlns="http://schemas.openxmlformats.org/spreadsheetml/2006/main" count="630" uniqueCount="296">
  <si>
    <t>DATE</t>
  </si>
  <si>
    <t>DAILY CHECKLIST</t>
  </si>
  <si>
    <t>DETAILS</t>
  </si>
  <si>
    <t>CHECK</t>
  </si>
  <si>
    <t>Daily spending</t>
  </si>
  <si>
    <t>Ambil Salami dari kemang food di soputan sdh dibayar via Qris oleh chef</t>
  </si>
  <si>
    <t>V</t>
  </si>
  <si>
    <t>Date</t>
  </si>
  <si>
    <t>Description</t>
  </si>
  <si>
    <t>Amount</t>
  </si>
  <si>
    <t>On process</t>
  </si>
  <si>
    <t>Paid</t>
  </si>
  <si>
    <t>Chef mengirim invoice Boiler 26 oct 2025 melalui WA</t>
  </si>
  <si>
    <t>Mulia Jaya datang menagih tagihan tgl 20 oct dan sudah dibayarkan cashier</t>
  </si>
  <si>
    <t>Terima barang dan invoice dari Nico berupa burger bun 12 pcs</t>
  </si>
  <si>
    <t>terima barang dari dishy soap (hand sanitizer 5L)</t>
  </si>
  <si>
    <t>furniture polish</t>
  </si>
  <si>
    <t>2 jrgn</t>
  </si>
  <si>
    <t>refill tinta spidol</t>
  </si>
  <si>
    <t>1 pack</t>
  </si>
  <si>
    <t>hansaplast BIG</t>
  </si>
  <si>
    <t>1 BOX</t>
  </si>
  <si>
    <t>obat merah</t>
  </si>
  <si>
    <t>obat magh</t>
  </si>
  <si>
    <t>antasidadoen 1</t>
  </si>
  <si>
    <t>obat demam</t>
  </si>
  <si>
    <t>panadol sakit kepala 1</t>
  </si>
  <si>
    <t>paracetamol 1</t>
  </si>
  <si>
    <t>ibuprofen 1</t>
  </si>
  <si>
    <t>print Art label</t>
  </si>
  <si>
    <t>1 lembar</t>
  </si>
  <si>
    <t>Beli pena &amp; tinta spidol, obat2an, print art label, sapu</t>
  </si>
  <si>
    <t>Pickup urgent order from buk bunga</t>
  </si>
  <si>
    <t>meeting with sales dineta jaya</t>
  </si>
  <si>
    <t>detergen</t>
  </si>
  <si>
    <t>sabun cuci piring</t>
  </si>
  <si>
    <t>Tiara gatzu beli alat pel, sikat, battery AAA, sprayer, labu kabocha</t>
  </si>
  <si>
    <t>engineering utk listrik</t>
  </si>
  <si>
    <t>hadir siang jam 1 tgl 30 082266242557 cek mcb ac dan exhaust</t>
  </si>
  <si>
    <t>pumpkin besar order 12 pcs</t>
  </si>
  <si>
    <t>12 pcs</t>
  </si>
  <si>
    <t>jasa bersihin kaca hotel bagian luar</t>
  </si>
  <si>
    <t>Price too expensive. Not approved</t>
  </si>
  <si>
    <t>X</t>
  </si>
  <si>
    <t>pumpkin kecil (kabocha)</t>
  </si>
  <si>
    <t>Beli 1 dus larutan apel</t>
  </si>
  <si>
    <t>1 dus</t>
  </si>
  <si>
    <t>beli sikat lantai</t>
  </si>
  <si>
    <t>Toko crystal beli larutan penyegar cap badak 1 dus, beli sikat lantai</t>
  </si>
  <si>
    <t>Beli sprayer, towel kitchen</t>
  </si>
  <si>
    <t>Ambil banner roll up pesanan 2x</t>
  </si>
  <si>
    <t>Rekap absen sistem</t>
  </si>
  <si>
    <t>1st</t>
  </si>
  <si>
    <t>&gt;</t>
  </si>
  <si>
    <t>Cari foto how to wash your hand (haccp)</t>
  </si>
  <si>
    <t>Temperature utk chiller (haccp)</t>
  </si>
  <si>
    <t>Strainer water purifier</t>
  </si>
  <si>
    <t>tunggu foto dari chef</t>
  </si>
  <si>
    <t>Nachos 1 kg</t>
  </si>
  <si>
    <t>tanya awa jenis nachosnya</t>
  </si>
  <si>
    <t>Cari supplier pastry and bakery</t>
  </si>
  <si>
    <t>minta price list dan apakah bisa diantar</t>
  </si>
  <si>
    <t>print par stock takeaway each dept.</t>
  </si>
  <si>
    <t>tambah 5 baris kolom kosong dibawahnya</t>
  </si>
  <si>
    <t>print absen manual floor</t>
  </si>
  <si>
    <t>20 lembar</t>
  </si>
  <si>
    <t>Belanjaan vadim</t>
  </si>
  <si>
    <t>hanger for 6 towel</t>
  </si>
  <si>
    <t>15 towel for kitchen</t>
  </si>
  <si>
    <t>5 done</t>
  </si>
  <si>
    <t>7 hand sanitizer dispenser</t>
  </si>
  <si>
    <t>7 soap dispenser</t>
  </si>
  <si>
    <t>4 spray for heavy spraying</t>
  </si>
  <si>
    <t>waiting for cash</t>
  </si>
  <si>
    <t>Making air conditioner treatment schedule</t>
  </si>
  <si>
    <t>excel</t>
  </si>
  <si>
    <t>Buy crumbing down tools for floor</t>
  </si>
  <si>
    <t>Tokopedia</t>
  </si>
  <si>
    <t>UANG PRIBADI DI CASHIER 50.000</t>
  </si>
  <si>
    <t>Internet down</t>
  </si>
  <si>
    <t>on progress</t>
  </si>
  <si>
    <t>nachos 1 kg</t>
  </si>
  <si>
    <t>cari supplier pastry and bakery</t>
  </si>
  <si>
    <t>Already received</t>
  </si>
  <si>
    <t>Print Art Information "NO POLITIC, NO HATE, NO WAR"</t>
  </si>
  <si>
    <t>Balistars</t>
  </si>
  <si>
    <t>Repair deep fat fryer kitchen</t>
  </si>
  <si>
    <t>Costs 425k for repair and 100k for check refrig</t>
  </si>
  <si>
    <t>Engineer checking bar chiller</t>
  </si>
  <si>
    <t>Checked, problem is clogging</t>
  </si>
  <si>
    <t>Salary paid</t>
  </si>
  <si>
    <t>Buy long tissue &amp; takeaway box L for kitchen from Abdi Jaya</t>
  </si>
  <si>
    <t>Abdi Jaya</t>
  </si>
  <si>
    <t>Buy nachos</t>
  </si>
  <si>
    <t>El tortialla</t>
  </si>
  <si>
    <t>Buy dumplings</t>
  </si>
  <si>
    <t>Mama rada</t>
  </si>
  <si>
    <t>Buy canvas 3 pcs size 100x100cm</t>
  </si>
  <si>
    <t>Waiting for approval to get funding from cashier</t>
  </si>
  <si>
    <t>Still looking</t>
  </si>
  <si>
    <t>Look for new Pastry &amp; Bakery suppliers(Brioche bun, Burger bun, Sourdough, Baquette, Croissant)</t>
  </si>
  <si>
    <t>On progress</t>
  </si>
  <si>
    <t>Buy canvas 80x100cm 3 pcs size @Rp. 282.000 (Vadim request)</t>
  </si>
  <si>
    <t>DONE</t>
  </si>
  <si>
    <t>Check for AC freon</t>
  </si>
  <si>
    <t>Need to communicate with chef</t>
  </si>
  <si>
    <t>Minta price list dan apakah bisa diantar</t>
  </si>
  <si>
    <t>Already checked by Vadim</t>
  </si>
  <si>
    <t>Contacting bar chiller warranty</t>
  </si>
  <si>
    <t>Already informing chef</t>
  </si>
  <si>
    <t>Still looking... Maybe buy from tokopedia</t>
  </si>
  <si>
    <t>Contacting bar chiller for warranty</t>
  </si>
  <si>
    <t>Make BCA Flazz Card</t>
  </si>
  <si>
    <t>Better change with Ovo but still stuck on process</t>
  </si>
  <si>
    <t>Purchase 2 MCB size 50 to fix the AC electrical problem</t>
  </si>
  <si>
    <t>Order by chef</t>
  </si>
  <si>
    <t>Purchase fujifilm instax mini and ant killer</t>
  </si>
  <si>
    <t>Purchase Canary Transparant tissue box</t>
  </si>
  <si>
    <t>Hotel technician already come and installed new MCB</t>
  </si>
  <si>
    <t>Make BCA Flazz Card (Changed to OVO instead)</t>
  </si>
  <si>
    <t>OVO done just waiting for funding to be approved</t>
  </si>
  <si>
    <t>Tokopedia status is still on process</t>
  </si>
  <si>
    <t>Buy Flowers for floor</t>
  </si>
  <si>
    <t>Cash from cashier</t>
  </si>
  <si>
    <t>Buy Cellphone card and internet quota for floor phone</t>
  </si>
  <si>
    <t>Telkomsel Cellphones chip already bought</t>
  </si>
  <si>
    <t>Collect transfer money from chef regarding MCB purchase</t>
  </si>
  <si>
    <t>Transfer money already received</t>
  </si>
  <si>
    <t>Buy 8 purple blanket from tokopedia (Vadim's request)</t>
  </si>
  <si>
    <t>Mission by Vadim</t>
  </si>
  <si>
    <t>Ask for edible paper printing costs  to shop (Angelica)</t>
  </si>
  <si>
    <t>Mission by Angelica</t>
  </si>
  <si>
    <t>Maintenance for Coffee machine (Steamer need to be fixed)</t>
  </si>
  <si>
    <t>Mission by Pak Bayu</t>
  </si>
  <si>
    <t>Sedana kitchen still not balance on 6 nov</t>
  </si>
  <si>
    <t>On progress... waiting for information tomorrow</t>
  </si>
  <si>
    <t>Return 1 oatmilk to Buk Bunga</t>
  </si>
  <si>
    <t>Mistake to take more quantity</t>
  </si>
  <si>
    <t>Tokopedia still not approved on lemesy group</t>
  </si>
  <si>
    <t>Already contacting the company to check</t>
  </si>
  <si>
    <t>Tokopedia status is still stuck on process</t>
  </si>
  <si>
    <t>Buy 8 purple blanket, Floor mop, magician tissue from tokopedia (Vadim's request)</t>
  </si>
  <si>
    <t>Already approved by Vadim</t>
  </si>
  <si>
    <t>Already make contact and ready to print tomorrow</t>
  </si>
  <si>
    <t>Technician come at night and we are stiill waiting for ther invoice</t>
  </si>
  <si>
    <t>Already solved they fixed their invoice</t>
  </si>
  <si>
    <t>Case solved</t>
  </si>
  <si>
    <t>Already making contact and request to meet up with their sales representatves</t>
  </si>
  <si>
    <t>Buy crumbing down tools for floor (Tokopedia)</t>
  </si>
  <si>
    <t>Aircond Bali solution might give a better price</t>
  </si>
  <si>
    <t>Already topped up</t>
  </si>
  <si>
    <t>Purchase Canary Transparant tissue box (Tokopedia)</t>
  </si>
  <si>
    <t>Approved. But expired will have to repurchase tomorrow after Rhoma informed</t>
  </si>
  <si>
    <t>Goods already on shipment</t>
  </si>
  <si>
    <t>already received funding for OVO will buy tomorrow</t>
  </si>
  <si>
    <t>Technician already come and still waiting for the invoice</t>
  </si>
  <si>
    <t>Printing collected shirts on Balistars cancelled and changed to Ciititex Jimbaran</t>
  </si>
  <si>
    <t>Ready to print all clothes tomorrow with PNC quality @95.000</t>
  </si>
  <si>
    <t>Maintenance AC Cassette cinema (E9 error problem)</t>
  </si>
  <si>
    <t>Aircond Technician will come tomorrow</t>
  </si>
  <si>
    <t>Aircon Bali solution give a better Price. And now still waiting for decision</t>
  </si>
  <si>
    <t>Purchase 2 Canary Transparant tissue box (Tokopedia)</t>
  </si>
  <si>
    <t>Already repurchase and waiting for the payment on Tokopedia</t>
  </si>
  <si>
    <t>Already printed edible paper</t>
  </si>
  <si>
    <t>Printing collected shirts on Cititex Jimbaran</t>
  </si>
  <si>
    <t>Waiting for lemesy payment on invoice</t>
  </si>
  <si>
    <t>Technician done cleaning, Changing drain censor of AC cassette</t>
  </si>
  <si>
    <t>Printing Form request for schedule</t>
  </si>
  <si>
    <t>Done printing</t>
  </si>
  <si>
    <t>Making contact with subtitute for main daily supplier for alternatve to buk bunga</t>
  </si>
  <si>
    <t>No Information yet..</t>
  </si>
  <si>
    <t>Floor Mop from Tokopedia</t>
  </si>
  <si>
    <t>Done. Product has arrived</t>
  </si>
  <si>
    <t>Payment already made and goods already on process</t>
  </si>
  <si>
    <t>Rekap dishy soap</t>
  </si>
  <si>
    <t>Done</t>
  </si>
  <si>
    <t>Arrange maintenance of cinema ceiling</t>
  </si>
  <si>
    <t>Buy urgent supplies for Bar and kitchen on Bumdes</t>
  </si>
  <si>
    <t>Buy Carton paper &amp; Screws to fix cinema ceiling using OVO</t>
  </si>
  <si>
    <t>Order white plastic bag for floor</t>
  </si>
  <si>
    <t>Done ordering 5 bags</t>
  </si>
  <si>
    <t>List suppliier status on galungan</t>
  </si>
  <si>
    <t>Order teh teh botol kotak 2 dos</t>
  </si>
  <si>
    <t>Go to Pertamina to get change for petty cash</t>
  </si>
  <si>
    <t>Make paid suppliier lists</t>
  </si>
  <si>
    <t>Sending service lists to Rhoma</t>
  </si>
  <si>
    <t>Request for surya cipta niaga photo's of white invoice at 15 november 2025 for excel database</t>
  </si>
  <si>
    <t>Pending</t>
  </si>
  <si>
    <t>Make lists of how to maintain the flower</t>
  </si>
  <si>
    <t>Done. Need to be printed</t>
  </si>
  <si>
    <t>Find a way how to make all the flower vase not leaking (Ask chatGPT)</t>
  </si>
  <si>
    <t>Print new balagan stickers (Ms. Angelica)</t>
  </si>
  <si>
    <t>Trip</t>
  </si>
  <si>
    <t>Km</t>
  </si>
  <si>
    <t>Petrol Cost</t>
  </si>
  <si>
    <t>Total Cost/ Day</t>
  </si>
  <si>
    <t>Paid cost</t>
  </si>
  <si>
    <t>Accumulated unpaid cost</t>
  </si>
  <si>
    <t>Bike Serviice (Km)</t>
  </si>
  <si>
    <t>Balagan &gt; Garuda mas</t>
  </si>
  <si>
    <t>Bought sticker for bar etc. Two way trip</t>
  </si>
  <si>
    <t>Balagan &gt; Boiler</t>
  </si>
  <si>
    <t>Pick up dumplings &amp; cottage cheese</t>
  </si>
  <si>
    <t>1 days (Km)</t>
  </si>
  <si>
    <t>Boiler &gt; Buk Bunga</t>
  </si>
  <si>
    <t>Pick up bertolli white grave vinegar 2 bottle</t>
  </si>
  <si>
    <t>Buk Bunga &gt; Balagan</t>
  </si>
  <si>
    <t>Going back</t>
  </si>
  <si>
    <t>Gasoliine cost / days</t>
  </si>
  <si>
    <t>Kemang food &gt; Balagan</t>
  </si>
  <si>
    <t>Pick up salami along the way to work</t>
  </si>
  <si>
    <t>Tiara soputan &gt; Balagan</t>
  </si>
  <si>
    <t>Beli sau, obat2an, print art label, stationaries</t>
  </si>
  <si>
    <t>Biaya service</t>
  </si>
  <si>
    <t>Balagan &gt; Buk Bunga</t>
  </si>
  <si>
    <t>Ambil edamame, telur puyuh, parsley, tomat (urgent)</t>
  </si>
  <si>
    <t>Tiara gatzu &gt; Balagan</t>
  </si>
  <si>
    <t>Beli alat pel, sikat, labu kabocha, battery AAA , sprayer</t>
  </si>
  <si>
    <t>Biaya ganti oli</t>
  </si>
  <si>
    <t>Toko crystal &gt; Balagan</t>
  </si>
  <si>
    <t>Beli larutan penyegar cap badak 1 dus, beli sikat lantai</t>
  </si>
  <si>
    <t>Balagan &gt; Bali stars</t>
  </si>
  <si>
    <t>Pergi print banner dan sticker dan movie posters</t>
  </si>
  <si>
    <t>Biaya bensin / km</t>
  </si>
  <si>
    <t>Bali stars &gt; Balagan</t>
  </si>
  <si>
    <t>Balik lagi ambil 2 stand banner lama</t>
  </si>
  <si>
    <t>Kembali ke printing bawa stand banner lama utk diganti dgn printout yg baru</t>
  </si>
  <si>
    <t>Service / km</t>
  </si>
  <si>
    <t>Balik ke balaga bawa printout sticker dan poster</t>
  </si>
  <si>
    <t>Balagan &gt; Nirmala</t>
  </si>
  <si>
    <t>Beli lilin halloween Two way trip</t>
  </si>
  <si>
    <t>Ganti oli / km</t>
  </si>
  <si>
    <t>Home &gt; Abdi jaya</t>
  </si>
  <si>
    <t>beli hand soap dan kitchen towel two way</t>
  </si>
  <si>
    <t>Balagan &gt; saraswati print</t>
  </si>
  <si>
    <t>print tkw lists &amp; bsen manual two way</t>
  </si>
  <si>
    <t>Total biaya / km</t>
  </si>
  <si>
    <t>Balagan &gt; Bali art supplies</t>
  </si>
  <si>
    <t>Beli Art paint, beli bunga, ambil pesanan urgent di Bu Bunga. Two way trip</t>
  </si>
  <si>
    <t>Balagan &gt; DIY</t>
  </si>
  <si>
    <t>Beli gantungan towel,  pick up Kitchen urgent order parsley &amp; corriander</t>
  </si>
  <si>
    <t>El tortilla &gt; Mama Rada</t>
  </si>
  <si>
    <t>Taking long tissue and TKW box L, Purchasing Nachos</t>
  </si>
  <si>
    <t>Mama Rada &gt; Balagan</t>
  </si>
  <si>
    <t>Purchasing dumplings</t>
  </si>
  <si>
    <t>Balagan &gt; Bali Stars</t>
  </si>
  <si>
    <t>Printing Art info A4 "No Politics, No Hate, No War" Two way</t>
  </si>
  <si>
    <t>Purchasing 3 canvas for art. Two way</t>
  </si>
  <si>
    <t>Taking urgent order Bimoli oil &amp; Trash bag Two way</t>
  </si>
  <si>
    <t>Balagan &gt;  Toko Eka Listrik</t>
  </si>
  <si>
    <t>Purchasing 2MCB to fix AC electricl problem Two way</t>
  </si>
  <si>
    <t>Balagan &gt; Anna florist</t>
  </si>
  <si>
    <t>Purchasing flower and Cellphones card and It's internet quotas Two way</t>
  </si>
  <si>
    <t>Balagan &gt; Saraswati print</t>
  </si>
  <si>
    <t>Printing how to handwash, chiller temp, floor checklists, and Art label Two way</t>
  </si>
  <si>
    <t>Home &gt; Sinar Mulia &gt; Dewa ruci</t>
  </si>
  <si>
    <t>Printing floor sales report &gt; printing edible paper than back to go to work routes</t>
  </si>
  <si>
    <t>Balagan &gt; Cititex &gt; Saraswati net</t>
  </si>
  <si>
    <t>Print clothes logo @Cititex &gt; Priint schedule change request form (Chef)</t>
  </si>
  <si>
    <t>INV NO.</t>
  </si>
  <si>
    <t>DESCRIPTIONS</t>
  </si>
  <si>
    <t>QTY</t>
  </si>
  <si>
    <t>UNIT</t>
  </si>
  <si>
    <t>BILLS</t>
  </si>
  <si>
    <t>PRICE</t>
  </si>
  <si>
    <t>SUB TOTAL</t>
  </si>
  <si>
    <t>TOTAL</t>
  </si>
  <si>
    <t>SOURCE OF FUND</t>
  </si>
  <si>
    <t>CS00425</t>
  </si>
  <si>
    <t>STRETCHED CANVAS STUDIO 100% COTTON SIZE 80X100</t>
  </si>
  <si>
    <t>PCS</t>
  </si>
  <si>
    <t>ACCOUNTING CASH</t>
  </si>
  <si>
    <t>Tanggal</t>
  </si>
  <si>
    <t xml:space="preserve">Rincian Transaksi </t>
  </si>
  <si>
    <t>Debit</t>
  </si>
  <si>
    <t>Kredit</t>
  </si>
  <si>
    <t>Saldo</t>
  </si>
  <si>
    <t>FROM PETTY CASH BRI</t>
  </si>
  <si>
    <t>OVO ADMIN FEE</t>
  </si>
  <si>
    <t>BSM PRINTING BALI</t>
  </si>
  <si>
    <t>SINAR MULIA FOTOKOPI</t>
  </si>
  <si>
    <t>SARASWATI PRINTING FOTOKOPI</t>
  </si>
  <si>
    <t>SAYUR, BUAH DAN SEMBAKO (BUK BUNGA)</t>
  </si>
  <si>
    <t>TOKO DEMAK BAUT MATERIIAL</t>
  </si>
  <si>
    <t>GRAMEDIA 003 B GALERIA</t>
  </si>
  <si>
    <t>K</t>
  </si>
  <si>
    <t>Invoice</t>
  </si>
  <si>
    <t>TOPPED UP RP. 1.000.000</t>
  </si>
  <si>
    <t>ADMIIN FEE RP. 1.200</t>
  </si>
  <si>
    <t>PRINTIING SALES REPORT FOR FLOOR</t>
  </si>
  <si>
    <t>PRINT EDIBLE PAPER</t>
  </si>
  <si>
    <t>PRINT &amp; FOTOCOPY OF SCHEDULE CHANGE REQUEST (CHEF)</t>
  </si>
  <si>
    <t>PURCHASE OF URGENT BAR SUPPLIES</t>
  </si>
  <si>
    <t>TOKO DEMAK BAUT MATERIAL</t>
  </si>
  <si>
    <t>PURCHASE OF SCREWS TO REPAIR CEILING</t>
  </si>
  <si>
    <t>PURCHASE OF WHITE CARTON PAPER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</si>
</sst>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* #,##0_-;\-* #,##0_-;_-* &quot;-&quot;_-;_-@"/>
    <numFmt numFmtId="179" formatCode="[$-409]d\-mmm\-yyyy;@"/>
    <numFmt numFmtId="180" formatCode="_-&quot;Rp&quot;* #,##0_-;\-&quot;Rp&quot;* #,##0_-;_-&quot;Rp&quot;* &quot;-&quot;??_-;_-@_-"/>
    <numFmt numFmtId="181" formatCode="[$Rp-421]#,##0.00;[Red][$Rp-421]#,##0.00"/>
    <numFmt numFmtId="182" formatCode="dd\-mmm"/>
    <numFmt numFmtId="183" formatCode="[$Rp-421]#,##0;[Red]\-[$Rp-421]#,##0"/>
    <numFmt numFmtId="184" formatCode="[$Rp-421]#,##0;\-[$Rp-421]#,##0"/>
  </numFmts>
  <fonts count="31">
    <font>
      <sz val="11"/>
      <color theme="1"/>
      <name val="Calibri"/>
      <charset val="134"/>
      <scheme val="minor"/>
    </font>
    <font>
      <b/>
      <sz val="12"/>
      <color rgb="FF000000"/>
      <name val="Sansserif"/>
      <charset val="134"/>
    </font>
    <font>
      <sz val="10"/>
      <color rgb="FF000000"/>
      <name val="Sansserif"/>
      <charset val="134"/>
    </font>
    <font>
      <sz val="10"/>
      <color rgb="FF000000"/>
      <name val="Calibri"/>
      <charset val="134"/>
    </font>
    <font>
      <sz val="10"/>
      <color rgb="FF000000"/>
      <name val="Arial"/>
      <charset val="134"/>
    </font>
    <font>
      <sz val="11"/>
      <color theme="1"/>
      <name val="Calibri"/>
      <charset val="134"/>
    </font>
    <font>
      <sz val="14"/>
      <color theme="1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 Light"/>
      <charset val="134"/>
    </font>
    <font>
      <b/>
      <sz val="12"/>
      <color theme="1"/>
      <name val="Calibri"/>
      <charset val="134"/>
    </font>
    <font>
      <sz val="12"/>
      <color theme="1"/>
      <name val="Calibri"/>
      <charset val="134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15" borderId="1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6" borderId="18" applyNumberFormat="0" applyAlignment="0" applyProtection="0">
      <alignment vertical="center"/>
    </xf>
    <xf numFmtId="0" fontId="21" fillId="17" borderId="19" applyNumberFormat="0" applyAlignment="0" applyProtection="0">
      <alignment vertical="center"/>
    </xf>
    <xf numFmtId="0" fontId="22" fillId="17" borderId="18" applyNumberFormat="0" applyAlignment="0" applyProtection="0">
      <alignment vertical="center"/>
    </xf>
    <xf numFmtId="0" fontId="23" fillId="18" borderId="20" applyNumberFormat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30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</cellStyleXfs>
  <cellXfs count="14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178" fontId="1" fillId="2" borderId="1" xfId="0" applyNumberFormat="1" applyFont="1" applyFill="1" applyBorder="1" applyAlignment="1">
      <alignment vertical="center" wrapText="1"/>
    </xf>
    <xf numFmtId="0" fontId="1" fillId="3" borderId="2" xfId="0" applyFont="1" applyFill="1" applyBorder="1" applyAlignment="1">
      <alignment horizontal="center" vertical="center" wrapText="1"/>
    </xf>
    <xf numFmtId="43" fontId="1" fillId="3" borderId="2" xfId="0" applyNumberFormat="1" applyFont="1" applyFill="1" applyBorder="1" applyAlignment="1">
      <alignment horizontal="left" vertical="center" wrapText="1"/>
    </xf>
    <xf numFmtId="43" fontId="1" fillId="3" borderId="2" xfId="0" applyNumberFormat="1" applyFont="1" applyFill="1" applyBorder="1" applyAlignment="1">
      <alignment horizontal="center" vertical="center"/>
    </xf>
    <xf numFmtId="15" fontId="2" fillId="0" borderId="3" xfId="0" applyNumberFormat="1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left" vertical="center" wrapText="1"/>
    </xf>
    <xf numFmtId="0" fontId="2" fillId="0" borderId="4" xfId="0" applyNumberFormat="1" applyFont="1" applyFill="1" applyBorder="1" applyAlignment="1">
      <alignment horizontal="left" vertical="center" wrapText="1"/>
    </xf>
    <xf numFmtId="0" fontId="2" fillId="0" borderId="5" xfId="0" applyNumberFormat="1" applyFont="1" applyFill="1" applyBorder="1" applyAlignment="1">
      <alignment horizontal="center" vertical="center"/>
    </xf>
    <xf numFmtId="43" fontId="2" fillId="0" borderId="6" xfId="0" applyNumberFormat="1" applyFont="1" applyFill="1" applyBorder="1" applyAlignment="1">
      <alignment horizontal="left" vertical="center" wrapText="1"/>
    </xf>
    <xf numFmtId="43" fontId="2" fillId="0" borderId="3" xfId="0" applyNumberFormat="1" applyFont="1" applyFill="1" applyBorder="1" applyAlignment="1">
      <alignment horizontal="center" vertical="center"/>
    </xf>
    <xf numFmtId="0" fontId="2" fillId="0" borderId="2" xfId="0" applyNumberFormat="1" applyFont="1" applyFill="1" applyBorder="1" applyAlignment="1">
      <alignment horizontal="left" vertical="center" wrapText="1"/>
    </xf>
    <xf numFmtId="0" fontId="2" fillId="0" borderId="2" xfId="0" applyNumberFormat="1" applyFont="1" applyFill="1" applyBorder="1" applyAlignment="1">
      <alignment horizontal="right" vertical="center"/>
    </xf>
    <xf numFmtId="0" fontId="2" fillId="0" borderId="7" xfId="0" applyFont="1" applyFill="1" applyBorder="1" applyAlignment="1">
      <alignment horizontal="left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16" fontId="0" fillId="0" borderId="8" xfId="0" applyNumberFormat="1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8" xfId="0" applyBorder="1" applyAlignment="1">
      <alignment horizontal="left" vertical="center" wrapText="1"/>
    </xf>
    <xf numFmtId="0" fontId="0" fillId="0" borderId="8" xfId="0" applyBorder="1" applyAlignment="1">
      <alignment vertical="center"/>
    </xf>
    <xf numFmtId="16" fontId="0" fillId="0" borderId="9" xfId="0" applyNumberFormat="1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9" xfId="0" applyBorder="1" applyAlignment="1">
      <alignment vertical="center"/>
    </xf>
    <xf numFmtId="0" fontId="0" fillId="0" borderId="0" xfId="0" applyFill="1" applyAlignment="1">
      <alignment vertical="center"/>
    </xf>
    <xf numFmtId="178" fontId="1" fillId="2" borderId="1" xfId="0" applyNumberFormat="1" applyFont="1" applyFill="1" applyBorder="1" applyAlignment="1">
      <alignment vertical="center"/>
    </xf>
    <xf numFmtId="43" fontId="1" fillId="3" borderId="2" xfId="0" applyNumberFormat="1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178" fontId="4" fillId="0" borderId="0" xfId="0" applyNumberFormat="1" applyFont="1" applyFill="1" applyAlignment="1">
      <alignment vertical="center"/>
    </xf>
    <xf numFmtId="43" fontId="2" fillId="0" borderId="2" xfId="0" applyNumberFormat="1" applyFont="1" applyFill="1" applyBorder="1" applyAlignment="1">
      <alignment horizontal="right" vertical="center" wrapText="1"/>
    </xf>
    <xf numFmtId="43" fontId="2" fillId="4" borderId="2" xfId="0" applyNumberFormat="1" applyFont="1" applyFill="1" applyBorder="1" applyAlignment="1">
      <alignment horizontal="right" vertical="center" wrapText="1"/>
    </xf>
    <xf numFmtId="43" fontId="2" fillId="5" borderId="2" xfId="0" applyNumberFormat="1" applyFont="1" applyFill="1" applyBorder="1" applyAlignment="1">
      <alignment horizontal="right" vertical="center" wrapText="1"/>
    </xf>
    <xf numFmtId="0" fontId="4" fillId="0" borderId="0" xfId="0" applyFont="1" applyFill="1" applyAlignment="1">
      <alignment vertical="center"/>
    </xf>
    <xf numFmtId="43" fontId="2" fillId="6" borderId="2" xfId="0" applyNumberFormat="1" applyFont="1" applyFill="1" applyBorder="1" applyAlignment="1">
      <alignment horizontal="right" vertical="center" wrapText="1"/>
    </xf>
    <xf numFmtId="4" fontId="5" fillId="0" borderId="0" xfId="0" applyNumberFormat="1" applyFont="1" applyFill="1" applyAlignment="1">
      <alignment vertical="center"/>
    </xf>
    <xf numFmtId="15" fontId="2" fillId="0" borderId="2" xfId="0" applyNumberFormat="1" applyFont="1" applyFill="1" applyBorder="1" applyAlignment="1">
      <alignment horizontal="center" vertical="center" wrapText="1"/>
    </xf>
    <xf numFmtId="43" fontId="4" fillId="0" borderId="0" xfId="0" applyNumberFormat="1" applyFont="1" applyFill="1" applyAlignment="1">
      <alignment vertical="center"/>
    </xf>
    <xf numFmtId="43" fontId="2" fillId="7" borderId="2" xfId="0" applyNumberFormat="1" applyFont="1" applyFill="1" applyBorder="1" applyAlignment="1">
      <alignment horizontal="right" vertical="center" wrapText="1"/>
    </xf>
    <xf numFmtId="0" fontId="6" fillId="0" borderId="0" xfId="0" applyFont="1">
      <alignment vertical="center"/>
    </xf>
    <xf numFmtId="179" fontId="7" fillId="0" borderId="0" xfId="0" applyNumberFormat="1" applyFont="1">
      <alignment vertical="center"/>
    </xf>
    <xf numFmtId="0" fontId="7" fillId="0" borderId="0" xfId="0" applyFont="1">
      <alignment vertical="center"/>
    </xf>
    <xf numFmtId="180" fontId="7" fillId="0" borderId="0" xfId="0" applyNumberFormat="1" applyFont="1">
      <alignment vertical="center"/>
    </xf>
    <xf numFmtId="181" fontId="7" fillId="0" borderId="0" xfId="0" applyNumberFormat="1" applyFont="1">
      <alignment vertical="center"/>
    </xf>
    <xf numFmtId="0" fontId="7" fillId="0" borderId="0" xfId="0" applyFont="1" applyAlignment="1">
      <alignment horizontal="center" vertical="center"/>
    </xf>
    <xf numFmtId="179" fontId="6" fillId="8" borderId="9" xfId="0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180" fontId="6" fillId="8" borderId="9" xfId="0" applyNumberFormat="1" applyFont="1" applyFill="1" applyBorder="1" applyAlignment="1">
      <alignment horizontal="center" vertical="center"/>
    </xf>
    <xf numFmtId="181" fontId="6" fillId="8" borderId="9" xfId="0" applyNumberFormat="1" applyFont="1" applyFill="1" applyBorder="1" applyAlignment="1">
      <alignment horizontal="center" vertical="center"/>
    </xf>
    <xf numFmtId="179" fontId="7" fillId="9" borderId="9" xfId="0" applyNumberFormat="1" applyFont="1" applyFill="1" applyBorder="1" applyAlignment="1">
      <alignment horizontal="center" vertical="center"/>
    </xf>
    <xf numFmtId="182" fontId="7" fillId="9" borderId="9" xfId="0" applyNumberFormat="1" applyFont="1" applyFill="1" applyBorder="1" applyAlignment="1">
      <alignment horizontal="center" vertical="center"/>
    </xf>
    <xf numFmtId="180" fontId="8" fillId="9" borderId="9" xfId="0" applyNumberFormat="1" applyFont="1" applyFill="1" applyBorder="1" applyAlignment="1">
      <alignment horizontal="center" vertical="center" wrapText="1"/>
    </xf>
    <xf numFmtId="0" fontId="8" fillId="9" borderId="9" xfId="0" applyNumberFormat="1" applyFont="1" applyFill="1" applyBorder="1" applyAlignment="1">
      <alignment horizontal="center" vertical="center" wrapText="1"/>
    </xf>
    <xf numFmtId="0" fontId="7" fillId="0" borderId="9" xfId="0" applyNumberFormat="1" applyFont="1" applyBorder="1" applyAlignment="1">
      <alignment horizontal="center" vertical="center"/>
    </xf>
    <xf numFmtId="181" fontId="7" fillId="0" borderId="9" xfId="0" applyNumberFormat="1" applyFont="1" applyBorder="1" applyAlignment="1">
      <alignment horizontal="center" vertical="center"/>
    </xf>
    <xf numFmtId="180" fontId="7" fillId="9" borderId="9" xfId="0" applyNumberFormat="1" applyFont="1" applyFill="1" applyBorder="1" applyAlignment="1">
      <alignment horizontal="center" vertical="center" wrapText="1"/>
    </xf>
    <xf numFmtId="0" fontId="7" fillId="9" borderId="9" xfId="0" applyNumberFormat="1" applyFont="1" applyFill="1" applyBorder="1" applyAlignment="1">
      <alignment horizontal="center" vertical="center" wrapText="1"/>
    </xf>
    <xf numFmtId="181" fontId="7" fillId="0" borderId="9" xfId="0" applyNumberFormat="1" applyFont="1" applyBorder="1" applyAlignment="1">
      <alignment vertical="center"/>
    </xf>
    <xf numFmtId="180" fontId="7" fillId="9" borderId="9" xfId="0" applyNumberFormat="1" applyFont="1" applyFill="1" applyBorder="1" applyAlignment="1">
      <alignment horizontal="center" vertical="center"/>
    </xf>
    <xf numFmtId="180" fontId="7" fillId="0" borderId="9" xfId="0" applyNumberFormat="1" applyFont="1" applyBorder="1" applyAlignment="1">
      <alignment horizontal="center" vertical="center"/>
    </xf>
    <xf numFmtId="179" fontId="7" fillId="0" borderId="9" xfId="0" applyNumberFormat="1" applyFont="1" applyBorder="1">
      <alignment vertical="center"/>
    </xf>
    <xf numFmtId="0" fontId="7" fillId="0" borderId="9" xfId="0" applyFont="1" applyBorder="1">
      <alignment vertical="center"/>
    </xf>
    <xf numFmtId="180" fontId="7" fillId="0" borderId="9" xfId="0" applyNumberFormat="1" applyFont="1" applyBorder="1">
      <alignment vertical="center"/>
    </xf>
    <xf numFmtId="181" fontId="7" fillId="0" borderId="9" xfId="0" applyNumberFormat="1" applyFont="1" applyBorder="1">
      <alignment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NumberFormat="1" applyFont="1">
      <alignment vertical="center"/>
    </xf>
    <xf numFmtId="0" fontId="9" fillId="0" borderId="0" xfId="0" applyFont="1" applyFill="1" applyAlignment="1">
      <alignment horizontal="center" vertical="center"/>
    </xf>
    <xf numFmtId="183" fontId="10" fillId="0" borderId="0" xfId="0" applyNumberFormat="1" applyFont="1" applyFill="1" applyAlignment="1">
      <alignment vertical="center"/>
    </xf>
    <xf numFmtId="183" fontId="9" fillId="0" borderId="0" xfId="0" applyNumberFormat="1" applyFont="1" applyFill="1" applyAlignment="1">
      <alignment horizontal="center" vertical="center"/>
    </xf>
    <xf numFmtId="179" fontId="10" fillId="0" borderId="0" xfId="0" applyNumberFormat="1" applyFont="1" applyFill="1" applyAlignment="1">
      <alignment horizontal="center" vertical="center"/>
    </xf>
    <xf numFmtId="183" fontId="10" fillId="0" borderId="0" xfId="0" applyNumberFormat="1" applyFont="1" applyFill="1" applyAlignment="1">
      <alignment horizontal="left" vertical="center"/>
    </xf>
    <xf numFmtId="0" fontId="10" fillId="0" borderId="0" xfId="0" applyNumberFormat="1" applyFont="1" applyFill="1" applyAlignment="1">
      <alignment horizontal="center" vertical="center"/>
    </xf>
    <xf numFmtId="183" fontId="10" fillId="0" borderId="0" xfId="0" applyNumberFormat="1" applyFont="1" applyFill="1" applyAlignment="1">
      <alignment horizontal="right" vertical="center"/>
    </xf>
    <xf numFmtId="183" fontId="9" fillId="8" borderId="9" xfId="0" applyNumberFormat="1" applyFont="1" applyFill="1" applyBorder="1" applyAlignment="1">
      <alignment horizontal="center" vertical="center"/>
    </xf>
    <xf numFmtId="179" fontId="10" fillId="0" borderId="9" xfId="0" applyNumberFormat="1" applyFont="1" applyFill="1" applyBorder="1" applyAlignment="1">
      <alignment horizontal="center" vertical="center"/>
    </xf>
    <xf numFmtId="183" fontId="10" fillId="0" borderId="9" xfId="0" applyNumberFormat="1" applyFont="1" applyFill="1" applyBorder="1" applyAlignment="1">
      <alignment horizontal="left" vertical="center"/>
    </xf>
    <xf numFmtId="183" fontId="10" fillId="0" borderId="9" xfId="0" applyNumberFormat="1" applyFont="1" applyFill="1" applyBorder="1" applyAlignment="1">
      <alignment vertical="center"/>
    </xf>
    <xf numFmtId="0" fontId="10" fillId="0" borderId="9" xfId="0" applyNumberFormat="1" applyFont="1" applyFill="1" applyBorder="1" applyAlignment="1">
      <alignment horizontal="center" vertical="center"/>
    </xf>
    <xf numFmtId="183" fontId="10" fillId="9" borderId="9" xfId="0" applyNumberFormat="1" applyFont="1" applyFill="1" applyBorder="1" applyAlignment="1">
      <alignment horizontal="center" vertical="center"/>
    </xf>
    <xf numFmtId="179" fontId="10" fillId="9" borderId="9" xfId="0" applyNumberFormat="1" applyFont="1" applyFill="1" applyBorder="1" applyAlignment="1">
      <alignment horizontal="center" vertical="center"/>
    </xf>
    <xf numFmtId="183" fontId="10" fillId="9" borderId="9" xfId="0" applyNumberFormat="1" applyFont="1" applyFill="1" applyBorder="1" applyAlignment="1">
      <alignment horizontal="left" vertical="center"/>
    </xf>
    <xf numFmtId="183" fontId="10" fillId="9" borderId="9" xfId="0" applyNumberFormat="1" applyFont="1" applyFill="1" applyBorder="1" applyAlignment="1">
      <alignment vertical="center"/>
    </xf>
    <xf numFmtId="0" fontId="10" fillId="9" borderId="9" xfId="0" applyNumberFormat="1" applyFont="1" applyFill="1" applyBorder="1" applyAlignment="1">
      <alignment horizontal="center" vertical="center"/>
    </xf>
    <xf numFmtId="183" fontId="10" fillId="9" borderId="9" xfId="0" applyNumberFormat="1" applyFont="1" applyFill="1" applyBorder="1" applyAlignment="1">
      <alignment horizontal="right" vertical="center"/>
    </xf>
    <xf numFmtId="183" fontId="10" fillId="0" borderId="9" xfId="0" applyNumberFormat="1" applyFont="1" applyFill="1" applyBorder="1" applyAlignment="1">
      <alignment horizontal="right" vertical="center"/>
    </xf>
    <xf numFmtId="183" fontId="10" fillId="0" borderId="10" xfId="0" applyNumberFormat="1" applyFont="1" applyFill="1" applyBorder="1" applyAlignment="1">
      <alignment vertical="center"/>
    </xf>
    <xf numFmtId="183" fontId="10" fillId="0" borderId="11" xfId="0" applyNumberFormat="1" applyFont="1" applyFill="1" applyBorder="1" applyAlignment="1">
      <alignment vertical="center"/>
    </xf>
    <xf numFmtId="0" fontId="9" fillId="0" borderId="0" xfId="0" applyFont="1" applyFill="1" applyAlignment="1">
      <alignment horizontal="right" vertical="center"/>
    </xf>
    <xf numFmtId="0" fontId="9" fillId="8" borderId="9" xfId="0" applyFont="1" applyFill="1" applyBorder="1" applyAlignment="1">
      <alignment vertical="center"/>
    </xf>
    <xf numFmtId="0" fontId="10" fillId="9" borderId="9" xfId="0" applyNumberFormat="1" applyFont="1" applyFill="1" applyBorder="1" applyAlignment="1">
      <alignment vertical="center"/>
    </xf>
    <xf numFmtId="0" fontId="10" fillId="0" borderId="0" xfId="0" applyNumberFormat="1" applyFont="1" applyFill="1" applyAlignment="1">
      <alignment horizontal="right" vertical="center"/>
    </xf>
    <xf numFmtId="0" fontId="9" fillId="10" borderId="9" xfId="0" applyFont="1" applyFill="1" applyBorder="1" applyAlignment="1">
      <alignment vertical="center"/>
    </xf>
    <xf numFmtId="0" fontId="9" fillId="11" borderId="10" xfId="0" applyFont="1" applyFill="1" applyBorder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4" fontId="0" fillId="0" borderId="0" xfId="0" applyNumberFormat="1">
      <alignment vertical="center"/>
    </xf>
    <xf numFmtId="179" fontId="0" fillId="8" borderId="0" xfId="0" applyNumberFormat="1" applyFill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0" fontId="0" fillId="8" borderId="9" xfId="0" applyFill="1" applyBorder="1" applyAlignment="1">
      <alignment horizontal="left" vertical="center"/>
    </xf>
    <xf numFmtId="0" fontId="0" fillId="8" borderId="12" xfId="0" applyFill="1" applyBorder="1" applyAlignment="1">
      <alignment horizontal="center" vertical="center"/>
    </xf>
    <xf numFmtId="0" fontId="0" fillId="8" borderId="0" xfId="0" applyFill="1" applyAlignment="1">
      <alignment vertical="center"/>
    </xf>
    <xf numFmtId="0" fontId="0" fillId="8" borderId="13" xfId="0" applyFill="1" applyBorder="1" applyAlignment="1">
      <alignment vertical="center"/>
    </xf>
    <xf numFmtId="179" fontId="0" fillId="0" borderId="14" xfId="0" applyNumberFormat="1" applyBorder="1" applyAlignment="1">
      <alignment horizontal="center" vertical="center"/>
    </xf>
    <xf numFmtId="0" fontId="0" fillId="0" borderId="11" xfId="0" applyBorder="1">
      <alignment vertical="center"/>
    </xf>
    <xf numFmtId="0" fontId="0" fillId="12" borderId="11" xfId="0" applyFill="1" applyBorder="1" applyAlignment="1">
      <alignment horizontal="left" vertical="center"/>
    </xf>
    <xf numFmtId="0" fontId="0" fillId="9" borderId="12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184" fontId="0" fillId="10" borderId="11" xfId="0" applyNumberFormat="1" applyFill="1" applyBorder="1" applyAlignment="1">
      <alignment horizontal="center" vertical="center"/>
    </xf>
    <xf numFmtId="0" fontId="0" fillId="0" borderId="9" xfId="0" applyBorder="1">
      <alignment vertical="center"/>
    </xf>
    <xf numFmtId="0" fontId="0" fillId="12" borderId="9" xfId="0" applyFill="1" applyBorder="1" applyAlignment="1">
      <alignment horizontal="left" vertical="center"/>
    </xf>
    <xf numFmtId="179" fontId="0" fillId="0" borderId="9" xfId="0" applyNumberFormat="1" applyBorder="1" applyAlignment="1">
      <alignment vertical="center"/>
    </xf>
    <xf numFmtId="0" fontId="0" fillId="0" borderId="9" xfId="0" applyFill="1" applyBorder="1">
      <alignment vertical="center"/>
    </xf>
    <xf numFmtId="184" fontId="0" fillId="0" borderId="9" xfId="0" applyNumberFormat="1" applyBorder="1">
      <alignment vertical="center"/>
    </xf>
    <xf numFmtId="179" fontId="0" fillId="0" borderId="9" xfId="0" applyNumberFormat="1" applyBorder="1" applyAlignment="1">
      <alignment horizontal="center" vertical="center"/>
    </xf>
    <xf numFmtId="179" fontId="0" fillId="0" borderId="11" xfId="0" applyNumberFormat="1" applyBorder="1" applyAlignment="1">
      <alignment horizontal="center" vertical="center"/>
    </xf>
    <xf numFmtId="179" fontId="0" fillId="0" borderId="10" xfId="0" applyNumberFormat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79" fontId="0" fillId="0" borderId="0" xfId="0" applyNumberFormat="1" applyBorder="1" applyAlignment="1">
      <alignment horizontal="center" vertical="center"/>
    </xf>
    <xf numFmtId="0" fontId="0" fillId="0" borderId="0" xfId="0" applyBorder="1">
      <alignment vertical="center"/>
    </xf>
    <xf numFmtId="184" fontId="0" fillId="0" borderId="0" xfId="0" applyNumberFormat="1" applyBorder="1" applyAlignment="1">
      <alignment horizontal="center" vertical="center"/>
    </xf>
    <xf numFmtId="0" fontId="0" fillId="0" borderId="12" xfId="0" applyBorder="1">
      <alignment vertical="center"/>
    </xf>
    <xf numFmtId="184" fontId="0" fillId="0" borderId="0" xfId="0" applyNumberFormat="1" applyBorder="1">
      <alignment vertical="center"/>
    </xf>
    <xf numFmtId="0" fontId="0" fillId="9" borderId="10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3" borderId="9" xfId="0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9" xfId="0" applyFill="1" applyBorder="1" applyAlignment="1">
      <alignment horizontal="left" vertical="center"/>
    </xf>
    <xf numFmtId="179" fontId="0" fillId="0" borderId="0" xfId="0" applyNumberFormat="1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11" fillId="0" borderId="9" xfId="0" applyFont="1" applyBorder="1">
      <alignment vertical="center"/>
    </xf>
    <xf numFmtId="184" fontId="0" fillId="0" borderId="9" xfId="0" applyNumberFormat="1" applyFill="1" applyBorder="1">
      <alignment vertical="center"/>
    </xf>
    <xf numFmtId="0" fontId="11" fillId="0" borderId="9" xfId="0" applyFont="1" applyFill="1" applyBorder="1">
      <alignment vertical="center"/>
    </xf>
    <xf numFmtId="0" fontId="0" fillId="14" borderId="9" xfId="0" applyFill="1" applyBorder="1">
      <alignment vertical="center"/>
    </xf>
    <xf numFmtId="0" fontId="0" fillId="14" borderId="12" xfId="0" applyFill="1" applyBorder="1">
      <alignment vertical="center"/>
    </xf>
    <xf numFmtId="179" fontId="0" fillId="0" borderId="10" xfId="0" applyNumberFormat="1" applyBorder="1" applyAlignment="1">
      <alignment horizontal="center" vertical="center"/>
    </xf>
    <xf numFmtId="179" fontId="0" fillId="0" borderId="14" xfId="0" applyNumberForma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9" xfId="0" applyBorder="1" applyAlignment="1">
      <alignment horizontal="left" vertical="center"/>
    </xf>
    <xf numFmtId="0" fontId="0" fillId="9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left" vertical="center"/>
    </xf>
    <xf numFmtId="0" fontId="0" fillId="0" borderId="9" xfId="0" applyFill="1" applyBorder="1" applyAlignment="1">
      <alignment horizontal="left" vertical="center"/>
    </xf>
    <xf numFmtId="179" fontId="0" fillId="0" borderId="11" xfId="0" applyNumberFormat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  <color rgb="0099CC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jpeg"/><Relationship Id="rId7" Type="http://schemas.openxmlformats.org/officeDocument/2006/relationships/image" Target="media/image7.jpe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jpeg"/><Relationship Id="rId2" Type="http://schemas.openxmlformats.org/officeDocument/2006/relationships/image" Target="media/image2.jpe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3"/>
  <sheetViews>
    <sheetView tabSelected="1" zoomScale="85" zoomScaleNormal="85" workbookViewId="0">
      <pane ySplit="1" topLeftCell="A172" activePane="bottomLeft" state="frozen"/>
      <selection/>
      <selection pane="bottomLeft" activeCell="B191" sqref="B191"/>
    </sheetView>
  </sheetViews>
  <sheetFormatPr defaultColWidth="9.14285714285714" defaultRowHeight="15"/>
  <cols>
    <col min="1" max="1" width="12.8571428571429" style="94"/>
    <col min="2" max="2" width="87" customWidth="1"/>
    <col min="3" max="3" width="71.1428571428571" style="95" customWidth="1"/>
    <col min="4" max="4" width="9.14285714285714" style="96"/>
    <col min="6" max="6" width="12.8571428571429"/>
    <col min="7" max="7" width="53.8571428571429" customWidth="1"/>
    <col min="8" max="8" width="12.2857142857143" style="97"/>
    <col min="9" max="9" width="11.4285714285714" customWidth="1"/>
    <col min="10" max="10" width="12.2857142857143"/>
    <col min="11" max="11" width="10.4285714285714"/>
  </cols>
  <sheetData>
    <row r="1" spans="1:8">
      <c r="A1" s="98" t="s">
        <v>0</v>
      </c>
      <c r="B1" s="99" t="s">
        <v>1</v>
      </c>
      <c r="C1" s="100" t="s">
        <v>2</v>
      </c>
      <c r="D1" s="101" t="s">
        <v>3</v>
      </c>
      <c r="F1" s="102" t="s">
        <v>4</v>
      </c>
      <c r="G1" s="102"/>
      <c r="H1" s="103"/>
    </row>
    <row r="2" spans="1:10">
      <c r="A2" s="104">
        <v>45957</v>
      </c>
      <c r="B2" s="105" t="s">
        <v>5</v>
      </c>
      <c r="C2" s="106"/>
      <c r="D2" s="107" t="s">
        <v>6</v>
      </c>
      <c r="F2" s="108" t="s">
        <v>7</v>
      </c>
      <c r="G2" s="108" t="s">
        <v>8</v>
      </c>
      <c r="H2" s="109" t="s">
        <v>9</v>
      </c>
      <c r="I2" s="109" t="s">
        <v>10</v>
      </c>
      <c r="J2" s="109" t="s">
        <v>11</v>
      </c>
    </row>
    <row r="3" spans="1:11">
      <c r="A3" s="104"/>
      <c r="B3" s="110" t="s">
        <v>12</v>
      </c>
      <c r="C3" s="111"/>
      <c r="D3" s="107" t="s">
        <v>6</v>
      </c>
      <c r="F3" s="112"/>
      <c r="G3" s="113"/>
      <c r="H3" s="114"/>
      <c r="I3" s="114"/>
      <c r="J3" s="114"/>
      <c r="K3" s="97"/>
    </row>
    <row r="4" spans="1:10">
      <c r="A4" s="104"/>
      <c r="B4" s="110" t="s">
        <v>13</v>
      </c>
      <c r="C4" s="111"/>
      <c r="D4" s="107" t="s">
        <v>6</v>
      </c>
      <c r="F4" s="112"/>
      <c r="G4" s="113"/>
      <c r="H4" s="114"/>
      <c r="I4" s="114"/>
      <c r="J4" s="114"/>
    </row>
    <row r="5" spans="1:10">
      <c r="A5" s="104"/>
      <c r="B5" s="110" t="s">
        <v>14</v>
      </c>
      <c r="C5" s="111"/>
      <c r="D5" s="107" t="s">
        <v>6</v>
      </c>
      <c r="F5" s="112"/>
      <c r="G5" s="113"/>
      <c r="H5" s="114"/>
      <c r="I5" s="114"/>
      <c r="J5" s="114"/>
    </row>
    <row r="6" spans="1:10">
      <c r="A6" s="104"/>
      <c r="B6" s="110" t="s">
        <v>15</v>
      </c>
      <c r="C6" s="111"/>
      <c r="D6" s="107" t="s">
        <v>6</v>
      </c>
      <c r="F6" s="112"/>
      <c r="G6" s="113"/>
      <c r="H6" s="114"/>
      <c r="I6" s="114"/>
      <c r="J6" s="114"/>
    </row>
    <row r="7" spans="1:10">
      <c r="A7" s="104"/>
      <c r="B7" s="110" t="s">
        <v>16</v>
      </c>
      <c r="C7" s="111" t="s">
        <v>17</v>
      </c>
      <c r="D7" s="107" t="s">
        <v>6</v>
      </c>
      <c r="F7" s="115"/>
      <c r="G7" s="113"/>
      <c r="H7" s="114"/>
      <c r="J7" s="133"/>
    </row>
    <row r="8" spans="1:10">
      <c r="A8" s="104"/>
      <c r="B8" s="110" t="s">
        <v>18</v>
      </c>
      <c r="C8" s="111" t="s">
        <v>19</v>
      </c>
      <c r="D8" s="107" t="s">
        <v>6</v>
      </c>
      <c r="F8" s="115"/>
      <c r="G8" s="113"/>
      <c r="H8" s="114"/>
      <c r="I8" s="114"/>
      <c r="J8" s="133"/>
    </row>
    <row r="9" spans="1:10">
      <c r="A9" s="104"/>
      <c r="B9" s="110" t="s">
        <v>20</v>
      </c>
      <c r="C9" s="111" t="s">
        <v>21</v>
      </c>
      <c r="D9" s="107" t="s">
        <v>6</v>
      </c>
      <c r="F9" s="115"/>
      <c r="G9" s="113"/>
      <c r="H9" s="114"/>
      <c r="I9" s="133"/>
      <c r="J9" s="133"/>
    </row>
    <row r="10" spans="1:10">
      <c r="A10" s="104"/>
      <c r="B10" s="110" t="s">
        <v>22</v>
      </c>
      <c r="C10" s="111" t="s">
        <v>19</v>
      </c>
      <c r="D10" s="107" t="s">
        <v>6</v>
      </c>
      <c r="F10" s="115"/>
      <c r="G10" s="113"/>
      <c r="I10" s="133"/>
      <c r="J10" s="133"/>
    </row>
    <row r="11" spans="1:10">
      <c r="A11" s="104"/>
      <c r="B11" s="110" t="s">
        <v>23</v>
      </c>
      <c r="C11" s="111" t="s">
        <v>24</v>
      </c>
      <c r="D11" s="107" t="s">
        <v>6</v>
      </c>
      <c r="F11" s="115"/>
      <c r="G11" s="113"/>
      <c r="H11" s="114"/>
      <c r="I11" s="114"/>
      <c r="J11" s="114"/>
    </row>
    <row r="12" spans="1:10">
      <c r="A12" s="104"/>
      <c r="B12" s="110" t="s">
        <v>25</v>
      </c>
      <c r="C12" s="111" t="s">
        <v>26</v>
      </c>
      <c r="D12" s="107" t="s">
        <v>6</v>
      </c>
      <c r="F12" s="115"/>
      <c r="G12" s="113"/>
      <c r="H12" s="114"/>
      <c r="I12" s="110"/>
      <c r="J12" s="114"/>
    </row>
    <row r="13" spans="1:10">
      <c r="A13" s="104"/>
      <c r="B13" s="110"/>
      <c r="C13" s="111" t="s">
        <v>27</v>
      </c>
      <c r="D13" s="107" t="s">
        <v>6</v>
      </c>
      <c r="F13" s="115"/>
      <c r="G13" s="113"/>
      <c r="H13" s="114"/>
      <c r="I13" s="110"/>
      <c r="J13" s="114"/>
    </row>
    <row r="14" spans="1:10">
      <c r="A14" s="104"/>
      <c r="B14" s="110"/>
      <c r="C14" s="111" t="s">
        <v>28</v>
      </c>
      <c r="D14" s="107" t="s">
        <v>6</v>
      </c>
      <c r="F14" s="115"/>
      <c r="G14" s="110"/>
      <c r="H14" s="114"/>
      <c r="I14" s="114"/>
      <c r="J14" s="114"/>
    </row>
    <row r="15" spans="1:10">
      <c r="A15" s="116"/>
      <c r="B15" s="110" t="s">
        <v>29</v>
      </c>
      <c r="C15" s="111" t="s">
        <v>30</v>
      </c>
      <c r="D15" s="107" t="s">
        <v>6</v>
      </c>
      <c r="F15" s="115"/>
      <c r="G15" s="110"/>
      <c r="H15" s="114"/>
      <c r="I15" s="114"/>
      <c r="J15" s="114"/>
    </row>
    <row r="16" spans="5:10">
      <c r="E16" s="96"/>
      <c r="F16" s="115"/>
      <c r="G16" s="110"/>
      <c r="H16" s="114"/>
      <c r="I16" s="114"/>
      <c r="J16" s="114"/>
    </row>
    <row r="17" spans="1:10">
      <c r="A17" s="117">
        <v>45958</v>
      </c>
      <c r="B17" s="110" t="s">
        <v>31</v>
      </c>
      <c r="C17" s="111"/>
      <c r="D17" s="118" t="s">
        <v>6</v>
      </c>
      <c r="F17" s="115"/>
      <c r="G17" s="110"/>
      <c r="H17" s="114"/>
      <c r="I17" s="114"/>
      <c r="J17" s="114"/>
    </row>
    <row r="18" spans="1:10">
      <c r="A18" s="104"/>
      <c r="B18" s="110" t="s">
        <v>32</v>
      </c>
      <c r="C18" s="111"/>
      <c r="D18" s="118" t="s">
        <v>6</v>
      </c>
      <c r="F18" s="115"/>
      <c r="G18" s="110"/>
      <c r="H18" s="114"/>
      <c r="I18" s="114"/>
      <c r="J18" s="114"/>
    </row>
    <row r="19" spans="1:10">
      <c r="A19" s="104"/>
      <c r="B19" s="110" t="s">
        <v>33</v>
      </c>
      <c r="C19" s="111"/>
      <c r="D19" s="118" t="s">
        <v>6</v>
      </c>
      <c r="F19" s="115"/>
      <c r="G19" s="110"/>
      <c r="H19" s="114"/>
      <c r="I19" s="114"/>
      <c r="J19" s="114"/>
    </row>
    <row r="20" spans="1:10">
      <c r="A20" s="104"/>
      <c r="B20" s="110" t="s">
        <v>34</v>
      </c>
      <c r="C20" s="111">
        <v>1</v>
      </c>
      <c r="D20" s="118" t="s">
        <v>6</v>
      </c>
      <c r="F20" s="115"/>
      <c r="G20" s="110"/>
      <c r="H20" s="114"/>
      <c r="I20" s="114"/>
      <c r="J20" s="114"/>
    </row>
    <row r="21" spans="1:10">
      <c r="A21" s="116"/>
      <c r="B21" s="110" t="s">
        <v>35</v>
      </c>
      <c r="C21" s="111">
        <v>1</v>
      </c>
      <c r="D21" s="118" t="s">
        <v>6</v>
      </c>
      <c r="F21" s="115"/>
      <c r="G21" s="110"/>
      <c r="H21" s="114"/>
      <c r="I21" s="114"/>
      <c r="J21" s="114"/>
    </row>
    <row r="22" spans="4:10">
      <c r="D22" s="119"/>
      <c r="F22" s="120"/>
      <c r="G22" s="121"/>
      <c r="H22" s="122"/>
      <c r="I22" s="122"/>
      <c r="J22" s="121"/>
    </row>
    <row r="23" spans="1:10">
      <c r="A23" s="115">
        <v>45959</v>
      </c>
      <c r="B23" s="123" t="s">
        <v>36</v>
      </c>
      <c r="C23" s="111"/>
      <c r="D23" s="118" t="s">
        <v>6</v>
      </c>
      <c r="F23" s="121"/>
      <c r="G23" s="121"/>
      <c r="H23" s="124"/>
      <c r="I23" s="124"/>
      <c r="J23" s="124"/>
    </row>
    <row r="24" spans="1:10">
      <c r="A24" s="115"/>
      <c r="B24" s="123" t="s">
        <v>37</v>
      </c>
      <c r="C24" s="111">
        <v>1</v>
      </c>
      <c r="D24" s="125" t="s">
        <v>6</v>
      </c>
      <c r="F24" s="121"/>
      <c r="G24" s="121"/>
      <c r="H24" s="124"/>
      <c r="I24" s="121"/>
      <c r="J24" s="121"/>
    </row>
    <row r="25" spans="1:10">
      <c r="A25" s="115"/>
      <c r="B25" s="123" t="s">
        <v>38</v>
      </c>
      <c r="C25" s="111"/>
      <c r="D25" s="126"/>
      <c r="F25" s="121"/>
      <c r="G25" s="121"/>
      <c r="H25" s="124"/>
      <c r="I25" s="121"/>
      <c r="J25" s="121"/>
    </row>
    <row r="26" spans="1:10">
      <c r="A26" s="115"/>
      <c r="B26" s="123" t="s">
        <v>39</v>
      </c>
      <c r="C26" s="111" t="s">
        <v>40</v>
      </c>
      <c r="D26" s="118" t="s">
        <v>6</v>
      </c>
      <c r="F26" s="121"/>
      <c r="G26" s="121"/>
      <c r="H26" s="124"/>
      <c r="I26" s="121"/>
      <c r="J26" s="124"/>
    </row>
    <row r="27" spans="1:10">
      <c r="A27" s="115"/>
      <c r="B27" s="123" t="s">
        <v>41</v>
      </c>
      <c r="C27" s="127" t="s">
        <v>42</v>
      </c>
      <c r="D27" s="118" t="s">
        <v>43</v>
      </c>
      <c r="F27" s="121"/>
      <c r="G27" s="121"/>
      <c r="H27" s="124"/>
      <c r="I27" s="121"/>
      <c r="J27" s="121"/>
    </row>
    <row r="28" spans="1:10">
      <c r="A28" s="115"/>
      <c r="B28" s="123" t="s">
        <v>44</v>
      </c>
      <c r="C28" s="111">
        <v>3</v>
      </c>
      <c r="D28" s="118" t="s">
        <v>6</v>
      </c>
      <c r="F28" s="121"/>
      <c r="G28" s="121"/>
      <c r="H28" s="124"/>
      <c r="I28" s="121"/>
      <c r="J28" s="121"/>
    </row>
    <row r="29" spans="1:10">
      <c r="A29" s="115"/>
      <c r="B29" s="123" t="s">
        <v>45</v>
      </c>
      <c r="C29" s="111" t="s">
        <v>46</v>
      </c>
      <c r="D29" s="118" t="s">
        <v>6</v>
      </c>
      <c r="F29" s="121"/>
      <c r="G29" s="121"/>
      <c r="H29" s="124"/>
      <c r="I29" s="121"/>
      <c r="J29" s="121"/>
    </row>
    <row r="30" spans="1:10">
      <c r="A30" s="115"/>
      <c r="B30" s="123" t="s">
        <v>47</v>
      </c>
      <c r="C30" s="111">
        <v>1</v>
      </c>
      <c r="D30" s="118" t="s">
        <v>6</v>
      </c>
      <c r="F30" s="121"/>
      <c r="G30" s="121"/>
      <c r="H30" s="124"/>
      <c r="I30" s="124"/>
      <c r="J30" s="121"/>
    </row>
    <row r="31" spans="4:10">
      <c r="D31" s="119"/>
      <c r="F31" s="121"/>
      <c r="G31" s="121"/>
      <c r="H31" s="124"/>
      <c r="I31" s="124"/>
      <c r="J31" s="124"/>
    </row>
    <row r="32" spans="1:10">
      <c r="A32" s="115">
        <v>45960</v>
      </c>
      <c r="B32" s="110" t="s">
        <v>48</v>
      </c>
      <c r="C32" s="111"/>
      <c r="D32" s="118" t="s">
        <v>6</v>
      </c>
      <c r="F32" s="121"/>
      <c r="G32" s="121"/>
      <c r="H32" s="124"/>
      <c r="I32" s="121"/>
      <c r="J32" s="124"/>
    </row>
    <row r="33" spans="6:10">
      <c r="F33" s="121"/>
      <c r="G33" s="121"/>
      <c r="H33" s="124"/>
      <c r="I33" s="121"/>
      <c r="J33" s="121"/>
    </row>
    <row r="34" spans="1:4">
      <c r="A34" s="115">
        <v>45961</v>
      </c>
      <c r="B34" s="110" t="s">
        <v>49</v>
      </c>
      <c r="C34" s="111"/>
      <c r="D34" s="118" t="s">
        <v>6</v>
      </c>
    </row>
    <row r="35" spans="1:4">
      <c r="A35" s="115"/>
      <c r="B35" s="110" t="s">
        <v>50</v>
      </c>
      <c r="C35" s="111"/>
      <c r="D35" s="118" t="s">
        <v>6</v>
      </c>
    </row>
    <row r="36" spans="1:4">
      <c r="A36" s="115"/>
      <c r="B36" s="110" t="s">
        <v>51</v>
      </c>
      <c r="C36" s="128" t="s">
        <v>52</v>
      </c>
      <c r="D36" s="118" t="s">
        <v>53</v>
      </c>
    </row>
    <row r="37" spans="1:4">
      <c r="A37" s="115"/>
      <c r="B37" s="110" t="s">
        <v>54</v>
      </c>
      <c r="C37" s="111"/>
      <c r="D37" s="118" t="s">
        <v>6</v>
      </c>
    </row>
    <row r="38" spans="1:4">
      <c r="A38" s="115"/>
      <c r="B38" s="110" t="s">
        <v>55</v>
      </c>
      <c r="C38" s="111"/>
      <c r="D38" s="118" t="s">
        <v>6</v>
      </c>
    </row>
    <row r="39" spans="1:4">
      <c r="A39" s="115"/>
      <c r="B39" s="113" t="s">
        <v>56</v>
      </c>
      <c r="C39" s="129" t="s">
        <v>57</v>
      </c>
      <c r="D39" s="118" t="s">
        <v>53</v>
      </c>
    </row>
    <row r="40" spans="1:4">
      <c r="A40" s="115"/>
      <c r="B40" s="113" t="s">
        <v>58</v>
      </c>
      <c r="C40" s="129" t="s">
        <v>59</v>
      </c>
      <c r="D40" s="118" t="s">
        <v>53</v>
      </c>
    </row>
    <row r="41" spans="1:4">
      <c r="A41" s="115"/>
      <c r="B41" s="113" t="s">
        <v>60</v>
      </c>
      <c r="C41" s="129" t="s">
        <v>61</v>
      </c>
      <c r="D41" s="118" t="s">
        <v>53</v>
      </c>
    </row>
    <row r="42" spans="1:4">
      <c r="A42" s="115"/>
      <c r="B42" s="113" t="s">
        <v>62</v>
      </c>
      <c r="C42" s="111" t="s">
        <v>63</v>
      </c>
      <c r="D42" s="118" t="s">
        <v>6</v>
      </c>
    </row>
    <row r="43" spans="1:4">
      <c r="A43" s="115"/>
      <c r="B43" s="113" t="s">
        <v>64</v>
      </c>
      <c r="C43" s="111" t="s">
        <v>65</v>
      </c>
      <c r="D43" s="118" t="s">
        <v>6</v>
      </c>
    </row>
    <row r="44" spans="1:4">
      <c r="A44" s="115"/>
      <c r="B44" s="113" t="s">
        <v>66</v>
      </c>
      <c r="C44" s="129" t="s">
        <v>67</v>
      </c>
      <c r="D44" s="118" t="s">
        <v>53</v>
      </c>
    </row>
    <row r="45" spans="1:4">
      <c r="A45" s="120"/>
      <c r="B45" s="121"/>
      <c r="C45" s="111" t="s">
        <v>68</v>
      </c>
      <c r="D45" s="118" t="s">
        <v>69</v>
      </c>
    </row>
    <row r="46" spans="1:4">
      <c r="A46" s="130"/>
      <c r="B46" s="121"/>
      <c r="C46" s="111" t="s">
        <v>70</v>
      </c>
      <c r="D46" s="118" t="s">
        <v>6</v>
      </c>
    </row>
    <row r="47" spans="1:4">
      <c r="A47" s="130"/>
      <c r="B47" s="121"/>
      <c r="C47" s="111" t="s">
        <v>71</v>
      </c>
      <c r="D47" s="118" t="s">
        <v>6</v>
      </c>
    </row>
    <row r="48" spans="1:4">
      <c r="A48" s="130"/>
      <c r="B48" s="121"/>
      <c r="C48" s="111" t="s">
        <v>72</v>
      </c>
      <c r="D48" s="118" t="s">
        <v>6</v>
      </c>
    </row>
    <row r="49" spans="1:4">
      <c r="A49" s="130"/>
      <c r="B49" s="121"/>
      <c r="D49" s="131"/>
    </row>
    <row r="50" spans="1:4">
      <c r="A50" s="115">
        <v>45962</v>
      </c>
      <c r="B50" s="110" t="s">
        <v>51</v>
      </c>
      <c r="C50" s="128" t="s">
        <v>52</v>
      </c>
      <c r="D50" s="118" t="s">
        <v>53</v>
      </c>
    </row>
    <row r="51" spans="1:4">
      <c r="A51" s="115"/>
      <c r="B51" s="113" t="s">
        <v>56</v>
      </c>
      <c r="C51" s="128" t="s">
        <v>57</v>
      </c>
      <c r="D51" s="118" t="s">
        <v>53</v>
      </c>
    </row>
    <row r="52" spans="1:4">
      <c r="A52" s="115"/>
      <c r="B52" s="113" t="s">
        <v>58</v>
      </c>
      <c r="C52" s="128" t="s">
        <v>73</v>
      </c>
      <c r="D52" s="118" t="s">
        <v>53</v>
      </c>
    </row>
    <row r="53" spans="1:4">
      <c r="A53" s="115"/>
      <c r="B53" s="110" t="s">
        <v>60</v>
      </c>
      <c r="C53" s="128" t="s">
        <v>61</v>
      </c>
      <c r="D53" s="118" t="s">
        <v>53</v>
      </c>
    </row>
    <row r="54" spans="1:4">
      <c r="A54" s="115"/>
      <c r="B54" s="113" t="s">
        <v>66</v>
      </c>
      <c r="C54" s="111" t="s">
        <v>67</v>
      </c>
      <c r="D54" s="118" t="s">
        <v>6</v>
      </c>
    </row>
    <row r="55" spans="1:4">
      <c r="A55" s="115">
        <v>45964</v>
      </c>
      <c r="B55" s="110" t="s">
        <v>74</v>
      </c>
      <c r="C55" s="128" t="s">
        <v>75</v>
      </c>
      <c r="D55" s="118" t="s">
        <v>53</v>
      </c>
    </row>
    <row r="56" spans="1:4">
      <c r="A56" s="115"/>
      <c r="B56" s="110" t="s">
        <v>76</v>
      </c>
      <c r="C56" s="128" t="s">
        <v>77</v>
      </c>
      <c r="D56" s="118" t="s">
        <v>53</v>
      </c>
    </row>
    <row r="57" spans="1:4">
      <c r="A57" s="115"/>
      <c r="B57" s="132" t="s">
        <v>78</v>
      </c>
      <c r="C57" s="128"/>
      <c r="D57" s="118" t="s">
        <v>53</v>
      </c>
    </row>
    <row r="58" spans="1:4">
      <c r="A58" s="115"/>
      <c r="B58" s="110" t="s">
        <v>79</v>
      </c>
      <c r="C58" s="128" t="s">
        <v>80</v>
      </c>
      <c r="D58" s="118" t="s">
        <v>53</v>
      </c>
    </row>
    <row r="60" spans="1:4">
      <c r="A60" s="117">
        <v>45965</v>
      </c>
      <c r="B60" s="110" t="s">
        <v>51</v>
      </c>
      <c r="C60" s="128" t="s">
        <v>52</v>
      </c>
      <c r="D60" s="118" t="s">
        <v>53</v>
      </c>
    </row>
    <row r="61" spans="1:4">
      <c r="A61" s="104"/>
      <c r="B61" s="113" t="s">
        <v>56</v>
      </c>
      <c r="C61" s="128" t="s">
        <v>57</v>
      </c>
      <c r="D61" s="118" t="s">
        <v>53</v>
      </c>
    </row>
    <row r="62" spans="1:4">
      <c r="A62" s="104"/>
      <c r="B62" s="113" t="s">
        <v>81</v>
      </c>
      <c r="C62" s="128" t="s">
        <v>73</v>
      </c>
      <c r="D62" s="118" t="s">
        <v>53</v>
      </c>
    </row>
    <row r="63" spans="1:4">
      <c r="A63" s="104"/>
      <c r="B63" s="113" t="s">
        <v>82</v>
      </c>
      <c r="C63" s="128" t="s">
        <v>61</v>
      </c>
      <c r="D63" s="118" t="s">
        <v>53</v>
      </c>
    </row>
    <row r="64" spans="1:4">
      <c r="A64" s="104"/>
      <c r="B64" s="113" t="s">
        <v>74</v>
      </c>
      <c r="C64" s="111" t="s">
        <v>75</v>
      </c>
      <c r="D64" s="118" t="s">
        <v>6</v>
      </c>
    </row>
    <row r="65" spans="1:4">
      <c r="A65" s="104"/>
      <c r="B65" s="113" t="s">
        <v>76</v>
      </c>
      <c r="C65" s="128" t="s">
        <v>77</v>
      </c>
      <c r="D65" s="118" t="s">
        <v>53</v>
      </c>
    </row>
    <row r="66" spans="1:4">
      <c r="A66" s="104"/>
      <c r="B66" s="134" t="s">
        <v>78</v>
      </c>
      <c r="C66" s="111" t="s">
        <v>83</v>
      </c>
      <c r="D66" s="118" t="s">
        <v>6</v>
      </c>
    </row>
    <row r="67" spans="1:4">
      <c r="A67" s="104"/>
      <c r="B67" s="113" t="s">
        <v>79</v>
      </c>
      <c r="C67" s="128" t="s">
        <v>80</v>
      </c>
      <c r="D67" s="118" t="s">
        <v>53</v>
      </c>
    </row>
    <row r="68" spans="1:4">
      <c r="A68" s="104"/>
      <c r="B68" s="113" t="s">
        <v>84</v>
      </c>
      <c r="C68" s="128" t="s">
        <v>85</v>
      </c>
      <c r="D68" s="118" t="s">
        <v>53</v>
      </c>
    </row>
    <row r="69" spans="1:4">
      <c r="A69" s="104"/>
      <c r="B69" s="110" t="s">
        <v>86</v>
      </c>
      <c r="C69" s="111" t="s">
        <v>87</v>
      </c>
      <c r="D69" s="118" t="s">
        <v>6</v>
      </c>
    </row>
    <row r="70" spans="1:4">
      <c r="A70" s="116"/>
      <c r="B70" s="110" t="s">
        <v>88</v>
      </c>
      <c r="C70" s="111" t="s">
        <v>89</v>
      </c>
      <c r="D70" s="118" t="s">
        <v>6</v>
      </c>
    </row>
    <row r="72" spans="1:4">
      <c r="A72" s="117">
        <v>45966</v>
      </c>
      <c r="B72" s="113" t="s">
        <v>51</v>
      </c>
      <c r="C72" s="111" t="s">
        <v>90</v>
      </c>
      <c r="D72" s="118" t="s">
        <v>6</v>
      </c>
    </row>
    <row r="73" spans="1:4">
      <c r="A73" s="104"/>
      <c r="B73" s="113" t="s">
        <v>56</v>
      </c>
      <c r="C73" s="128" t="s">
        <v>57</v>
      </c>
      <c r="D73" s="118" t="s">
        <v>53</v>
      </c>
    </row>
    <row r="74" spans="1:4">
      <c r="A74" s="104"/>
      <c r="B74" s="113" t="s">
        <v>81</v>
      </c>
      <c r="C74" s="111" t="s">
        <v>73</v>
      </c>
      <c r="D74" s="118" t="s">
        <v>6</v>
      </c>
    </row>
    <row r="75" spans="1:4">
      <c r="A75" s="104"/>
      <c r="B75" s="113" t="s">
        <v>82</v>
      </c>
      <c r="C75" s="128" t="s">
        <v>61</v>
      </c>
      <c r="D75" s="118" t="s">
        <v>53</v>
      </c>
    </row>
    <row r="76" spans="1:4">
      <c r="A76" s="104"/>
      <c r="B76" s="113" t="s">
        <v>76</v>
      </c>
      <c r="C76" s="128" t="s">
        <v>77</v>
      </c>
      <c r="D76" s="118" t="s">
        <v>53</v>
      </c>
    </row>
    <row r="77" spans="1:4">
      <c r="A77" s="104"/>
      <c r="B77" s="113" t="s">
        <v>79</v>
      </c>
      <c r="C77" s="128" t="s">
        <v>80</v>
      </c>
      <c r="D77" s="118" t="s">
        <v>53</v>
      </c>
    </row>
    <row r="78" spans="1:4">
      <c r="A78" s="104"/>
      <c r="B78" s="113" t="s">
        <v>84</v>
      </c>
      <c r="C78" s="111" t="s">
        <v>85</v>
      </c>
      <c r="D78" s="118" t="s">
        <v>6</v>
      </c>
    </row>
    <row r="79" spans="1:4">
      <c r="A79" s="104"/>
      <c r="B79" s="113" t="s">
        <v>91</v>
      </c>
      <c r="C79" s="111" t="s">
        <v>92</v>
      </c>
      <c r="D79" s="118" t="s">
        <v>6</v>
      </c>
    </row>
    <row r="80" spans="1:4">
      <c r="A80" s="104"/>
      <c r="B80" s="113" t="s">
        <v>93</v>
      </c>
      <c r="C80" s="111" t="s">
        <v>94</v>
      </c>
      <c r="D80" s="118" t="s">
        <v>6</v>
      </c>
    </row>
    <row r="81" spans="1:4">
      <c r="A81" s="104"/>
      <c r="B81" s="113" t="s">
        <v>95</v>
      </c>
      <c r="C81" s="111" t="s">
        <v>96</v>
      </c>
      <c r="D81" s="118" t="s">
        <v>6</v>
      </c>
    </row>
    <row r="82" spans="1:4">
      <c r="A82" s="116"/>
      <c r="B82" s="110" t="s">
        <v>97</v>
      </c>
      <c r="C82" s="128" t="s">
        <v>98</v>
      </c>
      <c r="D82" s="118" t="s">
        <v>53</v>
      </c>
    </row>
    <row r="84" spans="1:4">
      <c r="A84" s="115">
        <v>45967</v>
      </c>
      <c r="B84" s="135" t="s">
        <v>56</v>
      </c>
      <c r="C84" s="128" t="s">
        <v>99</v>
      </c>
      <c r="D84" s="118" t="s">
        <v>53</v>
      </c>
    </row>
    <row r="85" spans="1:4">
      <c r="A85" s="115"/>
      <c r="B85" s="110" t="s">
        <v>100</v>
      </c>
      <c r="C85" s="128" t="s">
        <v>61</v>
      </c>
      <c r="D85" s="118" t="s">
        <v>53</v>
      </c>
    </row>
    <row r="86" spans="1:4">
      <c r="A86" s="115"/>
      <c r="B86" s="110" t="s">
        <v>76</v>
      </c>
      <c r="C86" s="128" t="s">
        <v>77</v>
      </c>
      <c r="D86" s="118" t="s">
        <v>53</v>
      </c>
    </row>
    <row r="87" spans="1:4">
      <c r="A87" s="115"/>
      <c r="B87" s="110" t="s">
        <v>79</v>
      </c>
      <c r="C87" s="128" t="s">
        <v>101</v>
      </c>
      <c r="D87" s="118" t="s">
        <v>53</v>
      </c>
    </row>
    <row r="88" spans="1:4">
      <c r="A88" s="115"/>
      <c r="B88" s="110" t="s">
        <v>102</v>
      </c>
      <c r="C88" s="111" t="s">
        <v>103</v>
      </c>
      <c r="D88" s="118" t="s">
        <v>6</v>
      </c>
    </row>
    <row r="89" spans="1:4">
      <c r="A89" s="115"/>
      <c r="B89" s="110" t="s">
        <v>104</v>
      </c>
      <c r="C89" s="128" t="s">
        <v>105</v>
      </c>
      <c r="D89" s="118" t="s">
        <v>53</v>
      </c>
    </row>
    <row r="90" spans="1:1">
      <c r="A90" s="130"/>
    </row>
    <row r="91" spans="1:4">
      <c r="A91" s="115">
        <v>45968</v>
      </c>
      <c r="B91" s="135" t="s">
        <v>56</v>
      </c>
      <c r="C91" s="128" t="s">
        <v>99</v>
      </c>
      <c r="D91" s="118" t="s">
        <v>53</v>
      </c>
    </row>
    <row r="92" spans="1:4">
      <c r="A92" s="115"/>
      <c r="B92" s="110" t="s">
        <v>100</v>
      </c>
      <c r="C92" s="128" t="s">
        <v>106</v>
      </c>
      <c r="D92" s="118" t="s">
        <v>53</v>
      </c>
    </row>
    <row r="93" spans="1:4">
      <c r="A93" s="115"/>
      <c r="B93" s="110" t="s">
        <v>76</v>
      </c>
      <c r="C93" s="128" t="s">
        <v>77</v>
      </c>
      <c r="D93" s="118" t="s">
        <v>53</v>
      </c>
    </row>
    <row r="94" spans="1:4">
      <c r="A94" s="115"/>
      <c r="B94" s="110" t="s">
        <v>79</v>
      </c>
      <c r="C94" s="111" t="s">
        <v>107</v>
      </c>
      <c r="D94" s="118" t="s">
        <v>6</v>
      </c>
    </row>
    <row r="95" spans="1:4">
      <c r="A95" s="115"/>
      <c r="B95" s="110" t="s">
        <v>104</v>
      </c>
      <c r="C95" s="128" t="s">
        <v>105</v>
      </c>
      <c r="D95" s="118" t="s">
        <v>53</v>
      </c>
    </row>
    <row r="96" spans="1:4">
      <c r="A96" s="115"/>
      <c r="B96" s="110" t="s">
        <v>108</v>
      </c>
      <c r="C96" s="128" t="s">
        <v>109</v>
      </c>
      <c r="D96" s="118" t="s">
        <v>53</v>
      </c>
    </row>
    <row r="98" spans="1:4">
      <c r="A98" s="117">
        <v>45969</v>
      </c>
      <c r="B98" s="135" t="s">
        <v>56</v>
      </c>
      <c r="C98" s="128" t="s">
        <v>110</v>
      </c>
      <c r="D98" s="118" t="s">
        <v>53</v>
      </c>
    </row>
    <row r="99" spans="1:4">
      <c r="A99" s="104"/>
      <c r="B99" s="110" t="s">
        <v>100</v>
      </c>
      <c r="C99" s="128" t="s">
        <v>106</v>
      </c>
      <c r="D99" s="118" t="s">
        <v>53</v>
      </c>
    </row>
    <row r="100" spans="1:4">
      <c r="A100" s="104"/>
      <c r="B100" s="110" t="s">
        <v>76</v>
      </c>
      <c r="C100" s="128" t="s">
        <v>77</v>
      </c>
      <c r="D100" s="118" t="s">
        <v>53</v>
      </c>
    </row>
    <row r="101" spans="1:4">
      <c r="A101" s="104"/>
      <c r="B101" s="110" t="s">
        <v>104</v>
      </c>
      <c r="C101" s="128" t="s">
        <v>105</v>
      </c>
      <c r="D101" s="118" t="s">
        <v>53</v>
      </c>
    </row>
    <row r="102" spans="1:4">
      <c r="A102" s="104"/>
      <c r="B102" s="110" t="s">
        <v>111</v>
      </c>
      <c r="C102" s="128" t="s">
        <v>109</v>
      </c>
      <c r="D102" s="118" t="s">
        <v>53</v>
      </c>
    </row>
    <row r="103" spans="1:4">
      <c r="A103" s="104"/>
      <c r="B103" s="110" t="s">
        <v>112</v>
      </c>
      <c r="C103" s="128" t="s">
        <v>113</v>
      </c>
      <c r="D103" s="118" t="s">
        <v>53</v>
      </c>
    </row>
    <row r="104" spans="1:4">
      <c r="A104" s="104"/>
      <c r="B104" s="110" t="s">
        <v>114</v>
      </c>
      <c r="C104" s="111" t="s">
        <v>115</v>
      </c>
      <c r="D104" s="118" t="s">
        <v>6</v>
      </c>
    </row>
    <row r="105" spans="1:4">
      <c r="A105" s="104"/>
      <c r="B105" s="110" t="s">
        <v>116</v>
      </c>
      <c r="C105" s="111" t="s">
        <v>77</v>
      </c>
      <c r="D105" s="118" t="s">
        <v>6</v>
      </c>
    </row>
    <row r="106" spans="1:4">
      <c r="A106" s="116"/>
      <c r="B106" s="110" t="s">
        <v>117</v>
      </c>
      <c r="C106" s="128" t="s">
        <v>77</v>
      </c>
      <c r="D106" s="118" t="s">
        <v>53</v>
      </c>
    </row>
    <row r="108" spans="1:4">
      <c r="A108" s="117">
        <v>45971</v>
      </c>
      <c r="B108" s="135" t="s">
        <v>56</v>
      </c>
      <c r="C108" s="128" t="s">
        <v>110</v>
      </c>
      <c r="D108" s="118" t="s">
        <v>53</v>
      </c>
    </row>
    <row r="109" spans="1:4">
      <c r="A109" s="104"/>
      <c r="B109" s="110" t="s">
        <v>100</v>
      </c>
      <c r="C109" s="128" t="s">
        <v>106</v>
      </c>
      <c r="D109" s="118" t="s">
        <v>53</v>
      </c>
    </row>
    <row r="110" spans="1:4">
      <c r="A110" s="104"/>
      <c r="B110" s="110" t="s">
        <v>76</v>
      </c>
      <c r="C110" s="128" t="s">
        <v>77</v>
      </c>
      <c r="D110" s="118" t="s">
        <v>53</v>
      </c>
    </row>
    <row r="111" spans="1:4">
      <c r="A111" s="104"/>
      <c r="B111" s="110" t="s">
        <v>104</v>
      </c>
      <c r="C111" s="111" t="s">
        <v>118</v>
      </c>
      <c r="D111" s="118" t="s">
        <v>6</v>
      </c>
    </row>
    <row r="112" spans="1:4">
      <c r="A112" s="104"/>
      <c r="B112" s="110" t="s">
        <v>111</v>
      </c>
      <c r="C112" s="128" t="s">
        <v>109</v>
      </c>
      <c r="D112" s="118" t="s">
        <v>53</v>
      </c>
    </row>
    <row r="113" spans="1:4">
      <c r="A113" s="104"/>
      <c r="B113" s="110" t="s">
        <v>119</v>
      </c>
      <c r="C113" s="128" t="s">
        <v>120</v>
      </c>
      <c r="D113" s="118" t="s">
        <v>53</v>
      </c>
    </row>
    <row r="114" spans="1:4">
      <c r="A114" s="104"/>
      <c r="B114" s="110" t="s">
        <v>117</v>
      </c>
      <c r="C114" s="128" t="s">
        <v>121</v>
      </c>
      <c r="D114" s="118" t="s">
        <v>53</v>
      </c>
    </row>
    <row r="115" spans="1:4">
      <c r="A115" s="104"/>
      <c r="B115" s="110" t="s">
        <v>122</v>
      </c>
      <c r="C115" s="111" t="s">
        <v>123</v>
      </c>
      <c r="D115" s="118" t="s">
        <v>6</v>
      </c>
    </row>
    <row r="116" spans="1:4">
      <c r="A116" s="104"/>
      <c r="B116" s="110" t="s">
        <v>124</v>
      </c>
      <c r="C116" s="111" t="s">
        <v>125</v>
      </c>
      <c r="D116" s="118" t="s">
        <v>6</v>
      </c>
    </row>
    <row r="117" spans="1:4">
      <c r="A117" s="104"/>
      <c r="B117" s="110" t="s">
        <v>126</v>
      </c>
      <c r="C117" s="111" t="s">
        <v>127</v>
      </c>
      <c r="D117" s="118" t="s">
        <v>6</v>
      </c>
    </row>
    <row r="118" spans="1:4">
      <c r="A118" s="104"/>
      <c r="B118" s="110" t="s">
        <v>128</v>
      </c>
      <c r="C118" s="128" t="s">
        <v>129</v>
      </c>
      <c r="D118" s="118" t="s">
        <v>53</v>
      </c>
    </row>
    <row r="119" spans="1:4">
      <c r="A119" s="104"/>
      <c r="B119" s="110" t="s">
        <v>130</v>
      </c>
      <c r="C119" s="128" t="s">
        <v>131</v>
      </c>
      <c r="D119" s="118" t="s">
        <v>53</v>
      </c>
    </row>
    <row r="120" spans="1:4">
      <c r="A120" s="104"/>
      <c r="B120" s="110" t="s">
        <v>132</v>
      </c>
      <c r="C120" s="128" t="s">
        <v>133</v>
      </c>
      <c r="D120" s="118" t="s">
        <v>53</v>
      </c>
    </row>
    <row r="121" spans="1:4">
      <c r="A121" s="104"/>
      <c r="B121" s="110" t="s">
        <v>134</v>
      </c>
      <c r="C121" s="128" t="s">
        <v>135</v>
      </c>
      <c r="D121" s="118" t="s">
        <v>53</v>
      </c>
    </row>
    <row r="122" spans="1:4">
      <c r="A122" s="116"/>
      <c r="B122" s="110" t="s">
        <v>136</v>
      </c>
      <c r="C122" s="128" t="s">
        <v>137</v>
      </c>
      <c r="D122" s="118" t="s">
        <v>53</v>
      </c>
    </row>
    <row r="124" spans="1:4">
      <c r="A124" s="117">
        <v>45972</v>
      </c>
      <c r="B124" s="135" t="s">
        <v>56</v>
      </c>
      <c r="C124" s="128" t="s">
        <v>110</v>
      </c>
      <c r="D124" s="118" t="s">
        <v>53</v>
      </c>
    </row>
    <row r="125" spans="1:4">
      <c r="A125" s="104"/>
      <c r="B125" s="110" t="s">
        <v>100</v>
      </c>
      <c r="C125" s="128" t="s">
        <v>106</v>
      </c>
      <c r="D125" s="118" t="s">
        <v>53</v>
      </c>
    </row>
    <row r="126" spans="1:4">
      <c r="A126" s="104"/>
      <c r="B126" s="110" t="s">
        <v>76</v>
      </c>
      <c r="C126" s="128" t="s">
        <v>138</v>
      </c>
      <c r="D126" s="118" t="s">
        <v>53</v>
      </c>
    </row>
    <row r="127" spans="1:4">
      <c r="A127" s="104"/>
      <c r="B127" s="110" t="s">
        <v>111</v>
      </c>
      <c r="C127" s="128" t="s">
        <v>139</v>
      </c>
      <c r="D127" s="118" t="s">
        <v>53</v>
      </c>
    </row>
    <row r="128" spans="1:4">
      <c r="A128" s="104"/>
      <c r="B128" s="110" t="s">
        <v>119</v>
      </c>
      <c r="C128" s="128" t="s">
        <v>120</v>
      </c>
      <c r="D128" s="118" t="s">
        <v>53</v>
      </c>
    </row>
    <row r="129" spans="1:4">
      <c r="A129" s="104"/>
      <c r="B129" s="110" t="s">
        <v>117</v>
      </c>
      <c r="C129" s="128" t="s">
        <v>140</v>
      </c>
      <c r="D129" s="118" t="s">
        <v>53</v>
      </c>
    </row>
    <row r="130" spans="1:4">
      <c r="A130" s="104"/>
      <c r="B130" s="110" t="s">
        <v>141</v>
      </c>
      <c r="C130" s="128" t="s">
        <v>142</v>
      </c>
      <c r="D130" s="118" t="s">
        <v>53</v>
      </c>
    </row>
    <row r="131" spans="1:4">
      <c r="A131" s="104"/>
      <c r="B131" s="110" t="s">
        <v>130</v>
      </c>
      <c r="C131" s="128" t="s">
        <v>143</v>
      </c>
      <c r="D131" s="118" t="s">
        <v>53</v>
      </c>
    </row>
    <row r="132" spans="1:4">
      <c r="A132" s="104"/>
      <c r="B132" s="110" t="s">
        <v>132</v>
      </c>
      <c r="C132" s="128" t="s">
        <v>144</v>
      </c>
      <c r="D132" s="118" t="s">
        <v>53</v>
      </c>
    </row>
    <row r="133" spans="1:4">
      <c r="A133" s="104"/>
      <c r="B133" s="110" t="s">
        <v>134</v>
      </c>
      <c r="C133" s="111" t="s">
        <v>145</v>
      </c>
      <c r="D133" s="118" t="s">
        <v>6</v>
      </c>
    </row>
    <row r="134" spans="1:4">
      <c r="A134" s="116"/>
      <c r="B134" s="110" t="s">
        <v>136</v>
      </c>
      <c r="C134" s="111" t="s">
        <v>146</v>
      </c>
      <c r="D134" s="118" t="s">
        <v>6</v>
      </c>
    </row>
    <row r="136" spans="1:4">
      <c r="A136" s="115">
        <v>45973</v>
      </c>
      <c r="B136" s="135" t="s">
        <v>56</v>
      </c>
      <c r="C136" s="128" t="s">
        <v>110</v>
      </c>
      <c r="D136" s="118" t="s">
        <v>53</v>
      </c>
    </row>
    <row r="137" spans="1:4">
      <c r="A137" s="115"/>
      <c r="B137" s="135" t="s">
        <v>100</v>
      </c>
      <c r="C137" s="128" t="s">
        <v>147</v>
      </c>
      <c r="D137" s="118" t="s">
        <v>53</v>
      </c>
    </row>
    <row r="138" spans="1:4">
      <c r="A138" s="115"/>
      <c r="B138" s="135" t="s">
        <v>148</v>
      </c>
      <c r="C138" s="128" t="s">
        <v>138</v>
      </c>
      <c r="D138" s="118" t="s">
        <v>53</v>
      </c>
    </row>
    <row r="139" spans="1:4">
      <c r="A139" s="115"/>
      <c r="B139" s="110" t="s">
        <v>111</v>
      </c>
      <c r="C139" s="128" t="s">
        <v>149</v>
      </c>
      <c r="D139" s="118" t="s">
        <v>53</v>
      </c>
    </row>
    <row r="140" spans="1:4">
      <c r="A140" s="115"/>
      <c r="B140" s="110" t="s">
        <v>119</v>
      </c>
      <c r="C140" s="111" t="s">
        <v>150</v>
      </c>
      <c r="D140" s="118" t="s">
        <v>6</v>
      </c>
    </row>
    <row r="141" spans="1:4">
      <c r="A141" s="115"/>
      <c r="B141" s="110" t="s">
        <v>151</v>
      </c>
      <c r="C141" s="128" t="s">
        <v>152</v>
      </c>
      <c r="D141" s="118" t="s">
        <v>53</v>
      </c>
    </row>
    <row r="142" spans="1:4">
      <c r="A142" s="115"/>
      <c r="B142" s="110" t="s">
        <v>141</v>
      </c>
      <c r="C142" s="111" t="s">
        <v>153</v>
      </c>
      <c r="D142" s="118" t="s">
        <v>6</v>
      </c>
    </row>
    <row r="143" spans="1:4">
      <c r="A143" s="115"/>
      <c r="B143" s="110" t="s">
        <v>130</v>
      </c>
      <c r="C143" s="128" t="s">
        <v>154</v>
      </c>
      <c r="D143" s="118" t="s">
        <v>53</v>
      </c>
    </row>
    <row r="144" spans="1:4">
      <c r="A144" s="115"/>
      <c r="B144" s="110" t="s">
        <v>132</v>
      </c>
      <c r="C144" s="128" t="s">
        <v>155</v>
      </c>
      <c r="D144" s="118" t="s">
        <v>53</v>
      </c>
    </row>
    <row r="145" spans="1:4">
      <c r="A145" s="115"/>
      <c r="B145" s="110" t="s">
        <v>156</v>
      </c>
      <c r="C145" s="128" t="s">
        <v>157</v>
      </c>
      <c r="D145" s="118" t="s">
        <v>53</v>
      </c>
    </row>
    <row r="146" spans="1:4">
      <c r="A146" s="115"/>
      <c r="B146" s="110" t="s">
        <v>158</v>
      </c>
      <c r="C146" s="128" t="s">
        <v>159</v>
      </c>
      <c r="D146" s="118" t="s">
        <v>53</v>
      </c>
    </row>
    <row r="148" spans="1:4">
      <c r="A148" s="117">
        <v>45974</v>
      </c>
      <c r="B148" s="135" t="s">
        <v>56</v>
      </c>
      <c r="C148" s="128" t="s">
        <v>110</v>
      </c>
      <c r="D148" s="118" t="s">
        <v>53</v>
      </c>
    </row>
    <row r="149" spans="1:4">
      <c r="A149" s="104"/>
      <c r="B149" s="135" t="s">
        <v>100</v>
      </c>
      <c r="C149" s="128" t="s">
        <v>147</v>
      </c>
      <c r="D149" s="118" t="s">
        <v>53</v>
      </c>
    </row>
    <row r="150" spans="1:4">
      <c r="A150" s="104"/>
      <c r="B150" s="135" t="s">
        <v>148</v>
      </c>
      <c r="C150" s="128" t="s">
        <v>138</v>
      </c>
      <c r="D150" s="118" t="s">
        <v>53</v>
      </c>
    </row>
    <row r="151" spans="1:4">
      <c r="A151" s="104"/>
      <c r="B151" s="110" t="s">
        <v>111</v>
      </c>
      <c r="C151" s="128" t="s">
        <v>160</v>
      </c>
      <c r="D151" s="118" t="s">
        <v>53</v>
      </c>
    </row>
    <row r="152" spans="1:4">
      <c r="A152" s="104"/>
      <c r="B152" s="110" t="s">
        <v>161</v>
      </c>
      <c r="C152" s="128" t="s">
        <v>162</v>
      </c>
      <c r="D152" s="118" t="s">
        <v>53</v>
      </c>
    </row>
    <row r="153" spans="1:4">
      <c r="A153" s="104"/>
      <c r="B153" s="110" t="s">
        <v>130</v>
      </c>
      <c r="C153" s="111" t="s">
        <v>163</v>
      </c>
      <c r="D153" s="118" t="s">
        <v>6</v>
      </c>
    </row>
    <row r="154" spans="1:4">
      <c r="A154" s="104"/>
      <c r="B154" s="110" t="s">
        <v>132</v>
      </c>
      <c r="C154" s="128" t="s">
        <v>155</v>
      </c>
      <c r="D154" s="118" t="s">
        <v>53</v>
      </c>
    </row>
    <row r="155" spans="1:4">
      <c r="A155" s="104"/>
      <c r="B155" s="110" t="s">
        <v>164</v>
      </c>
      <c r="C155" s="100" t="s">
        <v>165</v>
      </c>
      <c r="D155" s="118" t="s">
        <v>53</v>
      </c>
    </row>
    <row r="156" spans="1:4">
      <c r="A156" s="104"/>
      <c r="B156" s="110" t="s">
        <v>158</v>
      </c>
      <c r="C156" s="111" t="s">
        <v>166</v>
      </c>
      <c r="D156" s="118" t="s">
        <v>6</v>
      </c>
    </row>
    <row r="157" spans="1:4">
      <c r="A157" s="104"/>
      <c r="B157" s="110" t="s">
        <v>167</v>
      </c>
      <c r="C157" s="111" t="s">
        <v>168</v>
      </c>
      <c r="D157" s="118" t="s">
        <v>6</v>
      </c>
    </row>
    <row r="158" spans="1:4">
      <c r="A158" s="104"/>
      <c r="B158" s="110" t="s">
        <v>169</v>
      </c>
      <c r="C158" s="128" t="s">
        <v>170</v>
      </c>
      <c r="D158" s="118" t="s">
        <v>53</v>
      </c>
    </row>
    <row r="159" spans="1:4">
      <c r="A159" s="116"/>
      <c r="B159" s="110" t="s">
        <v>171</v>
      </c>
      <c r="C159" s="111" t="s">
        <v>172</v>
      </c>
      <c r="D159" s="118" t="s">
        <v>6</v>
      </c>
    </row>
    <row r="161" spans="1:4">
      <c r="A161" s="115">
        <v>45975</v>
      </c>
      <c r="B161" s="136" t="s">
        <v>56</v>
      </c>
      <c r="C161" s="128" t="s">
        <v>110</v>
      </c>
      <c r="D161" s="118" t="s">
        <v>53</v>
      </c>
    </row>
    <row r="162" spans="1:4">
      <c r="A162" s="115"/>
      <c r="B162" s="136" t="s">
        <v>100</v>
      </c>
      <c r="C162" s="128" t="s">
        <v>147</v>
      </c>
      <c r="D162" s="118" t="s">
        <v>53</v>
      </c>
    </row>
    <row r="163" spans="1:4">
      <c r="A163" s="115"/>
      <c r="B163" s="136" t="s">
        <v>148</v>
      </c>
      <c r="C163" s="128" t="s">
        <v>138</v>
      </c>
      <c r="D163" s="118" t="s">
        <v>53</v>
      </c>
    </row>
    <row r="164" spans="1:4">
      <c r="A164" s="115"/>
      <c r="B164" s="123" t="s">
        <v>111</v>
      </c>
      <c r="C164" s="128" t="s">
        <v>160</v>
      </c>
      <c r="D164" s="118" t="s">
        <v>53</v>
      </c>
    </row>
    <row r="165" spans="1:4">
      <c r="A165" s="115"/>
      <c r="B165" s="123" t="s">
        <v>161</v>
      </c>
      <c r="C165" s="128" t="s">
        <v>173</v>
      </c>
      <c r="D165" s="118" t="s">
        <v>53</v>
      </c>
    </row>
    <row r="166" spans="1:4">
      <c r="A166" s="115"/>
      <c r="B166" s="123" t="s">
        <v>132</v>
      </c>
      <c r="C166" s="128" t="s">
        <v>155</v>
      </c>
      <c r="D166" s="118" t="s">
        <v>53</v>
      </c>
    </row>
    <row r="167" spans="1:4">
      <c r="A167" s="115"/>
      <c r="B167" s="123" t="s">
        <v>164</v>
      </c>
      <c r="C167" s="100" t="s">
        <v>165</v>
      </c>
      <c r="D167" s="118" t="s">
        <v>53</v>
      </c>
    </row>
    <row r="168" spans="1:4">
      <c r="A168" s="115"/>
      <c r="B168" s="123" t="s">
        <v>169</v>
      </c>
      <c r="C168" s="128" t="s">
        <v>170</v>
      </c>
      <c r="D168" s="118" t="s">
        <v>53</v>
      </c>
    </row>
    <row r="169" spans="1:4">
      <c r="A169" s="115"/>
      <c r="B169" s="123" t="s">
        <v>174</v>
      </c>
      <c r="C169" s="111" t="s">
        <v>175</v>
      </c>
      <c r="D169" s="118" t="s">
        <v>6</v>
      </c>
    </row>
    <row r="170" spans="1:4">
      <c r="A170" s="115"/>
      <c r="B170" s="123" t="s">
        <v>176</v>
      </c>
      <c r="C170" s="128" t="s">
        <v>101</v>
      </c>
      <c r="D170" s="118" t="s">
        <v>53</v>
      </c>
    </row>
    <row r="171" spans="1:4">
      <c r="A171" s="115"/>
      <c r="B171" s="123" t="s">
        <v>177</v>
      </c>
      <c r="C171" s="111" t="s">
        <v>175</v>
      </c>
      <c r="D171" s="118" t="s">
        <v>6</v>
      </c>
    </row>
    <row r="172" spans="1:4">
      <c r="A172" s="115"/>
      <c r="B172" s="123" t="s">
        <v>178</v>
      </c>
      <c r="C172" s="111" t="s">
        <v>175</v>
      </c>
      <c r="D172" s="118" t="s">
        <v>6</v>
      </c>
    </row>
    <row r="173" spans="1:4">
      <c r="A173" s="115"/>
      <c r="B173" s="123" t="s">
        <v>179</v>
      </c>
      <c r="C173" s="111" t="s">
        <v>180</v>
      </c>
      <c r="D173" s="118" t="s">
        <v>6</v>
      </c>
    </row>
    <row r="175" spans="1:4">
      <c r="A175" s="137">
        <v>45978</v>
      </c>
      <c r="B175" s="135" t="s">
        <v>56</v>
      </c>
      <c r="C175" s="128" t="s">
        <v>110</v>
      </c>
      <c r="D175" s="118" t="s">
        <v>53</v>
      </c>
    </row>
    <row r="176" spans="1:4">
      <c r="A176" s="138"/>
      <c r="B176" s="135" t="s">
        <v>100</v>
      </c>
      <c r="C176" s="128" t="s">
        <v>147</v>
      </c>
      <c r="D176" s="118" t="s">
        <v>53</v>
      </c>
    </row>
    <row r="177" spans="1:4">
      <c r="A177" s="138"/>
      <c r="B177" s="135" t="s">
        <v>148</v>
      </c>
      <c r="C177" s="128" t="s">
        <v>138</v>
      </c>
      <c r="D177" s="118" t="s">
        <v>53</v>
      </c>
    </row>
    <row r="178" spans="1:4">
      <c r="A178" s="138"/>
      <c r="B178" s="110" t="s">
        <v>111</v>
      </c>
      <c r="C178" s="128" t="s">
        <v>160</v>
      </c>
      <c r="D178" s="118" t="s">
        <v>53</v>
      </c>
    </row>
    <row r="179" spans="1:4">
      <c r="A179" s="138"/>
      <c r="B179" s="110" t="s">
        <v>161</v>
      </c>
      <c r="C179" s="128" t="s">
        <v>173</v>
      </c>
      <c r="D179" s="118" t="s">
        <v>53</v>
      </c>
    </row>
    <row r="180" spans="1:4">
      <c r="A180" s="138"/>
      <c r="B180" s="110" t="s">
        <v>132</v>
      </c>
      <c r="C180" s="128" t="s">
        <v>155</v>
      </c>
      <c r="D180" s="118" t="s">
        <v>53</v>
      </c>
    </row>
    <row r="181" spans="1:4">
      <c r="A181" s="138"/>
      <c r="B181" s="110" t="s">
        <v>164</v>
      </c>
      <c r="C181" s="100" t="s">
        <v>165</v>
      </c>
      <c r="D181" s="118" t="s">
        <v>53</v>
      </c>
    </row>
    <row r="182" spans="1:4">
      <c r="A182" s="138"/>
      <c r="B182" s="110" t="s">
        <v>169</v>
      </c>
      <c r="C182" s="128" t="s">
        <v>170</v>
      </c>
      <c r="D182" s="118" t="s">
        <v>53</v>
      </c>
    </row>
    <row r="183" spans="1:4">
      <c r="A183" s="138"/>
      <c r="B183" s="110" t="s">
        <v>176</v>
      </c>
      <c r="C183" s="128" t="s">
        <v>101</v>
      </c>
      <c r="D183" s="118" t="s">
        <v>53</v>
      </c>
    </row>
    <row r="184" spans="1:4">
      <c r="A184" s="138"/>
      <c r="B184" s="139" t="s">
        <v>181</v>
      </c>
      <c r="C184" s="140" t="s">
        <v>101</v>
      </c>
      <c r="D184" s="141" t="s">
        <v>53</v>
      </c>
    </row>
    <row r="185" spans="1:4">
      <c r="A185" s="138"/>
      <c r="B185" s="139" t="s">
        <v>182</v>
      </c>
      <c r="C185" s="140" t="s">
        <v>101</v>
      </c>
      <c r="D185" s="141" t="s">
        <v>53</v>
      </c>
    </row>
    <row r="186" spans="1:4">
      <c r="A186" s="138"/>
      <c r="B186" s="139" t="s">
        <v>183</v>
      </c>
      <c r="C186" s="140" t="s">
        <v>101</v>
      </c>
      <c r="D186" s="141" t="s">
        <v>53</v>
      </c>
    </row>
    <row r="187" spans="1:4">
      <c r="A187" s="138"/>
      <c r="B187" s="139" t="s">
        <v>184</v>
      </c>
      <c r="C187" s="140" t="s">
        <v>101</v>
      </c>
      <c r="D187" s="141" t="s">
        <v>53</v>
      </c>
    </row>
    <row r="188" spans="1:4">
      <c r="A188" s="138"/>
      <c r="B188" s="139" t="s">
        <v>185</v>
      </c>
      <c r="C188" s="142" t="s">
        <v>175</v>
      </c>
      <c r="D188" s="141" t="s">
        <v>53</v>
      </c>
    </row>
    <row r="189" spans="1:4">
      <c r="A189" s="138"/>
      <c r="B189" s="139" t="s">
        <v>186</v>
      </c>
      <c r="C189" s="143" t="s">
        <v>187</v>
      </c>
      <c r="D189" s="141" t="s">
        <v>53</v>
      </c>
    </row>
    <row r="190" spans="1:4">
      <c r="A190" s="138"/>
      <c r="B190" s="139" t="s">
        <v>184</v>
      </c>
      <c r="C190" s="142" t="s">
        <v>175</v>
      </c>
      <c r="D190" s="141" t="s">
        <v>53</v>
      </c>
    </row>
    <row r="191" spans="1:4">
      <c r="A191" s="138"/>
      <c r="B191" s="139" t="s">
        <v>188</v>
      </c>
      <c r="C191" s="140" t="s">
        <v>189</v>
      </c>
      <c r="D191" s="141" t="s">
        <v>53</v>
      </c>
    </row>
    <row r="192" spans="1:4">
      <c r="A192" s="138"/>
      <c r="B192" s="139" t="s">
        <v>190</v>
      </c>
      <c r="C192" s="140" t="s">
        <v>101</v>
      </c>
      <c r="D192" s="141" t="s">
        <v>53</v>
      </c>
    </row>
    <row r="193" spans="1:4">
      <c r="A193" s="144"/>
      <c r="B193" s="139" t="s">
        <v>191</v>
      </c>
      <c r="C193" s="140" t="s">
        <v>101</v>
      </c>
      <c r="D193" s="141" t="s">
        <v>53</v>
      </c>
    </row>
  </sheetData>
  <mergeCells count="19">
    <mergeCell ref="H22:I22"/>
    <mergeCell ref="A2:A15"/>
    <mergeCell ref="A17:A21"/>
    <mergeCell ref="A23:A30"/>
    <mergeCell ref="A34:A44"/>
    <mergeCell ref="A50:A54"/>
    <mergeCell ref="A55:A58"/>
    <mergeCell ref="A60:A70"/>
    <mergeCell ref="A72:A82"/>
    <mergeCell ref="A84:A89"/>
    <mergeCell ref="A91:A96"/>
    <mergeCell ref="A98:A106"/>
    <mergeCell ref="A108:A122"/>
    <mergeCell ref="A124:A134"/>
    <mergeCell ref="A136:A146"/>
    <mergeCell ref="A148:A159"/>
    <mergeCell ref="A161:A173"/>
    <mergeCell ref="A175:A193"/>
    <mergeCell ref="D24:D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9"/>
  <sheetViews>
    <sheetView zoomScale="85" zoomScaleNormal="85" workbookViewId="0">
      <pane ySplit="1" topLeftCell="A8" activePane="bottomLeft" state="frozen"/>
      <selection/>
      <selection pane="bottomLeft" activeCell="F31" sqref="F31"/>
    </sheetView>
  </sheetViews>
  <sheetFormatPr defaultColWidth="14.1428571428571" defaultRowHeight="15.75"/>
  <cols>
    <col min="1" max="1" width="16.2285714285714" style="70" customWidth="1"/>
    <col min="2" max="2" width="34" style="71" customWidth="1"/>
    <col min="3" max="3" width="78.5714285714286" style="68" customWidth="1"/>
    <col min="4" max="4" width="6.14285714285714" style="72" customWidth="1"/>
    <col min="5" max="5" width="12.2857142857143" style="68" customWidth="1"/>
    <col min="6" max="6" width="17.4285714285714" style="68" customWidth="1"/>
    <col min="7" max="7" width="11.2857142857143" style="73" customWidth="1"/>
    <col min="8" max="8" width="27.8571428571429" style="68" customWidth="1"/>
    <col min="9" max="9" width="8.97142857142857" style="73" customWidth="1"/>
    <col min="10" max="10" width="27.5714285714286" style="68" customWidth="1"/>
    <col min="11" max="11" width="12.4285714285714" style="68" customWidth="1"/>
    <col min="12" max="12" width="27.5714285714286" style="68" customWidth="1"/>
    <col min="13" max="13" width="14.8571428571429" style="68" customWidth="1"/>
    <col min="14" max="14" width="15.5714285714286" style="68" customWidth="1"/>
    <col min="15" max="15" width="19.1428571428571" style="68" customWidth="1"/>
    <col min="16" max="16" width="13.5714285714286" style="68" customWidth="1"/>
    <col min="17" max="17" width="14.5714285714286" style="68" customWidth="1"/>
    <col min="18" max="18" width="17.4285714285714" style="68" customWidth="1"/>
    <col min="19" max="16384" width="14.1428571428571" style="68"/>
  </cols>
  <sheetData>
    <row r="1" s="67" customFormat="1" spans="1:10">
      <c r="A1" s="74" t="s">
        <v>7</v>
      </c>
      <c r="B1" s="74" t="s">
        <v>192</v>
      </c>
      <c r="C1" s="74" t="s">
        <v>8</v>
      </c>
      <c r="D1" s="74" t="s">
        <v>193</v>
      </c>
      <c r="E1" s="74" t="s">
        <v>194</v>
      </c>
      <c r="F1" s="74" t="s">
        <v>195</v>
      </c>
      <c r="G1" s="74" t="s">
        <v>196</v>
      </c>
      <c r="H1" s="74" t="s">
        <v>197</v>
      </c>
      <c r="I1" s="88"/>
      <c r="J1" s="89" t="s">
        <v>198</v>
      </c>
    </row>
    <row r="2" s="68" customFormat="1" spans="1:10">
      <c r="A2" s="75">
        <v>45954</v>
      </c>
      <c r="B2" s="76" t="s">
        <v>199</v>
      </c>
      <c r="C2" s="77" t="s">
        <v>200</v>
      </c>
      <c r="D2" s="78">
        <v>16</v>
      </c>
      <c r="E2" s="77">
        <f t="shared" ref="E2:E29" si="0">$J$18*D2</f>
        <v>4840</v>
      </c>
      <c r="F2" s="77">
        <f>SUM(E2)</f>
        <v>4840</v>
      </c>
      <c r="G2" s="77"/>
      <c r="H2" s="79">
        <f>SUM(F2:F29)</f>
        <v>130770.75</v>
      </c>
      <c r="I2" s="73"/>
      <c r="J2" s="90">
        <v>2000</v>
      </c>
    </row>
    <row r="3" s="68" customFormat="1" spans="1:10">
      <c r="A3" s="80">
        <v>45956</v>
      </c>
      <c r="B3" s="81" t="s">
        <v>201</v>
      </c>
      <c r="C3" s="82" t="s">
        <v>202</v>
      </c>
      <c r="D3" s="83">
        <v>5.7</v>
      </c>
      <c r="E3" s="82">
        <f t="shared" si="0"/>
        <v>1724.25</v>
      </c>
      <c r="F3" s="82">
        <f>SUM(E3:E5)</f>
        <v>4537.5</v>
      </c>
      <c r="G3" s="82"/>
      <c r="H3" s="79"/>
      <c r="I3" s="73"/>
      <c r="J3" s="89" t="s">
        <v>203</v>
      </c>
    </row>
    <row r="4" s="68" customFormat="1" spans="1:10">
      <c r="A4" s="80"/>
      <c r="B4" s="81" t="s">
        <v>204</v>
      </c>
      <c r="C4" s="82" t="s">
        <v>205</v>
      </c>
      <c r="D4" s="83">
        <v>3.5</v>
      </c>
      <c r="E4" s="82">
        <f t="shared" si="0"/>
        <v>1058.75</v>
      </c>
      <c r="F4" s="82"/>
      <c r="G4" s="82"/>
      <c r="H4" s="79"/>
      <c r="I4" s="73"/>
      <c r="J4" s="90">
        <v>60</v>
      </c>
    </row>
    <row r="5" s="69" customFormat="1" spans="1:10">
      <c r="A5" s="80"/>
      <c r="B5" s="81" t="s">
        <v>206</v>
      </c>
      <c r="C5" s="82" t="s">
        <v>207</v>
      </c>
      <c r="D5" s="83">
        <v>5.8</v>
      </c>
      <c r="E5" s="82">
        <f t="shared" si="0"/>
        <v>1754.5</v>
      </c>
      <c r="F5" s="82"/>
      <c r="G5" s="82"/>
      <c r="H5" s="79"/>
      <c r="I5" s="67"/>
      <c r="J5" s="89" t="s">
        <v>208</v>
      </c>
    </row>
    <row r="6" s="68" customFormat="1" spans="1:10">
      <c r="A6" s="75">
        <v>45957</v>
      </c>
      <c r="B6" s="76" t="s">
        <v>209</v>
      </c>
      <c r="C6" s="77" t="s">
        <v>210</v>
      </c>
      <c r="D6" s="78">
        <v>23</v>
      </c>
      <c r="E6" s="77">
        <f t="shared" si="0"/>
        <v>6957.5</v>
      </c>
      <c r="F6" s="77">
        <f>SUM(E6)</f>
        <v>6957.5</v>
      </c>
      <c r="G6" s="77"/>
      <c r="H6" s="79"/>
      <c r="I6" s="91"/>
      <c r="J6" s="82">
        <v>15000</v>
      </c>
    </row>
    <row r="7" s="68" customFormat="1" spans="1:10">
      <c r="A7" s="80">
        <v>45958</v>
      </c>
      <c r="B7" s="81" t="s">
        <v>211</v>
      </c>
      <c r="C7" s="82" t="s">
        <v>212</v>
      </c>
      <c r="D7" s="83">
        <v>23</v>
      </c>
      <c r="E7" s="82">
        <f t="shared" si="0"/>
        <v>6957.5</v>
      </c>
      <c r="F7" s="82">
        <f>SUM(E7:E8)</f>
        <v>8560.75</v>
      </c>
      <c r="G7" s="82"/>
      <c r="H7" s="79"/>
      <c r="I7" s="67"/>
      <c r="J7" s="89" t="s">
        <v>213</v>
      </c>
    </row>
    <row r="8" s="68" customFormat="1" spans="1:10">
      <c r="A8" s="80"/>
      <c r="B8" s="81" t="s">
        <v>214</v>
      </c>
      <c r="C8" s="82" t="s">
        <v>215</v>
      </c>
      <c r="D8" s="83">
        <v>5.3</v>
      </c>
      <c r="E8" s="82">
        <f t="shared" si="0"/>
        <v>1603.25</v>
      </c>
      <c r="F8" s="82"/>
      <c r="G8" s="82"/>
      <c r="H8" s="79"/>
      <c r="I8" s="91"/>
      <c r="J8" s="82">
        <v>50000</v>
      </c>
    </row>
    <row r="9" s="68" customFormat="1" spans="1:10">
      <c r="A9" s="75">
        <v>45959</v>
      </c>
      <c r="B9" s="76" t="s">
        <v>216</v>
      </c>
      <c r="C9" s="77" t="s">
        <v>217</v>
      </c>
      <c r="D9" s="78">
        <v>30</v>
      </c>
      <c r="E9" s="77">
        <f t="shared" si="0"/>
        <v>9075</v>
      </c>
      <c r="F9" s="77">
        <f>SUM(E9)</f>
        <v>9075</v>
      </c>
      <c r="G9" s="77"/>
      <c r="H9" s="79"/>
      <c r="I9" s="67"/>
      <c r="J9" s="89" t="s">
        <v>218</v>
      </c>
    </row>
    <row r="10" s="68" customFormat="1" spans="1:10">
      <c r="A10" s="80">
        <v>45960</v>
      </c>
      <c r="B10" s="81" t="s">
        <v>219</v>
      </c>
      <c r="C10" s="82" t="s">
        <v>220</v>
      </c>
      <c r="D10" s="83">
        <v>30</v>
      </c>
      <c r="E10" s="82">
        <f t="shared" si="0"/>
        <v>9075</v>
      </c>
      <c r="F10" s="82">
        <f>SUM(E10:E15)</f>
        <v>26983</v>
      </c>
      <c r="G10" s="82"/>
      <c r="H10" s="79"/>
      <c r="I10" s="73"/>
      <c r="J10" s="82">
        <v>55000</v>
      </c>
    </row>
    <row r="11" s="68" customFormat="1" spans="1:10">
      <c r="A11" s="80"/>
      <c r="B11" s="81" t="s">
        <v>221</v>
      </c>
      <c r="C11" s="82" t="s">
        <v>222</v>
      </c>
      <c r="D11" s="83">
        <v>11</v>
      </c>
      <c r="E11" s="82">
        <f t="shared" si="0"/>
        <v>3327.5</v>
      </c>
      <c r="F11" s="82"/>
      <c r="G11" s="82"/>
      <c r="H11" s="79"/>
      <c r="I11" s="67"/>
      <c r="J11" s="92" t="s">
        <v>223</v>
      </c>
    </row>
    <row r="12" s="68" customFormat="1" spans="1:10">
      <c r="A12" s="80"/>
      <c r="B12" s="81" t="s">
        <v>224</v>
      </c>
      <c r="C12" s="82" t="s">
        <v>225</v>
      </c>
      <c r="D12" s="83">
        <v>12</v>
      </c>
      <c r="E12" s="82">
        <f t="shared" si="0"/>
        <v>3630</v>
      </c>
      <c r="F12" s="82"/>
      <c r="G12" s="82"/>
      <c r="H12" s="79"/>
      <c r="I12" s="73"/>
      <c r="J12" s="82">
        <f>J6/J4</f>
        <v>250</v>
      </c>
    </row>
    <row r="13" s="68" customFormat="1" spans="1:10">
      <c r="A13" s="80"/>
      <c r="B13" s="81" t="s">
        <v>221</v>
      </c>
      <c r="C13" s="82" t="s">
        <v>226</v>
      </c>
      <c r="D13" s="83">
        <v>11</v>
      </c>
      <c r="E13" s="82">
        <f t="shared" si="0"/>
        <v>3327.5</v>
      </c>
      <c r="F13" s="82"/>
      <c r="G13" s="82"/>
      <c r="H13" s="79"/>
      <c r="I13" s="67"/>
      <c r="J13" s="92" t="s">
        <v>227</v>
      </c>
    </row>
    <row r="14" s="68" customFormat="1" spans="1:10">
      <c r="A14" s="80"/>
      <c r="B14" s="81" t="s">
        <v>224</v>
      </c>
      <c r="C14" s="82" t="s">
        <v>228</v>
      </c>
      <c r="D14" s="83">
        <v>12</v>
      </c>
      <c r="E14" s="82">
        <f t="shared" si="0"/>
        <v>3630</v>
      </c>
      <c r="F14" s="82"/>
      <c r="G14" s="82"/>
      <c r="H14" s="79"/>
      <c r="I14" s="73"/>
      <c r="J14" s="82">
        <f>J8/J2</f>
        <v>25</v>
      </c>
    </row>
    <row r="15" s="68" customFormat="1" spans="1:10">
      <c r="A15" s="80"/>
      <c r="B15" s="81" t="s">
        <v>229</v>
      </c>
      <c r="C15" s="82" t="s">
        <v>230</v>
      </c>
      <c r="D15" s="83">
        <v>13.2</v>
      </c>
      <c r="E15" s="82">
        <f t="shared" si="0"/>
        <v>3993</v>
      </c>
      <c r="F15" s="82"/>
      <c r="G15" s="82"/>
      <c r="H15" s="79"/>
      <c r="I15" s="67"/>
      <c r="J15" s="92" t="s">
        <v>231</v>
      </c>
    </row>
    <row r="16" s="68" customFormat="1" spans="1:10">
      <c r="A16" s="75">
        <v>45961</v>
      </c>
      <c r="B16" s="76" t="s">
        <v>232</v>
      </c>
      <c r="C16" s="77" t="s">
        <v>233</v>
      </c>
      <c r="D16" s="78">
        <v>11.4</v>
      </c>
      <c r="E16" s="77">
        <f t="shared" si="0"/>
        <v>3448.5</v>
      </c>
      <c r="F16" s="77">
        <f>SUM(E16:E17)</f>
        <v>7260</v>
      </c>
      <c r="G16" s="77"/>
      <c r="H16" s="79"/>
      <c r="I16" s="73"/>
      <c r="J16" s="82">
        <f>J10/J2</f>
        <v>27.5</v>
      </c>
    </row>
    <row r="17" s="68" customFormat="1" spans="1:10">
      <c r="A17" s="75"/>
      <c r="B17" s="76" t="s">
        <v>234</v>
      </c>
      <c r="C17" s="77" t="s">
        <v>235</v>
      </c>
      <c r="D17" s="78">
        <v>12.6</v>
      </c>
      <c r="E17" s="77">
        <f t="shared" si="0"/>
        <v>3811.5</v>
      </c>
      <c r="F17" s="77"/>
      <c r="G17" s="77"/>
      <c r="H17" s="79"/>
      <c r="I17" s="67"/>
      <c r="J17" s="93" t="s">
        <v>236</v>
      </c>
    </row>
    <row r="18" s="68" customFormat="1" spans="1:10">
      <c r="A18" s="75">
        <v>45964</v>
      </c>
      <c r="B18" s="76" t="s">
        <v>237</v>
      </c>
      <c r="C18" s="77" t="s">
        <v>238</v>
      </c>
      <c r="D18" s="78">
        <v>24</v>
      </c>
      <c r="E18" s="77">
        <f t="shared" si="0"/>
        <v>7260</v>
      </c>
      <c r="F18" s="77">
        <f>SUM(E18:E19)</f>
        <v>11313.5</v>
      </c>
      <c r="G18" s="77"/>
      <c r="H18" s="79"/>
      <c r="I18" s="73"/>
      <c r="J18" s="82">
        <f>SUM(J12,J14,J16)</f>
        <v>302.5</v>
      </c>
    </row>
    <row r="19" s="68" customFormat="1" spans="1:9">
      <c r="A19" s="75"/>
      <c r="B19" s="76" t="s">
        <v>239</v>
      </c>
      <c r="C19" s="77" t="s">
        <v>240</v>
      </c>
      <c r="D19" s="78">
        <v>13.4</v>
      </c>
      <c r="E19" s="77">
        <f t="shared" si="0"/>
        <v>4053.5</v>
      </c>
      <c r="F19" s="77"/>
      <c r="G19" s="77"/>
      <c r="H19" s="79"/>
      <c r="I19" s="67"/>
    </row>
    <row r="20" spans="1:8">
      <c r="A20" s="80">
        <v>45966</v>
      </c>
      <c r="B20" s="81" t="s">
        <v>241</v>
      </c>
      <c r="C20" s="82" t="s">
        <v>242</v>
      </c>
      <c r="D20" s="83">
        <v>8.2</v>
      </c>
      <c r="E20" s="82">
        <f t="shared" si="0"/>
        <v>2480.5</v>
      </c>
      <c r="F20" s="82">
        <f>SUM(E20:E22)</f>
        <v>17303</v>
      </c>
      <c r="G20" s="82"/>
      <c r="H20" s="79"/>
    </row>
    <row r="21" s="68" customFormat="1" spans="1:9">
      <c r="A21" s="80"/>
      <c r="B21" s="81" t="s">
        <v>243</v>
      </c>
      <c r="C21" s="82" t="s">
        <v>244</v>
      </c>
      <c r="D21" s="83">
        <v>27</v>
      </c>
      <c r="E21" s="82">
        <f t="shared" si="0"/>
        <v>8167.5</v>
      </c>
      <c r="F21" s="82"/>
      <c r="G21" s="82"/>
      <c r="H21" s="79"/>
      <c r="I21" s="67"/>
    </row>
    <row r="22" spans="1:8">
      <c r="A22" s="80"/>
      <c r="B22" s="81" t="s">
        <v>245</v>
      </c>
      <c r="C22" s="82" t="s">
        <v>246</v>
      </c>
      <c r="D22" s="83">
        <v>22</v>
      </c>
      <c r="E22" s="82">
        <f t="shared" si="0"/>
        <v>6655</v>
      </c>
      <c r="F22" s="82"/>
      <c r="G22" s="84"/>
      <c r="H22" s="79"/>
    </row>
    <row r="23" spans="1:8">
      <c r="A23" s="75">
        <v>45967</v>
      </c>
      <c r="B23" s="77" t="s">
        <v>237</v>
      </c>
      <c r="C23" s="77" t="s">
        <v>247</v>
      </c>
      <c r="D23" s="78">
        <v>24</v>
      </c>
      <c r="E23" s="77">
        <f t="shared" si="0"/>
        <v>7260</v>
      </c>
      <c r="F23" s="77">
        <f>SUM(E23:E24)</f>
        <v>10890</v>
      </c>
      <c r="G23" s="85"/>
      <c r="H23" s="79"/>
    </row>
    <row r="24" spans="1:8">
      <c r="A24" s="75"/>
      <c r="B24" s="76" t="s">
        <v>214</v>
      </c>
      <c r="C24" s="77" t="s">
        <v>248</v>
      </c>
      <c r="D24" s="78">
        <v>12</v>
      </c>
      <c r="E24" s="77">
        <f t="shared" si="0"/>
        <v>3630</v>
      </c>
      <c r="F24" s="77"/>
      <c r="G24" s="85"/>
      <c r="H24" s="79"/>
    </row>
    <row r="25" spans="1:8">
      <c r="A25" s="80">
        <v>45969</v>
      </c>
      <c r="B25" s="81" t="s">
        <v>249</v>
      </c>
      <c r="C25" s="82" t="s">
        <v>250</v>
      </c>
      <c r="D25" s="83">
        <v>12.4</v>
      </c>
      <c r="E25" s="82">
        <f t="shared" si="0"/>
        <v>3751</v>
      </c>
      <c r="F25" s="82">
        <f>SUM(E25)</f>
        <v>3751</v>
      </c>
      <c r="G25" s="84"/>
      <c r="H25" s="79"/>
    </row>
    <row r="26" spans="1:8">
      <c r="A26" s="75">
        <v>45971</v>
      </c>
      <c r="B26" s="76" t="s">
        <v>251</v>
      </c>
      <c r="C26" s="77" t="s">
        <v>252</v>
      </c>
      <c r="D26" s="78">
        <v>15.8</v>
      </c>
      <c r="E26" s="77">
        <f t="shared" si="0"/>
        <v>4779.5</v>
      </c>
      <c r="F26" s="77">
        <f>SUM(E26)</f>
        <v>4779.5</v>
      </c>
      <c r="G26" s="85"/>
      <c r="H26" s="79"/>
    </row>
    <row r="27" spans="1:8">
      <c r="A27" s="80">
        <v>45972</v>
      </c>
      <c r="B27" s="81" t="s">
        <v>253</v>
      </c>
      <c r="C27" s="82" t="s">
        <v>254</v>
      </c>
      <c r="D27" s="83">
        <v>13</v>
      </c>
      <c r="E27" s="82">
        <f t="shared" si="0"/>
        <v>3932.5</v>
      </c>
      <c r="F27" s="82">
        <f>SUM(E27)</f>
        <v>3932.5</v>
      </c>
      <c r="G27" s="84"/>
      <c r="H27" s="79"/>
    </row>
    <row r="28" spans="1:8">
      <c r="A28" s="75">
        <v>45974</v>
      </c>
      <c r="B28" s="76" t="s">
        <v>255</v>
      </c>
      <c r="C28" s="77" t="s">
        <v>256</v>
      </c>
      <c r="D28" s="78">
        <v>15</v>
      </c>
      <c r="E28" s="77">
        <f t="shared" si="0"/>
        <v>4537.5</v>
      </c>
      <c r="F28" s="86">
        <f>SUM(E28:E29)</f>
        <v>10587.5</v>
      </c>
      <c r="G28" s="85"/>
      <c r="H28" s="79"/>
    </row>
    <row r="29" spans="1:8">
      <c r="A29" s="75"/>
      <c r="B29" s="76" t="s">
        <v>257</v>
      </c>
      <c r="C29" s="77" t="s">
        <v>258</v>
      </c>
      <c r="D29" s="78">
        <v>20</v>
      </c>
      <c r="E29" s="77">
        <f t="shared" si="0"/>
        <v>6050</v>
      </c>
      <c r="F29" s="87"/>
      <c r="G29" s="85"/>
      <c r="H29" s="79"/>
    </row>
  </sheetData>
  <mergeCells count="17">
    <mergeCell ref="A3:A5"/>
    <mergeCell ref="A7:A8"/>
    <mergeCell ref="A10:A15"/>
    <mergeCell ref="A16:A17"/>
    <mergeCell ref="A18:A19"/>
    <mergeCell ref="A20:A22"/>
    <mergeCell ref="A23:A24"/>
    <mergeCell ref="A28:A29"/>
    <mergeCell ref="F3:F5"/>
    <mergeCell ref="F7:F8"/>
    <mergeCell ref="F10:F15"/>
    <mergeCell ref="F16:F17"/>
    <mergeCell ref="F18:F19"/>
    <mergeCell ref="F20:F22"/>
    <mergeCell ref="F23:F24"/>
    <mergeCell ref="F28:F29"/>
    <mergeCell ref="H2:H2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3"/>
  <sheetViews>
    <sheetView zoomScale="85" zoomScaleNormal="85" workbookViewId="0">
      <selection activeCell="F3" sqref="F3:F5"/>
    </sheetView>
  </sheetViews>
  <sheetFormatPr defaultColWidth="9.14285714285714" defaultRowHeight="18.75"/>
  <cols>
    <col min="1" max="1" width="15.7142857142857" style="41" customWidth="1"/>
    <col min="2" max="2" width="11.8571428571429" style="42" customWidth="1"/>
    <col min="3" max="3" width="33" style="43" customWidth="1"/>
    <col min="4" max="4" width="7.42857142857143" style="43" customWidth="1"/>
    <col min="5" max="5" width="10" style="42" customWidth="1"/>
    <col min="6" max="6" width="39.3142857142857" style="42" customWidth="1"/>
    <col min="7" max="9" width="17.7142857142857" style="44" customWidth="1"/>
    <col min="10" max="10" width="25.4285714285714" style="45" customWidth="1"/>
    <col min="11" max="16384" width="9.14285714285714" style="42"/>
  </cols>
  <sheetData>
    <row r="1" s="40" customFormat="1" ht="16" customHeight="1" spans="1:10">
      <c r="A1" s="46" t="s">
        <v>0</v>
      </c>
      <c r="B1" s="47" t="s">
        <v>259</v>
      </c>
      <c r="C1" s="48" t="s">
        <v>260</v>
      </c>
      <c r="D1" s="48" t="s">
        <v>261</v>
      </c>
      <c r="E1" s="47" t="s">
        <v>262</v>
      </c>
      <c r="F1" s="47" t="s">
        <v>263</v>
      </c>
      <c r="G1" s="49" t="s">
        <v>264</v>
      </c>
      <c r="H1" s="49" t="s">
        <v>265</v>
      </c>
      <c r="I1" s="49" t="s">
        <v>266</v>
      </c>
      <c r="J1" s="47" t="s">
        <v>267</v>
      </c>
    </row>
    <row r="2" ht="129" customHeight="1" spans="1:13">
      <c r="A2" s="50">
        <v>45967</v>
      </c>
      <c r="B2" s="51" t="s">
        <v>268</v>
      </c>
      <c r="C2" s="52" t="s">
        <v>269</v>
      </c>
      <c r="D2" s="53">
        <v>3</v>
      </c>
      <c r="E2" s="54" t="s">
        <v>270</v>
      </c>
      <c r="F2" s="54" t="str">
        <f>_xlfn.DISPIMG("ID_A435215B813C404CA26F65668F85307D",1)</f>
        <v>=DISPIMG("ID_A435215B813C404CA26F65668F85307D",1)</v>
      </c>
      <c r="G2" s="55">
        <v>282000</v>
      </c>
      <c r="H2" s="55">
        <f>SUM(D2*G2)</f>
        <v>846000</v>
      </c>
      <c r="I2" s="55">
        <f>SUM(H2)</f>
        <v>846000</v>
      </c>
      <c r="J2" s="65" t="s">
        <v>271</v>
      </c>
      <c r="M2" s="66"/>
    </row>
    <row r="3" ht="43" customHeight="1" spans="1:12">
      <c r="A3" s="50"/>
      <c r="B3" s="51"/>
      <c r="C3" s="56"/>
      <c r="D3" s="57"/>
      <c r="E3" s="54"/>
      <c r="F3" s="54"/>
      <c r="G3" s="58"/>
      <c r="H3" s="55"/>
      <c r="I3" s="55"/>
      <c r="J3" s="65"/>
      <c r="L3" s="66"/>
    </row>
    <row r="4" ht="43" customHeight="1" spans="1:12">
      <c r="A4" s="50"/>
      <c r="B4" s="51"/>
      <c r="C4" s="56"/>
      <c r="D4" s="57"/>
      <c r="E4" s="54"/>
      <c r="F4" s="54"/>
      <c r="G4" s="58"/>
      <c r="H4" s="55"/>
      <c r="I4" s="55"/>
      <c r="J4" s="65"/>
      <c r="L4" s="66"/>
    </row>
    <row r="5" ht="43" customHeight="1" spans="1:10">
      <c r="A5" s="50"/>
      <c r="B5" s="51"/>
      <c r="C5" s="56"/>
      <c r="D5" s="57"/>
      <c r="E5" s="54"/>
      <c r="F5" s="54"/>
      <c r="G5" s="58"/>
      <c r="H5" s="55"/>
      <c r="I5" s="55"/>
      <c r="J5" s="65"/>
    </row>
    <row r="6" ht="43" customHeight="1" spans="1:10">
      <c r="A6" s="50"/>
      <c r="B6" s="51"/>
      <c r="C6" s="59"/>
      <c r="D6" s="57"/>
      <c r="E6" s="60"/>
      <c r="F6" s="60"/>
      <c r="G6" s="55"/>
      <c r="H6" s="55"/>
      <c r="I6" s="55"/>
      <c r="J6" s="65"/>
    </row>
    <row r="7" ht="43" customHeight="1" spans="1:10">
      <c r="A7" s="50"/>
      <c r="B7" s="51"/>
      <c r="C7" s="59"/>
      <c r="D7" s="57"/>
      <c r="E7" s="60"/>
      <c r="F7" s="60"/>
      <c r="G7" s="55"/>
      <c r="H7" s="55"/>
      <c r="I7" s="55"/>
      <c r="J7" s="65"/>
    </row>
    <row r="8" ht="43" customHeight="1" spans="1:10">
      <c r="A8" s="50"/>
      <c r="B8" s="51"/>
      <c r="C8" s="56"/>
      <c r="D8" s="57"/>
      <c r="E8" s="60"/>
      <c r="F8" s="60"/>
      <c r="G8" s="58"/>
      <c r="H8" s="55"/>
      <c r="I8" s="55"/>
      <c r="J8" s="65"/>
    </row>
    <row r="9" ht="64" customHeight="1" spans="1:12">
      <c r="A9" s="50"/>
      <c r="B9" s="51"/>
      <c r="C9" s="56"/>
      <c r="D9" s="57"/>
      <c r="E9" s="54"/>
      <c r="F9" s="54"/>
      <c r="G9" s="58"/>
      <c r="H9" s="58"/>
      <c r="I9" s="55"/>
      <c r="J9" s="65"/>
      <c r="L9" s="66"/>
    </row>
    <row r="10" ht="64" customHeight="1" spans="1:12">
      <c r="A10" s="50"/>
      <c r="B10" s="51"/>
      <c r="C10" s="56"/>
      <c r="D10" s="57"/>
      <c r="E10" s="54"/>
      <c r="F10" s="54"/>
      <c r="G10" s="58"/>
      <c r="H10" s="58"/>
      <c r="I10" s="55"/>
      <c r="J10" s="65"/>
      <c r="L10" s="66"/>
    </row>
    <row r="11" ht="64" customHeight="1" spans="1:12">
      <c r="A11" s="50"/>
      <c r="B11" s="51"/>
      <c r="C11" s="56"/>
      <c r="D11" s="57"/>
      <c r="E11" s="54"/>
      <c r="F11" s="54"/>
      <c r="G11" s="58"/>
      <c r="H11" s="58"/>
      <c r="I11" s="55"/>
      <c r="J11" s="65"/>
      <c r="L11" s="66"/>
    </row>
    <row r="12" ht="64" customHeight="1" spans="1:12">
      <c r="A12" s="50"/>
      <c r="B12" s="51"/>
      <c r="C12" s="56"/>
      <c r="D12" s="57"/>
      <c r="E12" s="54"/>
      <c r="F12" s="54"/>
      <c r="G12" s="58"/>
      <c r="H12" s="58"/>
      <c r="I12" s="55"/>
      <c r="J12" s="65"/>
      <c r="L12" s="66"/>
    </row>
    <row r="13" ht="15" customHeight="1" spans="1:10">
      <c r="A13" s="61"/>
      <c r="B13" s="62"/>
      <c r="C13" s="62"/>
      <c r="D13" s="62"/>
      <c r="E13" s="63"/>
      <c r="F13" s="63">
        <f>SUM(I2:I11)</f>
        <v>846000</v>
      </c>
      <c r="G13" s="64"/>
      <c r="H13" s="64"/>
      <c r="I13" s="64"/>
      <c r="J13" s="65"/>
    </row>
  </sheetData>
  <mergeCells count="18">
    <mergeCell ref="A13:C13"/>
    <mergeCell ref="F13:I13"/>
    <mergeCell ref="A3:A5"/>
    <mergeCell ref="A6:A8"/>
    <mergeCell ref="A9:A10"/>
    <mergeCell ref="A11:A12"/>
    <mergeCell ref="B3:B5"/>
    <mergeCell ref="B6:B8"/>
    <mergeCell ref="B9:B10"/>
    <mergeCell ref="B11:B12"/>
    <mergeCell ref="F3:F5"/>
    <mergeCell ref="F6:F8"/>
    <mergeCell ref="F9:F10"/>
    <mergeCell ref="F11:F12"/>
    <mergeCell ref="I3:I5"/>
    <mergeCell ref="I6:I8"/>
    <mergeCell ref="I9:I10"/>
    <mergeCell ref="I11:I1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D999"/>
  <sheetViews>
    <sheetView workbookViewId="0">
      <selection activeCell="D10" sqref="D10"/>
    </sheetView>
  </sheetViews>
  <sheetFormatPr defaultColWidth="14.4285714285714" defaultRowHeight="15" customHeight="1"/>
  <cols>
    <col min="1" max="1" width="11.1428571428571" style="26" customWidth="1"/>
    <col min="2" max="2" width="30.2857142857143" style="26" customWidth="1"/>
    <col min="3" max="3" width="15.8571428571429" style="26" customWidth="1"/>
    <col min="4" max="4" width="15.4285714285714" style="26" customWidth="1"/>
    <col min="5" max="5" width="12.8571428571429" style="26" customWidth="1"/>
    <col min="6" max="56" width="8.71428571428571" style="26" customWidth="1"/>
    <col min="57" max="16384" width="14.4285714285714" style="26"/>
  </cols>
  <sheetData>
    <row r="1" s="26" customFormat="1" ht="39.75" customHeight="1" spans="1:56">
      <c r="A1" s="27" t="s">
        <v>272</v>
      </c>
      <c r="B1" s="5" t="s">
        <v>273</v>
      </c>
      <c r="C1" s="28" t="s">
        <v>274</v>
      </c>
      <c r="D1" s="28" t="s">
        <v>275</v>
      </c>
      <c r="E1" s="28" t="s">
        <v>276</v>
      </c>
      <c r="F1" s="29"/>
      <c r="G1" s="30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</row>
    <row r="2" s="26" customFormat="1" ht="39.75" customHeight="1" spans="1:56">
      <c r="A2" s="8">
        <v>45973</v>
      </c>
      <c r="B2" s="9" t="s">
        <v>277</v>
      </c>
      <c r="C2" s="31">
        <v>1000000</v>
      </c>
      <c r="D2" s="32"/>
      <c r="E2" s="33">
        <f>C2</f>
        <v>1000000</v>
      </c>
      <c r="F2" s="34"/>
      <c r="G2" s="30"/>
      <c r="H2" s="34"/>
      <c r="I2" s="34"/>
      <c r="J2" s="34"/>
      <c r="K2" s="34"/>
      <c r="L2" s="34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  <c r="AK2" s="29"/>
      <c r="AL2" s="29"/>
      <c r="AM2" s="29"/>
      <c r="AN2" s="29"/>
      <c r="AO2" s="29"/>
      <c r="AP2" s="29"/>
      <c r="AQ2" s="29"/>
      <c r="AR2" s="29"/>
      <c r="AS2" s="29"/>
      <c r="AT2" s="29"/>
      <c r="AU2" s="29"/>
      <c r="AV2" s="29"/>
      <c r="AW2" s="29"/>
      <c r="AX2" s="29"/>
      <c r="AY2" s="29"/>
      <c r="AZ2" s="29"/>
      <c r="BA2" s="29"/>
      <c r="BB2" s="29"/>
      <c r="BC2" s="29"/>
      <c r="BD2" s="29"/>
    </row>
    <row r="3" s="26" customFormat="1" ht="33.75" customHeight="1" spans="1:56">
      <c r="A3" s="8">
        <v>45973</v>
      </c>
      <c r="B3" s="9" t="s">
        <v>278</v>
      </c>
      <c r="C3" s="31"/>
      <c r="D3" s="32">
        <v>1200</v>
      </c>
      <c r="E3" s="33">
        <f t="shared" ref="E3:E66" si="0">E2+C3-D3</f>
        <v>998800</v>
      </c>
      <c r="F3" s="34"/>
      <c r="G3" s="30"/>
      <c r="H3" s="34"/>
      <c r="I3" s="34"/>
      <c r="J3" s="34"/>
      <c r="K3" s="34"/>
      <c r="L3" s="34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29"/>
      <c r="AP3" s="29"/>
      <c r="AQ3" s="29"/>
      <c r="AR3" s="29"/>
      <c r="AS3" s="29"/>
      <c r="AT3" s="29"/>
      <c r="AU3" s="29"/>
      <c r="AV3" s="29"/>
      <c r="AW3" s="29"/>
      <c r="AX3" s="29"/>
      <c r="AY3" s="29"/>
      <c r="AZ3" s="29"/>
      <c r="BA3" s="29"/>
      <c r="BB3" s="29"/>
      <c r="BC3" s="29"/>
      <c r="BD3" s="29"/>
    </row>
    <row r="4" s="26" customFormat="1" ht="39.75" customHeight="1" spans="1:56">
      <c r="A4" s="8">
        <v>45974</v>
      </c>
      <c r="B4" s="9" t="s">
        <v>279</v>
      </c>
      <c r="C4" s="31"/>
      <c r="D4" s="32">
        <v>50000</v>
      </c>
      <c r="E4" s="33">
        <f t="shared" si="0"/>
        <v>948800</v>
      </c>
      <c r="F4" s="34"/>
      <c r="G4" s="30"/>
      <c r="H4" s="34"/>
      <c r="I4" s="34"/>
      <c r="J4" s="34"/>
      <c r="K4" s="34"/>
      <c r="L4" s="34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29"/>
      <c r="AD4" s="29"/>
      <c r="AE4" s="29"/>
      <c r="AF4" s="29"/>
      <c r="AG4" s="29"/>
      <c r="AH4" s="29"/>
      <c r="AI4" s="29"/>
      <c r="AJ4" s="29"/>
      <c r="AK4" s="29"/>
      <c r="AL4" s="29"/>
      <c r="AM4" s="29"/>
      <c r="AN4" s="29"/>
      <c r="AO4" s="29"/>
      <c r="AP4" s="29"/>
      <c r="AQ4" s="29"/>
      <c r="AR4" s="29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</row>
    <row r="5" s="26" customFormat="1" ht="39.75" customHeight="1" spans="1:56">
      <c r="A5" s="8">
        <v>45974</v>
      </c>
      <c r="B5" s="16" t="s">
        <v>280</v>
      </c>
      <c r="C5" s="31"/>
      <c r="D5" s="32">
        <v>255000</v>
      </c>
      <c r="E5" s="33">
        <f t="shared" si="0"/>
        <v>693800</v>
      </c>
      <c r="F5" s="34"/>
      <c r="G5" s="30"/>
      <c r="H5" s="34"/>
      <c r="I5" s="34"/>
      <c r="J5" s="34"/>
      <c r="K5" s="34"/>
      <c r="L5" s="34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  <c r="AK5" s="29"/>
      <c r="AL5" s="29"/>
      <c r="AM5" s="29"/>
      <c r="AN5" s="29"/>
      <c r="AO5" s="29"/>
      <c r="AP5" s="29"/>
      <c r="AQ5" s="29"/>
      <c r="AR5" s="29"/>
      <c r="AS5" s="29"/>
      <c r="AT5" s="29"/>
      <c r="AU5" s="29"/>
      <c r="AV5" s="29"/>
      <c r="AW5" s="29"/>
      <c r="AX5" s="29"/>
      <c r="AY5" s="29"/>
      <c r="AZ5" s="29"/>
      <c r="BA5" s="29"/>
      <c r="BB5" s="29"/>
      <c r="BC5" s="29"/>
      <c r="BD5" s="29"/>
    </row>
    <row r="6" s="26" customFormat="1" ht="39.75" customHeight="1" spans="1:56">
      <c r="A6" s="8">
        <v>45974</v>
      </c>
      <c r="B6" s="9" t="s">
        <v>281</v>
      </c>
      <c r="C6" s="31"/>
      <c r="D6" s="32">
        <v>11000</v>
      </c>
      <c r="E6" s="33">
        <f t="shared" si="0"/>
        <v>682800</v>
      </c>
      <c r="F6" s="34"/>
      <c r="G6" s="30"/>
      <c r="H6" s="34"/>
      <c r="I6" s="34"/>
      <c r="J6" s="34"/>
      <c r="K6" s="34"/>
      <c r="L6" s="34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  <c r="AK6" s="29"/>
      <c r="AL6" s="29"/>
      <c r="AM6" s="29"/>
      <c r="AN6" s="29"/>
      <c r="AO6" s="29"/>
      <c r="AP6" s="29"/>
      <c r="AQ6" s="29"/>
      <c r="AR6" s="2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</row>
    <row r="7" s="26" customFormat="1" ht="39.75" customHeight="1" spans="1:56">
      <c r="A7" s="8">
        <v>45974</v>
      </c>
      <c r="B7" s="9" t="s">
        <v>282</v>
      </c>
      <c r="C7" s="31"/>
      <c r="D7" s="32">
        <v>113000</v>
      </c>
      <c r="E7" s="33">
        <f t="shared" si="0"/>
        <v>569800</v>
      </c>
      <c r="F7" s="34"/>
      <c r="G7" s="30"/>
      <c r="H7" s="34"/>
      <c r="I7" s="34"/>
      <c r="J7" s="34"/>
      <c r="K7" s="34"/>
      <c r="L7" s="34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29"/>
      <c r="AN7" s="29"/>
      <c r="AO7" s="29"/>
      <c r="AP7" s="29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</row>
    <row r="8" s="26" customFormat="1" ht="39.75" customHeight="1" spans="1:56">
      <c r="A8" s="8">
        <v>45975</v>
      </c>
      <c r="B8" s="9" t="s">
        <v>283</v>
      </c>
      <c r="C8" s="31"/>
      <c r="D8" s="32">
        <v>18000</v>
      </c>
      <c r="E8" s="33">
        <f t="shared" si="0"/>
        <v>551800</v>
      </c>
      <c r="F8" s="34"/>
      <c r="G8" s="30"/>
      <c r="H8" s="34"/>
      <c r="I8" s="34"/>
      <c r="J8" s="34"/>
      <c r="K8" s="34"/>
      <c r="L8" s="34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  <c r="AM8" s="29"/>
      <c r="AN8" s="29"/>
      <c r="AO8" s="29"/>
      <c r="AP8" s="29"/>
      <c r="AQ8" s="29"/>
      <c r="AR8" s="29"/>
      <c r="AS8" s="29"/>
      <c r="AT8" s="29"/>
      <c r="AU8" s="29"/>
      <c r="AV8" s="29"/>
      <c r="AW8" s="29"/>
      <c r="AX8" s="29"/>
      <c r="AY8" s="29"/>
      <c r="AZ8" s="29"/>
      <c r="BA8" s="29"/>
      <c r="BB8" s="29"/>
      <c r="BC8" s="29"/>
      <c r="BD8" s="29"/>
    </row>
    <row r="9" s="26" customFormat="1" ht="39.75" customHeight="1" spans="1:56">
      <c r="A9" s="8">
        <v>45975</v>
      </c>
      <c r="B9" s="9" t="s">
        <v>284</v>
      </c>
      <c r="C9" s="31"/>
      <c r="D9" s="32">
        <v>36500</v>
      </c>
      <c r="E9" s="33">
        <f t="shared" si="0"/>
        <v>515300</v>
      </c>
      <c r="F9" s="34"/>
      <c r="G9" s="30"/>
      <c r="H9" s="34"/>
      <c r="I9" s="34"/>
      <c r="J9" s="34"/>
      <c r="K9" s="34"/>
      <c r="L9" s="34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</row>
    <row r="10" s="26" customFormat="1" ht="39.75" customHeight="1" spans="1:56">
      <c r="A10" s="8"/>
      <c r="B10" s="9"/>
      <c r="C10" s="31"/>
      <c r="D10" s="32"/>
      <c r="E10" s="33">
        <f t="shared" si="0"/>
        <v>515300</v>
      </c>
      <c r="F10" s="34"/>
      <c r="G10" s="30"/>
      <c r="H10" s="34"/>
      <c r="I10" s="34"/>
      <c r="J10" s="34"/>
      <c r="K10" s="34"/>
      <c r="L10" s="34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29"/>
      <c r="AM10" s="29"/>
      <c r="AN10" s="29"/>
      <c r="AO10" s="29"/>
      <c r="AP10" s="29"/>
      <c r="AQ10" s="29"/>
      <c r="AR10" s="29"/>
      <c r="AS10" s="29"/>
      <c r="AT10" s="29"/>
      <c r="AU10" s="29"/>
      <c r="AV10" s="29"/>
      <c r="AW10" s="29"/>
      <c r="AX10" s="29"/>
      <c r="AY10" s="29"/>
      <c r="AZ10" s="29"/>
      <c r="BA10" s="29"/>
      <c r="BB10" s="29"/>
      <c r="BC10" s="29"/>
      <c r="BD10" s="29"/>
    </row>
    <row r="11" s="26" customFormat="1" ht="39.75" customHeight="1" spans="1:56">
      <c r="A11" s="8"/>
      <c r="B11" s="9"/>
      <c r="C11" s="31"/>
      <c r="D11" s="32"/>
      <c r="E11" s="33">
        <f t="shared" si="0"/>
        <v>515300</v>
      </c>
      <c r="F11" s="34"/>
      <c r="G11" s="30"/>
      <c r="H11" s="34"/>
      <c r="I11" s="34"/>
      <c r="J11" s="34"/>
      <c r="K11" s="34"/>
      <c r="L11" s="34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</row>
    <row r="12" s="26" customFormat="1" ht="39.75" customHeight="1" spans="1:56">
      <c r="A12" s="8"/>
      <c r="B12" s="9"/>
      <c r="C12" s="31"/>
      <c r="D12" s="32"/>
      <c r="E12" s="33">
        <f t="shared" si="0"/>
        <v>515300</v>
      </c>
      <c r="F12" s="34"/>
      <c r="G12" s="30"/>
      <c r="H12" s="34"/>
      <c r="I12" s="34"/>
      <c r="J12" s="34"/>
      <c r="K12" s="34"/>
      <c r="L12" s="34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  <c r="AW12" s="29"/>
      <c r="AX12" s="29"/>
      <c r="AY12" s="29"/>
      <c r="AZ12" s="29"/>
      <c r="BA12" s="29"/>
      <c r="BB12" s="29"/>
      <c r="BC12" s="29"/>
      <c r="BD12" s="29"/>
    </row>
    <row r="13" s="26" customFormat="1" ht="39.75" customHeight="1" spans="1:56">
      <c r="A13" s="8"/>
      <c r="B13" s="9"/>
      <c r="C13" s="31"/>
      <c r="D13" s="32"/>
      <c r="E13" s="32">
        <f t="shared" si="0"/>
        <v>515300</v>
      </c>
      <c r="F13" s="34"/>
      <c r="G13" s="30"/>
      <c r="H13" s="34"/>
      <c r="I13" s="34"/>
      <c r="J13" s="34"/>
      <c r="K13" s="34"/>
      <c r="L13" s="34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  <c r="AU13" s="29"/>
      <c r="AV13" s="29"/>
      <c r="AW13" s="29"/>
      <c r="AX13" s="29"/>
      <c r="AY13" s="29"/>
      <c r="AZ13" s="29"/>
      <c r="BA13" s="29"/>
      <c r="BB13" s="29"/>
      <c r="BC13" s="29"/>
      <c r="BD13" s="29"/>
    </row>
    <row r="14" s="26" customFormat="1" ht="39.75" customHeight="1" spans="1:56">
      <c r="A14" s="8"/>
      <c r="B14" s="9"/>
      <c r="C14" s="31"/>
      <c r="D14" s="32"/>
      <c r="E14" s="35">
        <f t="shared" si="0"/>
        <v>515300</v>
      </c>
      <c r="F14" s="34"/>
      <c r="G14" s="30"/>
      <c r="H14" s="34"/>
      <c r="I14" s="34"/>
      <c r="J14" s="34"/>
      <c r="K14" s="34"/>
      <c r="L14" s="34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  <c r="AW14" s="29"/>
      <c r="AX14" s="29"/>
      <c r="AY14" s="29"/>
      <c r="AZ14" s="29"/>
      <c r="BA14" s="29"/>
      <c r="BB14" s="29"/>
      <c r="BC14" s="29"/>
      <c r="BD14" s="29"/>
    </row>
    <row r="15" s="26" customFormat="1" ht="39.75" customHeight="1" spans="1:56">
      <c r="A15" s="8"/>
      <c r="B15" s="9"/>
      <c r="C15" s="36"/>
      <c r="D15" s="32"/>
      <c r="E15" s="33">
        <f t="shared" si="0"/>
        <v>515300</v>
      </c>
      <c r="F15" s="34"/>
      <c r="G15" s="30"/>
      <c r="H15" s="34"/>
      <c r="I15" s="34"/>
      <c r="J15" s="34"/>
      <c r="K15" s="34"/>
      <c r="L15" s="34"/>
      <c r="M15" s="29"/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29"/>
      <c r="AM15" s="29"/>
      <c r="AN15" s="29"/>
      <c r="AO15" s="29"/>
      <c r="AP15" s="29"/>
      <c r="AQ15" s="29"/>
      <c r="AR15" s="29"/>
      <c r="AS15" s="29"/>
      <c r="AT15" s="29"/>
      <c r="AU15" s="29"/>
      <c r="AV15" s="29"/>
      <c r="AW15" s="29"/>
      <c r="AX15" s="29"/>
      <c r="AY15" s="29"/>
      <c r="AZ15" s="29"/>
      <c r="BA15" s="29"/>
      <c r="BB15" s="29"/>
      <c r="BC15" s="29"/>
      <c r="BD15" s="29"/>
    </row>
    <row r="16" s="26" customFormat="1" ht="39.75" customHeight="1" spans="1:56">
      <c r="A16" s="8"/>
      <c r="B16" s="9"/>
      <c r="C16" s="31"/>
      <c r="D16" s="32"/>
      <c r="E16" s="33">
        <f t="shared" si="0"/>
        <v>515300</v>
      </c>
      <c r="F16" s="34"/>
      <c r="G16" s="30"/>
      <c r="H16" s="34"/>
      <c r="I16" s="34"/>
      <c r="J16" s="34"/>
      <c r="K16" s="34"/>
      <c r="L16" s="34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29"/>
      <c r="AU16" s="29"/>
      <c r="AV16" s="29"/>
      <c r="AW16" s="29"/>
      <c r="AX16" s="29"/>
      <c r="AY16" s="29"/>
      <c r="AZ16" s="29"/>
      <c r="BA16" s="29"/>
      <c r="BB16" s="29"/>
      <c r="BC16" s="29"/>
      <c r="BD16" s="29"/>
    </row>
    <row r="17" s="26" customFormat="1" ht="39.75" customHeight="1" spans="1:56">
      <c r="A17" s="8"/>
      <c r="B17" s="9"/>
      <c r="C17" s="31"/>
      <c r="D17" s="32"/>
      <c r="E17" s="33">
        <f t="shared" si="0"/>
        <v>515300</v>
      </c>
      <c r="F17" s="34"/>
      <c r="G17" s="30"/>
      <c r="H17" s="34"/>
      <c r="I17" s="34"/>
      <c r="J17" s="34"/>
      <c r="K17" s="34"/>
      <c r="L17" s="34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29"/>
      <c r="AU17" s="29"/>
      <c r="AV17" s="29"/>
      <c r="AW17" s="29"/>
      <c r="AX17" s="29"/>
      <c r="AY17" s="29"/>
      <c r="AZ17" s="29"/>
      <c r="BA17" s="29"/>
      <c r="BB17" s="29"/>
      <c r="BC17" s="29"/>
      <c r="BD17" s="29"/>
    </row>
    <row r="18" s="26" customFormat="1" ht="39.75" customHeight="1" spans="1:56">
      <c r="A18" s="8"/>
      <c r="B18" s="9"/>
      <c r="C18" s="31"/>
      <c r="D18" s="32"/>
      <c r="E18" s="33">
        <f t="shared" si="0"/>
        <v>515300</v>
      </c>
      <c r="F18" s="34"/>
      <c r="G18" s="30"/>
      <c r="H18" s="34"/>
      <c r="I18" s="34"/>
      <c r="J18" s="34"/>
      <c r="K18" s="34"/>
      <c r="L18" s="34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29"/>
      <c r="AU18" s="29"/>
      <c r="AV18" s="29"/>
      <c r="AW18" s="29"/>
      <c r="AX18" s="29"/>
      <c r="AY18" s="29"/>
      <c r="AZ18" s="29"/>
      <c r="BA18" s="29"/>
      <c r="BB18" s="29"/>
      <c r="BC18" s="29"/>
      <c r="BD18" s="29"/>
    </row>
    <row r="19" s="26" customFormat="1" ht="39.75" customHeight="1" spans="1:56">
      <c r="A19" s="8"/>
      <c r="B19" s="9"/>
      <c r="C19" s="31"/>
      <c r="D19" s="32"/>
      <c r="E19" s="33">
        <f t="shared" si="0"/>
        <v>515300</v>
      </c>
      <c r="F19" s="34"/>
      <c r="G19" s="30"/>
      <c r="H19" s="34"/>
      <c r="I19" s="34"/>
      <c r="J19" s="34"/>
      <c r="K19" s="34"/>
      <c r="L19" s="34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  <c r="AO19" s="29"/>
      <c r="AP19" s="29"/>
      <c r="AQ19" s="29"/>
      <c r="AR19" s="29"/>
      <c r="AS19" s="29"/>
      <c r="AT19" s="29"/>
      <c r="AU19" s="29"/>
      <c r="AV19" s="29"/>
      <c r="AW19" s="29"/>
      <c r="AX19" s="29"/>
      <c r="AY19" s="29"/>
      <c r="AZ19" s="29"/>
      <c r="BA19" s="29"/>
      <c r="BB19" s="29"/>
      <c r="BC19" s="29"/>
      <c r="BD19" s="29"/>
    </row>
    <row r="20" s="26" customFormat="1" ht="39.75" customHeight="1" spans="1:56">
      <c r="A20" s="8"/>
      <c r="B20" s="9"/>
      <c r="C20" s="31"/>
      <c r="D20" s="32"/>
      <c r="E20" s="33">
        <f t="shared" si="0"/>
        <v>515300</v>
      </c>
      <c r="F20" s="34"/>
      <c r="G20" s="30"/>
      <c r="H20" s="34"/>
      <c r="I20" s="34"/>
      <c r="J20" s="34"/>
      <c r="K20" s="34"/>
      <c r="L20" s="34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</row>
    <row r="21" s="26" customFormat="1" ht="39.75" customHeight="1" spans="1:56">
      <c r="A21" s="8"/>
      <c r="B21" s="9"/>
      <c r="C21" s="31"/>
      <c r="D21" s="32"/>
      <c r="E21" s="33">
        <f t="shared" si="0"/>
        <v>515300</v>
      </c>
      <c r="F21" s="34"/>
      <c r="G21" s="30"/>
      <c r="H21" s="34"/>
      <c r="I21" s="34"/>
      <c r="J21" s="34"/>
      <c r="K21" s="34"/>
      <c r="L21" s="34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29"/>
      <c r="AV21" s="29"/>
      <c r="AW21" s="29"/>
      <c r="AX21" s="29"/>
      <c r="AY21" s="29"/>
      <c r="AZ21" s="29"/>
      <c r="BA21" s="29"/>
      <c r="BB21" s="29"/>
      <c r="BC21" s="29"/>
      <c r="BD21" s="29"/>
    </row>
    <row r="22" s="26" customFormat="1" ht="39.75" customHeight="1" spans="1:56">
      <c r="A22" s="8"/>
      <c r="B22" s="9"/>
      <c r="C22" s="31"/>
      <c r="D22" s="31"/>
      <c r="E22" s="33">
        <f t="shared" si="0"/>
        <v>515300</v>
      </c>
      <c r="F22" s="34"/>
      <c r="G22" s="30"/>
      <c r="H22" s="29"/>
      <c r="I22" s="34"/>
      <c r="J22" s="34"/>
      <c r="K22" s="34"/>
      <c r="L22" s="34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  <c r="AW22" s="29"/>
      <c r="AX22" s="29"/>
      <c r="AY22" s="29"/>
      <c r="AZ22" s="29"/>
      <c r="BA22" s="29"/>
      <c r="BB22" s="29"/>
      <c r="BC22" s="29"/>
      <c r="BD22" s="29"/>
    </row>
    <row r="23" s="26" customFormat="1" ht="39.75" customHeight="1" spans="1:56">
      <c r="A23" s="8"/>
      <c r="B23" s="9"/>
      <c r="C23" s="31"/>
      <c r="D23" s="31"/>
      <c r="E23" s="33">
        <f t="shared" si="0"/>
        <v>515300</v>
      </c>
      <c r="F23" s="34"/>
      <c r="G23" s="30"/>
      <c r="H23" s="34"/>
      <c r="I23" s="34"/>
      <c r="J23" s="34"/>
      <c r="K23" s="34"/>
      <c r="L23" s="34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  <c r="AO23" s="29"/>
      <c r="AP23" s="29"/>
      <c r="AQ23" s="29"/>
      <c r="AR23" s="29"/>
      <c r="AS23" s="29"/>
      <c r="AT23" s="29"/>
      <c r="AU23" s="29"/>
      <c r="AV23" s="29"/>
      <c r="AW23" s="29"/>
      <c r="AX23" s="29"/>
      <c r="AY23" s="29"/>
      <c r="AZ23" s="29"/>
      <c r="BA23" s="29"/>
      <c r="BB23" s="29"/>
      <c r="BC23" s="29"/>
      <c r="BD23" s="29"/>
    </row>
    <row r="24" s="26" customFormat="1" ht="39.75" customHeight="1" spans="1:56">
      <c r="A24" s="37"/>
      <c r="B24" s="9"/>
      <c r="C24" s="31"/>
      <c r="D24" s="31"/>
      <c r="E24" s="33">
        <f t="shared" si="0"/>
        <v>515300</v>
      </c>
      <c r="F24" s="34"/>
      <c r="G24" s="30"/>
      <c r="H24" s="34"/>
      <c r="I24" s="34"/>
      <c r="J24" s="34"/>
      <c r="K24" s="34"/>
      <c r="L24" s="34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  <c r="AP24" s="29"/>
      <c r="AQ24" s="29"/>
      <c r="AR24" s="29"/>
      <c r="AS24" s="29"/>
      <c r="AT24" s="29"/>
      <c r="AU24" s="29"/>
      <c r="AV24" s="29"/>
      <c r="AW24" s="29"/>
      <c r="AX24" s="29"/>
      <c r="AY24" s="29"/>
      <c r="AZ24" s="29"/>
      <c r="BA24" s="29"/>
      <c r="BB24" s="29"/>
      <c r="BC24" s="29"/>
      <c r="BD24" s="29"/>
    </row>
    <row r="25" s="26" customFormat="1" ht="39.75" customHeight="1" spans="1:56">
      <c r="A25" s="37"/>
      <c r="B25" s="9"/>
      <c r="C25" s="31"/>
      <c r="D25" s="31"/>
      <c r="E25" s="33">
        <f t="shared" si="0"/>
        <v>515300</v>
      </c>
      <c r="F25" s="34"/>
      <c r="G25" s="30"/>
      <c r="H25" s="34"/>
      <c r="I25" s="34"/>
      <c r="J25" s="34"/>
      <c r="K25" s="34"/>
      <c r="L25" s="34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</row>
    <row r="26" s="26" customFormat="1" ht="39.75" customHeight="1" spans="1:56">
      <c r="A26" s="37"/>
      <c r="B26" s="9"/>
      <c r="C26" s="31"/>
      <c r="D26" s="31"/>
      <c r="E26" s="33">
        <f t="shared" si="0"/>
        <v>515300</v>
      </c>
      <c r="F26" s="34"/>
      <c r="G26" s="30"/>
      <c r="H26" s="34"/>
      <c r="I26" s="34"/>
      <c r="J26" s="34"/>
      <c r="K26" s="34"/>
      <c r="L26" s="34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  <c r="AP26" s="29"/>
      <c r="AQ26" s="29"/>
      <c r="AR26" s="29"/>
      <c r="AS26" s="29"/>
      <c r="AT26" s="29"/>
      <c r="AU26" s="29"/>
      <c r="AV26" s="29"/>
      <c r="AW26" s="29"/>
      <c r="AX26" s="29"/>
      <c r="AY26" s="29"/>
      <c r="AZ26" s="29"/>
      <c r="BA26" s="29"/>
      <c r="BB26" s="29"/>
      <c r="BC26" s="29"/>
      <c r="BD26" s="29"/>
    </row>
    <row r="27" s="26" customFormat="1" ht="39.75" customHeight="1" spans="1:56">
      <c r="A27" s="37"/>
      <c r="B27" s="9"/>
      <c r="C27" s="31"/>
      <c r="D27" s="31"/>
      <c r="E27" s="33">
        <f t="shared" si="0"/>
        <v>515300</v>
      </c>
      <c r="F27" s="34"/>
      <c r="G27" s="30"/>
      <c r="H27" s="34"/>
      <c r="I27" s="34"/>
      <c r="J27" s="34"/>
      <c r="K27" s="34"/>
      <c r="L27" s="34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  <c r="AP27" s="29"/>
      <c r="AQ27" s="29"/>
      <c r="AR27" s="29"/>
      <c r="AS27" s="29"/>
      <c r="AT27" s="29"/>
      <c r="AU27" s="29"/>
      <c r="AV27" s="29"/>
      <c r="AW27" s="29"/>
      <c r="AX27" s="29"/>
      <c r="AY27" s="29"/>
      <c r="AZ27" s="29"/>
      <c r="BA27" s="29"/>
      <c r="BB27" s="29"/>
      <c r="BC27" s="29"/>
      <c r="BD27" s="29"/>
    </row>
    <row r="28" s="26" customFormat="1" ht="39.75" customHeight="1" spans="1:56">
      <c r="A28" s="37"/>
      <c r="B28" s="9"/>
      <c r="C28" s="31"/>
      <c r="D28" s="31"/>
      <c r="E28" s="33">
        <f t="shared" si="0"/>
        <v>515300</v>
      </c>
      <c r="F28" s="34"/>
      <c r="G28" s="30"/>
      <c r="H28" s="34"/>
      <c r="I28" s="34"/>
      <c r="J28" s="34"/>
      <c r="K28" s="34"/>
      <c r="L28" s="34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</row>
    <row r="29" s="26" customFormat="1" ht="39.75" customHeight="1" spans="1:56">
      <c r="A29" s="37"/>
      <c r="B29" s="9"/>
      <c r="C29" s="31"/>
      <c r="D29" s="31"/>
      <c r="E29" s="33">
        <f t="shared" si="0"/>
        <v>515300</v>
      </c>
      <c r="F29" s="34"/>
      <c r="G29" s="30"/>
      <c r="H29" s="34"/>
      <c r="I29" s="34"/>
      <c r="J29" s="34"/>
      <c r="K29" s="34"/>
      <c r="L29" s="34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  <c r="AK29" s="29"/>
      <c r="AL29" s="29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29"/>
      <c r="AX29" s="29"/>
      <c r="AY29" s="29"/>
      <c r="AZ29" s="29"/>
      <c r="BA29" s="29"/>
      <c r="BB29" s="29"/>
      <c r="BC29" s="29"/>
      <c r="BD29" s="29"/>
    </row>
    <row r="30" s="26" customFormat="1" ht="39.75" customHeight="1" spans="1:56">
      <c r="A30" s="37"/>
      <c r="B30" s="9"/>
      <c r="C30" s="31"/>
      <c r="D30" s="31"/>
      <c r="E30" s="33">
        <f t="shared" si="0"/>
        <v>515300</v>
      </c>
      <c r="F30" s="34"/>
      <c r="G30" s="30"/>
      <c r="H30" s="34"/>
      <c r="I30" s="34"/>
      <c r="J30" s="34"/>
      <c r="K30" s="34"/>
      <c r="L30" s="34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  <c r="AK30" s="29"/>
      <c r="AL30" s="29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29"/>
      <c r="AX30" s="29"/>
      <c r="AY30" s="29"/>
      <c r="AZ30" s="29"/>
      <c r="BA30" s="29"/>
      <c r="BB30" s="29"/>
      <c r="BC30" s="29"/>
      <c r="BD30" s="29"/>
    </row>
    <row r="31" s="26" customFormat="1" ht="39.75" customHeight="1" spans="1:56">
      <c r="A31" s="37"/>
      <c r="B31" s="9"/>
      <c r="C31" s="31"/>
      <c r="D31" s="31"/>
      <c r="E31" s="33">
        <f t="shared" si="0"/>
        <v>515300</v>
      </c>
      <c r="F31" s="34"/>
      <c r="G31" s="30"/>
      <c r="H31" s="38"/>
      <c r="I31" s="38"/>
      <c r="J31" s="34"/>
      <c r="K31" s="34"/>
      <c r="L31" s="34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</row>
    <row r="32" s="26" customFormat="1" ht="39.75" customHeight="1" spans="1:56">
      <c r="A32" s="37"/>
      <c r="B32" s="9"/>
      <c r="C32" s="31"/>
      <c r="D32" s="31"/>
      <c r="E32" s="33">
        <f t="shared" si="0"/>
        <v>515300</v>
      </c>
      <c r="F32" s="34"/>
      <c r="G32" s="30"/>
      <c r="H32" s="34"/>
      <c r="I32" s="34"/>
      <c r="J32" s="34"/>
      <c r="K32" s="34"/>
      <c r="L32" s="34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</row>
    <row r="33" s="26" customFormat="1" ht="39.75" customHeight="1" spans="1:56">
      <c r="A33" s="37"/>
      <c r="B33" s="9"/>
      <c r="C33" s="31"/>
      <c r="D33" s="31"/>
      <c r="E33" s="33">
        <f t="shared" si="0"/>
        <v>515300</v>
      </c>
      <c r="F33" s="34"/>
      <c r="G33" s="30"/>
      <c r="H33" s="34"/>
      <c r="I33" s="34"/>
      <c r="J33" s="34"/>
      <c r="K33" s="34"/>
      <c r="L33" s="34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</row>
    <row r="34" s="26" customFormat="1" ht="39.75" customHeight="1" spans="1:56">
      <c r="A34" s="37"/>
      <c r="B34" s="9"/>
      <c r="C34" s="31"/>
      <c r="D34" s="31"/>
      <c r="E34" s="33">
        <f t="shared" si="0"/>
        <v>515300</v>
      </c>
      <c r="F34" s="34"/>
      <c r="G34" s="30"/>
      <c r="H34" s="34"/>
      <c r="I34" s="34"/>
      <c r="J34" s="34"/>
      <c r="K34" s="34"/>
      <c r="L34" s="34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29"/>
      <c r="BD34" s="29"/>
    </row>
    <row r="35" s="26" customFormat="1" ht="39.75" customHeight="1" spans="1:56">
      <c r="A35" s="37"/>
      <c r="B35" s="9"/>
      <c r="C35" s="31"/>
      <c r="D35" s="31"/>
      <c r="E35" s="33">
        <f t="shared" si="0"/>
        <v>515300</v>
      </c>
      <c r="F35" s="34"/>
      <c r="G35" s="30"/>
      <c r="H35" s="34"/>
      <c r="I35" s="34"/>
      <c r="J35" s="34"/>
      <c r="K35" s="34"/>
      <c r="L35" s="34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  <c r="AK35" s="29"/>
      <c r="AL35" s="29"/>
      <c r="AM35" s="29"/>
      <c r="AN35" s="29"/>
      <c r="AO35" s="29"/>
      <c r="AP35" s="29"/>
      <c r="AQ35" s="29"/>
      <c r="AR35" s="29"/>
      <c r="AS35" s="29"/>
      <c r="AT35" s="29"/>
      <c r="AU35" s="29"/>
      <c r="AV35" s="29"/>
      <c r="AW35" s="29"/>
      <c r="AX35" s="29"/>
      <c r="AY35" s="29"/>
      <c r="AZ35" s="29"/>
      <c r="BA35" s="29"/>
      <c r="BB35" s="29"/>
      <c r="BC35" s="29"/>
      <c r="BD35" s="29"/>
    </row>
    <row r="36" s="26" customFormat="1" ht="39.75" customHeight="1" spans="1:56">
      <c r="A36" s="37"/>
      <c r="B36" s="9"/>
      <c r="C36" s="31"/>
      <c r="D36" s="31"/>
      <c r="E36" s="33">
        <f t="shared" si="0"/>
        <v>515300</v>
      </c>
      <c r="F36" s="34"/>
      <c r="G36" s="30"/>
      <c r="H36" s="34"/>
      <c r="I36" s="34"/>
      <c r="J36" s="34"/>
      <c r="K36" s="34"/>
      <c r="L36" s="34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  <c r="AK36" s="29"/>
      <c r="AL36" s="29"/>
      <c r="AM36" s="29"/>
      <c r="AN36" s="29"/>
      <c r="AO36" s="29"/>
      <c r="AP36" s="29"/>
      <c r="AQ36" s="29"/>
      <c r="AR36" s="29"/>
      <c r="AS36" s="29"/>
      <c r="AT36" s="29"/>
      <c r="AU36" s="29"/>
      <c r="AV36" s="29"/>
      <c r="AW36" s="29"/>
      <c r="AX36" s="29"/>
      <c r="AY36" s="29"/>
      <c r="AZ36" s="29"/>
      <c r="BA36" s="29"/>
      <c r="BB36" s="29"/>
      <c r="BC36" s="29"/>
      <c r="BD36" s="29"/>
    </row>
    <row r="37" s="26" customFormat="1" ht="39.75" customHeight="1" spans="1:56">
      <c r="A37" s="37"/>
      <c r="B37" s="9"/>
      <c r="C37" s="31"/>
      <c r="D37" s="31"/>
      <c r="E37" s="33">
        <f t="shared" si="0"/>
        <v>515300</v>
      </c>
      <c r="F37" s="34"/>
      <c r="G37" s="30"/>
      <c r="H37" s="34"/>
      <c r="I37" s="34"/>
      <c r="J37" s="34"/>
      <c r="K37" s="34"/>
      <c r="L37" s="34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  <c r="AK37" s="29"/>
      <c r="AL37" s="29"/>
      <c r="AM37" s="29"/>
      <c r="AN37" s="29"/>
      <c r="AO37" s="29"/>
      <c r="AP37" s="29"/>
      <c r="AQ37" s="29"/>
      <c r="AR37" s="29"/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</row>
    <row r="38" s="26" customFormat="1" ht="39.75" customHeight="1" spans="1:56">
      <c r="A38" s="37"/>
      <c r="B38" s="9"/>
      <c r="C38" s="31"/>
      <c r="D38" s="31"/>
      <c r="E38" s="33">
        <f t="shared" si="0"/>
        <v>515300</v>
      </c>
      <c r="F38" s="34"/>
      <c r="G38" s="30"/>
      <c r="H38" s="34"/>
      <c r="I38" s="34"/>
      <c r="J38" s="34"/>
      <c r="K38" s="34"/>
      <c r="L38" s="34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  <c r="AK38" s="29"/>
      <c r="AL38" s="29"/>
      <c r="AM38" s="29"/>
      <c r="AN38" s="29"/>
      <c r="AO38" s="29"/>
      <c r="AP38" s="29"/>
      <c r="AQ38" s="29"/>
      <c r="AR38" s="29"/>
      <c r="AS38" s="29"/>
      <c r="AT38" s="29"/>
      <c r="AU38" s="29"/>
      <c r="AV38" s="29"/>
      <c r="AW38" s="29"/>
      <c r="AX38" s="29"/>
      <c r="AY38" s="29"/>
      <c r="AZ38" s="29"/>
      <c r="BA38" s="29"/>
      <c r="BB38" s="29"/>
      <c r="BC38" s="29"/>
      <c r="BD38" s="29"/>
    </row>
    <row r="39" s="26" customFormat="1" ht="39.75" customHeight="1" spans="1:56">
      <c r="A39" s="37"/>
      <c r="B39" s="9"/>
      <c r="C39" s="31"/>
      <c r="D39" s="31"/>
      <c r="E39" s="33">
        <f t="shared" si="0"/>
        <v>515300</v>
      </c>
      <c r="F39" s="34"/>
      <c r="G39" s="30"/>
      <c r="H39" s="34"/>
      <c r="I39" s="34"/>
      <c r="J39" s="34"/>
      <c r="K39" s="34"/>
      <c r="L39" s="34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  <c r="AK39" s="29"/>
      <c r="AL39" s="29"/>
      <c r="AM39" s="29"/>
      <c r="AN39" s="29"/>
      <c r="AO39" s="29"/>
      <c r="AP39" s="29"/>
      <c r="AQ39" s="29"/>
      <c r="AR39" s="29"/>
      <c r="AS39" s="29"/>
      <c r="AT39" s="29"/>
      <c r="AU39" s="29"/>
      <c r="AV39" s="29"/>
      <c r="AW39" s="29"/>
      <c r="AX39" s="29"/>
      <c r="AY39" s="29"/>
      <c r="AZ39" s="29"/>
      <c r="BA39" s="29"/>
      <c r="BB39" s="29"/>
      <c r="BC39" s="29"/>
      <c r="BD39" s="29"/>
    </row>
    <row r="40" s="26" customFormat="1" ht="39.75" customHeight="1" spans="1:56">
      <c r="A40" s="37"/>
      <c r="B40" s="9"/>
      <c r="C40" s="31"/>
      <c r="D40" s="31"/>
      <c r="E40" s="33">
        <f t="shared" si="0"/>
        <v>515300</v>
      </c>
      <c r="F40" s="34"/>
      <c r="G40" s="30"/>
      <c r="H40" s="34"/>
      <c r="I40" s="34"/>
      <c r="J40" s="34"/>
      <c r="K40" s="34"/>
      <c r="L40" s="34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  <c r="AO40" s="29"/>
      <c r="AP40" s="29"/>
      <c r="AQ40" s="29"/>
      <c r="AR40" s="29"/>
      <c r="AS40" s="29"/>
      <c r="AT40" s="29"/>
      <c r="AU40" s="29"/>
      <c r="AV40" s="29"/>
      <c r="AW40" s="29"/>
      <c r="AX40" s="29"/>
      <c r="AY40" s="29"/>
      <c r="AZ40" s="29"/>
      <c r="BA40" s="29"/>
      <c r="BB40" s="29"/>
      <c r="BC40" s="29"/>
      <c r="BD40" s="29"/>
    </row>
    <row r="41" s="26" customFormat="1" ht="39.75" customHeight="1" spans="1:56">
      <c r="A41" s="37"/>
      <c r="B41" s="9"/>
      <c r="C41" s="31"/>
      <c r="D41" s="31"/>
      <c r="E41" s="33">
        <f t="shared" si="0"/>
        <v>515300</v>
      </c>
      <c r="F41" s="34"/>
      <c r="G41" s="30"/>
      <c r="H41" s="34"/>
      <c r="I41" s="34"/>
      <c r="J41" s="34"/>
      <c r="K41" s="34"/>
      <c r="L41" s="34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  <c r="AO41" s="29"/>
      <c r="AP41" s="29"/>
      <c r="AQ41" s="29"/>
      <c r="AR41" s="29"/>
      <c r="AS41" s="29"/>
      <c r="AT41" s="29"/>
      <c r="AU41" s="29"/>
      <c r="AV41" s="29"/>
      <c r="AW41" s="29"/>
      <c r="AX41" s="29"/>
      <c r="AY41" s="29"/>
      <c r="AZ41" s="29"/>
      <c r="BA41" s="29"/>
      <c r="BB41" s="29"/>
      <c r="BC41" s="29"/>
      <c r="BD41" s="29"/>
    </row>
    <row r="42" s="26" customFormat="1" ht="39.75" customHeight="1" spans="1:56">
      <c r="A42" s="37"/>
      <c r="B42" s="9"/>
      <c r="C42" s="31"/>
      <c r="D42" s="31"/>
      <c r="E42" s="39">
        <f t="shared" si="0"/>
        <v>515300</v>
      </c>
      <c r="F42" s="34"/>
      <c r="G42" s="30"/>
      <c r="H42" s="38"/>
      <c r="I42" s="34"/>
      <c r="J42" s="34"/>
      <c r="K42" s="34"/>
      <c r="L42" s="34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  <c r="AO42" s="29"/>
      <c r="AP42" s="29"/>
      <c r="AQ42" s="29"/>
      <c r="AR42" s="29"/>
      <c r="AS42" s="29"/>
      <c r="AT42" s="29"/>
      <c r="AU42" s="29"/>
      <c r="AV42" s="29"/>
      <c r="AW42" s="29"/>
      <c r="AX42" s="29"/>
      <c r="AY42" s="29"/>
      <c r="AZ42" s="29"/>
      <c r="BA42" s="29"/>
      <c r="BB42" s="29"/>
      <c r="BC42" s="29"/>
      <c r="BD42" s="29"/>
    </row>
    <row r="43" s="26" customFormat="1" ht="39.75" customHeight="1" spans="1:56">
      <c r="A43" s="37"/>
      <c r="B43" s="9"/>
      <c r="C43" s="31"/>
      <c r="D43" s="31"/>
      <c r="E43" s="33">
        <f t="shared" si="0"/>
        <v>515300</v>
      </c>
      <c r="F43" s="34"/>
      <c r="G43" s="30"/>
      <c r="H43" s="34"/>
      <c r="I43" s="34"/>
      <c r="J43" s="34"/>
      <c r="K43" s="34"/>
      <c r="L43" s="34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  <c r="AO43" s="29"/>
      <c r="AP43" s="29"/>
      <c r="AQ43" s="29"/>
      <c r="AR43" s="29"/>
      <c r="AS43" s="29"/>
      <c r="AT43" s="29"/>
      <c r="AU43" s="29"/>
      <c r="AV43" s="29"/>
      <c r="AW43" s="29"/>
      <c r="AX43" s="29"/>
      <c r="AY43" s="29"/>
      <c r="AZ43" s="29"/>
      <c r="BA43" s="29"/>
      <c r="BB43" s="29"/>
      <c r="BC43" s="29"/>
      <c r="BD43" s="29"/>
    </row>
    <row r="44" s="26" customFormat="1" ht="39.75" customHeight="1" spans="1:56">
      <c r="A44" s="37"/>
      <c r="B44" s="9"/>
      <c r="C44" s="31"/>
      <c r="D44" s="31"/>
      <c r="E44" s="33">
        <f t="shared" si="0"/>
        <v>515300</v>
      </c>
      <c r="F44" s="34"/>
      <c r="G44" s="30"/>
      <c r="H44" s="34"/>
      <c r="I44" s="34"/>
      <c r="J44" s="34"/>
      <c r="K44" s="34"/>
      <c r="L44" s="34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  <c r="AK44" s="29"/>
      <c r="AL44" s="29"/>
      <c r="AM44" s="29"/>
      <c r="AN44" s="29"/>
      <c r="AO44" s="29"/>
      <c r="AP44" s="29"/>
      <c r="AQ44" s="29"/>
      <c r="AR44" s="29"/>
      <c r="AS44" s="29"/>
      <c r="AT44" s="29"/>
      <c r="AU44" s="29"/>
      <c r="AV44" s="29"/>
      <c r="AW44" s="29"/>
      <c r="AX44" s="29"/>
      <c r="AY44" s="29"/>
      <c r="AZ44" s="29"/>
      <c r="BA44" s="29"/>
      <c r="BB44" s="29"/>
      <c r="BC44" s="29"/>
      <c r="BD44" s="29"/>
    </row>
    <row r="45" s="26" customFormat="1" ht="39.75" customHeight="1" spans="1:56">
      <c r="A45" s="37"/>
      <c r="B45" s="9"/>
      <c r="C45" s="31"/>
      <c r="D45" s="31"/>
      <c r="E45" s="33">
        <f t="shared" si="0"/>
        <v>515300</v>
      </c>
      <c r="F45" s="34"/>
      <c r="G45" s="30"/>
      <c r="H45" s="34"/>
      <c r="I45" s="34"/>
      <c r="J45" s="34"/>
      <c r="K45" s="34"/>
      <c r="L45" s="34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  <c r="AK45" s="29"/>
      <c r="AL45" s="29"/>
      <c r="AM45" s="29"/>
      <c r="AN45" s="29"/>
      <c r="AO45" s="29"/>
      <c r="AP45" s="29"/>
      <c r="AQ45" s="29"/>
      <c r="AR45" s="29"/>
      <c r="AS45" s="29"/>
      <c r="AT45" s="29"/>
      <c r="AU45" s="29"/>
      <c r="AV45" s="29"/>
      <c r="AW45" s="29"/>
      <c r="AX45" s="29"/>
      <c r="AY45" s="29"/>
      <c r="AZ45" s="29"/>
      <c r="BA45" s="29"/>
      <c r="BB45" s="29"/>
      <c r="BC45" s="29"/>
      <c r="BD45" s="29"/>
    </row>
    <row r="46" s="26" customFormat="1" ht="39.75" customHeight="1" spans="1:56">
      <c r="A46" s="37"/>
      <c r="B46" s="9"/>
      <c r="C46" s="31"/>
      <c r="D46" s="31"/>
      <c r="E46" s="33">
        <f t="shared" si="0"/>
        <v>515300</v>
      </c>
      <c r="F46" s="34"/>
      <c r="G46" s="30"/>
      <c r="H46" s="34"/>
      <c r="I46" s="34"/>
      <c r="J46" s="34"/>
      <c r="K46" s="34"/>
      <c r="L46" s="34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  <c r="AK46" s="29"/>
      <c r="AL46" s="29"/>
      <c r="AM46" s="29"/>
      <c r="AN46" s="29"/>
      <c r="AO46" s="29"/>
      <c r="AP46" s="29"/>
      <c r="AQ46" s="29"/>
      <c r="AR46" s="29"/>
      <c r="AS46" s="29"/>
      <c r="AT46" s="29"/>
      <c r="AU46" s="29"/>
      <c r="AV46" s="29"/>
      <c r="AW46" s="29"/>
      <c r="AX46" s="29"/>
      <c r="AY46" s="29"/>
      <c r="AZ46" s="29"/>
      <c r="BA46" s="29"/>
      <c r="BB46" s="29"/>
      <c r="BC46" s="29"/>
      <c r="BD46" s="29"/>
    </row>
    <row r="47" s="26" customFormat="1" ht="39.75" customHeight="1" spans="1:56">
      <c r="A47" s="37"/>
      <c r="B47" s="9"/>
      <c r="C47" s="31"/>
      <c r="D47" s="31"/>
      <c r="E47" s="33">
        <f t="shared" si="0"/>
        <v>515300</v>
      </c>
      <c r="F47" s="34"/>
      <c r="G47" s="30"/>
      <c r="H47" s="34"/>
      <c r="I47" s="34"/>
      <c r="J47" s="34"/>
      <c r="K47" s="34"/>
      <c r="L47" s="34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  <c r="AK47" s="29"/>
      <c r="AL47" s="29"/>
      <c r="AM47" s="29"/>
      <c r="AN47" s="29"/>
      <c r="AO47" s="29"/>
      <c r="AP47" s="29"/>
      <c r="AQ47" s="29"/>
      <c r="AR47" s="29"/>
      <c r="AS47" s="29"/>
      <c r="AT47" s="29"/>
      <c r="AU47" s="29"/>
      <c r="AV47" s="29"/>
      <c r="AW47" s="29"/>
      <c r="AX47" s="29"/>
      <c r="AY47" s="29"/>
      <c r="AZ47" s="29"/>
      <c r="BA47" s="29"/>
      <c r="BB47" s="29"/>
      <c r="BC47" s="29"/>
      <c r="BD47" s="29"/>
    </row>
    <row r="48" s="26" customFormat="1" ht="39.75" customHeight="1" spans="1:56">
      <c r="A48" s="37"/>
      <c r="B48" s="9"/>
      <c r="C48" s="31"/>
      <c r="D48" s="31"/>
      <c r="E48" s="33">
        <f t="shared" si="0"/>
        <v>515300</v>
      </c>
      <c r="F48" s="34"/>
      <c r="G48" s="30"/>
      <c r="H48" s="34"/>
      <c r="I48" s="34"/>
      <c r="J48" s="34"/>
      <c r="K48" s="34"/>
      <c r="L48" s="34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  <c r="AK48" s="29"/>
      <c r="AL48" s="29"/>
      <c r="AM48" s="29"/>
      <c r="AN48" s="29"/>
      <c r="AO48" s="29"/>
      <c r="AP48" s="29"/>
      <c r="AQ48" s="29"/>
      <c r="AR48" s="29"/>
      <c r="AS48" s="29"/>
      <c r="AT48" s="29"/>
      <c r="AU48" s="29"/>
      <c r="AV48" s="29"/>
      <c r="AW48" s="29"/>
      <c r="AX48" s="29"/>
      <c r="AY48" s="29"/>
      <c r="AZ48" s="29"/>
      <c r="BA48" s="29"/>
      <c r="BB48" s="29"/>
      <c r="BC48" s="29"/>
      <c r="BD48" s="29"/>
    </row>
    <row r="49" s="26" customFormat="1" ht="39.75" customHeight="1" spans="1:56">
      <c r="A49" s="37"/>
      <c r="B49" s="9"/>
      <c r="C49" s="31"/>
      <c r="D49" s="31"/>
      <c r="E49" s="33">
        <f t="shared" si="0"/>
        <v>515300</v>
      </c>
      <c r="F49" s="34"/>
      <c r="G49" s="30"/>
      <c r="H49" s="34"/>
      <c r="I49" s="34"/>
      <c r="J49" s="34"/>
      <c r="K49" s="34"/>
      <c r="L49" s="34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  <c r="AK49" s="29"/>
      <c r="AL49" s="29"/>
      <c r="AM49" s="29"/>
      <c r="AN49" s="29"/>
      <c r="AO49" s="29"/>
      <c r="AP49" s="29"/>
      <c r="AQ49" s="29"/>
      <c r="AR49" s="29"/>
      <c r="AS49" s="29"/>
      <c r="AT49" s="29"/>
      <c r="AU49" s="29"/>
      <c r="AV49" s="29"/>
      <c r="AW49" s="29"/>
      <c r="AX49" s="29"/>
      <c r="AY49" s="29"/>
      <c r="AZ49" s="29"/>
      <c r="BA49" s="29"/>
      <c r="BB49" s="29"/>
      <c r="BC49" s="29"/>
      <c r="BD49" s="29"/>
    </row>
    <row r="50" s="26" customFormat="1" ht="39.75" customHeight="1" spans="1:56">
      <c r="A50" s="37"/>
      <c r="B50" s="9"/>
      <c r="C50" s="31"/>
      <c r="D50" s="31"/>
      <c r="E50" s="33">
        <f t="shared" si="0"/>
        <v>515300</v>
      </c>
      <c r="F50" s="34"/>
      <c r="G50" s="30"/>
      <c r="H50" s="34"/>
      <c r="I50" s="34"/>
      <c r="J50" s="34"/>
      <c r="K50" s="34"/>
      <c r="L50" s="34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  <c r="AK50" s="29"/>
      <c r="AL50" s="29"/>
      <c r="AM50" s="29"/>
      <c r="AN50" s="29"/>
      <c r="AO50" s="29"/>
      <c r="AP50" s="29"/>
      <c r="AQ50" s="29"/>
      <c r="AR50" s="29"/>
      <c r="AS50" s="29"/>
      <c r="AT50" s="29"/>
      <c r="AU50" s="29"/>
      <c r="AV50" s="29"/>
      <c r="AW50" s="29"/>
      <c r="AX50" s="29"/>
      <c r="AY50" s="29"/>
      <c r="AZ50" s="29"/>
      <c r="BA50" s="29"/>
      <c r="BB50" s="29"/>
      <c r="BC50" s="29"/>
      <c r="BD50" s="29"/>
    </row>
    <row r="51" s="26" customFormat="1" ht="39.75" customHeight="1" spans="1:56">
      <c r="A51" s="37"/>
      <c r="B51" s="9"/>
      <c r="C51" s="31"/>
      <c r="D51" s="31"/>
      <c r="E51" s="33">
        <f t="shared" si="0"/>
        <v>515300</v>
      </c>
      <c r="F51" s="34"/>
      <c r="G51" s="30"/>
      <c r="H51" s="34"/>
      <c r="I51" s="34"/>
      <c r="J51" s="34"/>
      <c r="K51" s="34"/>
      <c r="L51" s="34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</row>
    <row r="52" s="26" customFormat="1" ht="39.75" customHeight="1" spans="1:56">
      <c r="A52" s="37"/>
      <c r="B52" s="9"/>
      <c r="C52" s="31"/>
      <c r="D52" s="31"/>
      <c r="E52" s="33">
        <f t="shared" si="0"/>
        <v>515300</v>
      </c>
      <c r="F52" s="34"/>
      <c r="G52" s="30"/>
      <c r="H52" s="34"/>
      <c r="I52" s="34"/>
      <c r="J52" s="34"/>
      <c r="K52" s="34"/>
      <c r="L52" s="34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  <c r="AK52" s="29"/>
      <c r="AL52" s="29"/>
      <c r="AM52" s="29"/>
      <c r="AN52" s="29"/>
      <c r="AO52" s="29"/>
      <c r="AP52" s="29"/>
      <c r="AQ52" s="29"/>
      <c r="AR52" s="29"/>
      <c r="AS52" s="29"/>
      <c r="AT52" s="29"/>
      <c r="AU52" s="29"/>
      <c r="AV52" s="29"/>
      <c r="AW52" s="29"/>
      <c r="AX52" s="29"/>
      <c r="AY52" s="29"/>
      <c r="AZ52" s="29"/>
      <c r="BA52" s="29"/>
      <c r="BB52" s="29"/>
      <c r="BC52" s="29"/>
      <c r="BD52" s="29"/>
    </row>
    <row r="53" s="26" customFormat="1" ht="39.75" customHeight="1" spans="1:56">
      <c r="A53" s="37"/>
      <c r="B53" s="9"/>
      <c r="C53" s="31"/>
      <c r="D53" s="31"/>
      <c r="E53" s="33">
        <f t="shared" si="0"/>
        <v>515300</v>
      </c>
      <c r="F53" s="34"/>
      <c r="G53" s="30"/>
      <c r="H53" s="34"/>
      <c r="I53" s="34"/>
      <c r="J53" s="34"/>
      <c r="K53" s="34"/>
      <c r="L53" s="34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  <c r="AK53" s="29"/>
      <c r="AL53" s="29"/>
      <c r="AM53" s="29"/>
      <c r="AN53" s="29"/>
      <c r="AO53" s="29"/>
      <c r="AP53" s="29"/>
      <c r="AQ53" s="29"/>
      <c r="AR53" s="29"/>
      <c r="AS53" s="29"/>
      <c r="AT53" s="29"/>
      <c r="AU53" s="29"/>
      <c r="AV53" s="29"/>
      <c r="AW53" s="29"/>
      <c r="AX53" s="29"/>
      <c r="AY53" s="29"/>
      <c r="AZ53" s="29"/>
      <c r="BA53" s="29"/>
      <c r="BB53" s="29"/>
      <c r="BC53" s="29"/>
      <c r="BD53" s="29"/>
    </row>
    <row r="54" s="26" customFormat="1" ht="39.75" customHeight="1" spans="1:56">
      <c r="A54" s="37"/>
      <c r="B54" s="9"/>
      <c r="C54" s="31"/>
      <c r="D54" s="31"/>
      <c r="E54" s="33">
        <f t="shared" si="0"/>
        <v>515300</v>
      </c>
      <c r="F54" s="34"/>
      <c r="G54" s="30"/>
      <c r="H54" s="34"/>
      <c r="I54" s="34"/>
      <c r="J54" s="34"/>
      <c r="K54" s="34"/>
      <c r="L54" s="34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  <c r="AK54" s="29"/>
      <c r="AL54" s="29"/>
      <c r="AM54" s="29"/>
      <c r="AN54" s="29"/>
      <c r="AO54" s="29"/>
      <c r="AP54" s="29"/>
      <c r="AQ54" s="29"/>
      <c r="AR54" s="29"/>
      <c r="AS54" s="29"/>
      <c r="AT54" s="29"/>
      <c r="AU54" s="29"/>
      <c r="AV54" s="29"/>
      <c r="AW54" s="29"/>
      <c r="AX54" s="29"/>
      <c r="AY54" s="29"/>
      <c r="AZ54" s="29"/>
      <c r="BA54" s="29"/>
      <c r="BB54" s="29"/>
      <c r="BC54" s="29"/>
      <c r="BD54" s="29"/>
    </row>
    <row r="55" s="26" customFormat="1" ht="39.75" customHeight="1" spans="1:56">
      <c r="A55" s="37"/>
      <c r="B55" s="9"/>
      <c r="C55" s="31"/>
      <c r="D55" s="31"/>
      <c r="E55" s="33">
        <f t="shared" si="0"/>
        <v>515300</v>
      </c>
      <c r="F55" s="34"/>
      <c r="G55" s="30"/>
      <c r="H55" s="34"/>
      <c r="I55" s="34"/>
      <c r="J55" s="34"/>
      <c r="K55" s="34"/>
      <c r="L55" s="34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  <c r="AK55" s="29"/>
      <c r="AL55" s="29"/>
      <c r="AM55" s="29"/>
      <c r="AN55" s="29"/>
      <c r="AO55" s="29"/>
      <c r="AP55" s="29"/>
      <c r="AQ55" s="29"/>
      <c r="AR55" s="29"/>
      <c r="AS55" s="29"/>
      <c r="AT55" s="29"/>
      <c r="AU55" s="29"/>
      <c r="AV55" s="29"/>
      <c r="AW55" s="29"/>
      <c r="AX55" s="29"/>
      <c r="AY55" s="29"/>
      <c r="AZ55" s="29"/>
      <c r="BA55" s="29"/>
      <c r="BB55" s="29"/>
      <c r="BC55" s="29"/>
      <c r="BD55" s="29"/>
    </row>
    <row r="56" s="26" customFormat="1" ht="39.75" customHeight="1" spans="1:56">
      <c r="A56" s="37"/>
      <c r="B56" s="9"/>
      <c r="C56" s="31"/>
      <c r="D56" s="31"/>
      <c r="E56" s="33">
        <f t="shared" si="0"/>
        <v>515300</v>
      </c>
      <c r="F56" s="34"/>
      <c r="G56" s="30"/>
      <c r="H56" s="34"/>
      <c r="I56" s="34"/>
      <c r="J56" s="34"/>
      <c r="K56" s="34"/>
      <c r="L56" s="34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  <c r="AK56" s="29"/>
      <c r="AL56" s="29"/>
      <c r="AM56" s="29"/>
      <c r="AN56" s="29"/>
      <c r="AO56" s="29"/>
      <c r="AP56" s="29"/>
      <c r="AQ56" s="29"/>
      <c r="AR56" s="29"/>
      <c r="AS56" s="29"/>
      <c r="AT56" s="29"/>
      <c r="AU56" s="29"/>
      <c r="AV56" s="29"/>
      <c r="AW56" s="29"/>
      <c r="AX56" s="29"/>
      <c r="AY56" s="29"/>
      <c r="AZ56" s="29"/>
      <c r="BA56" s="29"/>
      <c r="BB56" s="29"/>
      <c r="BC56" s="29"/>
      <c r="BD56" s="29"/>
    </row>
    <row r="57" s="26" customFormat="1" ht="39.75" customHeight="1" spans="1:56">
      <c r="A57" s="37"/>
      <c r="B57" s="9"/>
      <c r="C57" s="31"/>
      <c r="D57" s="31"/>
      <c r="E57" s="33">
        <f t="shared" si="0"/>
        <v>515300</v>
      </c>
      <c r="F57" s="34"/>
      <c r="G57" s="30"/>
      <c r="H57" s="34"/>
      <c r="I57" s="34"/>
      <c r="J57" s="34"/>
      <c r="K57" s="34"/>
      <c r="L57" s="34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  <c r="AM57" s="29"/>
      <c r="AN57" s="29"/>
      <c r="AO57" s="29"/>
      <c r="AP57" s="29"/>
      <c r="AQ57" s="29"/>
      <c r="AR57" s="29"/>
      <c r="AS57" s="29"/>
      <c r="AT57" s="29"/>
      <c r="AU57" s="29"/>
      <c r="AV57" s="29"/>
      <c r="AW57" s="29"/>
      <c r="AX57" s="29"/>
      <c r="AY57" s="29"/>
      <c r="AZ57" s="29"/>
      <c r="BA57" s="29"/>
      <c r="BB57" s="29"/>
      <c r="BC57" s="29"/>
      <c r="BD57" s="29"/>
    </row>
    <row r="58" s="26" customFormat="1" ht="39.75" customHeight="1" spans="1:56">
      <c r="A58" s="37"/>
      <c r="B58" s="9"/>
      <c r="C58" s="31"/>
      <c r="D58" s="31"/>
      <c r="E58" s="33">
        <f t="shared" si="0"/>
        <v>515300</v>
      </c>
      <c r="F58" s="34"/>
      <c r="G58" s="30"/>
      <c r="H58" s="34"/>
      <c r="I58" s="34"/>
      <c r="J58" s="34"/>
      <c r="K58" s="34"/>
      <c r="L58" s="34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  <c r="AK58" s="29"/>
      <c r="AL58" s="29"/>
      <c r="AM58" s="29"/>
      <c r="AN58" s="29"/>
      <c r="AO58" s="29"/>
      <c r="AP58" s="29"/>
      <c r="AQ58" s="29"/>
      <c r="AR58" s="29"/>
      <c r="AS58" s="29"/>
      <c r="AT58" s="29"/>
      <c r="AU58" s="29"/>
      <c r="AV58" s="29"/>
      <c r="AW58" s="29"/>
      <c r="AX58" s="29"/>
      <c r="AY58" s="29"/>
      <c r="AZ58" s="29"/>
      <c r="BA58" s="29"/>
      <c r="BB58" s="29"/>
      <c r="BC58" s="29"/>
      <c r="BD58" s="29"/>
    </row>
    <row r="59" s="26" customFormat="1" ht="39.75" customHeight="1" spans="1:56">
      <c r="A59" s="37"/>
      <c r="B59" s="9"/>
      <c r="C59" s="31"/>
      <c r="D59" s="31"/>
      <c r="E59" s="33">
        <f t="shared" si="0"/>
        <v>515300</v>
      </c>
      <c r="F59" s="34"/>
      <c r="G59" s="30"/>
      <c r="H59" s="34"/>
      <c r="I59" s="34"/>
      <c r="J59" s="34"/>
      <c r="K59" s="34"/>
      <c r="L59" s="34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  <c r="AM59" s="29"/>
      <c r="AN59" s="29"/>
      <c r="AO59" s="29"/>
      <c r="AP59" s="29"/>
      <c r="AQ59" s="29"/>
      <c r="AR59" s="29"/>
      <c r="AS59" s="29"/>
      <c r="AT59" s="29"/>
      <c r="AU59" s="29"/>
      <c r="AV59" s="29"/>
      <c r="AW59" s="29"/>
      <c r="AX59" s="29"/>
      <c r="AY59" s="29"/>
      <c r="AZ59" s="29"/>
      <c r="BA59" s="29"/>
      <c r="BB59" s="29"/>
      <c r="BC59" s="29"/>
      <c r="BD59" s="29"/>
    </row>
    <row r="60" s="26" customFormat="1" ht="39.75" customHeight="1" spans="1:56">
      <c r="A60" s="37"/>
      <c r="B60" s="9"/>
      <c r="C60" s="31"/>
      <c r="D60" s="31"/>
      <c r="E60" s="33">
        <f t="shared" si="0"/>
        <v>515300</v>
      </c>
      <c r="F60" s="34"/>
      <c r="G60" s="30"/>
      <c r="H60" s="34"/>
      <c r="I60" s="34"/>
      <c r="J60" s="34"/>
      <c r="K60" s="34"/>
      <c r="L60" s="34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</row>
    <row r="61" s="26" customFormat="1" ht="39.75" customHeight="1" spans="1:56">
      <c r="A61" s="37"/>
      <c r="B61" s="9"/>
      <c r="C61" s="31"/>
      <c r="D61" s="31"/>
      <c r="E61" s="33">
        <f t="shared" si="0"/>
        <v>515300</v>
      </c>
      <c r="F61" s="34"/>
      <c r="G61" s="30"/>
      <c r="H61" s="34"/>
      <c r="I61" s="34"/>
      <c r="J61" s="34"/>
      <c r="K61" s="34"/>
      <c r="L61" s="34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  <c r="AK61" s="29"/>
      <c r="AL61" s="29"/>
      <c r="AM61" s="29"/>
      <c r="AN61" s="29"/>
      <c r="AO61" s="29"/>
      <c r="AP61" s="29"/>
      <c r="AQ61" s="29"/>
      <c r="AR61" s="29"/>
      <c r="AS61" s="29"/>
      <c r="AT61" s="29"/>
      <c r="AU61" s="29"/>
      <c r="AV61" s="29"/>
      <c r="AW61" s="29"/>
      <c r="AX61" s="29"/>
      <c r="AY61" s="29"/>
      <c r="AZ61" s="29"/>
      <c r="BA61" s="29"/>
      <c r="BB61" s="29"/>
      <c r="BC61" s="29"/>
      <c r="BD61" s="29"/>
    </row>
    <row r="62" s="26" customFormat="1" ht="39.75" customHeight="1" spans="1:56">
      <c r="A62" s="37"/>
      <c r="B62" s="9"/>
      <c r="C62" s="31"/>
      <c r="D62" s="31"/>
      <c r="E62" s="33">
        <f t="shared" si="0"/>
        <v>515300</v>
      </c>
      <c r="F62" s="34"/>
      <c r="G62" s="30"/>
      <c r="H62" s="34"/>
      <c r="I62" s="34"/>
      <c r="J62" s="34"/>
      <c r="K62" s="34"/>
      <c r="L62" s="34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  <c r="AK62" s="29"/>
      <c r="AL62" s="29"/>
      <c r="AM62" s="29"/>
      <c r="AN62" s="29"/>
      <c r="AO62" s="29"/>
      <c r="AP62" s="29"/>
      <c r="AQ62" s="29"/>
      <c r="AR62" s="29"/>
      <c r="AS62" s="29"/>
      <c r="AT62" s="29"/>
      <c r="AU62" s="29"/>
      <c r="AV62" s="29"/>
      <c r="AW62" s="29"/>
      <c r="AX62" s="29"/>
      <c r="AY62" s="29"/>
      <c r="AZ62" s="29"/>
      <c r="BA62" s="29"/>
      <c r="BB62" s="29"/>
      <c r="BC62" s="29"/>
      <c r="BD62" s="29"/>
    </row>
    <row r="63" s="26" customFormat="1" ht="39.75" customHeight="1" spans="1:56">
      <c r="A63" s="37"/>
      <c r="B63" s="9"/>
      <c r="C63" s="31"/>
      <c r="D63" s="31"/>
      <c r="E63" s="33">
        <f t="shared" si="0"/>
        <v>515300</v>
      </c>
      <c r="F63" s="34"/>
      <c r="G63" s="30"/>
      <c r="H63" s="34"/>
      <c r="I63" s="34"/>
      <c r="J63" s="34"/>
      <c r="K63" s="34"/>
      <c r="L63" s="34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  <c r="AK63" s="29"/>
      <c r="AL63" s="29"/>
      <c r="AM63" s="29"/>
      <c r="AN63" s="29"/>
      <c r="AO63" s="29"/>
      <c r="AP63" s="29"/>
      <c r="AQ63" s="29"/>
      <c r="AR63" s="29"/>
      <c r="AS63" s="29"/>
      <c r="AT63" s="29"/>
      <c r="AU63" s="29"/>
      <c r="AV63" s="29"/>
      <c r="AW63" s="29"/>
      <c r="AX63" s="29"/>
      <c r="AY63" s="29"/>
      <c r="AZ63" s="29"/>
      <c r="BA63" s="29"/>
      <c r="BB63" s="29"/>
      <c r="BC63" s="29"/>
      <c r="BD63" s="29"/>
    </row>
    <row r="64" s="26" customFormat="1" ht="39.75" customHeight="1" spans="1:56">
      <c r="A64" s="37"/>
      <c r="B64" s="9"/>
      <c r="C64" s="31"/>
      <c r="D64" s="31"/>
      <c r="E64" s="33">
        <f t="shared" si="0"/>
        <v>515300</v>
      </c>
      <c r="F64" s="34"/>
      <c r="G64" s="30"/>
      <c r="H64" s="34"/>
      <c r="I64" s="34"/>
      <c r="J64" s="34"/>
      <c r="K64" s="34"/>
      <c r="L64" s="34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  <c r="AK64" s="29"/>
      <c r="AL64" s="29"/>
      <c r="AM64" s="29"/>
      <c r="AN64" s="29"/>
      <c r="AO64" s="29"/>
      <c r="AP64" s="29"/>
      <c r="AQ64" s="29"/>
      <c r="AR64" s="29"/>
      <c r="AS64" s="29"/>
      <c r="AT64" s="29"/>
      <c r="AU64" s="29"/>
      <c r="AV64" s="29"/>
      <c r="AW64" s="29"/>
      <c r="AX64" s="29"/>
      <c r="AY64" s="29"/>
      <c r="AZ64" s="29"/>
      <c r="BA64" s="29"/>
      <c r="BB64" s="29"/>
      <c r="BC64" s="29"/>
      <c r="BD64" s="29"/>
    </row>
    <row r="65" s="26" customFormat="1" ht="39.75" customHeight="1" spans="1:56">
      <c r="A65" s="37"/>
      <c r="B65" s="9"/>
      <c r="C65" s="31"/>
      <c r="D65" s="31"/>
      <c r="E65" s="33">
        <f t="shared" si="0"/>
        <v>515300</v>
      </c>
      <c r="F65" s="34"/>
      <c r="G65" s="30"/>
      <c r="H65" s="34"/>
      <c r="I65" s="34"/>
      <c r="J65" s="34"/>
      <c r="K65" s="34"/>
      <c r="L65" s="34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</row>
    <row r="66" s="26" customFormat="1" ht="39.75" customHeight="1" spans="1:56">
      <c r="A66" s="37"/>
      <c r="B66" s="9"/>
      <c r="C66" s="31"/>
      <c r="D66" s="31"/>
      <c r="E66" s="33">
        <f t="shared" si="0"/>
        <v>515300</v>
      </c>
      <c r="F66" s="34"/>
      <c r="G66" s="30"/>
      <c r="H66" s="34"/>
      <c r="I66" s="34"/>
      <c r="J66" s="34"/>
      <c r="K66" s="34"/>
      <c r="L66" s="34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  <c r="AK66" s="29"/>
      <c r="AL66" s="29"/>
      <c r="AM66" s="29"/>
      <c r="AN66" s="29"/>
      <c r="AO66" s="29"/>
      <c r="AP66" s="29"/>
      <c r="AQ66" s="29"/>
      <c r="AR66" s="29"/>
      <c r="AS66" s="29"/>
      <c r="AT66" s="29"/>
      <c r="AU66" s="29"/>
      <c r="AV66" s="29"/>
      <c r="AW66" s="29"/>
      <c r="AX66" s="29"/>
      <c r="AY66" s="29"/>
      <c r="AZ66" s="29"/>
      <c r="BA66" s="29"/>
      <c r="BB66" s="29"/>
      <c r="BC66" s="29"/>
      <c r="BD66" s="29"/>
    </row>
    <row r="67" s="26" customFormat="1" ht="39.75" customHeight="1" spans="1:56">
      <c r="A67" s="37"/>
      <c r="B67" s="9"/>
      <c r="C67" s="31"/>
      <c r="D67" s="31"/>
      <c r="E67" s="33">
        <f t="shared" ref="E67:E92" si="1">E66+C67-D67</f>
        <v>515300</v>
      </c>
      <c r="F67" s="34"/>
      <c r="G67" s="30"/>
      <c r="H67" s="34"/>
      <c r="I67" s="34"/>
      <c r="J67" s="34"/>
      <c r="K67" s="34"/>
      <c r="L67" s="34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  <c r="AK67" s="29"/>
      <c r="AL67" s="29"/>
      <c r="AM67" s="29"/>
      <c r="AN67" s="29"/>
      <c r="AO67" s="29"/>
      <c r="AP67" s="29"/>
      <c r="AQ67" s="29"/>
      <c r="AR67" s="29"/>
      <c r="AS67" s="29"/>
      <c r="AT67" s="29"/>
      <c r="AU67" s="29"/>
      <c r="AV67" s="29"/>
      <c r="AW67" s="29"/>
      <c r="AX67" s="29"/>
      <c r="AY67" s="29"/>
      <c r="AZ67" s="29"/>
      <c r="BA67" s="29"/>
      <c r="BB67" s="29"/>
      <c r="BC67" s="29"/>
      <c r="BD67" s="29"/>
    </row>
    <row r="68" s="26" customFormat="1" ht="39.75" customHeight="1" spans="1:56">
      <c r="A68" s="37"/>
      <c r="B68" s="9"/>
      <c r="C68" s="31"/>
      <c r="D68" s="31"/>
      <c r="E68" s="33">
        <f t="shared" si="1"/>
        <v>515300</v>
      </c>
      <c r="F68" s="34"/>
      <c r="G68" s="30"/>
      <c r="H68" s="34"/>
      <c r="I68" s="34"/>
      <c r="J68" s="34"/>
      <c r="K68" s="34"/>
      <c r="L68" s="34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  <c r="AK68" s="29"/>
      <c r="AL68" s="29"/>
      <c r="AM68" s="29"/>
      <c r="AN68" s="29"/>
      <c r="AO68" s="29"/>
      <c r="AP68" s="29"/>
      <c r="AQ68" s="29"/>
      <c r="AR68" s="29"/>
      <c r="AS68" s="29"/>
      <c r="AT68" s="29"/>
      <c r="AU68" s="29"/>
      <c r="AV68" s="29"/>
      <c r="AW68" s="29"/>
      <c r="AX68" s="29"/>
      <c r="AY68" s="29"/>
      <c r="AZ68" s="29"/>
      <c r="BA68" s="29"/>
      <c r="BB68" s="29"/>
      <c r="BC68" s="29"/>
      <c r="BD68" s="29"/>
    </row>
    <row r="69" s="26" customFormat="1" ht="39.75" customHeight="1" spans="1:56">
      <c r="A69" s="37"/>
      <c r="B69" s="9"/>
      <c r="C69" s="31"/>
      <c r="D69" s="31"/>
      <c r="E69" s="33">
        <f t="shared" si="1"/>
        <v>515300</v>
      </c>
      <c r="F69" s="34"/>
      <c r="G69" s="30"/>
      <c r="H69" s="34"/>
      <c r="I69" s="34"/>
      <c r="J69" s="34"/>
      <c r="K69" s="34"/>
      <c r="L69" s="34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  <c r="AK69" s="29"/>
      <c r="AL69" s="29"/>
      <c r="AM69" s="29"/>
      <c r="AN69" s="29"/>
      <c r="AO69" s="29"/>
      <c r="AP69" s="29"/>
      <c r="AQ69" s="29"/>
      <c r="AR69" s="29"/>
      <c r="AS69" s="29"/>
      <c r="AT69" s="29"/>
      <c r="AU69" s="29"/>
      <c r="AV69" s="29"/>
      <c r="AW69" s="29"/>
      <c r="AX69" s="29"/>
      <c r="AY69" s="29"/>
      <c r="AZ69" s="29"/>
      <c r="BA69" s="29"/>
      <c r="BB69" s="29"/>
      <c r="BC69" s="29"/>
      <c r="BD69" s="29"/>
    </row>
    <row r="70" s="26" customFormat="1" ht="39.75" customHeight="1" spans="1:56">
      <c r="A70" s="37"/>
      <c r="B70" s="9"/>
      <c r="C70" s="31"/>
      <c r="D70" s="31"/>
      <c r="E70" s="33">
        <f t="shared" si="1"/>
        <v>515300</v>
      </c>
      <c r="F70" s="34"/>
      <c r="G70" s="30"/>
      <c r="H70" s="34"/>
      <c r="I70" s="34"/>
      <c r="J70" s="34"/>
      <c r="K70" s="34"/>
      <c r="L70" s="34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</row>
    <row r="71" s="26" customFormat="1" ht="39.75" customHeight="1" spans="1:56">
      <c r="A71" s="37"/>
      <c r="B71" s="9"/>
      <c r="C71" s="31"/>
      <c r="D71" s="31"/>
      <c r="E71" s="33">
        <f t="shared" si="1"/>
        <v>515300</v>
      </c>
      <c r="F71" s="34"/>
      <c r="G71" s="30"/>
      <c r="H71" s="34"/>
      <c r="I71" s="34"/>
      <c r="J71" s="34"/>
      <c r="K71" s="34"/>
      <c r="L71" s="34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  <c r="AK71" s="29"/>
      <c r="AL71" s="29"/>
      <c r="AM71" s="29"/>
      <c r="AN71" s="29"/>
      <c r="AO71" s="29"/>
      <c r="AP71" s="29"/>
      <c r="AQ71" s="29"/>
      <c r="AR71" s="29"/>
      <c r="AS71" s="29"/>
      <c r="AT71" s="29"/>
      <c r="AU71" s="29"/>
      <c r="AV71" s="29"/>
      <c r="AW71" s="29"/>
      <c r="AX71" s="29"/>
      <c r="AY71" s="29"/>
      <c r="AZ71" s="29"/>
      <c r="BA71" s="29"/>
      <c r="BB71" s="29"/>
      <c r="BC71" s="29"/>
      <c r="BD71" s="29"/>
    </row>
    <row r="72" s="26" customFormat="1" ht="39.75" customHeight="1" spans="1:56">
      <c r="A72" s="37"/>
      <c r="B72" s="9"/>
      <c r="C72" s="31"/>
      <c r="D72" s="31"/>
      <c r="E72" s="33">
        <f t="shared" si="1"/>
        <v>515300</v>
      </c>
      <c r="F72" s="34"/>
      <c r="G72" s="30"/>
      <c r="H72" s="34"/>
      <c r="I72" s="34"/>
      <c r="J72" s="34"/>
      <c r="K72" s="34"/>
      <c r="L72" s="34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  <c r="AK72" s="29"/>
      <c r="AL72" s="29"/>
      <c r="AM72" s="29"/>
      <c r="AN72" s="29"/>
      <c r="AO72" s="29"/>
      <c r="AP72" s="29"/>
      <c r="AQ72" s="29"/>
      <c r="AR72" s="29"/>
      <c r="AS72" s="29"/>
      <c r="AT72" s="29"/>
      <c r="AU72" s="29"/>
      <c r="AV72" s="29"/>
      <c r="AW72" s="29"/>
      <c r="AX72" s="29"/>
      <c r="AY72" s="29"/>
      <c r="AZ72" s="29"/>
      <c r="BA72" s="29"/>
      <c r="BB72" s="29"/>
      <c r="BC72" s="29"/>
      <c r="BD72" s="29"/>
    </row>
    <row r="73" s="26" customFormat="1" ht="39.75" customHeight="1" spans="1:56">
      <c r="A73" s="37"/>
      <c r="B73" s="9"/>
      <c r="C73" s="31"/>
      <c r="D73" s="31"/>
      <c r="E73" s="33">
        <f t="shared" si="1"/>
        <v>515300</v>
      </c>
      <c r="F73" s="34"/>
      <c r="G73" s="30"/>
      <c r="H73" s="34"/>
      <c r="I73" s="34"/>
      <c r="J73" s="34"/>
      <c r="K73" s="34"/>
      <c r="L73" s="34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  <c r="AK73" s="29"/>
      <c r="AL73" s="29"/>
      <c r="AM73" s="29"/>
      <c r="AN73" s="29"/>
      <c r="AO73" s="29"/>
      <c r="AP73" s="29"/>
      <c r="AQ73" s="29"/>
      <c r="AR73" s="29"/>
      <c r="AS73" s="29"/>
      <c r="AT73" s="29"/>
      <c r="AU73" s="29"/>
      <c r="AV73" s="29"/>
      <c r="AW73" s="29"/>
      <c r="AX73" s="29"/>
      <c r="AY73" s="29"/>
      <c r="AZ73" s="29"/>
      <c r="BA73" s="29"/>
      <c r="BB73" s="29"/>
      <c r="BC73" s="29"/>
      <c r="BD73" s="29"/>
    </row>
    <row r="74" s="26" customFormat="1" ht="39.75" customHeight="1" spans="1:56">
      <c r="A74" s="37"/>
      <c r="B74" s="9"/>
      <c r="C74" s="31"/>
      <c r="D74" s="31"/>
      <c r="E74" s="33">
        <f t="shared" si="1"/>
        <v>515300</v>
      </c>
      <c r="F74" s="34"/>
      <c r="G74" s="30"/>
      <c r="H74" s="34"/>
      <c r="I74" s="34"/>
      <c r="J74" s="34"/>
      <c r="K74" s="34"/>
      <c r="L74" s="34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  <c r="AK74" s="29"/>
      <c r="AL74" s="29"/>
      <c r="AM74" s="29"/>
      <c r="AN74" s="29"/>
      <c r="AO74" s="29"/>
      <c r="AP74" s="29"/>
      <c r="AQ74" s="29"/>
      <c r="AR74" s="29"/>
      <c r="AS74" s="29"/>
      <c r="AT74" s="29"/>
      <c r="AU74" s="29"/>
      <c r="AV74" s="29"/>
      <c r="AW74" s="29"/>
      <c r="AX74" s="29"/>
      <c r="AY74" s="29"/>
      <c r="AZ74" s="29"/>
      <c r="BA74" s="29"/>
      <c r="BB74" s="29"/>
      <c r="BC74" s="29"/>
      <c r="BD74" s="29" t="s">
        <v>285</v>
      </c>
    </row>
    <row r="75" s="26" customFormat="1" ht="39.75" customHeight="1" spans="1:56">
      <c r="A75" s="37"/>
      <c r="B75" s="9"/>
      <c r="C75" s="31"/>
      <c r="D75" s="31"/>
      <c r="E75" s="33">
        <f t="shared" si="1"/>
        <v>515300</v>
      </c>
      <c r="F75" s="34"/>
      <c r="G75" s="30"/>
      <c r="H75" s="34"/>
      <c r="I75" s="34"/>
      <c r="J75" s="34"/>
      <c r="K75" s="34"/>
      <c r="L75" s="34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</row>
    <row r="76" s="26" customFormat="1" ht="39.75" customHeight="1" spans="1:56">
      <c r="A76" s="37"/>
      <c r="B76" s="9"/>
      <c r="C76" s="31"/>
      <c r="D76" s="31"/>
      <c r="E76" s="33">
        <f t="shared" si="1"/>
        <v>515300</v>
      </c>
      <c r="F76" s="34"/>
      <c r="G76" s="30"/>
      <c r="H76" s="34"/>
      <c r="I76" s="34"/>
      <c r="J76" s="34"/>
      <c r="K76" s="34"/>
      <c r="L76" s="34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  <c r="AK76" s="29"/>
      <c r="AL76" s="29"/>
      <c r="AM76" s="29"/>
      <c r="AN76" s="29"/>
      <c r="AO76" s="29"/>
      <c r="AP76" s="29"/>
      <c r="AQ76" s="29"/>
      <c r="AR76" s="29"/>
      <c r="AS76" s="29"/>
      <c r="AT76" s="29"/>
      <c r="AU76" s="29"/>
      <c r="AV76" s="29"/>
      <c r="AW76" s="29"/>
      <c r="AX76" s="29"/>
      <c r="AY76" s="29"/>
      <c r="AZ76" s="29"/>
      <c r="BA76" s="29"/>
      <c r="BB76" s="29"/>
      <c r="BC76" s="29"/>
      <c r="BD76" s="29"/>
    </row>
    <row r="77" s="26" customFormat="1" ht="39.75" customHeight="1" spans="1:56">
      <c r="A77" s="37"/>
      <c r="B77" s="9"/>
      <c r="C77" s="31"/>
      <c r="D77" s="31"/>
      <c r="E77" s="33">
        <f t="shared" si="1"/>
        <v>515300</v>
      </c>
      <c r="F77" s="34"/>
      <c r="G77" s="30"/>
      <c r="H77" s="34"/>
      <c r="I77" s="34"/>
      <c r="J77" s="34"/>
      <c r="K77" s="34"/>
      <c r="L77" s="34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  <c r="AK77" s="29"/>
      <c r="AL77" s="29"/>
      <c r="AM77" s="29"/>
      <c r="AN77" s="29"/>
      <c r="AO77" s="29"/>
      <c r="AP77" s="29"/>
      <c r="AQ77" s="29"/>
      <c r="AR77" s="29"/>
      <c r="AS77" s="29"/>
      <c r="AT77" s="29"/>
      <c r="AU77" s="29"/>
      <c r="AV77" s="29"/>
      <c r="AW77" s="29"/>
      <c r="AX77" s="29"/>
      <c r="AY77" s="29"/>
      <c r="AZ77" s="29"/>
      <c r="BA77" s="29"/>
      <c r="BB77" s="29"/>
      <c r="BC77" s="29"/>
      <c r="BD77" s="29"/>
    </row>
    <row r="78" s="26" customFormat="1" ht="39.75" customHeight="1" spans="1:56">
      <c r="A78" s="37"/>
      <c r="B78" s="9"/>
      <c r="C78" s="31"/>
      <c r="D78" s="31"/>
      <c r="E78" s="33">
        <f t="shared" si="1"/>
        <v>515300</v>
      </c>
      <c r="F78" s="34"/>
      <c r="G78" s="30"/>
      <c r="H78" s="34"/>
      <c r="I78" s="34"/>
      <c r="J78" s="34"/>
      <c r="K78" s="34"/>
      <c r="L78" s="34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  <c r="AK78" s="29"/>
      <c r="AL78" s="29"/>
      <c r="AM78" s="29"/>
      <c r="AN78" s="29"/>
      <c r="AO78" s="29"/>
      <c r="AP78" s="29"/>
      <c r="AQ78" s="29"/>
      <c r="AR78" s="29"/>
      <c r="AS78" s="29"/>
      <c r="AT78" s="29"/>
      <c r="AU78" s="29"/>
      <c r="AV78" s="29"/>
      <c r="AW78" s="29"/>
      <c r="AX78" s="29"/>
      <c r="AY78" s="29"/>
      <c r="AZ78" s="29"/>
      <c r="BA78" s="29"/>
      <c r="BB78" s="29"/>
      <c r="BC78" s="29"/>
      <c r="BD78" s="29"/>
    </row>
    <row r="79" s="26" customFormat="1" ht="39.75" customHeight="1" spans="1:56">
      <c r="A79" s="37"/>
      <c r="B79" s="9"/>
      <c r="C79" s="31"/>
      <c r="D79" s="31"/>
      <c r="E79" s="33">
        <f t="shared" si="1"/>
        <v>515300</v>
      </c>
      <c r="F79" s="34"/>
      <c r="G79" s="30"/>
      <c r="H79" s="34"/>
      <c r="I79" s="34"/>
      <c r="J79" s="34"/>
      <c r="K79" s="34"/>
      <c r="L79" s="34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  <c r="AK79" s="29"/>
      <c r="AL79" s="29"/>
      <c r="AM79" s="29"/>
      <c r="AN79" s="29"/>
      <c r="AO79" s="29"/>
      <c r="AP79" s="29"/>
      <c r="AQ79" s="29"/>
      <c r="AR79" s="29"/>
      <c r="AS79" s="29"/>
      <c r="AT79" s="29"/>
      <c r="AU79" s="29"/>
      <c r="AV79" s="29"/>
      <c r="AW79" s="29"/>
      <c r="AX79" s="29"/>
      <c r="AY79" s="29"/>
      <c r="AZ79" s="29"/>
      <c r="BA79" s="29"/>
      <c r="BB79" s="29"/>
      <c r="BC79" s="29"/>
      <c r="BD79" s="29"/>
    </row>
    <row r="80" s="26" customFormat="1" ht="39.75" customHeight="1" spans="1:56">
      <c r="A80" s="37"/>
      <c r="B80" s="9"/>
      <c r="C80" s="31"/>
      <c r="D80" s="31"/>
      <c r="E80" s="33">
        <f t="shared" si="1"/>
        <v>515300</v>
      </c>
      <c r="F80" s="34"/>
      <c r="G80" s="30"/>
      <c r="H80" s="34"/>
      <c r="I80" s="34"/>
      <c r="J80" s="34"/>
      <c r="K80" s="34"/>
      <c r="L80" s="34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</row>
    <row r="81" s="26" customFormat="1" ht="39.75" customHeight="1" spans="1:56">
      <c r="A81" s="37"/>
      <c r="B81" s="9"/>
      <c r="C81" s="31"/>
      <c r="D81" s="31"/>
      <c r="E81" s="33">
        <f t="shared" si="1"/>
        <v>515300</v>
      </c>
      <c r="F81" s="34"/>
      <c r="G81" s="30"/>
      <c r="H81" s="34"/>
      <c r="I81" s="34"/>
      <c r="J81" s="34"/>
      <c r="K81" s="34"/>
      <c r="L81" s="34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  <c r="AK81" s="29"/>
      <c r="AL81" s="29"/>
      <c r="AM81" s="29"/>
      <c r="AN81" s="29"/>
      <c r="AO81" s="29"/>
      <c r="AP81" s="29"/>
      <c r="AQ81" s="29"/>
      <c r="AR81" s="29"/>
      <c r="AS81" s="29"/>
      <c r="AT81" s="29"/>
      <c r="AU81" s="29"/>
      <c r="AV81" s="29"/>
      <c r="AW81" s="29"/>
      <c r="AX81" s="29"/>
      <c r="AY81" s="29"/>
      <c r="AZ81" s="29"/>
      <c r="BA81" s="29"/>
      <c r="BB81" s="29"/>
      <c r="BC81" s="29"/>
      <c r="BD81" s="29"/>
    </row>
    <row r="82" s="26" customFormat="1" ht="39.75" customHeight="1" spans="1:56">
      <c r="A82" s="37"/>
      <c r="B82" s="9"/>
      <c r="C82" s="31"/>
      <c r="D82" s="31"/>
      <c r="E82" s="33">
        <f t="shared" si="1"/>
        <v>515300</v>
      </c>
      <c r="F82" s="34"/>
      <c r="G82" s="30"/>
      <c r="H82" s="34"/>
      <c r="I82" s="34"/>
      <c r="J82" s="34"/>
      <c r="K82" s="34"/>
      <c r="L82" s="34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  <c r="AK82" s="29"/>
      <c r="AL82" s="29"/>
      <c r="AM82" s="29"/>
      <c r="AN82" s="29"/>
      <c r="AO82" s="29"/>
      <c r="AP82" s="29"/>
      <c r="AQ82" s="29"/>
      <c r="AR82" s="29"/>
      <c r="AS82" s="29"/>
      <c r="AT82" s="29"/>
      <c r="AU82" s="29"/>
      <c r="AV82" s="29"/>
      <c r="AW82" s="29"/>
      <c r="AX82" s="29"/>
      <c r="AY82" s="29"/>
      <c r="AZ82" s="29"/>
      <c r="BA82" s="29"/>
      <c r="BB82" s="29"/>
      <c r="BC82" s="29"/>
      <c r="BD82" s="29"/>
    </row>
    <row r="83" s="26" customFormat="1" ht="39.75" customHeight="1" spans="1:56">
      <c r="A83" s="37"/>
      <c r="B83" s="9"/>
      <c r="C83" s="31"/>
      <c r="D83" s="31"/>
      <c r="E83" s="33">
        <f t="shared" si="1"/>
        <v>515300</v>
      </c>
      <c r="F83" s="34"/>
      <c r="G83" s="30"/>
      <c r="H83" s="34"/>
      <c r="I83" s="34"/>
      <c r="J83" s="34"/>
      <c r="K83" s="34"/>
      <c r="L83" s="34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  <c r="AM83" s="29"/>
      <c r="AN83" s="29"/>
      <c r="AO83" s="29"/>
      <c r="AP83" s="29"/>
      <c r="AQ83" s="29"/>
      <c r="AR83" s="29"/>
      <c r="AS83" s="29"/>
      <c r="AT83" s="29"/>
      <c r="AU83" s="29"/>
      <c r="AV83" s="29"/>
      <c r="AW83" s="29"/>
      <c r="AX83" s="29"/>
      <c r="AY83" s="29"/>
      <c r="AZ83" s="29"/>
      <c r="BA83" s="29"/>
      <c r="BB83" s="29"/>
      <c r="BC83" s="29"/>
      <c r="BD83" s="29"/>
    </row>
    <row r="84" s="26" customFormat="1" ht="39.75" customHeight="1" spans="1:56">
      <c r="A84" s="37"/>
      <c r="B84" s="9"/>
      <c r="C84" s="31"/>
      <c r="D84" s="31"/>
      <c r="E84" s="33">
        <f t="shared" si="1"/>
        <v>515300</v>
      </c>
      <c r="F84" s="34"/>
      <c r="G84" s="30"/>
      <c r="H84" s="34"/>
      <c r="I84" s="34"/>
      <c r="J84" s="34"/>
      <c r="K84" s="34"/>
      <c r="L84" s="34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  <c r="AM84" s="29"/>
      <c r="AN84" s="29"/>
      <c r="AO84" s="29"/>
      <c r="AP84" s="29"/>
      <c r="AQ84" s="29"/>
      <c r="AR84" s="29"/>
      <c r="AS84" s="29"/>
      <c r="AT84" s="29"/>
      <c r="AU84" s="29"/>
      <c r="AV84" s="29"/>
      <c r="AW84" s="29"/>
      <c r="AX84" s="29"/>
      <c r="AY84" s="29"/>
      <c r="AZ84" s="29"/>
      <c r="BA84" s="29"/>
      <c r="BB84" s="29"/>
      <c r="BC84" s="29"/>
      <c r="BD84" s="29"/>
    </row>
    <row r="85" s="26" customFormat="1" ht="39.75" customHeight="1" spans="1:56">
      <c r="A85" s="37"/>
      <c r="B85" s="9"/>
      <c r="C85" s="31"/>
      <c r="D85" s="31"/>
      <c r="E85" s="33">
        <f t="shared" si="1"/>
        <v>515300</v>
      </c>
      <c r="F85" s="34"/>
      <c r="G85" s="30"/>
      <c r="H85" s="34"/>
      <c r="I85" s="34"/>
      <c r="J85" s="34"/>
      <c r="K85" s="34"/>
      <c r="L85" s="34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</row>
    <row r="86" s="26" customFormat="1" ht="39.75" customHeight="1" spans="1:56">
      <c r="A86" s="37"/>
      <c r="B86" s="9"/>
      <c r="C86" s="31"/>
      <c r="D86" s="31"/>
      <c r="E86" s="33">
        <f t="shared" si="1"/>
        <v>515300</v>
      </c>
      <c r="F86" s="34"/>
      <c r="G86" s="30"/>
      <c r="H86" s="34"/>
      <c r="I86" s="34"/>
      <c r="J86" s="34"/>
      <c r="K86" s="34"/>
      <c r="L86" s="34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29"/>
      <c r="AU86" s="29"/>
      <c r="AV86" s="29"/>
      <c r="AW86" s="29"/>
      <c r="AX86" s="29"/>
      <c r="AY86" s="29"/>
      <c r="AZ86" s="29"/>
      <c r="BA86" s="29"/>
      <c r="BB86" s="29"/>
      <c r="BC86" s="29"/>
      <c r="BD86" s="29"/>
    </row>
    <row r="87" s="26" customFormat="1" ht="39.75" customHeight="1" spans="1:56">
      <c r="A87" s="37"/>
      <c r="B87" s="9"/>
      <c r="C87" s="31"/>
      <c r="D87" s="31"/>
      <c r="E87" s="33">
        <f t="shared" si="1"/>
        <v>515300</v>
      </c>
      <c r="F87" s="34"/>
      <c r="G87" s="30"/>
      <c r="H87" s="34"/>
      <c r="I87" s="34"/>
      <c r="J87" s="34"/>
      <c r="K87" s="34"/>
      <c r="L87" s="34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  <c r="AK87" s="29"/>
      <c r="AL87" s="29"/>
      <c r="AM87" s="29"/>
      <c r="AN87" s="29"/>
      <c r="AO87" s="29"/>
      <c r="AP87" s="29"/>
      <c r="AQ87" s="29"/>
      <c r="AR87" s="29"/>
      <c r="AS87" s="29"/>
      <c r="AT87" s="29"/>
      <c r="AU87" s="29"/>
      <c r="AV87" s="29"/>
      <c r="AW87" s="29"/>
      <c r="AX87" s="29"/>
      <c r="AY87" s="29"/>
      <c r="AZ87" s="29"/>
      <c r="BA87" s="29"/>
      <c r="BB87" s="29"/>
      <c r="BC87" s="29"/>
      <c r="BD87" s="29"/>
    </row>
    <row r="88" s="26" customFormat="1" ht="39.75" customHeight="1" spans="1:56">
      <c r="A88" s="37"/>
      <c r="B88" s="9"/>
      <c r="C88" s="31"/>
      <c r="D88" s="31"/>
      <c r="E88" s="33">
        <f t="shared" si="1"/>
        <v>515300</v>
      </c>
      <c r="F88" s="34"/>
      <c r="G88" s="30"/>
      <c r="H88" s="34"/>
      <c r="I88" s="34"/>
      <c r="J88" s="34"/>
      <c r="K88" s="34"/>
      <c r="L88" s="34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  <c r="AK88" s="29"/>
      <c r="AL88" s="29"/>
      <c r="AM88" s="29"/>
      <c r="AN88" s="29"/>
      <c r="AO88" s="29"/>
      <c r="AP88" s="29"/>
      <c r="AQ88" s="29"/>
      <c r="AR88" s="29"/>
      <c r="AS88" s="29"/>
      <c r="AT88" s="29"/>
      <c r="AU88" s="29"/>
      <c r="AV88" s="29"/>
      <c r="AW88" s="29"/>
      <c r="AX88" s="29"/>
      <c r="AY88" s="29"/>
      <c r="AZ88" s="29"/>
      <c r="BA88" s="29"/>
      <c r="BB88" s="29"/>
      <c r="BC88" s="29"/>
      <c r="BD88" s="29"/>
    </row>
    <row r="89" s="26" customFormat="1" ht="39.75" customHeight="1" spans="1:56">
      <c r="A89" s="37"/>
      <c r="B89" s="9"/>
      <c r="C89" s="31"/>
      <c r="D89" s="31"/>
      <c r="E89" s="33">
        <f t="shared" si="1"/>
        <v>515300</v>
      </c>
      <c r="F89" s="34"/>
      <c r="G89" s="30"/>
      <c r="H89" s="34"/>
      <c r="I89" s="34"/>
      <c r="J89" s="34"/>
      <c r="K89" s="34"/>
      <c r="L89" s="34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  <c r="AK89" s="29"/>
      <c r="AL89" s="29"/>
      <c r="AM89" s="29"/>
      <c r="AN89" s="29"/>
      <c r="AO89" s="29"/>
      <c r="AP89" s="29"/>
      <c r="AQ89" s="29"/>
      <c r="AR89" s="29"/>
      <c r="AS89" s="29"/>
      <c r="AT89" s="29"/>
      <c r="AU89" s="29"/>
      <c r="AV89" s="29"/>
      <c r="AW89" s="29"/>
      <c r="AX89" s="29"/>
      <c r="AY89" s="29"/>
      <c r="AZ89" s="29"/>
      <c r="BA89" s="29"/>
      <c r="BB89" s="29"/>
      <c r="BC89" s="29"/>
      <c r="BD89" s="29"/>
    </row>
    <row r="90" s="26" customFormat="1" ht="39.75" customHeight="1" spans="1:56">
      <c r="A90" s="37"/>
      <c r="B90" s="9"/>
      <c r="C90" s="31"/>
      <c r="D90" s="31"/>
      <c r="E90" s="33">
        <f t="shared" si="1"/>
        <v>515300</v>
      </c>
      <c r="F90" s="34"/>
      <c r="G90" s="30"/>
      <c r="H90" s="34"/>
      <c r="I90" s="34"/>
      <c r="J90" s="34"/>
      <c r="K90" s="34"/>
      <c r="L90" s="34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  <c r="AK90" s="29"/>
      <c r="AL90" s="29"/>
      <c r="AM90" s="29"/>
      <c r="AN90" s="29"/>
      <c r="AO90" s="29"/>
      <c r="AP90" s="29"/>
      <c r="AQ90" s="29"/>
      <c r="AR90" s="29"/>
      <c r="AS90" s="29"/>
      <c r="AT90" s="29"/>
      <c r="AU90" s="29"/>
      <c r="AV90" s="29"/>
      <c r="AW90" s="29"/>
      <c r="AX90" s="29"/>
      <c r="AY90" s="29"/>
      <c r="AZ90" s="29"/>
      <c r="BA90" s="29"/>
      <c r="BB90" s="29"/>
      <c r="BC90" s="29"/>
      <c r="BD90" s="29"/>
    </row>
    <row r="91" s="26" customFormat="1" ht="39.75" customHeight="1" spans="1:56">
      <c r="A91" s="37"/>
      <c r="B91" s="9"/>
      <c r="C91" s="31"/>
      <c r="D91" s="31"/>
      <c r="E91" s="33">
        <f t="shared" si="1"/>
        <v>515300</v>
      </c>
      <c r="F91" s="34"/>
      <c r="G91" s="30"/>
      <c r="H91" s="34"/>
      <c r="I91" s="34"/>
      <c r="J91" s="34"/>
      <c r="K91" s="34"/>
      <c r="L91" s="34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  <c r="AK91" s="29"/>
      <c r="AL91" s="29"/>
      <c r="AM91" s="29"/>
      <c r="AN91" s="29"/>
      <c r="AO91" s="29"/>
      <c r="AP91" s="29"/>
      <c r="AQ91" s="29"/>
      <c r="AR91" s="29"/>
      <c r="AS91" s="29"/>
      <c r="AT91" s="29"/>
      <c r="AU91" s="29"/>
      <c r="AV91" s="29"/>
      <c r="AW91" s="29"/>
      <c r="AX91" s="29"/>
      <c r="AY91" s="29"/>
      <c r="AZ91" s="29"/>
      <c r="BA91" s="29"/>
      <c r="BB91" s="29"/>
      <c r="BC91" s="29"/>
      <c r="BD91" s="29"/>
    </row>
    <row r="92" s="26" customFormat="1" ht="39.75" customHeight="1" spans="1:56">
      <c r="A92" s="37"/>
      <c r="B92" s="9"/>
      <c r="C92" s="31"/>
      <c r="D92" s="31"/>
      <c r="E92" s="33">
        <f t="shared" si="1"/>
        <v>515300</v>
      </c>
      <c r="F92" s="34"/>
      <c r="G92" s="30"/>
      <c r="H92" s="34"/>
      <c r="I92" s="34"/>
      <c r="J92" s="34"/>
      <c r="K92" s="34"/>
      <c r="L92" s="34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  <c r="AK92" s="29"/>
      <c r="AL92" s="29"/>
      <c r="AM92" s="29"/>
      <c r="AN92" s="29"/>
      <c r="AO92" s="29"/>
      <c r="AP92" s="29"/>
      <c r="AQ92" s="29"/>
      <c r="AR92" s="29"/>
      <c r="AS92" s="29"/>
      <c r="AT92" s="29"/>
      <c r="AU92" s="29"/>
      <c r="AV92" s="29"/>
      <c r="AW92" s="29"/>
      <c r="AX92" s="29"/>
      <c r="AY92" s="29"/>
      <c r="AZ92" s="29"/>
      <c r="BA92" s="29"/>
      <c r="BB92" s="29"/>
      <c r="BC92" s="29"/>
      <c r="BD92" s="29"/>
    </row>
    <row r="93" s="26" customFormat="1" ht="15.75" customHeight="1"/>
    <row r="94" s="26" customFormat="1" ht="15.75" customHeight="1"/>
    <row r="95" s="26" customFormat="1" ht="15.75" customHeight="1"/>
    <row r="96" s="26" customFormat="1" ht="15.75" customHeight="1"/>
    <row r="97" s="26" customFormat="1" ht="15.75" customHeight="1"/>
    <row r="98" s="26" customFormat="1" ht="15.75" customHeight="1"/>
    <row r="99" s="26" customFormat="1" ht="15.75" customHeight="1"/>
    <row r="100" s="26" customFormat="1" ht="15.75" customHeight="1"/>
    <row r="101" s="26" customFormat="1" ht="15.75" customHeight="1"/>
    <row r="102" s="26" customFormat="1" ht="15.75" customHeight="1"/>
    <row r="103" s="26" customFormat="1" ht="15.75" customHeight="1"/>
    <row r="104" s="26" customFormat="1" ht="15.75" customHeight="1"/>
    <row r="105" s="26" customFormat="1" ht="15.75" customHeight="1"/>
    <row r="106" s="26" customFormat="1" ht="15.75" customHeight="1"/>
    <row r="107" s="26" customFormat="1" ht="15.75" customHeight="1"/>
    <row r="108" s="26" customFormat="1" ht="15.75" customHeight="1"/>
    <row r="109" s="26" customFormat="1" ht="15.75" customHeight="1"/>
    <row r="110" s="26" customFormat="1" ht="15.75" customHeight="1"/>
    <row r="111" s="26" customFormat="1" ht="15.75" customHeight="1"/>
    <row r="112" s="26" customFormat="1" ht="15.75" customHeight="1"/>
    <row r="113" s="26" customFormat="1" ht="15.75" customHeight="1"/>
    <row r="114" s="26" customFormat="1" ht="15.75" customHeight="1"/>
    <row r="115" s="26" customFormat="1" ht="15.75" customHeight="1"/>
    <row r="116" s="26" customFormat="1" ht="15.75" customHeight="1"/>
    <row r="117" s="26" customFormat="1" ht="15.75" customHeight="1"/>
    <row r="118" s="26" customFormat="1" ht="15.75" customHeight="1"/>
    <row r="119" s="26" customFormat="1" ht="15.75" customHeight="1"/>
    <row r="120" s="26" customFormat="1" ht="15.75" customHeight="1"/>
    <row r="121" s="26" customFormat="1" ht="15.75" customHeight="1"/>
    <row r="122" s="26" customFormat="1" ht="15.75" customHeight="1"/>
    <row r="123" s="26" customFormat="1" ht="15.75" customHeight="1"/>
    <row r="124" s="26" customFormat="1" ht="15.75" customHeight="1"/>
    <row r="125" s="26" customFormat="1" ht="15.75" customHeight="1"/>
    <row r="126" s="26" customFormat="1" ht="15.75" customHeight="1"/>
    <row r="127" s="26" customFormat="1" ht="15.75" customHeight="1"/>
    <row r="128" s="26" customFormat="1" ht="15.75" customHeight="1"/>
    <row r="129" s="26" customFormat="1" ht="15.75" customHeight="1"/>
    <row r="130" s="26" customFormat="1" ht="15.75" customHeight="1"/>
    <row r="131" s="26" customFormat="1" ht="15.75" customHeight="1"/>
    <row r="132" s="26" customFormat="1" ht="15.75" customHeight="1"/>
    <row r="133" s="26" customFormat="1" ht="15.75" customHeight="1"/>
    <row r="134" s="26" customFormat="1" ht="15.75" customHeight="1"/>
    <row r="135" s="26" customFormat="1" ht="15.75" customHeight="1"/>
    <row r="136" s="26" customFormat="1" ht="15.75" customHeight="1"/>
    <row r="137" s="26" customFormat="1" ht="15.75" customHeight="1"/>
    <row r="138" s="26" customFormat="1" ht="15.75" customHeight="1"/>
    <row r="139" s="26" customFormat="1" ht="15.75" customHeight="1"/>
    <row r="140" s="26" customFormat="1" ht="15.75" customHeight="1"/>
    <row r="141" s="26" customFormat="1" ht="15.75" customHeight="1"/>
    <row r="142" s="26" customFormat="1" ht="15.75" customHeight="1"/>
    <row r="143" s="26" customFormat="1" ht="15.75" customHeight="1"/>
    <row r="144" s="26" customFormat="1" ht="15.75" customHeight="1"/>
    <row r="145" s="26" customFormat="1" ht="15.75" customHeight="1"/>
    <row r="146" s="26" customFormat="1" ht="15.75" customHeight="1"/>
    <row r="147" s="26" customFormat="1" ht="15.75" customHeight="1"/>
    <row r="148" s="26" customFormat="1" ht="15.75" customHeight="1"/>
    <row r="149" s="26" customFormat="1" ht="15.75" customHeight="1"/>
    <row r="150" s="26" customFormat="1" ht="15.75" customHeight="1"/>
    <row r="151" s="26" customFormat="1" ht="15.75" customHeight="1"/>
    <row r="152" s="26" customFormat="1" ht="15.75" customHeight="1"/>
    <row r="153" s="26" customFormat="1" ht="15.75" customHeight="1"/>
    <row r="154" s="26" customFormat="1" ht="15.75" customHeight="1"/>
    <row r="155" s="26" customFormat="1" ht="15.75" customHeight="1"/>
    <row r="156" s="26" customFormat="1" ht="15.75" customHeight="1"/>
    <row r="157" s="26" customFormat="1" ht="15.75" customHeight="1"/>
    <row r="158" s="26" customFormat="1" ht="15.75" customHeight="1"/>
    <row r="159" s="26" customFormat="1" ht="15.75" customHeight="1"/>
    <row r="160" s="26" customFormat="1" ht="15.75" customHeight="1"/>
    <row r="161" s="26" customFormat="1" ht="15.75" customHeight="1"/>
    <row r="162" s="26" customFormat="1" ht="15.75" customHeight="1"/>
    <row r="163" s="26" customFormat="1" ht="15.75" customHeight="1"/>
    <row r="164" s="26" customFormat="1" ht="15.75" customHeight="1"/>
    <row r="165" s="26" customFormat="1" ht="15.75" customHeight="1"/>
    <row r="166" s="26" customFormat="1" ht="15.75" customHeight="1"/>
    <row r="167" s="26" customFormat="1" ht="15.75" customHeight="1"/>
    <row r="168" s="26" customFormat="1" ht="15.75" customHeight="1"/>
    <row r="169" s="26" customFormat="1" ht="15.75" customHeight="1"/>
    <row r="170" s="26" customFormat="1" ht="15.75" customHeight="1"/>
    <row r="171" s="26" customFormat="1" ht="15.75" customHeight="1"/>
    <row r="172" s="26" customFormat="1" ht="15.75" customHeight="1"/>
    <row r="173" s="26" customFormat="1" ht="15.75" customHeight="1"/>
    <row r="174" s="26" customFormat="1" ht="15.75" customHeight="1"/>
    <row r="175" s="26" customFormat="1" ht="15.75" customHeight="1"/>
    <row r="176" s="26" customFormat="1" ht="15.75" customHeight="1"/>
    <row r="177" s="26" customFormat="1" ht="15.75" customHeight="1"/>
    <row r="178" s="26" customFormat="1" ht="15.75" customHeight="1"/>
    <row r="179" s="26" customFormat="1" ht="15.75" customHeight="1"/>
    <row r="180" s="26" customFormat="1" ht="15.75" customHeight="1"/>
    <row r="181" s="26" customFormat="1" ht="15.75" customHeight="1"/>
    <row r="182" s="26" customFormat="1" ht="15.75" customHeight="1"/>
    <row r="183" s="26" customFormat="1" ht="15.75" customHeight="1"/>
    <row r="184" s="26" customFormat="1" ht="15.75" customHeight="1"/>
    <row r="185" s="26" customFormat="1" ht="15.75" customHeight="1"/>
    <row r="186" s="26" customFormat="1" ht="15.75" customHeight="1"/>
    <row r="187" s="26" customFormat="1" ht="15.75" customHeight="1"/>
    <row r="188" s="26" customFormat="1" ht="15.75" customHeight="1"/>
    <row r="189" s="26" customFormat="1" ht="15.75" customHeight="1"/>
    <row r="190" s="26" customFormat="1" ht="15.75" customHeight="1"/>
    <row r="191" s="26" customFormat="1" ht="15.75" customHeight="1"/>
    <row r="192" s="26" customFormat="1" ht="15.75" customHeight="1"/>
    <row r="193" s="26" customFormat="1" ht="15.75" customHeight="1"/>
    <row r="194" s="26" customFormat="1" ht="15.75" customHeight="1"/>
    <row r="195" s="26" customFormat="1" ht="15.75" customHeight="1"/>
    <row r="196" s="26" customFormat="1" ht="15.75" customHeight="1"/>
    <row r="197" s="26" customFormat="1" ht="15.75" customHeight="1"/>
    <row r="198" s="26" customFormat="1" ht="15.75" customHeight="1"/>
    <row r="199" s="26" customFormat="1" ht="15.75" customHeight="1"/>
    <row r="200" s="26" customFormat="1" ht="15.75" customHeight="1"/>
    <row r="201" s="26" customFormat="1" ht="15.75" customHeight="1"/>
    <row r="202" s="26" customFormat="1" ht="15.75" customHeight="1"/>
    <row r="203" s="26" customFormat="1" ht="15.75" customHeight="1"/>
    <row r="204" s="26" customFormat="1" ht="15.75" customHeight="1"/>
    <row r="205" s="26" customFormat="1" ht="15.75" customHeight="1"/>
    <row r="206" s="26" customFormat="1" ht="15.75" customHeight="1"/>
    <row r="207" s="26" customFormat="1" ht="15.75" customHeight="1"/>
    <row r="208" s="26" customFormat="1" ht="15.75" customHeight="1"/>
    <row r="209" s="26" customFormat="1" ht="15.75" customHeight="1"/>
    <row r="210" s="26" customFormat="1" ht="15.75" customHeight="1"/>
    <row r="211" s="26" customFormat="1" ht="15.75" customHeight="1"/>
    <row r="212" s="26" customFormat="1" ht="15.75" customHeight="1"/>
    <row r="213" s="26" customFormat="1" ht="15.75" customHeight="1"/>
    <row r="214" s="26" customFormat="1" ht="15.75" customHeight="1"/>
    <row r="215" s="26" customFormat="1" ht="15.75" customHeight="1"/>
    <row r="216" s="26" customFormat="1" ht="15.75" customHeight="1"/>
    <row r="217" s="26" customFormat="1" ht="15.75" customHeight="1"/>
    <row r="218" s="26" customFormat="1" ht="15.75" customHeight="1"/>
    <row r="219" s="26" customFormat="1" ht="15.75" customHeight="1"/>
    <row r="220" s="26" customFormat="1" ht="15.75" customHeight="1"/>
    <row r="221" s="26" customFormat="1" ht="15.75" customHeight="1"/>
    <row r="222" s="26" customFormat="1" ht="15.75" customHeight="1"/>
    <row r="223" s="26" customFormat="1" ht="15.75" customHeight="1"/>
    <row r="224" s="26" customFormat="1" ht="15.75" customHeight="1"/>
    <row r="225" s="26" customFormat="1" ht="15.75" customHeight="1"/>
    <row r="226" s="26" customFormat="1" ht="15.75" customHeight="1"/>
    <row r="227" s="26" customFormat="1" ht="15.75" customHeight="1"/>
    <row r="228" s="26" customFormat="1" ht="15.75" customHeight="1"/>
    <row r="229" s="26" customFormat="1" ht="15.75" customHeight="1"/>
    <row r="230" s="26" customFormat="1" ht="15.75" customHeight="1"/>
    <row r="231" s="26" customFormat="1" ht="15.75" customHeight="1"/>
    <row r="232" s="26" customFormat="1" ht="15.75" customHeight="1"/>
    <row r="233" s="26" customFormat="1" ht="15.75" customHeight="1"/>
    <row r="234" s="26" customFormat="1" ht="15.75" customHeight="1"/>
    <row r="235" s="26" customFormat="1" ht="15.75" customHeight="1"/>
    <row r="236" s="26" customFormat="1" ht="15.75" customHeight="1"/>
    <row r="237" s="26" customFormat="1" ht="15.75" customHeight="1"/>
    <row r="238" s="26" customFormat="1" ht="15.75" customHeight="1"/>
    <row r="239" s="26" customFormat="1" ht="15.75" customHeight="1"/>
    <row r="240" s="26" customFormat="1" ht="15.75" customHeight="1"/>
    <row r="241" s="26" customFormat="1" ht="15.75" customHeight="1"/>
    <row r="242" s="26" customFormat="1" ht="15.75" customHeight="1"/>
    <row r="243" s="26" customFormat="1" ht="15.75" customHeight="1"/>
    <row r="244" s="26" customFormat="1" ht="15.75" customHeight="1"/>
    <row r="245" s="26" customFormat="1" ht="15.75" customHeight="1"/>
    <row r="246" s="26" customFormat="1" ht="15.75" customHeight="1"/>
    <row r="247" s="26" customFormat="1" ht="15.75" customHeight="1"/>
    <row r="248" s="26" customFormat="1" ht="15.75" customHeight="1"/>
    <row r="249" s="26" customFormat="1" ht="15.75" customHeight="1"/>
    <row r="250" s="26" customFormat="1" ht="15.75" customHeight="1"/>
    <row r="251" s="26" customFormat="1" ht="15.75" customHeight="1"/>
    <row r="252" s="26" customFormat="1" ht="15.75" customHeight="1"/>
    <row r="253" s="26" customFormat="1" ht="15.75" customHeight="1"/>
    <row r="254" s="26" customFormat="1" ht="15.75" customHeight="1"/>
    <row r="255" s="26" customFormat="1" ht="15.75" customHeight="1"/>
    <row r="256" s="26" customFormat="1" ht="15.75" customHeight="1"/>
    <row r="257" s="26" customFormat="1" ht="15.75" customHeight="1"/>
    <row r="258" s="26" customFormat="1" ht="15.75" customHeight="1"/>
    <row r="259" s="26" customFormat="1" ht="15.75" customHeight="1"/>
    <row r="260" s="26" customFormat="1" ht="15.75" customHeight="1"/>
    <row r="261" s="26" customFormat="1" ht="15.75" customHeight="1"/>
    <row r="262" s="26" customFormat="1" ht="15.75" customHeight="1"/>
    <row r="263" s="26" customFormat="1" ht="15.75" customHeight="1"/>
    <row r="264" s="26" customFormat="1" ht="15.75" customHeight="1"/>
    <row r="265" s="26" customFormat="1" ht="15.75" customHeight="1"/>
    <row r="266" s="26" customFormat="1" ht="15.75" customHeight="1"/>
    <row r="267" s="26" customFormat="1" ht="15.75" customHeight="1"/>
    <row r="268" s="26" customFormat="1" ht="15.75" customHeight="1"/>
    <row r="269" s="26" customFormat="1" ht="15.75" customHeight="1"/>
    <row r="270" s="26" customFormat="1" ht="15.75" customHeight="1"/>
    <row r="271" s="26" customFormat="1" ht="15.75" customHeight="1"/>
    <row r="272" s="26" customFormat="1" ht="15.75" customHeight="1"/>
    <row r="273" s="26" customFormat="1" ht="15.75" customHeight="1"/>
    <row r="274" s="26" customFormat="1" ht="15.75" customHeight="1"/>
    <row r="275" s="26" customFormat="1" ht="15.75" customHeight="1"/>
    <row r="276" s="26" customFormat="1" ht="15.75" customHeight="1"/>
    <row r="277" s="26" customFormat="1" ht="15.75" customHeight="1"/>
    <row r="278" s="26" customFormat="1" ht="15.75" customHeight="1"/>
    <row r="279" s="26" customFormat="1" ht="15.75" customHeight="1"/>
    <row r="280" s="26" customFormat="1" ht="15.75" customHeight="1"/>
    <row r="281" s="26" customFormat="1" ht="15.75" customHeight="1"/>
    <row r="282" s="26" customFormat="1" ht="15.75" customHeight="1"/>
    <row r="283" s="26" customFormat="1" ht="15.75" customHeight="1"/>
    <row r="284" s="26" customFormat="1" ht="15.75" customHeight="1"/>
    <row r="285" s="26" customFormat="1" ht="15.75" customHeight="1"/>
    <row r="286" s="26" customFormat="1" ht="15.75" customHeight="1"/>
    <row r="287" s="26" customFormat="1" ht="15.75" customHeight="1"/>
    <row r="288" s="26" customFormat="1" ht="15.75" customHeight="1"/>
    <row r="289" s="26" customFormat="1" ht="15.75" customHeight="1"/>
    <row r="290" s="26" customFormat="1" ht="15.75" customHeight="1"/>
    <row r="291" s="26" customFormat="1" ht="15.75" customHeight="1"/>
    <row r="292" s="26" customFormat="1" ht="15.75" customHeight="1"/>
    <row r="293" s="26" customFormat="1" ht="15.75" customHeight="1"/>
    <row r="294" s="26" customFormat="1" ht="15.75" customHeight="1"/>
    <row r="295" s="26" customFormat="1" ht="15.75" customHeight="1"/>
    <row r="296" s="26" customFormat="1" ht="15.75" customHeight="1"/>
    <row r="297" s="26" customFormat="1" ht="15.75" customHeight="1"/>
    <row r="298" s="26" customFormat="1" ht="15.75" customHeight="1"/>
    <row r="299" s="26" customFormat="1" ht="15.75" customHeight="1"/>
    <row r="300" s="26" customFormat="1" ht="15.75" customHeight="1"/>
    <row r="301" s="26" customFormat="1" ht="15.75" customHeight="1"/>
    <row r="302" s="26" customFormat="1" ht="15.75" customHeight="1"/>
    <row r="303" s="26" customFormat="1" ht="15.75" customHeight="1"/>
    <row r="304" s="26" customFormat="1" ht="15.75" customHeight="1"/>
    <row r="305" s="26" customFormat="1" ht="15.75" customHeight="1"/>
    <row r="306" s="26" customFormat="1" ht="15.75" customHeight="1"/>
    <row r="307" s="26" customFormat="1" ht="15.75" customHeight="1"/>
    <row r="308" s="26" customFormat="1" ht="15.75" customHeight="1"/>
    <row r="309" s="26" customFormat="1" ht="15.75" customHeight="1"/>
    <row r="310" s="26" customFormat="1" ht="15.75" customHeight="1"/>
    <row r="311" s="26" customFormat="1" ht="15.75" customHeight="1"/>
    <row r="312" s="26" customFormat="1" ht="15.75" customHeight="1"/>
    <row r="313" s="26" customFormat="1" ht="15.75" customHeight="1"/>
    <row r="314" s="26" customFormat="1" ht="15.75" customHeight="1"/>
    <row r="315" s="26" customFormat="1" ht="15.75" customHeight="1"/>
    <row r="316" s="26" customFormat="1" ht="15.75" customHeight="1"/>
    <row r="317" s="26" customFormat="1" ht="15.75" customHeight="1"/>
    <row r="318" s="26" customFormat="1" ht="15.75" customHeight="1"/>
    <row r="319" s="26" customFormat="1" ht="15.75" customHeight="1"/>
    <row r="320" s="26" customFormat="1" ht="15.75" customHeight="1"/>
    <row r="321" s="26" customFormat="1" ht="15.75" customHeight="1"/>
    <row r="322" s="26" customFormat="1" ht="15.75" customHeight="1"/>
    <row r="323" s="26" customFormat="1" ht="15.75" customHeight="1"/>
    <row r="324" s="26" customFormat="1" ht="15.75" customHeight="1"/>
    <row r="325" s="26" customFormat="1" ht="15.75" customHeight="1"/>
    <row r="326" s="26" customFormat="1" ht="15.75" customHeight="1"/>
    <row r="327" s="26" customFormat="1" ht="15.75" customHeight="1"/>
    <row r="328" s="26" customFormat="1" ht="15.75" customHeight="1"/>
    <row r="329" s="26" customFormat="1" ht="15.75" customHeight="1"/>
    <row r="330" s="26" customFormat="1" ht="15.75" customHeight="1"/>
    <row r="331" s="26" customFormat="1" ht="15.75" customHeight="1"/>
    <row r="332" s="26" customFormat="1" ht="15.75" customHeight="1"/>
    <row r="333" s="26" customFormat="1" ht="15.75" customHeight="1"/>
    <row r="334" s="26" customFormat="1" ht="15.75" customHeight="1"/>
    <row r="335" s="26" customFormat="1" ht="15.75" customHeight="1"/>
    <row r="336" s="26" customFormat="1" ht="15.75" customHeight="1"/>
    <row r="337" s="26" customFormat="1" ht="15.75" customHeight="1"/>
    <row r="338" s="26" customFormat="1" ht="15.75" customHeight="1"/>
    <row r="339" s="26" customFormat="1" ht="15.75" customHeight="1"/>
    <row r="340" s="26" customFormat="1" ht="15.75" customHeight="1"/>
    <row r="341" s="26" customFormat="1" ht="15.75" customHeight="1"/>
    <row r="342" s="26" customFormat="1" ht="15.75" customHeight="1"/>
    <row r="343" s="26" customFormat="1" ht="15.75" customHeight="1"/>
    <row r="344" s="26" customFormat="1" ht="15.75" customHeight="1"/>
    <row r="345" s="26" customFormat="1" ht="15.75" customHeight="1"/>
    <row r="346" s="26" customFormat="1" ht="15.75" customHeight="1"/>
    <row r="347" s="26" customFormat="1" ht="15.75" customHeight="1"/>
    <row r="348" s="26" customFormat="1" ht="15.75" customHeight="1"/>
    <row r="349" s="26" customFormat="1" ht="15.75" customHeight="1"/>
    <row r="350" s="26" customFormat="1" ht="15.75" customHeight="1"/>
    <row r="351" s="26" customFormat="1" ht="15.75" customHeight="1"/>
    <row r="352" s="26" customFormat="1" ht="15.75" customHeight="1"/>
    <row r="353" s="26" customFormat="1" ht="15.75" customHeight="1"/>
    <row r="354" s="26" customFormat="1" ht="15.75" customHeight="1"/>
    <row r="355" s="26" customFormat="1" ht="15.75" customHeight="1"/>
    <row r="356" s="26" customFormat="1" ht="15.75" customHeight="1"/>
    <row r="357" s="26" customFormat="1" ht="15.75" customHeight="1"/>
    <row r="358" s="26" customFormat="1" ht="15.75" customHeight="1"/>
    <row r="359" s="26" customFormat="1" ht="15.75" customHeight="1"/>
    <row r="360" s="26" customFormat="1" ht="15.75" customHeight="1"/>
    <row r="361" s="26" customFormat="1" ht="15.75" customHeight="1"/>
    <row r="362" s="26" customFormat="1" ht="15.75" customHeight="1"/>
    <row r="363" s="26" customFormat="1" ht="15.75" customHeight="1"/>
    <row r="364" s="26" customFormat="1" ht="15.75" customHeight="1"/>
    <row r="365" s="26" customFormat="1" ht="15.75" customHeight="1"/>
    <row r="366" s="26" customFormat="1" ht="15.75" customHeight="1"/>
    <row r="367" s="26" customFormat="1" ht="15.75" customHeight="1"/>
    <row r="368" s="26" customFormat="1" ht="15.75" customHeight="1"/>
    <row r="369" s="26" customFormat="1" ht="15.75" customHeight="1"/>
    <row r="370" s="26" customFormat="1" ht="15.75" customHeight="1"/>
    <row r="371" s="26" customFormat="1" ht="15.75" customHeight="1"/>
    <row r="372" s="26" customFormat="1" ht="15.75" customHeight="1"/>
    <row r="373" s="26" customFormat="1" ht="15.75" customHeight="1"/>
    <row r="374" s="26" customFormat="1" ht="15.75" customHeight="1"/>
    <row r="375" s="26" customFormat="1" ht="15.75" customHeight="1"/>
    <row r="376" s="26" customFormat="1" ht="15.75" customHeight="1"/>
    <row r="377" s="26" customFormat="1" ht="15.75" customHeight="1"/>
    <row r="378" s="26" customFormat="1" ht="15.75" customHeight="1"/>
    <row r="379" s="26" customFormat="1" ht="15.75" customHeight="1"/>
    <row r="380" s="26" customFormat="1" ht="15.75" customHeight="1"/>
    <row r="381" s="26" customFormat="1" ht="15.75" customHeight="1"/>
    <row r="382" s="26" customFormat="1" ht="15.75" customHeight="1"/>
    <row r="383" s="26" customFormat="1" ht="15.75" customHeight="1"/>
    <row r="384" s="26" customFormat="1" ht="15.75" customHeight="1"/>
    <row r="385" s="26" customFormat="1" ht="15.75" customHeight="1"/>
    <row r="386" s="26" customFormat="1" ht="15.75" customHeight="1"/>
    <row r="387" s="26" customFormat="1" ht="15.75" customHeight="1"/>
    <row r="388" s="26" customFormat="1" ht="15.75" customHeight="1"/>
    <row r="389" s="26" customFormat="1" ht="15.75" customHeight="1"/>
    <row r="390" s="26" customFormat="1" ht="15.75" customHeight="1"/>
    <row r="391" s="26" customFormat="1" ht="15.75" customHeight="1"/>
    <row r="392" s="26" customFormat="1" ht="15.75" customHeight="1"/>
    <row r="393" s="26" customFormat="1" ht="15.75" customHeight="1"/>
    <row r="394" s="26" customFormat="1" ht="15.75" customHeight="1"/>
    <row r="395" s="26" customFormat="1" ht="15.75" customHeight="1"/>
    <row r="396" s="26" customFormat="1" ht="15.75" customHeight="1"/>
    <row r="397" s="26" customFormat="1" ht="15.75" customHeight="1"/>
    <row r="398" s="26" customFormat="1" ht="15.75" customHeight="1"/>
    <row r="399" s="26" customFormat="1" ht="15.75" customHeight="1"/>
    <row r="400" s="26" customFormat="1" ht="15.75" customHeight="1"/>
    <row r="401" s="26" customFormat="1" ht="15.75" customHeight="1"/>
    <row r="402" s="26" customFormat="1" ht="15.75" customHeight="1"/>
    <row r="403" s="26" customFormat="1" ht="15.75" customHeight="1"/>
    <row r="404" s="26" customFormat="1" ht="15.75" customHeight="1"/>
    <row r="405" s="26" customFormat="1" ht="15.75" customHeight="1"/>
    <row r="406" s="26" customFormat="1" ht="15.75" customHeight="1"/>
    <row r="407" s="26" customFormat="1" ht="15.75" customHeight="1"/>
    <row r="408" s="26" customFormat="1" ht="15.75" customHeight="1"/>
    <row r="409" s="26" customFormat="1" ht="15.75" customHeight="1"/>
    <row r="410" s="26" customFormat="1" ht="15.75" customHeight="1"/>
    <row r="411" s="26" customFormat="1" ht="15.75" customHeight="1"/>
    <row r="412" s="26" customFormat="1" ht="15.75" customHeight="1"/>
    <row r="413" s="26" customFormat="1" ht="15.75" customHeight="1"/>
    <row r="414" s="26" customFormat="1" ht="15.75" customHeight="1"/>
    <row r="415" s="26" customFormat="1" ht="15.75" customHeight="1"/>
    <row r="416" s="26" customFormat="1" ht="15.75" customHeight="1"/>
    <row r="417" s="26" customFormat="1" ht="15.75" customHeight="1"/>
    <row r="418" s="26" customFormat="1" ht="15.75" customHeight="1"/>
    <row r="419" s="26" customFormat="1" ht="15.75" customHeight="1"/>
    <row r="420" s="26" customFormat="1" ht="15.75" customHeight="1"/>
    <row r="421" s="26" customFormat="1" ht="15.75" customHeight="1"/>
    <row r="422" s="26" customFormat="1" ht="15.75" customHeight="1"/>
    <row r="423" s="26" customFormat="1" ht="15.75" customHeight="1"/>
    <row r="424" s="26" customFormat="1" ht="15.75" customHeight="1"/>
    <row r="425" s="26" customFormat="1" ht="15.75" customHeight="1"/>
    <row r="426" s="26" customFormat="1" ht="15.75" customHeight="1"/>
    <row r="427" s="26" customFormat="1" ht="15.75" customHeight="1"/>
    <row r="428" s="26" customFormat="1" ht="15.75" customHeight="1"/>
    <row r="429" s="26" customFormat="1" ht="15.75" customHeight="1"/>
    <row r="430" s="26" customFormat="1" ht="15.75" customHeight="1"/>
    <row r="431" s="26" customFormat="1" ht="15.75" customHeight="1"/>
    <row r="432" s="26" customFormat="1" ht="15.75" customHeight="1"/>
    <row r="433" s="26" customFormat="1" ht="15.75" customHeight="1"/>
    <row r="434" s="26" customFormat="1" ht="15.75" customHeight="1"/>
    <row r="435" s="26" customFormat="1" ht="15.75" customHeight="1"/>
    <row r="436" s="26" customFormat="1" ht="15.75" customHeight="1"/>
    <row r="437" s="26" customFormat="1" ht="15.75" customHeight="1"/>
    <row r="438" s="26" customFormat="1" ht="15.75" customHeight="1"/>
    <row r="439" s="26" customFormat="1" ht="15.75" customHeight="1"/>
    <row r="440" s="26" customFormat="1" ht="15.75" customHeight="1"/>
    <row r="441" s="26" customFormat="1" ht="15.75" customHeight="1"/>
    <row r="442" s="26" customFormat="1" ht="15.75" customHeight="1"/>
    <row r="443" s="26" customFormat="1" ht="15.75" customHeight="1"/>
    <row r="444" s="26" customFormat="1" ht="15.75" customHeight="1"/>
    <row r="445" s="26" customFormat="1" ht="15.75" customHeight="1"/>
    <row r="446" s="26" customFormat="1" ht="15.75" customHeight="1"/>
    <row r="447" s="26" customFormat="1" ht="15.75" customHeight="1"/>
    <row r="448" s="26" customFormat="1" ht="15.75" customHeight="1"/>
    <row r="449" s="26" customFormat="1" ht="15.75" customHeight="1"/>
    <row r="450" s="26" customFormat="1" ht="15.75" customHeight="1"/>
    <row r="451" s="26" customFormat="1" ht="15.75" customHeight="1"/>
    <row r="452" s="26" customFormat="1" ht="15.75" customHeight="1"/>
    <row r="453" s="26" customFormat="1" ht="15.75" customHeight="1"/>
    <row r="454" s="26" customFormat="1" ht="15.75" customHeight="1"/>
    <row r="455" s="26" customFormat="1" ht="15.75" customHeight="1"/>
    <row r="456" s="26" customFormat="1" ht="15.75" customHeight="1"/>
    <row r="457" s="26" customFormat="1" ht="15.75" customHeight="1"/>
    <row r="458" s="26" customFormat="1" ht="15.75" customHeight="1"/>
    <row r="459" s="26" customFormat="1" ht="15.75" customHeight="1"/>
    <row r="460" s="26" customFormat="1" ht="15.75" customHeight="1"/>
    <row r="461" s="26" customFormat="1" ht="15.75" customHeight="1"/>
    <row r="462" s="26" customFormat="1" ht="15.75" customHeight="1"/>
    <row r="463" s="26" customFormat="1" ht="15.75" customHeight="1"/>
    <row r="464" s="26" customFormat="1" ht="15.75" customHeight="1"/>
    <row r="465" s="26" customFormat="1" ht="15.75" customHeight="1"/>
    <row r="466" s="26" customFormat="1" ht="15.75" customHeight="1"/>
    <row r="467" s="26" customFormat="1" ht="15.75" customHeight="1"/>
    <row r="468" s="26" customFormat="1" ht="15.75" customHeight="1"/>
    <row r="469" s="26" customFormat="1" ht="15.75" customHeight="1"/>
    <row r="470" s="26" customFormat="1" ht="15.75" customHeight="1"/>
    <row r="471" s="26" customFormat="1" ht="15.75" customHeight="1"/>
    <row r="472" s="26" customFormat="1" ht="15.75" customHeight="1"/>
    <row r="473" s="26" customFormat="1" ht="15.75" customHeight="1"/>
    <row r="474" s="26" customFormat="1" ht="15.75" customHeight="1"/>
    <row r="475" s="26" customFormat="1" ht="15.75" customHeight="1"/>
    <row r="476" s="26" customFormat="1" ht="15.75" customHeight="1"/>
    <row r="477" s="26" customFormat="1" ht="15.75" customHeight="1"/>
    <row r="478" s="26" customFormat="1" ht="15.75" customHeight="1"/>
    <row r="479" s="26" customFormat="1" ht="15.75" customHeight="1"/>
    <row r="480" s="26" customFormat="1" ht="15.75" customHeight="1"/>
    <row r="481" s="26" customFormat="1" ht="15.75" customHeight="1"/>
    <row r="482" s="26" customFormat="1" ht="15.75" customHeight="1"/>
    <row r="483" s="26" customFormat="1" ht="15.75" customHeight="1"/>
    <row r="484" s="26" customFormat="1" ht="15.75" customHeight="1"/>
    <row r="485" s="26" customFormat="1" ht="15.75" customHeight="1"/>
    <row r="486" s="26" customFormat="1" ht="15.75" customHeight="1"/>
    <row r="487" s="26" customFormat="1" ht="15.75" customHeight="1"/>
    <row r="488" s="26" customFormat="1" ht="15.75" customHeight="1"/>
    <row r="489" s="26" customFormat="1" ht="15.75" customHeight="1"/>
    <row r="490" s="26" customFormat="1" ht="15.75" customHeight="1"/>
    <row r="491" s="26" customFormat="1" ht="15.75" customHeight="1"/>
    <row r="492" s="26" customFormat="1" ht="15.75" customHeight="1"/>
    <row r="493" s="26" customFormat="1" ht="15.75" customHeight="1"/>
    <row r="494" s="26" customFormat="1" ht="15.75" customHeight="1"/>
    <row r="495" s="26" customFormat="1" ht="15.75" customHeight="1"/>
    <row r="496" s="26" customFormat="1" ht="15.75" customHeight="1"/>
    <row r="497" s="26" customFormat="1" ht="15.75" customHeight="1"/>
    <row r="498" s="26" customFormat="1" ht="15.75" customHeight="1"/>
    <row r="499" s="26" customFormat="1" ht="15.75" customHeight="1"/>
    <row r="500" s="26" customFormat="1" ht="15.75" customHeight="1"/>
    <row r="501" s="26" customFormat="1" ht="15.75" customHeight="1"/>
    <row r="502" s="26" customFormat="1" ht="15.75" customHeight="1"/>
    <row r="503" s="26" customFormat="1" ht="15.75" customHeight="1"/>
    <row r="504" s="26" customFormat="1" ht="15.75" customHeight="1"/>
    <row r="505" s="26" customFormat="1" ht="15.75" customHeight="1"/>
    <row r="506" s="26" customFormat="1" ht="15.75" customHeight="1"/>
    <row r="507" s="26" customFormat="1" ht="15.75" customHeight="1"/>
    <row r="508" s="26" customFormat="1" ht="15.75" customHeight="1"/>
    <row r="509" s="26" customFormat="1" ht="15.75" customHeight="1"/>
    <row r="510" s="26" customFormat="1" ht="15.75" customHeight="1"/>
    <row r="511" s="26" customFormat="1" ht="15.75" customHeight="1"/>
    <row r="512" s="26" customFormat="1" ht="15.75" customHeight="1"/>
    <row r="513" s="26" customFormat="1" ht="15.75" customHeight="1"/>
    <row r="514" s="26" customFormat="1" ht="15.75" customHeight="1"/>
    <row r="515" s="26" customFormat="1" ht="15.75" customHeight="1"/>
    <row r="516" s="26" customFormat="1" ht="15.75" customHeight="1"/>
    <row r="517" s="26" customFormat="1" ht="15.75" customHeight="1"/>
    <row r="518" s="26" customFormat="1" ht="15.75" customHeight="1"/>
    <row r="519" s="26" customFormat="1" ht="15.75" customHeight="1"/>
    <row r="520" s="26" customFormat="1" ht="15.75" customHeight="1"/>
    <row r="521" s="26" customFormat="1" ht="15.75" customHeight="1"/>
    <row r="522" s="26" customFormat="1" ht="15.75" customHeight="1"/>
    <row r="523" s="26" customFormat="1" ht="15.75" customHeight="1"/>
    <row r="524" s="26" customFormat="1" ht="15.75" customHeight="1"/>
    <row r="525" s="26" customFormat="1" ht="15.75" customHeight="1"/>
    <row r="526" s="26" customFormat="1" ht="15.75" customHeight="1"/>
    <row r="527" s="26" customFormat="1" ht="15.75" customHeight="1"/>
    <row r="528" s="26" customFormat="1" ht="15.75" customHeight="1"/>
    <row r="529" s="26" customFormat="1" ht="15.75" customHeight="1"/>
    <row r="530" s="26" customFormat="1" ht="15.75" customHeight="1"/>
    <row r="531" s="26" customFormat="1" ht="15.75" customHeight="1"/>
    <row r="532" s="26" customFormat="1" ht="15.75" customHeight="1"/>
    <row r="533" s="26" customFormat="1" ht="15.75" customHeight="1"/>
    <row r="534" s="26" customFormat="1" ht="15.75" customHeight="1"/>
    <row r="535" s="26" customFormat="1" ht="15.75" customHeight="1"/>
    <row r="536" s="26" customFormat="1" ht="15.75" customHeight="1"/>
    <row r="537" s="26" customFormat="1" ht="15.75" customHeight="1"/>
    <row r="538" s="26" customFormat="1" ht="15.75" customHeight="1"/>
    <row r="539" s="26" customFormat="1" ht="15.75" customHeight="1"/>
    <row r="540" s="26" customFormat="1" ht="15.75" customHeight="1"/>
    <row r="541" s="26" customFormat="1" ht="15.75" customHeight="1"/>
    <row r="542" s="26" customFormat="1" ht="15.75" customHeight="1"/>
    <row r="543" s="26" customFormat="1" ht="15.75" customHeight="1"/>
    <row r="544" s="26" customFormat="1" ht="15.75" customHeight="1"/>
    <row r="545" s="26" customFormat="1" ht="15.75" customHeight="1"/>
    <row r="546" s="26" customFormat="1" ht="15.75" customHeight="1"/>
    <row r="547" s="26" customFormat="1" ht="15.75" customHeight="1"/>
    <row r="548" s="26" customFormat="1" ht="15.75" customHeight="1"/>
    <row r="549" s="26" customFormat="1" ht="15.75" customHeight="1"/>
    <row r="550" s="26" customFormat="1" ht="15.75" customHeight="1"/>
    <row r="551" s="26" customFormat="1" ht="15.75" customHeight="1"/>
    <row r="552" s="26" customFormat="1" ht="15.75" customHeight="1"/>
    <row r="553" s="26" customFormat="1" ht="15.75" customHeight="1"/>
    <row r="554" s="26" customFormat="1" ht="15.75" customHeight="1"/>
    <row r="555" s="26" customFormat="1" ht="15.75" customHeight="1"/>
    <row r="556" s="26" customFormat="1" ht="15.75" customHeight="1"/>
    <row r="557" s="26" customFormat="1" ht="15.75" customHeight="1"/>
    <row r="558" s="26" customFormat="1" ht="15.75" customHeight="1"/>
    <row r="559" s="26" customFormat="1" ht="15.75" customHeight="1"/>
    <row r="560" s="26" customFormat="1" ht="15.75" customHeight="1"/>
    <row r="561" s="26" customFormat="1" ht="15.75" customHeight="1"/>
    <row r="562" s="26" customFormat="1" ht="15.75" customHeight="1"/>
    <row r="563" s="26" customFormat="1" ht="15.75" customHeight="1"/>
    <row r="564" s="26" customFormat="1" ht="15.75" customHeight="1"/>
    <row r="565" s="26" customFormat="1" ht="15.75" customHeight="1"/>
    <row r="566" s="26" customFormat="1" ht="15.75" customHeight="1"/>
    <row r="567" s="26" customFormat="1" ht="15.75" customHeight="1"/>
    <row r="568" s="26" customFormat="1" ht="15.75" customHeight="1"/>
    <row r="569" s="26" customFormat="1" ht="15.75" customHeight="1"/>
    <row r="570" s="26" customFormat="1" ht="15.75" customHeight="1"/>
    <row r="571" s="26" customFormat="1" ht="15.75" customHeight="1"/>
    <row r="572" s="26" customFormat="1" ht="15.75" customHeight="1"/>
    <row r="573" s="26" customFormat="1" ht="15.75" customHeight="1"/>
    <row r="574" s="26" customFormat="1" ht="15.75" customHeight="1"/>
    <row r="575" s="26" customFormat="1" ht="15.75" customHeight="1"/>
    <row r="576" s="26" customFormat="1" ht="15.75" customHeight="1"/>
    <row r="577" s="26" customFormat="1" ht="15.75" customHeight="1"/>
    <row r="578" s="26" customFormat="1" ht="15.75" customHeight="1"/>
    <row r="579" s="26" customFormat="1" ht="15.75" customHeight="1"/>
    <row r="580" s="26" customFormat="1" ht="15.75" customHeight="1"/>
    <row r="581" s="26" customFormat="1" ht="15.75" customHeight="1"/>
    <row r="582" s="26" customFormat="1" ht="15.75" customHeight="1"/>
    <row r="583" s="26" customFormat="1" ht="15.75" customHeight="1"/>
    <row r="584" s="26" customFormat="1" ht="15.75" customHeight="1"/>
    <row r="585" s="26" customFormat="1" ht="15.75" customHeight="1"/>
    <row r="586" s="26" customFormat="1" ht="15.75" customHeight="1"/>
    <row r="587" s="26" customFormat="1" ht="15.75" customHeight="1"/>
    <row r="588" s="26" customFormat="1" ht="15.75" customHeight="1"/>
    <row r="589" s="26" customFormat="1" ht="15.75" customHeight="1"/>
    <row r="590" s="26" customFormat="1" ht="15.75" customHeight="1"/>
    <row r="591" s="26" customFormat="1" ht="15.75" customHeight="1"/>
    <row r="592" s="26" customFormat="1" ht="15.75" customHeight="1"/>
    <row r="593" s="26" customFormat="1" ht="15.75" customHeight="1"/>
    <row r="594" s="26" customFormat="1" ht="15.75" customHeight="1"/>
    <row r="595" s="26" customFormat="1" ht="15.75" customHeight="1"/>
    <row r="596" s="26" customFormat="1" ht="15.75" customHeight="1"/>
    <row r="597" s="26" customFormat="1" ht="15.75" customHeight="1"/>
    <row r="598" s="26" customFormat="1" ht="15.75" customHeight="1"/>
    <row r="599" s="26" customFormat="1" ht="15.75" customHeight="1"/>
    <row r="600" s="26" customFormat="1" ht="15.75" customHeight="1"/>
    <row r="601" s="26" customFormat="1" ht="15.75" customHeight="1"/>
    <row r="602" s="26" customFormat="1" ht="15.75" customHeight="1"/>
    <row r="603" s="26" customFormat="1" ht="15.75" customHeight="1"/>
    <row r="604" s="26" customFormat="1" ht="15.75" customHeight="1"/>
    <row r="605" s="26" customFormat="1" ht="15.75" customHeight="1"/>
    <row r="606" s="26" customFormat="1" ht="15.75" customHeight="1"/>
    <row r="607" s="26" customFormat="1" ht="15.75" customHeight="1"/>
    <row r="608" s="26" customFormat="1" ht="15.75" customHeight="1"/>
    <row r="609" s="26" customFormat="1" ht="15.75" customHeight="1"/>
    <row r="610" s="26" customFormat="1" ht="15.75" customHeight="1"/>
    <row r="611" s="26" customFormat="1" ht="15.75" customHeight="1"/>
    <row r="612" s="26" customFormat="1" ht="15.75" customHeight="1"/>
    <row r="613" s="26" customFormat="1" ht="15.75" customHeight="1"/>
    <row r="614" s="26" customFormat="1" ht="15.75" customHeight="1"/>
    <row r="615" s="26" customFormat="1" ht="15.75" customHeight="1"/>
    <row r="616" s="26" customFormat="1" ht="15.75" customHeight="1"/>
    <row r="617" s="26" customFormat="1" ht="15.75" customHeight="1"/>
    <row r="618" s="26" customFormat="1" ht="15.75" customHeight="1"/>
    <row r="619" s="26" customFormat="1" ht="15.75" customHeight="1"/>
    <row r="620" s="26" customFormat="1" ht="15.75" customHeight="1"/>
    <row r="621" s="26" customFormat="1" ht="15.75" customHeight="1"/>
    <row r="622" s="26" customFormat="1" ht="15.75" customHeight="1"/>
    <row r="623" s="26" customFormat="1" ht="15.75" customHeight="1"/>
    <row r="624" s="26" customFormat="1" ht="15.75" customHeight="1"/>
    <row r="625" s="26" customFormat="1" ht="15.75" customHeight="1"/>
    <row r="626" s="26" customFormat="1" ht="15.75" customHeight="1"/>
    <row r="627" s="26" customFormat="1" ht="15.75" customHeight="1"/>
    <row r="628" s="26" customFormat="1" ht="15.75" customHeight="1"/>
    <row r="629" s="26" customFormat="1" ht="15.75" customHeight="1"/>
    <row r="630" s="26" customFormat="1" ht="15.75" customHeight="1"/>
    <row r="631" s="26" customFormat="1" ht="15.75" customHeight="1"/>
    <row r="632" s="26" customFormat="1" ht="15.75" customHeight="1"/>
    <row r="633" s="26" customFormat="1" ht="15.75" customHeight="1"/>
    <row r="634" s="26" customFormat="1" ht="15.75" customHeight="1"/>
    <row r="635" s="26" customFormat="1" ht="15.75" customHeight="1"/>
    <row r="636" s="26" customFormat="1" ht="15.75" customHeight="1"/>
    <row r="637" s="26" customFormat="1" ht="15.75" customHeight="1"/>
    <row r="638" s="26" customFormat="1" ht="15.75" customHeight="1"/>
    <row r="639" s="26" customFormat="1" ht="15.75" customHeight="1"/>
    <row r="640" s="26" customFormat="1" ht="15.75" customHeight="1"/>
    <row r="641" s="26" customFormat="1" ht="15.75" customHeight="1"/>
    <row r="642" s="26" customFormat="1" ht="15.75" customHeight="1"/>
    <row r="643" s="26" customFormat="1" ht="15.75" customHeight="1"/>
    <row r="644" s="26" customFormat="1" ht="15.75" customHeight="1"/>
    <row r="645" s="26" customFormat="1" ht="15.75" customHeight="1"/>
    <row r="646" s="26" customFormat="1" ht="15.75" customHeight="1"/>
    <row r="647" s="26" customFormat="1" ht="15.75" customHeight="1"/>
    <row r="648" s="26" customFormat="1" ht="15.75" customHeight="1"/>
    <row r="649" s="26" customFormat="1" ht="15.75" customHeight="1"/>
    <row r="650" s="26" customFormat="1" ht="15.75" customHeight="1"/>
    <row r="651" s="26" customFormat="1" ht="15.75" customHeight="1"/>
    <row r="652" s="26" customFormat="1" ht="15.75" customHeight="1"/>
    <row r="653" s="26" customFormat="1" ht="15.75" customHeight="1"/>
    <row r="654" s="26" customFormat="1" ht="15.75" customHeight="1"/>
    <row r="655" s="26" customFormat="1" ht="15.75" customHeight="1"/>
    <row r="656" s="26" customFormat="1" ht="15.75" customHeight="1"/>
    <row r="657" s="26" customFormat="1" ht="15.75" customHeight="1"/>
    <row r="658" s="26" customFormat="1" ht="15.75" customHeight="1"/>
    <row r="659" s="26" customFormat="1" ht="15.75" customHeight="1"/>
    <row r="660" s="26" customFormat="1" ht="15.75" customHeight="1"/>
    <row r="661" s="26" customFormat="1" ht="15.75" customHeight="1"/>
    <row r="662" s="26" customFormat="1" ht="15.75" customHeight="1"/>
    <row r="663" s="26" customFormat="1" ht="15.75" customHeight="1"/>
    <row r="664" s="26" customFormat="1" ht="15.75" customHeight="1"/>
    <row r="665" s="26" customFormat="1" ht="15.75" customHeight="1"/>
    <row r="666" s="26" customFormat="1" ht="15.75" customHeight="1"/>
    <row r="667" s="26" customFormat="1" ht="15.75" customHeight="1"/>
    <row r="668" s="26" customFormat="1" ht="15.75" customHeight="1"/>
    <row r="669" s="26" customFormat="1" ht="15.75" customHeight="1"/>
    <row r="670" s="26" customFormat="1" ht="15.75" customHeight="1"/>
    <row r="671" s="26" customFormat="1" ht="15.75" customHeight="1"/>
    <row r="672" s="26" customFormat="1" ht="15.75" customHeight="1"/>
    <row r="673" s="26" customFormat="1" ht="15.75" customHeight="1"/>
    <row r="674" s="26" customFormat="1" ht="15.75" customHeight="1"/>
    <row r="675" s="26" customFormat="1" ht="15.75" customHeight="1"/>
    <row r="676" s="26" customFormat="1" ht="15.75" customHeight="1"/>
    <row r="677" s="26" customFormat="1" ht="15.75" customHeight="1"/>
    <row r="678" s="26" customFormat="1" ht="15.75" customHeight="1"/>
    <row r="679" s="26" customFormat="1" ht="15.75" customHeight="1"/>
    <row r="680" s="26" customFormat="1" ht="15.75" customHeight="1"/>
    <row r="681" s="26" customFormat="1" ht="15.75" customHeight="1"/>
    <row r="682" s="26" customFormat="1" ht="15.75" customHeight="1"/>
    <row r="683" s="26" customFormat="1" ht="15.75" customHeight="1"/>
    <row r="684" s="26" customFormat="1" ht="15.75" customHeight="1"/>
    <row r="685" s="26" customFormat="1" ht="15.75" customHeight="1"/>
    <row r="686" s="26" customFormat="1" ht="15.75" customHeight="1"/>
    <row r="687" s="26" customFormat="1" ht="15.75" customHeight="1"/>
    <row r="688" s="26" customFormat="1" ht="15.75" customHeight="1"/>
    <row r="689" s="26" customFormat="1" ht="15.75" customHeight="1"/>
    <row r="690" s="26" customFormat="1" ht="15.75" customHeight="1"/>
    <row r="691" s="26" customFormat="1" ht="15.75" customHeight="1"/>
    <row r="692" s="26" customFormat="1" ht="15.75" customHeight="1"/>
    <row r="693" s="26" customFormat="1" ht="15.75" customHeight="1"/>
    <row r="694" s="26" customFormat="1" ht="15.75" customHeight="1"/>
    <row r="695" s="26" customFormat="1" ht="15.75" customHeight="1"/>
    <row r="696" s="26" customFormat="1" ht="15.75" customHeight="1"/>
    <row r="697" s="26" customFormat="1" ht="15.75" customHeight="1"/>
    <row r="698" s="26" customFormat="1" ht="15.75" customHeight="1"/>
    <row r="699" s="26" customFormat="1" ht="15.75" customHeight="1"/>
    <row r="700" s="26" customFormat="1" ht="15.75" customHeight="1"/>
    <row r="701" s="26" customFormat="1" ht="15.75" customHeight="1"/>
    <row r="702" s="26" customFormat="1" ht="15.75" customHeight="1"/>
    <row r="703" s="26" customFormat="1" ht="15.75" customHeight="1"/>
    <row r="704" s="26" customFormat="1" ht="15.75" customHeight="1"/>
    <row r="705" s="26" customFormat="1" ht="15.75" customHeight="1"/>
    <row r="706" s="26" customFormat="1" ht="15.75" customHeight="1"/>
    <row r="707" s="26" customFormat="1" ht="15.75" customHeight="1"/>
    <row r="708" s="26" customFormat="1" ht="15.75" customHeight="1"/>
    <row r="709" s="26" customFormat="1" ht="15.75" customHeight="1"/>
    <row r="710" s="26" customFormat="1" ht="15.75" customHeight="1"/>
    <row r="711" s="26" customFormat="1" ht="15.75" customHeight="1"/>
    <row r="712" s="26" customFormat="1" ht="15.75" customHeight="1"/>
    <row r="713" s="26" customFormat="1" ht="15.75" customHeight="1"/>
    <row r="714" s="26" customFormat="1" ht="15.75" customHeight="1"/>
    <row r="715" s="26" customFormat="1" ht="15.75" customHeight="1"/>
    <row r="716" s="26" customFormat="1" ht="15.75" customHeight="1"/>
    <row r="717" s="26" customFormat="1" ht="15.75" customHeight="1"/>
    <row r="718" s="26" customFormat="1" ht="15.75" customHeight="1"/>
    <row r="719" s="26" customFormat="1" ht="15.75" customHeight="1"/>
    <row r="720" s="26" customFormat="1" ht="15.75" customHeight="1"/>
    <row r="721" s="26" customFormat="1" ht="15.75" customHeight="1"/>
    <row r="722" s="26" customFormat="1" ht="15.75" customHeight="1"/>
    <row r="723" s="26" customFormat="1" ht="15.75" customHeight="1"/>
    <row r="724" s="26" customFormat="1" ht="15.75" customHeight="1"/>
    <row r="725" s="26" customFormat="1" ht="15.75" customHeight="1"/>
    <row r="726" s="26" customFormat="1" ht="15.75" customHeight="1"/>
    <row r="727" s="26" customFormat="1" ht="15.75" customHeight="1"/>
    <row r="728" s="26" customFormat="1" ht="15.75" customHeight="1"/>
    <row r="729" s="26" customFormat="1" ht="15.75" customHeight="1"/>
    <row r="730" s="26" customFormat="1" ht="15.75" customHeight="1"/>
    <row r="731" s="26" customFormat="1" ht="15.75" customHeight="1"/>
    <row r="732" s="26" customFormat="1" ht="15.75" customHeight="1"/>
    <row r="733" s="26" customFormat="1" ht="15.75" customHeight="1"/>
    <row r="734" s="26" customFormat="1" ht="15.75" customHeight="1"/>
    <row r="735" s="26" customFormat="1" ht="15.75" customHeight="1"/>
    <row r="736" s="26" customFormat="1" ht="15.75" customHeight="1"/>
    <row r="737" s="26" customFormat="1" ht="15.75" customHeight="1"/>
    <row r="738" s="26" customFormat="1" ht="15.75" customHeight="1"/>
    <row r="739" s="26" customFormat="1" ht="15.75" customHeight="1"/>
    <row r="740" s="26" customFormat="1" ht="15.75" customHeight="1"/>
    <row r="741" s="26" customFormat="1" ht="15.75" customHeight="1"/>
    <row r="742" s="26" customFormat="1" ht="15.75" customHeight="1"/>
    <row r="743" s="26" customFormat="1" ht="15.75" customHeight="1"/>
    <row r="744" s="26" customFormat="1" ht="15.75" customHeight="1"/>
    <row r="745" s="26" customFormat="1" ht="15.75" customHeight="1"/>
    <row r="746" s="26" customFormat="1" ht="15.75" customHeight="1"/>
    <row r="747" s="26" customFormat="1" ht="15.75" customHeight="1"/>
    <row r="748" s="26" customFormat="1" ht="15.75" customHeight="1"/>
    <row r="749" s="26" customFormat="1" ht="15.75" customHeight="1"/>
    <row r="750" s="26" customFormat="1" ht="15.75" customHeight="1"/>
    <row r="751" s="26" customFormat="1" ht="15.75" customHeight="1"/>
    <row r="752" s="26" customFormat="1" ht="15.75" customHeight="1"/>
    <row r="753" s="26" customFormat="1" ht="15.75" customHeight="1"/>
    <row r="754" s="26" customFormat="1" ht="15.75" customHeight="1"/>
    <row r="755" s="26" customFormat="1" ht="15.75" customHeight="1"/>
    <row r="756" s="26" customFormat="1" ht="15.75" customHeight="1"/>
    <row r="757" s="26" customFormat="1" ht="15.75" customHeight="1"/>
    <row r="758" s="26" customFormat="1" ht="15.75" customHeight="1"/>
    <row r="759" s="26" customFormat="1" ht="15.75" customHeight="1"/>
    <row r="760" s="26" customFormat="1" ht="15.75" customHeight="1"/>
    <row r="761" s="26" customFormat="1" ht="15.75" customHeight="1"/>
    <row r="762" s="26" customFormat="1" ht="15.75" customHeight="1"/>
    <row r="763" s="26" customFormat="1" ht="15.75" customHeight="1"/>
    <row r="764" s="26" customFormat="1" ht="15.75" customHeight="1"/>
    <row r="765" s="26" customFormat="1" ht="15.75" customHeight="1"/>
    <row r="766" s="26" customFormat="1" ht="15.75" customHeight="1"/>
    <row r="767" s="26" customFormat="1" ht="15.75" customHeight="1"/>
    <row r="768" s="26" customFormat="1" ht="15.75" customHeight="1"/>
    <row r="769" s="26" customFormat="1" ht="15.75" customHeight="1"/>
    <row r="770" s="26" customFormat="1" ht="15.75" customHeight="1"/>
    <row r="771" s="26" customFormat="1" ht="15.75" customHeight="1"/>
    <row r="772" s="26" customFormat="1" ht="15.75" customHeight="1"/>
    <row r="773" s="26" customFormat="1" ht="15.75" customHeight="1"/>
    <row r="774" s="26" customFormat="1" ht="15.75" customHeight="1"/>
    <row r="775" s="26" customFormat="1" ht="15.75" customHeight="1"/>
    <row r="776" s="26" customFormat="1" ht="15.75" customHeight="1"/>
    <row r="777" s="26" customFormat="1" ht="15.75" customHeight="1"/>
    <row r="778" s="26" customFormat="1" ht="15.75" customHeight="1"/>
    <row r="779" s="26" customFormat="1" ht="15.75" customHeight="1"/>
    <row r="780" s="26" customFormat="1" ht="15.75" customHeight="1"/>
    <row r="781" s="26" customFormat="1" ht="15.75" customHeight="1"/>
    <row r="782" s="26" customFormat="1" ht="15.75" customHeight="1"/>
    <row r="783" s="26" customFormat="1" ht="15.75" customHeight="1"/>
    <row r="784" s="26" customFormat="1" ht="15.75" customHeight="1"/>
    <row r="785" s="26" customFormat="1" ht="15.75" customHeight="1"/>
    <row r="786" s="26" customFormat="1" ht="15.75" customHeight="1"/>
    <row r="787" s="26" customFormat="1" ht="15.75" customHeight="1"/>
    <row r="788" s="26" customFormat="1" ht="15.75" customHeight="1"/>
    <row r="789" s="26" customFormat="1" ht="15.75" customHeight="1"/>
    <row r="790" s="26" customFormat="1" ht="15.75" customHeight="1"/>
    <row r="791" s="26" customFormat="1" ht="15.75" customHeight="1"/>
    <row r="792" s="26" customFormat="1" ht="15.75" customHeight="1"/>
    <row r="793" s="26" customFormat="1" ht="15.75" customHeight="1"/>
    <row r="794" s="26" customFormat="1" ht="15.75" customHeight="1"/>
    <row r="795" s="26" customFormat="1" ht="15.75" customHeight="1"/>
    <row r="796" s="26" customFormat="1" ht="15.75" customHeight="1"/>
    <row r="797" s="26" customFormat="1" ht="15.75" customHeight="1"/>
    <row r="798" s="26" customFormat="1" ht="15.75" customHeight="1"/>
    <row r="799" s="26" customFormat="1" ht="15.75" customHeight="1"/>
    <row r="800" s="26" customFormat="1" ht="15.75" customHeight="1"/>
    <row r="801" s="26" customFormat="1" ht="15.75" customHeight="1"/>
    <row r="802" s="26" customFormat="1" ht="15.75" customHeight="1"/>
    <row r="803" s="26" customFormat="1" ht="15.75" customHeight="1"/>
    <row r="804" s="26" customFormat="1" ht="15.75" customHeight="1"/>
    <row r="805" s="26" customFormat="1" ht="15.75" customHeight="1"/>
    <row r="806" s="26" customFormat="1" ht="15.75" customHeight="1"/>
    <row r="807" s="26" customFormat="1" ht="15.75" customHeight="1"/>
    <row r="808" s="26" customFormat="1" ht="15.75" customHeight="1"/>
    <row r="809" s="26" customFormat="1" ht="15.75" customHeight="1"/>
    <row r="810" s="26" customFormat="1" ht="15.75" customHeight="1"/>
    <row r="811" s="26" customFormat="1" ht="15.75" customHeight="1"/>
    <row r="812" s="26" customFormat="1" ht="15.75" customHeight="1"/>
    <row r="813" s="26" customFormat="1" ht="15.75" customHeight="1"/>
    <row r="814" s="26" customFormat="1" ht="15.75" customHeight="1"/>
    <row r="815" s="26" customFormat="1" ht="15.75" customHeight="1"/>
    <row r="816" s="26" customFormat="1" ht="15.75" customHeight="1"/>
    <row r="817" s="26" customFormat="1" ht="15.75" customHeight="1"/>
    <row r="818" s="26" customFormat="1" ht="15.75" customHeight="1"/>
    <row r="819" s="26" customFormat="1" ht="15.75" customHeight="1"/>
    <row r="820" s="26" customFormat="1" ht="15.75" customHeight="1"/>
    <row r="821" s="26" customFormat="1" ht="15.75" customHeight="1"/>
    <row r="822" s="26" customFormat="1" ht="15.75" customHeight="1"/>
    <row r="823" s="26" customFormat="1" ht="15.75" customHeight="1"/>
    <row r="824" s="26" customFormat="1" ht="15.75" customHeight="1"/>
    <row r="825" s="26" customFormat="1" ht="15.75" customHeight="1"/>
    <row r="826" s="26" customFormat="1" ht="15.75" customHeight="1"/>
    <row r="827" s="26" customFormat="1" ht="15.75" customHeight="1"/>
    <row r="828" s="26" customFormat="1" ht="15.75" customHeight="1"/>
    <row r="829" s="26" customFormat="1" ht="15.75" customHeight="1"/>
    <row r="830" s="26" customFormat="1" ht="15.75" customHeight="1"/>
    <row r="831" s="26" customFormat="1" ht="15.75" customHeight="1"/>
    <row r="832" s="26" customFormat="1" ht="15.75" customHeight="1"/>
    <row r="833" s="26" customFormat="1" ht="15.75" customHeight="1"/>
    <row r="834" s="26" customFormat="1" ht="15.75" customHeight="1"/>
    <row r="835" s="26" customFormat="1" ht="15.75" customHeight="1"/>
    <row r="836" s="26" customFormat="1" ht="15.75" customHeight="1"/>
    <row r="837" s="26" customFormat="1" ht="15.75" customHeight="1"/>
    <row r="838" s="26" customFormat="1" ht="15.75" customHeight="1"/>
    <row r="839" s="26" customFormat="1" ht="15.75" customHeight="1"/>
    <row r="840" s="26" customFormat="1" ht="15.75" customHeight="1"/>
    <row r="841" s="26" customFormat="1" ht="15.75" customHeight="1"/>
    <row r="842" s="26" customFormat="1" ht="15.75" customHeight="1"/>
    <row r="843" s="26" customFormat="1" ht="15.75" customHeight="1"/>
    <row r="844" s="26" customFormat="1" ht="15.75" customHeight="1"/>
    <row r="845" s="26" customFormat="1" ht="15.75" customHeight="1"/>
    <row r="846" s="26" customFormat="1" ht="15.75" customHeight="1"/>
    <row r="847" s="26" customFormat="1" ht="15.75" customHeight="1"/>
    <row r="848" s="26" customFormat="1" ht="15.75" customHeight="1"/>
    <row r="849" s="26" customFormat="1" ht="15.75" customHeight="1"/>
    <row r="850" s="26" customFormat="1" ht="15.75" customHeight="1"/>
    <row r="851" s="26" customFormat="1" ht="15.75" customHeight="1"/>
    <row r="852" s="26" customFormat="1" ht="15.75" customHeight="1"/>
    <row r="853" s="26" customFormat="1" ht="15.75" customHeight="1"/>
    <row r="854" s="26" customFormat="1" ht="15.75" customHeight="1"/>
    <row r="855" s="26" customFormat="1" ht="15.75" customHeight="1"/>
    <row r="856" s="26" customFormat="1" ht="15.75" customHeight="1"/>
    <row r="857" s="26" customFormat="1" ht="15.75" customHeight="1"/>
    <row r="858" s="26" customFormat="1" ht="15.75" customHeight="1"/>
    <row r="859" s="26" customFormat="1" ht="15.75" customHeight="1"/>
    <row r="860" s="26" customFormat="1" ht="15.75" customHeight="1"/>
    <row r="861" s="26" customFormat="1" ht="15.75" customHeight="1"/>
    <row r="862" s="26" customFormat="1" ht="15.75" customHeight="1"/>
    <row r="863" s="26" customFormat="1" ht="15.75" customHeight="1"/>
    <row r="864" s="26" customFormat="1" ht="15.75" customHeight="1"/>
    <row r="865" s="26" customFormat="1" ht="15.75" customHeight="1"/>
    <row r="866" s="26" customFormat="1" ht="15.75" customHeight="1"/>
    <row r="867" s="26" customFormat="1" ht="15.75" customHeight="1"/>
    <row r="868" s="26" customFormat="1" ht="15.75" customHeight="1"/>
    <row r="869" s="26" customFormat="1" ht="15.75" customHeight="1"/>
    <row r="870" s="26" customFormat="1" ht="15.75" customHeight="1"/>
    <row r="871" s="26" customFormat="1" ht="15.75" customHeight="1"/>
    <row r="872" s="26" customFormat="1" ht="15.75" customHeight="1"/>
    <row r="873" s="26" customFormat="1" ht="15.75" customHeight="1"/>
    <row r="874" s="26" customFormat="1" ht="15.75" customHeight="1"/>
    <row r="875" s="26" customFormat="1" ht="15.75" customHeight="1"/>
    <row r="876" s="26" customFormat="1" ht="15.75" customHeight="1"/>
    <row r="877" s="26" customFormat="1" ht="15.75" customHeight="1"/>
    <row r="878" s="26" customFormat="1" ht="15.75" customHeight="1"/>
    <row r="879" s="26" customFormat="1" ht="15.75" customHeight="1"/>
    <row r="880" s="26" customFormat="1" ht="15.75" customHeight="1"/>
    <row r="881" s="26" customFormat="1" ht="15.75" customHeight="1"/>
    <row r="882" s="26" customFormat="1" ht="15.75" customHeight="1"/>
    <row r="883" s="26" customFormat="1" ht="15.75" customHeight="1"/>
    <row r="884" s="26" customFormat="1" ht="15.75" customHeight="1"/>
    <row r="885" s="26" customFormat="1" ht="15.75" customHeight="1"/>
    <row r="886" s="26" customFormat="1" ht="15.75" customHeight="1"/>
    <row r="887" s="26" customFormat="1" ht="15.75" customHeight="1"/>
    <row r="888" s="26" customFormat="1" ht="15.75" customHeight="1"/>
    <row r="889" s="26" customFormat="1" ht="15.75" customHeight="1"/>
    <row r="890" s="26" customFormat="1" ht="15.75" customHeight="1"/>
    <row r="891" s="26" customFormat="1" ht="15.75" customHeight="1"/>
    <row r="892" s="26" customFormat="1" ht="15.75" customHeight="1"/>
    <row r="893" s="26" customFormat="1" ht="15.75" customHeight="1"/>
    <row r="894" s="26" customFormat="1" ht="15.75" customHeight="1"/>
    <row r="895" s="26" customFormat="1" ht="15.75" customHeight="1"/>
    <row r="896" s="26" customFormat="1" ht="15.75" customHeight="1"/>
    <row r="897" s="26" customFormat="1" ht="15.75" customHeight="1"/>
    <row r="898" s="26" customFormat="1" ht="15.75" customHeight="1"/>
    <row r="899" s="26" customFormat="1" ht="15.75" customHeight="1"/>
    <row r="900" s="26" customFormat="1" ht="15.75" customHeight="1"/>
    <row r="901" s="26" customFormat="1" ht="15.75" customHeight="1"/>
    <row r="902" s="26" customFormat="1" ht="15.75" customHeight="1"/>
    <row r="903" s="26" customFormat="1" ht="15.75" customHeight="1"/>
    <row r="904" s="26" customFormat="1" ht="15.75" customHeight="1"/>
    <row r="905" s="26" customFormat="1" ht="15.75" customHeight="1"/>
    <row r="906" s="26" customFormat="1" ht="15.75" customHeight="1"/>
    <row r="907" s="26" customFormat="1" ht="15.75" customHeight="1"/>
    <row r="908" s="26" customFormat="1" ht="15.75" customHeight="1"/>
    <row r="909" s="26" customFormat="1" ht="15.75" customHeight="1"/>
    <row r="910" s="26" customFormat="1" ht="15.75" customHeight="1"/>
    <row r="911" s="26" customFormat="1" ht="15.75" customHeight="1"/>
    <row r="912" s="26" customFormat="1" ht="15.75" customHeight="1"/>
    <row r="913" s="26" customFormat="1" ht="15.75" customHeight="1"/>
    <row r="914" s="26" customFormat="1" ht="15.75" customHeight="1"/>
    <row r="915" s="26" customFormat="1" ht="15.75" customHeight="1"/>
    <row r="916" s="26" customFormat="1" ht="15.75" customHeight="1"/>
    <row r="917" s="26" customFormat="1" ht="15.75" customHeight="1"/>
    <row r="918" s="26" customFormat="1" ht="15.75" customHeight="1"/>
    <row r="919" s="26" customFormat="1" ht="15.75" customHeight="1"/>
    <row r="920" s="26" customFormat="1" ht="15.75" customHeight="1"/>
    <row r="921" s="26" customFormat="1" ht="15.75" customHeight="1"/>
    <row r="922" s="26" customFormat="1" ht="15.75" customHeight="1"/>
    <row r="923" s="26" customFormat="1" ht="15.75" customHeight="1"/>
    <row r="924" s="26" customFormat="1" ht="15.75" customHeight="1"/>
    <row r="925" s="26" customFormat="1" ht="15.75" customHeight="1"/>
    <row r="926" s="26" customFormat="1" ht="15.75" customHeight="1"/>
    <row r="927" s="26" customFormat="1" ht="15.75" customHeight="1"/>
    <row r="928" s="26" customFormat="1" ht="15.75" customHeight="1"/>
    <row r="929" s="26" customFormat="1" ht="15.75" customHeight="1"/>
    <row r="930" s="26" customFormat="1" ht="15.75" customHeight="1"/>
    <row r="931" s="26" customFormat="1" ht="15.75" customHeight="1"/>
    <row r="932" s="26" customFormat="1" ht="15.75" customHeight="1"/>
    <row r="933" s="26" customFormat="1" ht="15.75" customHeight="1"/>
    <row r="934" s="26" customFormat="1" ht="15.75" customHeight="1"/>
    <row r="935" s="26" customFormat="1" ht="15.75" customHeight="1"/>
    <row r="936" s="26" customFormat="1" ht="15.75" customHeight="1"/>
    <row r="937" s="26" customFormat="1" ht="15.75" customHeight="1"/>
    <row r="938" s="26" customFormat="1" ht="15.75" customHeight="1"/>
    <row r="939" s="26" customFormat="1" ht="15.75" customHeight="1"/>
    <row r="940" s="26" customFormat="1" ht="15.75" customHeight="1"/>
    <row r="941" s="26" customFormat="1" ht="15.75" customHeight="1"/>
    <row r="942" s="26" customFormat="1" ht="15.75" customHeight="1"/>
    <row r="943" s="26" customFormat="1" ht="15.75" customHeight="1"/>
    <row r="944" s="26" customFormat="1" ht="15.75" customHeight="1"/>
    <row r="945" s="26" customFormat="1" ht="15.75" customHeight="1"/>
    <row r="946" s="26" customFormat="1" ht="15.75" customHeight="1"/>
    <row r="947" s="26" customFormat="1" ht="15.75" customHeight="1"/>
    <row r="948" s="26" customFormat="1" ht="15.75" customHeight="1"/>
    <row r="949" s="26" customFormat="1" ht="15.75" customHeight="1"/>
    <row r="950" s="26" customFormat="1" ht="15.75" customHeight="1"/>
    <row r="951" s="26" customFormat="1" ht="15.75" customHeight="1"/>
    <row r="952" s="26" customFormat="1" ht="15.75" customHeight="1"/>
    <row r="953" s="26" customFormat="1" ht="15.75" customHeight="1"/>
    <row r="954" s="26" customFormat="1" ht="15.75" customHeight="1"/>
    <row r="955" s="26" customFormat="1" ht="15.75" customHeight="1"/>
    <row r="956" s="26" customFormat="1" ht="15.75" customHeight="1"/>
    <row r="957" s="26" customFormat="1" ht="15.75" customHeight="1"/>
    <row r="958" s="26" customFormat="1" ht="15.75" customHeight="1"/>
    <row r="959" s="26" customFormat="1" ht="15.75" customHeight="1"/>
    <row r="960" s="26" customFormat="1" ht="15.75" customHeight="1"/>
    <row r="961" s="26" customFormat="1" ht="15.75" customHeight="1"/>
    <row r="962" s="26" customFormat="1" ht="15.75" customHeight="1"/>
    <row r="963" s="26" customFormat="1" ht="15.75" customHeight="1"/>
    <row r="964" s="26" customFormat="1" ht="15.75" customHeight="1"/>
    <row r="965" s="26" customFormat="1" ht="15.75" customHeight="1"/>
    <row r="966" s="26" customFormat="1" ht="15.75" customHeight="1"/>
    <row r="967" s="26" customFormat="1" ht="15.75" customHeight="1"/>
    <row r="968" s="26" customFormat="1" ht="15.75" customHeight="1"/>
    <row r="969" s="26" customFormat="1" ht="15.75" customHeight="1"/>
    <row r="970" s="26" customFormat="1" ht="15.75" customHeight="1"/>
    <row r="971" s="26" customFormat="1" ht="15.75" customHeight="1"/>
    <row r="972" s="26" customFormat="1" ht="15.75" customHeight="1"/>
    <row r="973" s="26" customFormat="1" ht="15.75" customHeight="1"/>
    <row r="974" s="26" customFormat="1" ht="15.75" customHeight="1"/>
    <row r="975" s="26" customFormat="1" ht="15.75" customHeight="1"/>
    <row r="976" s="26" customFormat="1" ht="15.75" customHeight="1"/>
    <row r="977" s="26" customFormat="1" ht="15.75" customHeight="1"/>
    <row r="978" s="26" customFormat="1" ht="15.75" customHeight="1"/>
    <row r="979" s="26" customFormat="1" ht="15.75" customHeight="1"/>
    <row r="980" s="26" customFormat="1" ht="15.75" customHeight="1"/>
    <row r="981" s="26" customFormat="1" ht="15.75" customHeight="1"/>
    <row r="982" s="26" customFormat="1" ht="15.75" customHeight="1"/>
    <row r="983" s="26" customFormat="1" ht="15.75" customHeight="1"/>
    <row r="984" s="26" customFormat="1" ht="15.75" customHeight="1"/>
    <row r="985" s="26" customFormat="1" ht="15.75" customHeight="1"/>
    <row r="986" s="26" customFormat="1" ht="15.75" customHeight="1"/>
    <row r="987" s="26" customFormat="1" ht="15.75" customHeight="1"/>
    <row r="988" s="26" customFormat="1" ht="15.75" customHeight="1"/>
    <row r="989" s="26" customFormat="1" ht="15.75" customHeight="1"/>
    <row r="990" s="26" customFormat="1" ht="15.75" customHeight="1"/>
    <row r="991" s="26" customFormat="1" ht="15.75" customHeight="1"/>
    <row r="992" s="26" customFormat="1" ht="15.75" customHeight="1"/>
    <row r="993" s="26" customFormat="1" ht="15.75" customHeight="1"/>
    <row r="994" s="26" customFormat="1" ht="15.75" customHeight="1"/>
    <row r="995" s="26" customFormat="1" ht="15.75" customHeight="1"/>
    <row r="996" s="26" customFormat="1" ht="15.75" customHeight="1"/>
    <row r="997" s="26" customFormat="1" ht="15.75" customHeight="1"/>
    <row r="998" s="26" customFormat="1" ht="15.75" customHeight="1"/>
    <row r="999" s="26" customFormat="1" ht="15.75" customHeight="1"/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topLeftCell="A8" workbookViewId="0">
      <selection activeCell="F3" sqref="F3"/>
    </sheetView>
  </sheetViews>
  <sheetFormatPr defaultColWidth="9.14285714285714" defaultRowHeight="15" outlineLevelCol="3"/>
  <cols>
    <col min="1" max="1" width="11.1428571428571" style="1" customWidth="1"/>
    <col min="2" max="2" width="30.2857142857143" style="1" customWidth="1"/>
    <col min="3" max="3" width="28.7142857142857" style="2" customWidth="1"/>
    <col min="4" max="4" width="28.7142857142857" style="3" customWidth="1"/>
  </cols>
  <sheetData>
    <row r="1" ht="15.75" spans="1:4">
      <c r="A1" s="4" t="s">
        <v>272</v>
      </c>
      <c r="B1" s="5" t="s">
        <v>273</v>
      </c>
      <c r="C1" s="6"/>
      <c r="D1" s="7" t="s">
        <v>286</v>
      </c>
    </row>
    <row r="2" ht="65" customHeight="1" spans="1:4">
      <c r="A2" s="8">
        <v>45973</v>
      </c>
      <c r="B2" s="9" t="s">
        <v>277</v>
      </c>
      <c r="C2" s="10" t="s">
        <v>287</v>
      </c>
      <c r="D2" s="11" t="str">
        <f>_xlfn.DISPIMG("ID_FB2B4E78CDE640C7B889C532C0253C77",1)</f>
        <v>=DISPIMG("ID_FB2B4E78CDE640C7B889C532C0253C77",1)</v>
      </c>
    </row>
    <row r="3" ht="65" customHeight="1" spans="1:4">
      <c r="A3" s="8">
        <v>45973</v>
      </c>
      <c r="B3" s="9" t="s">
        <v>278</v>
      </c>
      <c r="C3" s="12" t="s">
        <v>288</v>
      </c>
      <c r="D3" s="13"/>
    </row>
    <row r="4" ht="330.65" spans="1:4">
      <c r="A4" s="8">
        <v>45974</v>
      </c>
      <c r="B4" s="9" t="s">
        <v>279</v>
      </c>
      <c r="C4" s="14" t="s">
        <v>289</v>
      </c>
      <c r="D4" s="15" t="str">
        <f>_xlfn.DISPIMG("ID_1635F4017F2949E097AC01610113A384",1)</f>
        <v>=DISPIMG("ID_1635F4017F2949E097AC01610113A384",1)</v>
      </c>
    </row>
    <row r="5" ht="192.8" spans="1:4">
      <c r="A5" s="8">
        <v>45974</v>
      </c>
      <c r="B5" s="16" t="s">
        <v>280</v>
      </c>
      <c r="C5" s="17" t="s">
        <v>290</v>
      </c>
      <c r="D5" s="15" t="str">
        <f>_xlfn.DISPIMG("ID_B793726908DD4B3B9BADF1FE26DC0927",1)</f>
        <v>=DISPIMG("ID_B793726908DD4B3B9BADF1FE26DC0927",1)</v>
      </c>
    </row>
    <row r="6" ht="103.65" spans="1:4">
      <c r="A6" s="8">
        <v>45974</v>
      </c>
      <c r="B6" s="9" t="s">
        <v>281</v>
      </c>
      <c r="C6" s="14" t="s">
        <v>291</v>
      </c>
      <c r="D6" s="15" t="str">
        <f>_xlfn.DISPIMG("ID_78BBA2D7BAB14DEB93596E0834F3EC9F",1)</f>
        <v>=DISPIMG("ID_78BBA2D7BAB14DEB93596E0834F3EC9F",1)</v>
      </c>
    </row>
    <row r="7" ht="213.1" spans="1:4">
      <c r="A7" s="8">
        <v>45974</v>
      </c>
      <c r="B7" s="9" t="s">
        <v>282</v>
      </c>
      <c r="C7" s="14" t="s">
        <v>292</v>
      </c>
      <c r="D7" s="15" t="str">
        <f>_xlfn.DISPIMG("ID_0A956BE1438E41B69C190696196303E1",1)</f>
        <v>=DISPIMG("ID_0A956BE1438E41B69C190696196303E1",1)</v>
      </c>
    </row>
    <row r="8" ht="241.55" spans="1:4">
      <c r="A8" s="18">
        <v>45975</v>
      </c>
      <c r="B8" s="19" t="s">
        <v>293</v>
      </c>
      <c r="C8" s="20" t="s">
        <v>294</v>
      </c>
      <c r="D8" s="21" t="str">
        <f>_xlfn.DISPIMG("ID_07F3A82E63C84F9385A92B06871CD739",1)</f>
        <v>=DISPIMG("ID_07F3A82E63C84F9385A92B06871CD739",1)</v>
      </c>
    </row>
    <row r="9" ht="105.6" spans="1:4">
      <c r="A9" s="22">
        <v>45975</v>
      </c>
      <c r="B9" s="23" t="s">
        <v>284</v>
      </c>
      <c r="C9" s="24" t="s">
        <v>295</v>
      </c>
      <c r="D9" s="25" t="str">
        <f>_xlfn.DISPIMG("ID_94CE67D117E24BC4856DDEF6FF011A7B",1)</f>
        <v>=DISPIMG("ID_94CE67D117E24BC4856DDEF6FF011A7B",1)</v>
      </c>
    </row>
  </sheetData>
  <mergeCells count="1">
    <mergeCell ref="D2:D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Daily Acitivies &amp; Checklists</vt:lpstr>
      <vt:lpstr>Gasoline&amp;Petroleum Costs</vt:lpstr>
      <vt:lpstr>Puchasing cash &amp; transfer costs</vt:lpstr>
      <vt:lpstr>Petty Cash Andika</vt:lpstr>
      <vt:lpstr>Petty Cash Invoice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2025-11-17T09:32:30Z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823CDA7D732D480AB4370EF9750ADA79_13</vt:lpwstr>
  </property>
  <property fmtid="{D5CDD505-2E9C-101B-9397-08002B2CF9AE}" pid="3" name="KSOProductBuildVer">
    <vt:lpwstr>1033-12.2.0.23155</vt:lpwstr>
  </property>
</Properties>
</file>