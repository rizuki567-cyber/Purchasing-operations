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BALI PERMATA JAYA (Corona Beer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<sst xmlns="http://schemas.openxmlformats.org/spreadsheetml/2006/main" count="28" uniqueCount="14">
  <si>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DATE</t>
  </si>
  <si>
    <t>INV NO.</t>
  </si>
  <si>
    <t>DESCRIPTIONS</t>
  </si>
  <si>
    <t>AMOUNT</t>
  </si>
  <si>
    <t>BILLS</t>
  </si>
  <si>
    <t>PRICE</t>
  </si>
  <si>
    <t>TOTAL</t>
  </si>
  <si>
    <t>STATUS</t>
  </si>
  <si>
    <t>INV/PERMAQ/26/01/0400</t>
  </si>
  <si>
    <t>CORONA BEER</t>
  </si>
  <si>
    <t>SUB TOTAL</t>
  </si>
  <si>
    <t>PPN</t>
  </si>
  <si>
    <t>INV/PERMAQ/26/01/0878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</si>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</sst>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Rp-421]#,##0.00;[Red][$Rp-421]#,##0.00"/>
    <numFmt numFmtId="177" formatCode="[$-409]d\-mmm\-yyyy;@"/>
    <numFmt numFmtId="178" formatCode="dd\-mmm"/>
    <numFmt numFmtId="179" formatCode="_-&quot;Rp&quot;* #,##0_-;\-&quot;Rp&quot;* #,##0_-;_-&quot;Rp&quot;* &quot;-&quot;??_-;_-@_-"/>
    <numFmt numFmtId="180" formatCode="[$Rp-421]#,##0.00;\-[$Rp-421]#,##0.00"/>
  </numFmts>
  <fonts count="25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58" fontId="0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79" fontId="2" fillId="3" borderId="0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vertical="center"/>
    </xf>
    <xf numFmtId="176" fontId="5" fillId="3" borderId="1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vertical="center"/>
    </xf>
    <xf numFmtId="176" fontId="3" fillId="3" borderId="1" xfId="0" applyNumberFormat="1" applyFont="1" applyFill="1" applyBorder="1" applyAlignment="1">
      <alignment vertical="center"/>
    </xf>
    <xf numFmtId="179" fontId="3" fillId="3" borderId="6" xfId="0" applyNumberFormat="1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vertical="center"/>
    </xf>
    <xf numFmtId="176" fontId="0" fillId="4" borderId="3" xfId="0" applyNumberFormat="1" applyFill="1" applyBorder="1" applyAlignment="1">
      <alignment vertical="center"/>
    </xf>
    <xf numFmtId="176" fontId="0" fillId="4" borderId="4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33020</xdr:colOff>
      <xdr:row>1</xdr:row>
      <xdr:rowOff>24765</xdr:rowOff>
    </xdr:from>
    <xdr:to>
      <xdr:col>4</xdr:col>
      <xdr:colOff>3676650</xdr:colOff>
      <xdr:row>1</xdr:row>
      <xdr:rowOff>2497455</xdr:rowOff>
    </xdr:to>
    <xdr:pic>
      <xdr:nvPicPr>
        <xdr:cNvPr id="2" name="ID_32BEF808754E4BE482B46802BA9FB0A1" descr="PHOTO-2026-01-13-16-37-02"/>
        <xdr:cNvPicPr>
          <a:picLocks noChangeAspect="1"/>
        </xdr:cNvPicPr>
      </xdr:nvPicPr>
      <xdr:blipFill>
        <a:blip r:embed="rId1"/>
        <a:srcRect t="6745" b="10346"/>
        <a:stretch>
          <a:fillRect/>
        </a:stretch>
      </xdr:blipFill>
      <xdr:spPr>
        <a:xfrm rot="16200000">
          <a:off x="6415405" y="-357505"/>
          <a:ext cx="2472690" cy="3643630"/>
        </a:xfrm>
        <a:prstGeom prst="rect">
          <a:avLst/>
        </a:prstGeom>
      </xdr:spPr>
    </xdr:pic>
    <xdr:clientData/>
  </xdr:twoCellAnchor>
  <xdr:twoCellAnchor editAs="oneCell">
    <xdr:from>
      <xdr:col>4</xdr:col>
      <xdr:colOff>35877</xdr:colOff>
      <xdr:row>4</xdr:row>
      <xdr:rowOff>23812</xdr:rowOff>
    </xdr:from>
    <xdr:to>
      <xdr:col>4</xdr:col>
      <xdr:colOff>3673792</xdr:colOff>
      <xdr:row>4</xdr:row>
      <xdr:rowOff>2389822</xdr:rowOff>
    </xdr:to>
    <xdr:pic>
      <xdr:nvPicPr>
        <xdr:cNvPr id="3" name="ID_68B7B778643D4D8F87E8FA86EC632AB2" descr="PHOTO-2026-01-27-13-25-59"/>
        <xdr:cNvPicPr>
          <a:picLocks noChangeAspect="1"/>
        </xdr:cNvPicPr>
      </xdr:nvPicPr>
      <xdr:blipFill>
        <a:blip r:embed="rId2"/>
        <a:srcRect b="13561"/>
        <a:stretch>
          <a:fillRect/>
        </a:stretch>
      </xdr:blipFill>
      <xdr:spPr>
        <a:xfrm rot="16200000">
          <a:off x="6468110" y="2766060"/>
          <a:ext cx="2366010" cy="3637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24" zoomScaleNormal="124" topLeftCell="E1" workbookViewId="0">
      <pane ySplit="1" topLeftCell="A11" activePane="bottomLeft" state="frozen"/>
      <selection/>
      <selection pane="bottomLeft" activeCell="I15" sqref="I15"/>
    </sheetView>
  </sheetViews>
  <sheetFormatPr defaultColWidth="9.140625" defaultRowHeight="16.8" outlineLevelCol="7"/>
  <cols>
    <col min="1" max="1" width="13.3984375" customWidth="1"/>
    <col min="2" max="2" width="25.7109375" customWidth="1"/>
    <col min="3" max="3" width="18.5703125" customWidth="1"/>
    <col min="4" max="4" width="13.640625" style="1" customWidth="1"/>
    <col min="5" max="5" width="45.5078125" customWidth="1"/>
    <col min="6" max="6" width="19.734375" style="2" customWidth="1"/>
    <col min="7" max="7" width="17.9609375" style="2" customWidth="1"/>
  </cols>
  <sheetData>
    <row r="1" ht="16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4" t="s">
        <v>6</v>
      </c>
      <c r="H1" s="4" t="s">
        <v>7</v>
      </c>
    </row>
    <row r="2" ht="198.05" customHeight="1" spans="1:8">
      <c r="A2" s="5">
        <v>46034</v>
      </c>
      <c r="B2" s="6" t="s">
        <v>8</v>
      </c>
      <c r="C2" s="7" t="s">
        <v>9</v>
      </c>
      <c r="D2" s="8">
        <v>24</v>
      </c>
      <c r="E2" s="25"/>
      <c r="F2" s="26">
        <v>44669.67</v>
      </c>
      <c r="G2" s="26">
        <f>SUM(D2*F2)</f>
        <v>1072072.08</v>
      </c>
      <c r="H2" s="25"/>
    </row>
    <row r="3" ht="26" spans="1:8">
      <c r="A3" s="9" t="s">
        <v>10</v>
      </c>
      <c r="B3" s="10"/>
      <c r="C3" s="11"/>
      <c r="D3" s="12">
        <f>SUM(D2)</f>
        <v>24</v>
      </c>
      <c r="E3" s="27"/>
      <c r="F3" s="28" t="s">
        <v>11</v>
      </c>
      <c r="G3" s="29">
        <f>G2*11%</f>
        <v>117927.9288</v>
      </c>
      <c r="H3" s="30"/>
    </row>
    <row r="4" ht="26" spans="1:8">
      <c r="A4" s="13" t="s">
        <v>6</v>
      </c>
      <c r="B4" s="14"/>
      <c r="C4" s="15"/>
      <c r="D4" s="16"/>
      <c r="E4" s="31">
        <f>SUM(G2:G3)</f>
        <v>1190000.0088</v>
      </c>
      <c r="F4" s="31"/>
      <c r="G4" s="32"/>
      <c r="H4" s="31"/>
    </row>
    <row r="5" ht="189.85" customHeight="1" spans="1:8">
      <c r="A5" s="17">
        <v>46048</v>
      </c>
      <c r="B5" s="18" t="s">
        <v>12</v>
      </c>
      <c r="C5" s="18" t="s">
        <v>9</v>
      </c>
      <c r="D5" s="19">
        <v>24</v>
      </c>
      <c r="E5" s="33"/>
      <c r="F5" s="26">
        <v>44669.67</v>
      </c>
      <c r="G5" s="26">
        <f>SUM(D5*F5)</f>
        <v>1072072.08</v>
      </c>
      <c r="H5" s="34"/>
    </row>
    <row r="6" ht="26" spans="1:8">
      <c r="A6" s="9" t="s">
        <v>10</v>
      </c>
      <c r="B6" s="10"/>
      <c r="C6" s="11"/>
      <c r="D6" s="16">
        <f>SUM(D5)</f>
        <v>24</v>
      </c>
      <c r="E6" s="35"/>
      <c r="F6" s="28" t="s">
        <v>11</v>
      </c>
      <c r="G6" s="29">
        <f>G5*11%</f>
        <v>117927.9288</v>
      </c>
      <c r="H6" s="30"/>
    </row>
    <row r="7" ht="26" spans="1:8">
      <c r="A7" s="13" t="s">
        <v>6</v>
      </c>
      <c r="B7" s="14"/>
      <c r="C7" s="15"/>
      <c r="D7" s="16"/>
      <c r="E7" s="36">
        <f>SUM(G5:G6)</f>
        <v>1190000.0088</v>
      </c>
      <c r="F7" s="36"/>
      <c r="G7" s="37"/>
      <c r="H7" s="36"/>
    </row>
    <row r="8" ht="168" customHeight="1" spans="1:8">
      <c r="A8" s="17"/>
      <c r="B8" s="18"/>
      <c r="C8" s="18"/>
      <c r="D8" s="19"/>
      <c r="E8" s="38"/>
      <c r="F8" s="26"/>
      <c r="G8" s="26">
        <f>SUM(D8*F8)</f>
        <v>0</v>
      </c>
      <c r="H8" s="34"/>
    </row>
    <row r="9" ht="26" spans="1:8">
      <c r="A9" s="9" t="s">
        <v>10</v>
      </c>
      <c r="B9" s="10"/>
      <c r="C9" s="11"/>
      <c r="D9" s="16"/>
      <c r="E9" s="35"/>
      <c r="F9" s="28" t="s">
        <v>11</v>
      </c>
      <c r="G9" s="29">
        <f>G8*11%</f>
        <v>0</v>
      </c>
      <c r="H9" s="30"/>
    </row>
    <row r="10" ht="26" spans="1:8">
      <c r="A10" s="13" t="s">
        <v>6</v>
      </c>
      <c r="B10" s="14"/>
      <c r="C10" s="15"/>
      <c r="D10" s="16"/>
      <c r="E10" s="36">
        <f>SUM(G8:G9)</f>
        <v>0</v>
      </c>
      <c r="F10" s="36"/>
      <c r="G10" s="37"/>
      <c r="H10" s="36"/>
    </row>
    <row r="11" ht="168" customHeight="1" spans="1:8">
      <c r="A11" s="20"/>
      <c r="B11" s="18"/>
      <c r="C11" s="18"/>
      <c r="D11" s="19"/>
      <c r="E11" s="38"/>
      <c r="F11" s="26"/>
      <c r="G11" s="26">
        <f>SUM(D11*F11)</f>
        <v>0</v>
      </c>
      <c r="H11" s="34"/>
    </row>
    <row r="12" ht="26" spans="1:8">
      <c r="A12" s="9" t="s">
        <v>10</v>
      </c>
      <c r="B12" s="10"/>
      <c r="C12" s="11"/>
      <c r="D12" s="16"/>
      <c r="E12" s="35"/>
      <c r="F12" s="28" t="s">
        <v>11</v>
      </c>
      <c r="G12" s="29">
        <f>G11*11%</f>
        <v>0</v>
      </c>
      <c r="H12" s="30"/>
    </row>
    <row r="13" ht="26" spans="1:8">
      <c r="A13" s="13" t="s">
        <v>6</v>
      </c>
      <c r="B13" s="14"/>
      <c r="C13" s="15"/>
      <c r="D13" s="16"/>
      <c r="E13" s="36">
        <f>SUM(G11:G12)</f>
        <v>0</v>
      </c>
      <c r="F13" s="36"/>
      <c r="G13" s="37"/>
      <c r="H13" s="36"/>
    </row>
    <row r="14" ht="168" customHeight="1" spans="1:8">
      <c r="A14" s="20"/>
      <c r="B14" s="18"/>
      <c r="C14" s="18"/>
      <c r="D14" s="19"/>
      <c r="E14" s="38"/>
      <c r="F14" s="26"/>
      <c r="G14" s="26"/>
      <c r="H14" s="34"/>
    </row>
    <row r="15" ht="26" spans="1:8">
      <c r="A15" s="9" t="s">
        <v>10</v>
      </c>
      <c r="B15" s="10"/>
      <c r="C15" s="11"/>
      <c r="D15" s="16"/>
      <c r="E15" s="35"/>
      <c r="F15" s="28" t="s">
        <v>11</v>
      </c>
      <c r="G15" s="29">
        <f>G14*11%</f>
        <v>0</v>
      </c>
      <c r="H15" s="30"/>
    </row>
    <row r="16" ht="26" spans="1:8">
      <c r="A16" s="13" t="s">
        <v>6</v>
      </c>
      <c r="B16" s="14"/>
      <c r="C16" s="15"/>
      <c r="D16" s="16"/>
      <c r="E16" s="36">
        <f>SUM(G14:G15)</f>
        <v>0</v>
      </c>
      <c r="F16" s="36"/>
      <c r="G16" s="37"/>
      <c r="H16" s="36"/>
    </row>
    <row r="17" ht="26" customHeight="1" spans="1:8">
      <c r="A17" s="21" t="s">
        <v>13</v>
      </c>
      <c r="B17" s="22"/>
      <c r="C17" s="22"/>
      <c r="D17" s="23"/>
      <c r="E17" s="39">
        <v>2380000.16</v>
      </c>
      <c r="F17" s="40"/>
      <c r="G17" s="40"/>
      <c r="H17" s="41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BALI PERMATA JAYA (Corona Beer)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2026-02-01T03:27:00Z</dcterms:created>
  <dcterms:modified xsi:type="dcterms:W3CDTF">2026-02-03T00:26:04Z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C30E1CF27AC07BAA2FE77D69E80462F3_41</vt:lpwstr>
  </property>
  <property fmtid="{D5CDD505-2E9C-101B-9397-08002B2CF9AE}" pid="3" name="KSOProductBuildVer">
    <vt:lpwstr>1033-12.1.23155.23155</vt:lpwstr>
  </property>
</Properties>
</file>