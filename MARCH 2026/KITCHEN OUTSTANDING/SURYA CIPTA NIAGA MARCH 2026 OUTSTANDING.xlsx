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KITCHEN OUTSTANDING/"/>
    </mc:Choice>
  </mc:AlternateContent>
  <xr:revisionPtr revIDLastSave="0" documentId="8_{22E2A5AB-7DF1-604F-B0E6-6BD5F44AFB51}" xr6:coauthVersionLast="47" xr6:coauthVersionMax="47" xr10:uidLastSave="{00000000-0000-0000-0000-000000000000}"/>
  <bookViews>
    <workbookView xWindow="5080" yWindow="4700" windowWidth="26040" windowHeight="14680" xr2:uid="{036A8FC3-99AB-8F46-BAFB-78402ABE1C85}"/>
  </bookViews>
  <sheets>
    <sheet name="SURYA CIPTA NIAGA BALI (Beef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4" i="1"/>
  <c r="H4" i="1" s="1"/>
  <c r="G3" i="1"/>
  <c r="G2" i="1"/>
  <c r="H2" i="1" s="1"/>
  <c r="G14" i="1" s="1" a="1"/>
  <c r="G14" i="1" s="1"/>
  <c r="K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<sst xmlns="http://schemas.openxmlformats.org/spreadsheetml/2006/main" count="20" uniqueCount="17">
  <si>
    <t>DATE</t>
  </si>
  <si>
    <t>INV NO.</t>
  </si>
  <si>
    <t>DESCRIPTIONS</t>
  </si>
  <si>
    <t>QTY</t>
  </si>
  <si>
    <t>BILLS</t>
  </si>
  <si>
    <t>PRICE</t>
  </si>
  <si>
    <t>SUBTOTAL</t>
  </si>
  <si>
    <t>TOTAL</t>
  </si>
  <si>
    <t>DUE DATE</t>
  </si>
  <si>
    <t>STATUS</t>
  </si>
  <si>
    <t>2603/FK-0684</t>
  </si>
  <si>
    <t>STRIPLOIN ICHI BROWN</t>
  </si>
  <si>
    <t>PAID</t>
  </si>
  <si>
    <t>TOP SIDE BLACK ANGUS GF ONYX</t>
  </si>
  <si>
    <t>2603/FK-2049</t>
  </si>
  <si>
    <t>UNPAID</t>
  </si>
  <si>
    <t>MINCED MEAT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</si>
</sst>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_-&quot;Rp&quot;* #,##0_-;\-&quot;Rp&quot;* #,##0_-;_-&quot;Rp&quot;* &quot;-&quot;??_-;_-@_-"/>
    <numFmt numFmtId="166" formatCode="[$-809]dd\ mmmm\ 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Garamond"/>
      <family val="1"/>
    </font>
    <font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0" fillId="2" borderId="1" xfId="0" applyNumberFormat="1" applyFill="1" applyBorder="1">
      <alignment vertical="center"/>
    </xf>
    <xf numFmtId="164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65" fontId="0" fillId="3" borderId="1" xfId="0" applyNumberFormat="1" applyFill="1" applyBorder="1">
      <alignment vertical="center"/>
    </xf>
    <xf numFmtId="165" fontId="0" fillId="3" borderId="2" xfId="0" applyNumberForma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165" fontId="0" fillId="3" borderId="3" xfId="0" applyNumberFormat="1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165" fontId="0" fillId="3" borderId="4" xfId="0" applyNumberFormat="1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16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64" fontId="3" fillId="4" borderId="5" xfId="0" applyNumberFormat="1" applyFont="1" applyFill="1" applyBorder="1" applyAlignment="1">
      <alignment horizontal="center" vertical="center"/>
    </xf>
    <xf numFmtId="164" fontId="3" fillId="4" borderId="6" xfId="0" applyNumberFormat="1" applyFont="1" applyFill="1" applyBorder="1" applyAlignment="1">
      <alignment horizontal="center" vertical="center"/>
    </xf>
    <xf numFmtId="165" fontId="4" fillId="4" borderId="5" xfId="0" applyNumberFormat="1" applyFont="1" applyFill="1" applyBorder="1" applyAlignment="1">
      <alignment horizontal="center" vertical="center"/>
    </xf>
    <xf numFmtId="165" fontId="4" fillId="4" borderId="6" xfId="0" applyNumberFormat="1" applyFont="1" applyFill="1" applyBorder="1" applyAlignment="1">
      <alignment horizontal="center" vertical="center"/>
    </xf>
    <xf numFmtId="165" fontId="4" fillId="4" borderId="7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35811</xdr:colOff>
      <xdr:row>1</xdr:row>
      <xdr:rowOff>25400</xdr:rowOff>
    </xdr:from>
    <xdr:to>
      <xdr:col>4</xdr:col>
      <xdr:colOff>2747261</xdr:colOff>
      <xdr:row>2</xdr:row>
      <xdr:rowOff>1008380</xdr:rowOff>
    </xdr:to>
    <xdr:pic>
      <xdr:nvPicPr>
        <xdr:cNvPr id="2" name="ID_7336F6D798C543AEB114DD7EE5937634" descr="PHOTO-2026-03-07-15-37-11">
          <a:extLst>
            <a:ext uri="{FF2B5EF4-FFF2-40B4-BE49-F238E27FC236}">
              <a16:creationId xmlns:a16="http://schemas.microsoft.com/office/drawing/2014/main" id="{F63952F2-B986-E548-B12F-26A1CC263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14469"/>
        <a:stretch>
          <a:fillRect/>
        </a:stretch>
      </xdr:blipFill>
      <xdr:spPr>
        <a:xfrm rot="16200000">
          <a:off x="7021446" y="-26035"/>
          <a:ext cx="1998980" cy="271145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</xdr:colOff>
      <xdr:row>3</xdr:row>
      <xdr:rowOff>0</xdr:rowOff>
    </xdr:from>
    <xdr:to>
      <xdr:col>4</xdr:col>
      <xdr:colOff>2770675</xdr:colOff>
      <xdr:row>5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A216E5-FD4B-EF46-8A24-CB427AA0D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54800" y="2336800"/>
          <a:ext cx="2745275" cy="1562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DFA8-747E-2841-90F3-9AFDDF9C3C04}">
  <dimension ref="A1:K14"/>
  <sheetViews>
    <sheetView tabSelected="1" topLeftCell="E1" zoomScaleNormal="85" workbookViewId="0">
      <pane ySplit="1" topLeftCell="A2" activePane="bottomLeft" state="frozen"/>
      <selection pane="bottomLeft" activeCell="K7" sqref="K7"/>
    </sheetView>
  </sheetViews>
  <sheetFormatPr baseColWidth="10" defaultColWidth="9.1640625" defaultRowHeight="15" x14ac:dyDescent="0.2"/>
  <cols>
    <col min="1" max="1" width="19" style="44" customWidth="1"/>
    <col min="2" max="2" width="13.6640625" customWidth="1"/>
    <col min="3" max="3" width="28.83203125" customWidth="1"/>
    <col min="4" max="4" width="25.5" style="45" customWidth="1"/>
    <col min="5" max="5" width="36.5" customWidth="1"/>
    <col min="6" max="6" width="10.6640625" bestFit="1" customWidth="1"/>
    <col min="7" max="7" width="16.6640625" bestFit="1" customWidth="1"/>
    <col min="8" max="8" width="12.1640625" bestFit="1" customWidth="1"/>
    <col min="9" max="9" width="16.83203125" bestFit="1" customWidth="1"/>
    <col min="10" max="10" width="11.83203125" style="45" customWidth="1"/>
    <col min="11" max="11" width="13.1640625" bestFit="1" customWidth="1"/>
  </cols>
  <sheetData>
    <row r="1" spans="1:11" ht="2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>
        <f>G14</f>
        <v>7717700</v>
      </c>
    </row>
    <row r="2" spans="1:11" ht="80" customHeight="1" x14ac:dyDescent="0.2">
      <c r="A2" s="4">
        <v>46088</v>
      </c>
      <c r="B2" s="5" t="s">
        <v>10</v>
      </c>
      <c r="C2" s="6" t="s">
        <v>11</v>
      </c>
      <c r="D2" s="7">
        <v>7.5</v>
      </c>
      <c r="E2" s="8"/>
      <c r="F2" s="9">
        <v>180000</v>
      </c>
      <c r="G2" s="9">
        <f>F2*D2</f>
        <v>1350000</v>
      </c>
      <c r="H2" s="10">
        <f>SUM(G2:G3)</f>
        <v>4440000</v>
      </c>
      <c r="I2" s="11">
        <v>46095</v>
      </c>
      <c r="J2" s="12" t="s">
        <v>12</v>
      </c>
    </row>
    <row r="3" spans="1:11" ht="80" customHeight="1" x14ac:dyDescent="0.2">
      <c r="A3" s="13"/>
      <c r="B3" s="14"/>
      <c r="C3" s="6" t="s">
        <v>13</v>
      </c>
      <c r="D3" s="7">
        <v>12.36</v>
      </c>
      <c r="E3" s="15"/>
      <c r="F3" s="9">
        <v>250000</v>
      </c>
      <c r="G3" s="9">
        <f>F3*D3</f>
        <v>3090000</v>
      </c>
      <c r="H3" s="16"/>
      <c r="I3" s="17"/>
      <c r="J3" s="18"/>
    </row>
    <row r="4" spans="1:11" ht="42" customHeight="1" x14ac:dyDescent="0.2">
      <c r="A4" s="4">
        <v>46105</v>
      </c>
      <c r="B4" s="19" t="s">
        <v>14</v>
      </c>
      <c r="C4" s="20" t="s">
        <v>11</v>
      </c>
      <c r="D4" s="7">
        <v>8.39</v>
      </c>
      <c r="E4" s="8"/>
      <c r="F4" s="9">
        <v>180000</v>
      </c>
      <c r="G4" s="9">
        <f t="shared" ref="G4:G6" si="0">F4*D4</f>
        <v>1510200</v>
      </c>
      <c r="H4" s="10">
        <f>SUM(G4:G6)</f>
        <v>7717700</v>
      </c>
      <c r="I4" s="11">
        <v>46112</v>
      </c>
      <c r="J4" s="21" t="s">
        <v>15</v>
      </c>
    </row>
    <row r="5" spans="1:11" ht="42" customHeight="1" x14ac:dyDescent="0.2">
      <c r="A5" s="22"/>
      <c r="B5" s="23"/>
      <c r="C5" s="24" t="s">
        <v>16</v>
      </c>
      <c r="D5" s="25">
        <v>5.05</v>
      </c>
      <c r="E5" s="26"/>
      <c r="F5" s="9">
        <v>150000</v>
      </c>
      <c r="G5" s="9">
        <f t="shared" si="0"/>
        <v>757500</v>
      </c>
      <c r="H5" s="27"/>
      <c r="I5" s="28"/>
      <c r="J5" s="29"/>
    </row>
    <row r="6" spans="1:11" ht="42" customHeight="1" x14ac:dyDescent="0.2">
      <c r="A6" s="13"/>
      <c r="B6" s="30"/>
      <c r="C6" s="31" t="s">
        <v>13</v>
      </c>
      <c r="D6" s="25">
        <v>21.8</v>
      </c>
      <c r="E6" s="15"/>
      <c r="F6" s="9">
        <v>250000</v>
      </c>
      <c r="G6" s="9">
        <f t="shared" si="0"/>
        <v>5450000</v>
      </c>
      <c r="H6" s="16"/>
      <c r="I6" s="17"/>
      <c r="J6" s="32"/>
    </row>
    <row r="7" spans="1:11" x14ac:dyDescent="0.2">
      <c r="A7" s="33"/>
      <c r="B7" s="34"/>
      <c r="C7" s="35"/>
      <c r="D7" s="25"/>
      <c r="E7" s="34"/>
      <c r="F7" s="9"/>
      <c r="G7" s="9"/>
      <c r="H7" s="9"/>
      <c r="I7" s="36"/>
      <c r="J7" s="37"/>
    </row>
    <row r="8" spans="1:11" x14ac:dyDescent="0.2">
      <c r="A8" s="33"/>
      <c r="B8" s="34"/>
      <c r="C8" s="35"/>
      <c r="D8" s="25"/>
      <c r="E8" s="34"/>
      <c r="F8" s="9"/>
      <c r="G8" s="9"/>
      <c r="H8" s="9"/>
      <c r="I8" s="36"/>
      <c r="J8" s="37"/>
    </row>
    <row r="9" spans="1:11" x14ac:dyDescent="0.2">
      <c r="A9" s="33"/>
      <c r="B9" s="34"/>
      <c r="C9" s="34"/>
      <c r="D9" s="25"/>
      <c r="E9" s="9"/>
      <c r="F9" s="9"/>
      <c r="G9" s="9"/>
      <c r="H9" s="9"/>
      <c r="I9" s="36"/>
      <c r="J9" s="37"/>
    </row>
    <row r="10" spans="1:11" x14ac:dyDescent="0.2">
      <c r="A10" s="33"/>
      <c r="B10" s="34"/>
      <c r="C10" s="34"/>
      <c r="D10" s="25"/>
      <c r="E10" s="9"/>
      <c r="F10" s="9"/>
      <c r="G10" s="9"/>
      <c r="H10" s="9"/>
      <c r="I10" s="36"/>
      <c r="J10" s="38"/>
    </row>
    <row r="11" spans="1:11" x14ac:dyDescent="0.2">
      <c r="A11" s="33"/>
      <c r="B11" s="34"/>
      <c r="C11" s="34"/>
      <c r="D11" s="25"/>
      <c r="E11" s="9"/>
      <c r="F11" s="9"/>
      <c r="G11" s="9"/>
      <c r="H11" s="9"/>
      <c r="I11" s="36"/>
      <c r="J11" s="38"/>
    </row>
    <row r="12" spans="1:11" x14ac:dyDescent="0.2">
      <c r="A12" s="33"/>
      <c r="B12" s="34"/>
      <c r="C12" s="34"/>
      <c r="D12" s="25"/>
      <c r="E12" s="9"/>
      <c r="F12" s="9"/>
      <c r="G12" s="9"/>
      <c r="H12" s="9"/>
      <c r="I12" s="36"/>
      <c r="J12" s="38"/>
    </row>
    <row r="13" spans="1:11" x14ac:dyDescent="0.2">
      <c r="A13" s="33"/>
      <c r="B13" s="34"/>
      <c r="C13" s="34"/>
      <c r="D13" s="25"/>
      <c r="E13" s="9"/>
      <c r="F13" s="9"/>
      <c r="G13" s="9"/>
      <c r="H13" s="9"/>
      <c r="I13" s="36"/>
      <c r="J13" s="38"/>
    </row>
    <row r="14" spans="1:11" ht="24" x14ac:dyDescent="0.2">
      <c r="A14" s="39" t="s">
        <v>7</v>
      </c>
      <c r="B14" s="40"/>
      <c r="C14" s="40"/>
      <c r="D14" s="40"/>
      <c r="E14" s="40"/>
      <c r="F14" s="40"/>
      <c r="G14" s="41" cm="1">
        <f t="array" ref="G14">SUM(H:H)-SUM(SUMIFS(H:H,J:J,{"PAID","MAKER"}))</f>
        <v>7717700</v>
      </c>
      <c r="H14" s="42"/>
      <c r="I14" s="42"/>
      <c r="J14" s="43"/>
    </row>
  </sheetData>
  <mergeCells count="14">
    <mergeCell ref="A14:F14"/>
    <mergeCell ref="G14:J14"/>
    <mergeCell ref="A4:A6"/>
    <mergeCell ref="B4:B6"/>
    <mergeCell ref="E4:E6"/>
    <mergeCell ref="H4:H6"/>
    <mergeCell ref="I4:I6"/>
    <mergeCell ref="J4:J6"/>
    <mergeCell ref="A2:A3"/>
    <mergeCell ref="B2:B3"/>
    <mergeCell ref="E2:E3"/>
    <mergeCell ref="H2:H3"/>
    <mergeCell ref="I2:I3"/>
    <mergeCell ref="J2:J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SURYA CIPTA NIAGA BALI (Beef)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2026-03-31T17:45:13Z</dcterms:created>
  <dcterms:modified xsi:type="dcterms:W3CDTF">2026-03-31T17:45:26Z</dcterms:modified>
</cp:coreProperties>
</file>