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SURYA CIPTA NIAGA BALI (Beef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<sst xmlns="http://schemas.openxmlformats.org/spreadsheetml/2006/main" count="24" uniqueCount="18">
  <si>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</si>
  <si>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</si>
  <si>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</si>
  <si>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</si>
  <si>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</si>
  <si>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</si>
  <si>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</si>
  <si>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</si>
  <si>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DUE DATE</t>
  </si>
  <si>
    <t>STATUS</t>
  </si>
  <si>
    <t>2602/FK-0599</t>
  </si>
  <si>
    <t>BEEF MEAT</t>
  </si>
  <si>
    <t>PAID</t>
  </si>
  <si>
    <t>STRIPLOIN ICHI BROWN</t>
  </si>
  <si>
    <t>TOP SIDE BLACK ANGUS GF ONYX</t>
  </si>
  <si>
    <t>2602/FK-1854</t>
  </si>
  <si>
    <t>UNPAID</t>
  </si>
  <si>
    <t>2602/FK-2577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</si>
</sst>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[$-809]dd\ mmmm\ yyyy;@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vertical="center" wrapText="1"/>
    </xf>
    <xf numFmtId="176" fontId="0" fillId="3" borderId="3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176" fontId="0" fillId="3" borderId="4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vertical="center"/>
    </xf>
    <xf numFmtId="177" fontId="0" fillId="3" borderId="2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77" fontId="0" fillId="3" borderId="3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77" fontId="0" fillId="3" borderId="4" xfId="0" applyNumberForma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vertical="center"/>
    </xf>
    <xf numFmtId="177" fontId="0" fillId="3" borderId="2" xfId="0" applyNumberFormat="1" applyFont="1" applyFill="1" applyBorder="1" applyAlignment="1">
      <alignment horizontal="center" vertical="center"/>
    </xf>
    <xf numFmtId="177" fontId="0" fillId="3" borderId="3" xfId="0" applyNumberFormat="1" applyFont="1" applyFill="1" applyBorder="1" applyAlignment="1">
      <alignment horizontal="center" vertical="center"/>
    </xf>
    <xf numFmtId="177" fontId="0" fillId="3" borderId="4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4" borderId="6" xfId="0" applyNumberFormat="1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3" fillId="4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24447</xdr:colOff>
      <xdr:row>1</xdr:row>
      <xdr:rowOff>26352</xdr:rowOff>
    </xdr:from>
    <xdr:to>
      <xdr:col>4</xdr:col>
      <xdr:colOff>2961322</xdr:colOff>
      <xdr:row>3</xdr:row>
      <xdr:rowOff>682307</xdr:rowOff>
    </xdr:to>
    <xdr:pic>
      <xdr:nvPicPr>
        <xdr:cNvPr id="2" name="ID_F27715BF6DBA4DF5B3C9B3FB31698DF8" descr="PHOTO-2026-02-06-18-12-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7537450" y="-212090"/>
          <a:ext cx="2052955" cy="2936240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</xdr:colOff>
      <xdr:row>4</xdr:row>
      <xdr:rowOff>24765</xdr:rowOff>
    </xdr:from>
    <xdr:to>
      <xdr:col>4</xdr:col>
      <xdr:colOff>2947035</xdr:colOff>
      <xdr:row>4</xdr:row>
      <xdr:rowOff>1779905</xdr:rowOff>
    </xdr:to>
    <xdr:pic>
      <xdr:nvPicPr>
        <xdr:cNvPr id="3" name="ID_E40F2A81E6514CD0809307C88BFFE118" descr="PHOTO-2026-02-20-22-38-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7687310" y="1747520"/>
          <a:ext cx="1755140" cy="2907030"/>
        </a:xfrm>
        <a:prstGeom prst="rect">
          <a:avLst/>
        </a:prstGeom>
      </xdr:spPr>
    </xdr:pic>
    <xdr:clientData/>
  </xdr:twoCellAnchor>
  <xdr:twoCellAnchor editAs="oneCell">
    <xdr:from>
      <xdr:col>4</xdr:col>
      <xdr:colOff>92710</xdr:colOff>
      <xdr:row>5</xdr:row>
      <xdr:rowOff>24765</xdr:rowOff>
    </xdr:from>
    <xdr:to>
      <xdr:col>4</xdr:col>
      <xdr:colOff>2894965</xdr:colOff>
      <xdr:row>7</xdr:row>
      <xdr:rowOff>560070</xdr:rowOff>
    </xdr:to>
    <xdr:pic>
      <xdr:nvPicPr>
        <xdr:cNvPr id="4" name="ID_9DE83CEB47DB4E2D8676A8CBF95FDB51" descr="PHOTO-2026-02-25-19-31-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64070" y="4123690"/>
          <a:ext cx="2802255" cy="1678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85" zoomScaleNormal="85" topLeftCell="F1" workbookViewId="0">
      <pane ySplit="1" topLeftCell="A2" activePane="bottomLeft" state="frozen"/>
      <selection/>
      <selection pane="bottomLeft" activeCell="G16" sqref="G16"/>
    </sheetView>
  </sheetViews>
  <sheetFormatPr defaultColWidth="9.140625" defaultRowHeight="16.8"/>
  <cols>
    <col min="1" max="1" width="19" style="1" customWidth="1"/>
    <col min="2" max="2" width="13.7109375" style="2" customWidth="1"/>
    <col min="3" max="3" width="28.859375" customWidth="1"/>
    <col min="4" max="4" width="25.4296875" style="3" customWidth="1"/>
    <col min="5" max="5" width="36.5546875" customWidth="1"/>
    <col min="6" max="7" width="18.7109375" customWidth="1"/>
    <col min="8" max="8" width="22.859375" customWidth="1"/>
    <col min="9" max="9" width="15.4296875" customWidth="1"/>
    <col min="10" max="10" width="11.875" style="3" customWidth="1"/>
  </cols>
  <sheetData>
    <row r="1" ht="16" customHeight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55" customHeight="1" spans="1:10">
      <c r="A2" s="7">
        <v>46059</v>
      </c>
      <c r="B2" s="8" t="s">
        <v>10</v>
      </c>
      <c r="C2" s="9" t="s">
        <v>11</v>
      </c>
      <c r="D2" s="10">
        <v>5.02</v>
      </c>
      <c r="E2" s="27"/>
      <c r="F2" s="28">
        <v>150000</v>
      </c>
      <c r="G2" s="28">
        <f t="shared" ref="G2:G8" si="0">F2*D2</f>
        <v>753000</v>
      </c>
      <c r="H2" s="29">
        <f>SUM(G2:G4)</f>
        <v>8553600</v>
      </c>
      <c r="I2" s="40">
        <v>46066</v>
      </c>
      <c r="J2" s="41" t="s">
        <v>12</v>
      </c>
    </row>
    <row r="3" ht="55" customHeight="1" spans="1:10">
      <c r="A3" s="11"/>
      <c r="B3" s="12"/>
      <c r="C3" s="9" t="s">
        <v>13</v>
      </c>
      <c r="D3" s="10">
        <v>7.42</v>
      </c>
      <c r="E3" s="30"/>
      <c r="F3" s="28">
        <v>180000</v>
      </c>
      <c r="G3" s="28">
        <f t="shared" si="0"/>
        <v>1335600</v>
      </c>
      <c r="H3" s="31"/>
      <c r="I3" s="42"/>
      <c r="J3" s="43"/>
    </row>
    <row r="4" ht="55" customHeight="1" spans="1:10">
      <c r="A4" s="13"/>
      <c r="B4" s="14"/>
      <c r="C4" s="9" t="s">
        <v>14</v>
      </c>
      <c r="D4" s="10">
        <v>25.86</v>
      </c>
      <c r="E4" s="32"/>
      <c r="F4" s="28">
        <v>250000</v>
      </c>
      <c r="G4" s="28">
        <f t="shared" si="0"/>
        <v>6465000</v>
      </c>
      <c r="H4" s="33"/>
      <c r="I4" s="44"/>
      <c r="J4" s="45"/>
    </row>
    <row r="5" ht="141.75" customHeight="1" spans="1:10">
      <c r="A5" s="15">
        <v>46072</v>
      </c>
      <c r="B5" s="16" t="s">
        <v>15</v>
      </c>
      <c r="C5" s="16" t="s">
        <v>13</v>
      </c>
      <c r="D5" s="17">
        <v>17.77</v>
      </c>
      <c r="E5" s="16"/>
      <c r="F5" s="34">
        <v>180000</v>
      </c>
      <c r="G5" s="28">
        <f t="shared" si="0"/>
        <v>3198600</v>
      </c>
      <c r="H5" s="34">
        <f>SUM(G5)</f>
        <v>3198600</v>
      </c>
      <c r="I5" s="46">
        <v>46079</v>
      </c>
      <c r="J5" s="47" t="s">
        <v>16</v>
      </c>
    </row>
    <row r="6" ht="45" customHeight="1" spans="1:10">
      <c r="A6" s="18">
        <v>46078</v>
      </c>
      <c r="B6" s="19" t="s">
        <v>17</v>
      </c>
      <c r="C6" s="20" t="s">
        <v>14</v>
      </c>
      <c r="D6" s="17">
        <v>12.4</v>
      </c>
      <c r="E6" s="19"/>
      <c r="F6" s="34">
        <v>250000</v>
      </c>
      <c r="G6" s="28">
        <f t="shared" si="0"/>
        <v>3100000</v>
      </c>
      <c r="H6" s="35">
        <f>SUM(G6:G8)</f>
        <v>4969600</v>
      </c>
      <c r="I6" s="40">
        <v>46085</v>
      </c>
      <c r="J6" s="48" t="s">
        <v>16</v>
      </c>
    </row>
    <row r="7" ht="45" customHeight="1" spans="1:10">
      <c r="A7" s="21"/>
      <c r="B7" s="22"/>
      <c r="C7" s="20" t="s">
        <v>13</v>
      </c>
      <c r="D7" s="17">
        <v>6.17</v>
      </c>
      <c r="E7" s="22"/>
      <c r="F7" s="34">
        <v>180000</v>
      </c>
      <c r="G7" s="28">
        <f t="shared" si="0"/>
        <v>1110600</v>
      </c>
      <c r="H7" s="36"/>
      <c r="I7" s="42"/>
      <c r="J7" s="49"/>
    </row>
    <row r="8" ht="45" customHeight="1" spans="1:10">
      <c r="A8" s="23"/>
      <c r="B8" s="24"/>
      <c r="C8" s="20" t="s">
        <v>11</v>
      </c>
      <c r="D8" s="17">
        <v>5.06</v>
      </c>
      <c r="E8" s="24"/>
      <c r="F8" s="34">
        <v>150000</v>
      </c>
      <c r="G8" s="28">
        <f t="shared" si="0"/>
        <v>759000</v>
      </c>
      <c r="H8" s="37"/>
      <c r="I8" s="44"/>
      <c r="J8" s="50"/>
    </row>
    <row r="9" spans="1:10">
      <c r="A9" s="15"/>
      <c r="B9" s="16"/>
      <c r="C9" s="16"/>
      <c r="D9" s="17"/>
      <c r="E9" s="34"/>
      <c r="F9" s="34"/>
      <c r="G9" s="28"/>
      <c r="H9" s="34"/>
      <c r="I9" s="46"/>
      <c r="J9" s="47"/>
    </row>
    <row r="10" spans="1:10">
      <c r="A10" s="15"/>
      <c r="B10" s="16"/>
      <c r="C10" s="16"/>
      <c r="D10" s="17"/>
      <c r="E10" s="34"/>
      <c r="F10" s="34"/>
      <c r="G10" s="28"/>
      <c r="H10" s="34"/>
      <c r="I10" s="46"/>
      <c r="J10" s="47"/>
    </row>
    <row r="11" spans="1:10">
      <c r="A11" s="15"/>
      <c r="B11" s="16"/>
      <c r="C11" s="16"/>
      <c r="D11" s="17"/>
      <c r="E11" s="34"/>
      <c r="F11" s="34"/>
      <c r="G11" s="28"/>
      <c r="H11" s="34"/>
      <c r="I11" s="46"/>
      <c r="J11" s="47"/>
    </row>
    <row r="12" spans="1:10">
      <c r="A12" s="15"/>
      <c r="B12" s="16"/>
      <c r="C12" s="16"/>
      <c r="D12" s="17"/>
      <c r="E12" s="34"/>
      <c r="F12" s="34"/>
      <c r="G12" s="28"/>
      <c r="H12" s="34"/>
      <c r="I12" s="46"/>
      <c r="J12" s="47"/>
    </row>
    <row r="13" spans="1:10">
      <c r="A13" s="15"/>
      <c r="B13" s="16"/>
      <c r="C13" s="16"/>
      <c r="D13" s="17"/>
      <c r="E13" s="34"/>
      <c r="F13" s="34"/>
      <c r="G13" s="28"/>
      <c r="H13" s="34"/>
      <c r="I13" s="46"/>
      <c r="J13" s="47"/>
    </row>
    <row r="14" ht="26" spans="1:10">
      <c r="A14" s="25" t="s">
        <v>7</v>
      </c>
      <c r="B14" s="26"/>
      <c r="C14" s="26"/>
      <c r="D14" s="26"/>
      <c r="E14" s="26"/>
      <c r="F14" s="26"/>
      <c r="G14" s="38">
        <f>SUM(H:H)-SUMIF(J:J,"PAID*",H:H)</f>
        <v>8168200</v>
      </c>
      <c r="H14" s="39"/>
      <c r="I14" s="39"/>
      <c r="J14" s="51"/>
    </row>
  </sheetData>
  <mergeCells count="14">
    <mergeCell ref="A14:F14"/>
    <mergeCell ref="G14:J14"/>
    <mergeCell ref="A2:A4"/>
    <mergeCell ref="A6:A8"/>
    <mergeCell ref="B2:B4"/>
    <mergeCell ref="B6:B8"/>
    <mergeCell ref="E2:E4"/>
    <mergeCell ref="E6:E8"/>
    <mergeCell ref="H2:H4"/>
    <mergeCell ref="H6:H8"/>
    <mergeCell ref="I2:I4"/>
    <mergeCell ref="I6:I8"/>
    <mergeCell ref="J2:J4"/>
    <mergeCell ref="J6:J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SURYA CIPTA NIAGA BALI (Beef)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2026-03-01T05:04:54Z</dcterms:created>
  <dcterms:modified xsi:type="dcterms:W3CDTF">2026-03-01T05:05:26Z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28776316A739E5BA7658A369A096B2DC_41</vt:lpwstr>
  </property>
  <property fmtid="{D5CDD505-2E9C-101B-9397-08002B2CF9AE}" pid="3" name="KSOProductBuildVer">
    <vt:lpwstr>1033-12.1.23155.23155</vt:lpwstr>
  </property>
</Properties>
</file>