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<sst xmlns="http://schemas.openxmlformats.org/spreadsheetml/2006/main" count="142" uniqueCount="21">
  <si>
    <t>INV NO</t>
  </si>
  <si>
    <t>DATE</t>
  </si>
  <si>
    <t>ITEM</t>
  </si>
  <si>
    <t>QYT</t>
  </si>
  <si>
    <t>PRICE</t>
  </si>
  <si>
    <t>TOTALPRICE</t>
  </si>
  <si>
    <t>Ice Crystal 5Kg</t>
  </si>
  <si>
    <t>Coke Zero Can 330ml</t>
  </si>
  <si>
    <t>Polaris Soda Water Can 330ml</t>
  </si>
  <si>
    <t>Cleo Galon 19Ltr</t>
  </si>
  <si>
    <t>Aqua Galon 19Ltr</t>
  </si>
  <si>
    <t>Aqua Reflections Sparkling 750ml</t>
  </si>
  <si>
    <t>Coca-Cola Can 330ml</t>
  </si>
  <si>
    <t>Aqua Reflections Still 380ml</t>
  </si>
  <si>
    <t>Bintang Pint 330ml</t>
  </si>
  <si>
    <t>Charge Bottle</t>
  </si>
  <si>
    <t>Aqua Reflections Still 750ml</t>
  </si>
  <si>
    <t>Aqua Reflections Sparkling 380ml</t>
  </si>
  <si>
    <t>Sprite Can 330ml</t>
  </si>
  <si>
    <t>Radler Pint 330ml</t>
  </si>
  <si>
    <t>Albens Original Apple Cider 330ml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</si>
</sst>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79" fontId="0" fillId="2" borderId="1" xfId="0" applyNumberFormat="1" applyFill="1" applyBorder="1" applyAlignment="1">
      <alignment horizontal="center" vertical="center"/>
    </xf>
    <xf numFmtId="179" fontId="0" fillId="2" borderId="1" xfId="0" applyNumberFormat="1" applyFill="1" applyBorder="1" applyAlignment="1">
      <alignment vertical="center"/>
    </xf>
    <xf numFmtId="179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8" fontId="0" fillId="2" borderId="2" xfId="0" applyNumberForma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0" fillId="2" borderId="3" xfId="0" applyNumberFormat="1" applyFill="1" applyBorder="1" applyAlignment="1">
      <alignment horizontal="center" vertical="center"/>
    </xf>
    <xf numFmtId="179" fontId="0" fillId="2" borderId="3" xfId="0" applyNumberForma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8" fontId="0" fillId="2" borderId="3" xfId="0" applyNumberFormat="1" applyFill="1" applyBorder="1" applyAlignment="1">
      <alignment horizontal="center" vertical="center"/>
    </xf>
    <xf numFmtId="179" fontId="4" fillId="2" borderId="3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left" vertical="center"/>
    </xf>
    <xf numFmtId="179" fontId="0" fillId="2" borderId="1" xfId="0" applyNumberFormat="1" applyFill="1" applyBorder="1" applyAlignment="1">
      <alignment horizontal="left" vertical="center"/>
    </xf>
    <xf numFmtId="179" fontId="0" fillId="2" borderId="3" xfId="0" applyNumberFormat="1" applyFill="1" applyBorder="1" applyAlignment="1">
      <alignment horizontal="left" vertical="center"/>
    </xf>
    <xf numFmtId="179" fontId="0" fillId="0" borderId="0" xfId="0" applyNumberFormat="1" applyFill="1" applyAlignment="1">
      <alignment vertical="center"/>
    </xf>
    <xf numFmtId="0" fontId="0" fillId="2" borderId="4" xfId="0" applyFill="1" applyBorder="1" applyAlignment="1">
      <alignment horizontal="center" vertical="center"/>
    </xf>
    <xf numFmtId="178" fontId="0" fillId="2" borderId="4" xfId="0" applyNumberFormat="1" applyFill="1" applyBorder="1" applyAlignment="1">
      <alignment horizontal="center" vertical="center"/>
    </xf>
    <xf numFmtId="179" fontId="4" fillId="2" borderId="4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178" fontId="0" fillId="2" borderId="2" xfId="0" applyNumberFormat="1" applyFill="1" applyBorder="1" applyAlignment="1">
      <alignment vertical="center"/>
    </xf>
    <xf numFmtId="179" fontId="0" fillId="2" borderId="3" xfId="0" applyNumberFormat="1" applyFill="1" applyBorder="1" applyAlignment="1">
      <alignment vertical="center"/>
    </xf>
    <xf numFmtId="179" fontId="4" fillId="2" borderId="2" xfId="0" applyNumberFormat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78" fontId="0" fillId="2" borderId="3" xfId="0" applyNumberFormat="1" applyFill="1" applyBorder="1" applyAlignment="1">
      <alignment vertical="center"/>
    </xf>
    <xf numFmtId="179" fontId="4" fillId="2" borderId="3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7"/>
  <sheetViews>
    <sheetView tabSelected="1" workbookViewId="0">
      <selection activeCell="C7" sqref="C7"/>
    </sheetView>
  </sheetViews>
  <sheetFormatPr defaultColWidth="9.14285714285714" defaultRowHeight="15" outlineLevelCol="7"/>
  <cols>
    <col min="1" max="1" width="8.85714285714286" style="3" customWidth="1"/>
    <col min="2" max="2" width="12.7142857142857" style="4" customWidth="1"/>
    <col min="3" max="3" width="31.9333333333333" style="5" customWidth="1"/>
    <col min="4" max="4" width="6.8952380952381" style="6" customWidth="1"/>
    <col min="5" max="5" width="13.1428571428571" style="7" customWidth="1"/>
    <col min="6" max="6" width="13.1428571428571" style="1" customWidth="1"/>
    <col min="7" max="7" width="21.5047619047619" style="3" customWidth="1"/>
    <col min="8" max="8" width="13.1428571428571" style="1"/>
    <col min="9" max="9" width="29.2857142857143" style="1" customWidth="1"/>
    <col min="10" max="10" width="9.14285714285714" style="1"/>
    <col min="11" max="11" width="18.0285714285714" style="1" customWidth="1"/>
    <col min="12" max="16384" width="9.14285714285714" style="1"/>
  </cols>
  <sheetData>
    <row r="1" s="1" customFormat="1" ht="21" customHeight="1" spans="1:7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0"/>
      <c r="G1" s="10" t="s">
        <v>5</v>
      </c>
    </row>
    <row r="2" s="1" customFormat="1" ht="19" customHeight="1" spans="1:7">
      <c r="A2" s="13">
        <v>69542</v>
      </c>
      <c r="B2" s="14">
        <v>45931</v>
      </c>
      <c r="C2" s="15" t="s">
        <v>6</v>
      </c>
      <c r="D2" s="13">
        <v>4</v>
      </c>
      <c r="E2" s="16">
        <v>8000</v>
      </c>
      <c r="F2" s="17">
        <f t="shared" ref="F2:F65" si="0">SUM(D2*E2)</f>
        <v>32000</v>
      </c>
      <c r="G2" s="18">
        <f>SUM(F2:F7)</f>
        <v>474000</v>
      </c>
    </row>
    <row r="3" s="1" customFormat="1" ht="19" customHeight="1" spans="1:7">
      <c r="A3" s="13"/>
      <c r="B3" s="14"/>
      <c r="C3" s="15" t="s">
        <v>7</v>
      </c>
      <c r="D3" s="13">
        <v>1</v>
      </c>
      <c r="E3" s="16">
        <v>135000</v>
      </c>
      <c r="F3" s="17">
        <f t="shared" si="0"/>
        <v>135000</v>
      </c>
      <c r="G3" s="18"/>
    </row>
    <row r="4" s="1" customFormat="1" ht="19" customHeight="1" spans="1:7">
      <c r="A4" s="13"/>
      <c r="B4" s="14"/>
      <c r="C4" s="15" t="s">
        <v>8</v>
      </c>
      <c r="D4" s="13">
        <v>1</v>
      </c>
      <c r="E4" s="16">
        <v>125000</v>
      </c>
      <c r="F4" s="17">
        <f t="shared" si="0"/>
        <v>125000</v>
      </c>
      <c r="G4" s="18"/>
    </row>
    <row r="5" s="1" customFormat="1" ht="19" customHeight="1" spans="1:7">
      <c r="A5" s="13"/>
      <c r="B5" s="14"/>
      <c r="C5" s="15" t="s">
        <v>9</v>
      </c>
      <c r="D5" s="13">
        <v>1</v>
      </c>
      <c r="E5" s="16">
        <v>22000</v>
      </c>
      <c r="F5" s="17">
        <f t="shared" si="0"/>
        <v>22000</v>
      </c>
      <c r="G5" s="18"/>
    </row>
    <row r="6" s="1" customFormat="1" ht="19" customHeight="1" spans="1:7">
      <c r="A6" s="13"/>
      <c r="B6" s="14"/>
      <c r="C6" s="15" t="s">
        <v>10</v>
      </c>
      <c r="D6" s="13">
        <v>2</v>
      </c>
      <c r="E6" s="16">
        <v>20000</v>
      </c>
      <c r="F6" s="17">
        <f t="shared" si="0"/>
        <v>40000</v>
      </c>
      <c r="G6" s="18"/>
    </row>
    <row r="7" s="1" customFormat="1" ht="19" customHeight="1" spans="1:7">
      <c r="A7" s="13"/>
      <c r="B7" s="14"/>
      <c r="C7" s="15" t="s">
        <v>11</v>
      </c>
      <c r="D7" s="13">
        <v>1</v>
      </c>
      <c r="E7" s="16">
        <v>120000</v>
      </c>
      <c r="F7" s="17">
        <f t="shared" si="0"/>
        <v>120000</v>
      </c>
      <c r="G7" s="18"/>
    </row>
    <row r="8" s="1" customFormat="1" ht="19" customHeight="1" spans="1:7">
      <c r="A8" s="19">
        <v>69634</v>
      </c>
      <c r="B8" s="14">
        <v>45932</v>
      </c>
      <c r="C8" s="15" t="s">
        <v>9</v>
      </c>
      <c r="D8" s="13">
        <v>1</v>
      </c>
      <c r="E8" s="16">
        <v>22000</v>
      </c>
      <c r="F8" s="17">
        <f t="shared" si="0"/>
        <v>22000</v>
      </c>
      <c r="G8" s="18">
        <f>SUM(F8:F10)</f>
        <v>197000</v>
      </c>
    </row>
    <row r="9" s="1" customFormat="1" ht="19" customHeight="1" spans="1:7">
      <c r="A9" s="19"/>
      <c r="B9" s="14"/>
      <c r="C9" s="15" t="s">
        <v>12</v>
      </c>
      <c r="D9" s="13">
        <v>1</v>
      </c>
      <c r="E9" s="16">
        <v>135000</v>
      </c>
      <c r="F9" s="17">
        <f t="shared" si="0"/>
        <v>135000</v>
      </c>
      <c r="G9" s="18"/>
    </row>
    <row r="10" s="1" customFormat="1" ht="19" customHeight="1" spans="1:7">
      <c r="A10" s="19"/>
      <c r="B10" s="14"/>
      <c r="C10" s="15" t="s">
        <v>6</v>
      </c>
      <c r="D10" s="13">
        <v>5</v>
      </c>
      <c r="E10" s="16">
        <v>8000</v>
      </c>
      <c r="F10" s="17">
        <f t="shared" si="0"/>
        <v>40000</v>
      </c>
      <c r="G10" s="18"/>
    </row>
    <row r="11" s="1" customFormat="1" ht="18" customHeight="1" spans="1:7">
      <c r="A11" s="20">
        <v>69689</v>
      </c>
      <c r="B11" s="21">
        <v>45933</v>
      </c>
      <c r="C11" s="22" t="s">
        <v>6</v>
      </c>
      <c r="D11" s="23">
        <v>6</v>
      </c>
      <c r="E11" s="24">
        <v>8000</v>
      </c>
      <c r="F11" s="17">
        <f t="shared" si="0"/>
        <v>48000</v>
      </c>
      <c r="G11" s="25">
        <f>SUM(F11:F13)</f>
        <v>190000</v>
      </c>
    </row>
    <row r="12" s="1" customFormat="1" ht="18" customHeight="1" spans="1:7">
      <c r="A12" s="20"/>
      <c r="B12" s="21"/>
      <c r="C12" s="15" t="s">
        <v>11</v>
      </c>
      <c r="D12" s="13">
        <v>1</v>
      </c>
      <c r="E12" s="16">
        <v>120000</v>
      </c>
      <c r="F12" s="17">
        <f t="shared" si="0"/>
        <v>120000</v>
      </c>
      <c r="G12" s="25"/>
    </row>
    <row r="13" s="1" customFormat="1" ht="19" customHeight="1" spans="1:7">
      <c r="A13" s="26"/>
      <c r="B13" s="27"/>
      <c r="C13" s="15" t="s">
        <v>9</v>
      </c>
      <c r="D13" s="13">
        <v>1</v>
      </c>
      <c r="E13" s="16">
        <v>22000</v>
      </c>
      <c r="F13" s="17">
        <f t="shared" si="0"/>
        <v>22000</v>
      </c>
      <c r="G13" s="28"/>
    </row>
    <row r="14" s="1" customFormat="1" ht="19" customHeight="1" spans="1:7">
      <c r="A14" s="19">
        <v>69799</v>
      </c>
      <c r="B14" s="14">
        <v>45934</v>
      </c>
      <c r="C14" s="15" t="s">
        <v>13</v>
      </c>
      <c r="D14" s="13">
        <v>2</v>
      </c>
      <c r="E14" s="16">
        <v>125000</v>
      </c>
      <c r="F14" s="17">
        <f t="shared" si="0"/>
        <v>250000</v>
      </c>
      <c r="G14" s="18">
        <f>SUM(F14:F19)</f>
        <v>771500</v>
      </c>
    </row>
    <row r="15" s="1" customFormat="1" ht="19" customHeight="1" spans="1:7">
      <c r="A15" s="19"/>
      <c r="B15" s="14"/>
      <c r="C15" s="15" t="s">
        <v>6</v>
      </c>
      <c r="D15" s="13">
        <v>4</v>
      </c>
      <c r="E15" s="16">
        <v>8000</v>
      </c>
      <c r="F15" s="17">
        <f t="shared" si="0"/>
        <v>32000</v>
      </c>
      <c r="G15" s="18"/>
    </row>
    <row r="16" s="1" customFormat="1" ht="19" customHeight="1" spans="1:7">
      <c r="A16" s="19"/>
      <c r="B16" s="14"/>
      <c r="C16" s="29" t="s">
        <v>10</v>
      </c>
      <c r="D16" s="13">
        <v>1</v>
      </c>
      <c r="E16" s="16">
        <v>20000</v>
      </c>
      <c r="F16" s="17">
        <f t="shared" si="0"/>
        <v>20000</v>
      </c>
      <c r="G16" s="18"/>
    </row>
    <row r="17" s="1" customFormat="1" ht="19" customHeight="1" spans="1:7">
      <c r="A17" s="19"/>
      <c r="B17" s="14"/>
      <c r="C17" s="15" t="s">
        <v>9</v>
      </c>
      <c r="D17" s="13">
        <v>1</v>
      </c>
      <c r="E17" s="16">
        <v>22000</v>
      </c>
      <c r="F17" s="17">
        <f t="shared" si="0"/>
        <v>22000</v>
      </c>
      <c r="G17" s="18"/>
    </row>
    <row r="18" s="1" customFormat="1" ht="19" customHeight="1" spans="1:7">
      <c r="A18" s="19"/>
      <c r="B18" s="14"/>
      <c r="C18" s="15" t="s">
        <v>14</v>
      </c>
      <c r="D18" s="13">
        <v>1</v>
      </c>
      <c r="E18" s="16">
        <v>440000</v>
      </c>
      <c r="F18" s="17">
        <f t="shared" si="0"/>
        <v>440000</v>
      </c>
      <c r="G18" s="18"/>
    </row>
    <row r="19" s="1" customFormat="1" ht="19" customHeight="1" spans="1:7">
      <c r="A19" s="19"/>
      <c r="B19" s="14"/>
      <c r="C19" s="30" t="s">
        <v>15</v>
      </c>
      <c r="D19" s="13">
        <v>5</v>
      </c>
      <c r="E19" s="16">
        <v>1500</v>
      </c>
      <c r="F19" s="17">
        <f t="shared" si="0"/>
        <v>7500</v>
      </c>
      <c r="G19" s="18"/>
    </row>
    <row r="20" s="2" customFormat="1" ht="19" customHeight="1" spans="1:7">
      <c r="A20" s="19">
        <v>69851</v>
      </c>
      <c r="B20" s="14">
        <v>45935</v>
      </c>
      <c r="C20" s="15" t="s">
        <v>16</v>
      </c>
      <c r="D20" s="13">
        <v>1</v>
      </c>
      <c r="E20" s="16">
        <v>115000</v>
      </c>
      <c r="F20" s="17">
        <f t="shared" si="0"/>
        <v>115000</v>
      </c>
      <c r="G20" s="18">
        <f>SUM(F20:F25)</f>
        <v>460000</v>
      </c>
    </row>
    <row r="21" s="2" customFormat="1" ht="19" customHeight="1" spans="1:7">
      <c r="A21" s="19"/>
      <c r="B21" s="14"/>
      <c r="C21" s="15" t="s">
        <v>11</v>
      </c>
      <c r="D21" s="13">
        <v>1</v>
      </c>
      <c r="E21" s="16">
        <v>120000</v>
      </c>
      <c r="F21" s="17">
        <f t="shared" si="0"/>
        <v>120000</v>
      </c>
      <c r="G21" s="18"/>
    </row>
    <row r="22" s="2" customFormat="1" ht="19" customHeight="1" spans="1:7">
      <c r="A22" s="19"/>
      <c r="B22" s="14"/>
      <c r="C22" s="30" t="s">
        <v>17</v>
      </c>
      <c r="D22" s="13">
        <v>1</v>
      </c>
      <c r="E22" s="16">
        <v>135000</v>
      </c>
      <c r="F22" s="17">
        <f t="shared" si="0"/>
        <v>135000</v>
      </c>
      <c r="G22" s="18"/>
    </row>
    <row r="23" s="2" customFormat="1" ht="19" customHeight="1" spans="1:7">
      <c r="A23" s="19"/>
      <c r="B23" s="14"/>
      <c r="C23" s="15" t="s">
        <v>6</v>
      </c>
      <c r="D23" s="13">
        <v>6</v>
      </c>
      <c r="E23" s="16">
        <v>8000</v>
      </c>
      <c r="F23" s="17">
        <f t="shared" si="0"/>
        <v>48000</v>
      </c>
      <c r="G23" s="18"/>
    </row>
    <row r="24" s="2" customFormat="1" ht="19" customHeight="1" spans="1:7">
      <c r="A24" s="19"/>
      <c r="B24" s="14"/>
      <c r="C24" s="15" t="s">
        <v>10</v>
      </c>
      <c r="D24" s="13">
        <v>1</v>
      </c>
      <c r="E24" s="16">
        <v>20000</v>
      </c>
      <c r="F24" s="17">
        <f t="shared" si="0"/>
        <v>20000</v>
      </c>
      <c r="G24" s="18"/>
    </row>
    <row r="25" s="2" customFormat="1" ht="19" customHeight="1" spans="1:7">
      <c r="A25" s="19"/>
      <c r="B25" s="14"/>
      <c r="C25" s="30" t="s">
        <v>9</v>
      </c>
      <c r="D25" s="13">
        <v>1</v>
      </c>
      <c r="E25" s="16">
        <v>22000</v>
      </c>
      <c r="F25" s="17">
        <f t="shared" si="0"/>
        <v>22000</v>
      </c>
      <c r="G25" s="18"/>
    </row>
    <row r="26" s="2" customFormat="1" ht="19" customHeight="1" spans="1:7">
      <c r="A26" s="19">
        <v>69943</v>
      </c>
      <c r="B26" s="14">
        <v>45936</v>
      </c>
      <c r="C26" s="15" t="s">
        <v>16</v>
      </c>
      <c r="D26" s="13">
        <v>1</v>
      </c>
      <c r="E26" s="16">
        <v>115000</v>
      </c>
      <c r="F26" s="17">
        <f t="shared" si="0"/>
        <v>115000</v>
      </c>
      <c r="G26" s="18">
        <f>SUM(F26:F31)</f>
        <v>460000</v>
      </c>
    </row>
    <row r="27" s="2" customFormat="1" ht="19" customHeight="1" spans="1:7">
      <c r="A27" s="19"/>
      <c r="B27" s="14"/>
      <c r="C27" s="15" t="s">
        <v>11</v>
      </c>
      <c r="D27" s="13">
        <v>1</v>
      </c>
      <c r="E27" s="16">
        <v>120000</v>
      </c>
      <c r="F27" s="17">
        <f t="shared" si="0"/>
        <v>120000</v>
      </c>
      <c r="G27" s="18"/>
    </row>
    <row r="28" s="2" customFormat="1" ht="19" customHeight="1" spans="1:7">
      <c r="A28" s="19"/>
      <c r="B28" s="14"/>
      <c r="C28" s="15" t="s">
        <v>17</v>
      </c>
      <c r="D28" s="13">
        <v>1</v>
      </c>
      <c r="E28" s="16">
        <v>135000</v>
      </c>
      <c r="F28" s="17">
        <f t="shared" si="0"/>
        <v>135000</v>
      </c>
      <c r="G28" s="18"/>
    </row>
    <row r="29" s="2" customFormat="1" ht="19" customHeight="1" spans="1:7">
      <c r="A29" s="19"/>
      <c r="B29" s="14"/>
      <c r="C29" s="15" t="s">
        <v>6</v>
      </c>
      <c r="D29" s="13">
        <v>6</v>
      </c>
      <c r="E29" s="16">
        <v>8000</v>
      </c>
      <c r="F29" s="17">
        <f t="shared" si="0"/>
        <v>48000</v>
      </c>
      <c r="G29" s="18"/>
    </row>
    <row r="30" s="2" customFormat="1" ht="19" customHeight="1" spans="1:7">
      <c r="A30" s="19"/>
      <c r="B30" s="14"/>
      <c r="C30" s="15" t="s">
        <v>10</v>
      </c>
      <c r="D30" s="13">
        <v>1</v>
      </c>
      <c r="E30" s="16">
        <v>20000</v>
      </c>
      <c r="F30" s="17">
        <f t="shared" si="0"/>
        <v>20000</v>
      </c>
      <c r="G30" s="18"/>
    </row>
    <row r="31" s="2" customFormat="1" ht="19" customHeight="1" spans="1:7">
      <c r="A31" s="19"/>
      <c r="B31" s="14"/>
      <c r="C31" s="15" t="s">
        <v>9</v>
      </c>
      <c r="D31" s="13">
        <v>1</v>
      </c>
      <c r="E31" s="16">
        <v>22000</v>
      </c>
      <c r="F31" s="17">
        <f t="shared" si="0"/>
        <v>22000</v>
      </c>
      <c r="G31" s="18"/>
    </row>
    <row r="32" s="2" customFormat="1" ht="19" customHeight="1" spans="1:7">
      <c r="A32" s="19">
        <v>70058</v>
      </c>
      <c r="B32" s="14">
        <v>45937</v>
      </c>
      <c r="C32" s="15" t="s">
        <v>6</v>
      </c>
      <c r="D32" s="13">
        <v>6</v>
      </c>
      <c r="E32" s="16">
        <v>10000</v>
      </c>
      <c r="F32" s="17">
        <f t="shared" si="0"/>
        <v>60000</v>
      </c>
      <c r="G32" s="18">
        <f>SUM(F32:F34)</f>
        <v>102000</v>
      </c>
    </row>
    <row r="33" s="2" customFormat="1" ht="19" customHeight="1" spans="1:7">
      <c r="A33" s="19"/>
      <c r="B33" s="14"/>
      <c r="C33" s="15" t="s">
        <v>10</v>
      </c>
      <c r="D33" s="13">
        <v>1</v>
      </c>
      <c r="E33" s="16">
        <v>20000</v>
      </c>
      <c r="F33" s="17">
        <f t="shared" si="0"/>
        <v>20000</v>
      </c>
      <c r="G33" s="18"/>
    </row>
    <row r="34" s="2" customFormat="1" ht="19" customHeight="1" spans="1:7">
      <c r="A34" s="19"/>
      <c r="B34" s="14"/>
      <c r="C34" s="30" t="s">
        <v>9</v>
      </c>
      <c r="D34" s="13">
        <v>1</v>
      </c>
      <c r="E34" s="16">
        <v>22000</v>
      </c>
      <c r="F34" s="17">
        <f t="shared" si="0"/>
        <v>22000</v>
      </c>
      <c r="G34" s="18"/>
    </row>
    <row r="35" s="2" customFormat="1" ht="19" customHeight="1" spans="1:7">
      <c r="A35" s="19">
        <v>70115</v>
      </c>
      <c r="B35" s="14">
        <v>45938</v>
      </c>
      <c r="C35" s="15" t="s">
        <v>6</v>
      </c>
      <c r="D35" s="13">
        <v>6</v>
      </c>
      <c r="E35" s="16">
        <v>8000</v>
      </c>
      <c r="F35" s="17">
        <f t="shared" si="0"/>
        <v>48000</v>
      </c>
      <c r="G35" s="18">
        <f>SUM(F35:F39)</f>
        <v>350000</v>
      </c>
    </row>
    <row r="36" s="2" customFormat="1" ht="19" customHeight="1" spans="1:7">
      <c r="A36" s="19"/>
      <c r="B36" s="14"/>
      <c r="C36" s="15" t="s">
        <v>18</v>
      </c>
      <c r="D36" s="13">
        <v>1</v>
      </c>
      <c r="E36" s="16">
        <v>135000</v>
      </c>
      <c r="F36" s="17">
        <f t="shared" si="0"/>
        <v>135000</v>
      </c>
      <c r="G36" s="18"/>
    </row>
    <row r="37" s="2" customFormat="1" ht="19" customHeight="1" spans="1:7">
      <c r="A37" s="19"/>
      <c r="B37" s="14"/>
      <c r="C37" s="30" t="s">
        <v>8</v>
      </c>
      <c r="D37" s="13">
        <v>1</v>
      </c>
      <c r="E37" s="16">
        <v>125000</v>
      </c>
      <c r="F37" s="17">
        <f t="shared" si="0"/>
        <v>125000</v>
      </c>
      <c r="G37" s="18"/>
    </row>
    <row r="38" s="2" customFormat="1" ht="19" customHeight="1" spans="1:7">
      <c r="A38" s="19"/>
      <c r="B38" s="14"/>
      <c r="C38" s="15" t="s">
        <v>10</v>
      </c>
      <c r="D38" s="13">
        <v>1</v>
      </c>
      <c r="E38" s="16">
        <v>20000</v>
      </c>
      <c r="F38" s="17">
        <f t="shared" si="0"/>
        <v>20000</v>
      </c>
      <c r="G38" s="18"/>
    </row>
    <row r="39" s="2" customFormat="1" ht="19" customHeight="1" spans="1:7">
      <c r="A39" s="19"/>
      <c r="B39" s="14"/>
      <c r="C39" s="30" t="s">
        <v>9</v>
      </c>
      <c r="D39" s="13">
        <v>1</v>
      </c>
      <c r="E39" s="16">
        <v>22000</v>
      </c>
      <c r="F39" s="17">
        <f t="shared" si="0"/>
        <v>22000</v>
      </c>
      <c r="G39" s="18"/>
    </row>
    <row r="40" s="2" customFormat="1" ht="19" customHeight="1" spans="1:7">
      <c r="A40" s="19">
        <v>70182</v>
      </c>
      <c r="B40" s="14">
        <v>45939</v>
      </c>
      <c r="C40" s="15" t="s">
        <v>10</v>
      </c>
      <c r="D40" s="13">
        <v>1</v>
      </c>
      <c r="E40" s="16">
        <v>20000</v>
      </c>
      <c r="F40" s="17">
        <f t="shared" si="0"/>
        <v>20000</v>
      </c>
      <c r="G40" s="18">
        <f>SUM(F40:F42)</f>
        <v>282000</v>
      </c>
    </row>
    <row r="41" s="2" customFormat="1" ht="19" customHeight="1" spans="1:7">
      <c r="A41" s="19"/>
      <c r="B41" s="14"/>
      <c r="C41" s="15" t="s">
        <v>16</v>
      </c>
      <c r="D41" s="13">
        <v>2</v>
      </c>
      <c r="E41" s="16">
        <v>115000</v>
      </c>
      <c r="F41" s="17">
        <f t="shared" si="0"/>
        <v>230000</v>
      </c>
      <c r="G41" s="18"/>
    </row>
    <row r="42" s="2" customFormat="1" ht="19" customHeight="1" spans="1:7">
      <c r="A42" s="19"/>
      <c r="B42" s="14"/>
      <c r="C42" s="15" t="s">
        <v>6</v>
      </c>
      <c r="D42" s="13">
        <v>4</v>
      </c>
      <c r="E42" s="16">
        <v>8000</v>
      </c>
      <c r="F42" s="17">
        <f t="shared" si="0"/>
        <v>32000</v>
      </c>
      <c r="G42" s="18"/>
    </row>
    <row r="43" s="2" customFormat="1" ht="19" customHeight="1" spans="1:7">
      <c r="A43" s="19">
        <v>70261</v>
      </c>
      <c r="B43" s="14">
        <v>45940</v>
      </c>
      <c r="C43" s="15" t="s">
        <v>16</v>
      </c>
      <c r="D43" s="13">
        <v>2</v>
      </c>
      <c r="E43" s="16">
        <v>115000</v>
      </c>
      <c r="F43" s="17">
        <f t="shared" si="0"/>
        <v>230000</v>
      </c>
      <c r="G43" s="18">
        <f>SUM(F43:F49)</f>
        <v>1675000</v>
      </c>
    </row>
    <row r="44" s="2" customFormat="1" ht="19" customHeight="1" spans="1:7">
      <c r="A44" s="19"/>
      <c r="B44" s="14"/>
      <c r="C44" s="15" t="s">
        <v>14</v>
      </c>
      <c r="D44" s="13">
        <v>2</v>
      </c>
      <c r="E44" s="16">
        <v>440000</v>
      </c>
      <c r="F44" s="17">
        <f t="shared" si="0"/>
        <v>880000</v>
      </c>
      <c r="G44" s="18"/>
    </row>
    <row r="45" s="2" customFormat="1" ht="19" customHeight="1" spans="1:7">
      <c r="A45" s="19"/>
      <c r="B45" s="14"/>
      <c r="C45" s="15" t="s">
        <v>19</v>
      </c>
      <c r="D45" s="13">
        <v>1</v>
      </c>
      <c r="E45" s="16">
        <v>440000</v>
      </c>
      <c r="F45" s="17">
        <f t="shared" si="0"/>
        <v>440000</v>
      </c>
      <c r="G45" s="18"/>
    </row>
    <row r="46" s="2" customFormat="1" ht="19" customHeight="1" spans="1:7">
      <c r="A46" s="19"/>
      <c r="B46" s="14"/>
      <c r="C46" s="15" t="s">
        <v>6</v>
      </c>
      <c r="D46" s="13">
        <v>4</v>
      </c>
      <c r="E46" s="16">
        <v>8000</v>
      </c>
      <c r="F46" s="17">
        <f t="shared" si="0"/>
        <v>32000</v>
      </c>
      <c r="G46" s="18"/>
    </row>
    <row r="47" s="2" customFormat="1" ht="19" customHeight="1" spans="1:7">
      <c r="A47" s="19"/>
      <c r="B47" s="14"/>
      <c r="C47" s="15" t="s">
        <v>10</v>
      </c>
      <c r="D47" s="13">
        <v>1</v>
      </c>
      <c r="E47" s="16">
        <v>20000</v>
      </c>
      <c r="F47" s="17">
        <f t="shared" si="0"/>
        <v>20000</v>
      </c>
      <c r="G47" s="18"/>
    </row>
    <row r="48" s="2" customFormat="1" ht="19" customHeight="1" spans="1:7">
      <c r="A48" s="19"/>
      <c r="B48" s="14"/>
      <c r="C48" s="15" t="s">
        <v>9</v>
      </c>
      <c r="D48" s="13">
        <v>1</v>
      </c>
      <c r="E48" s="16">
        <v>22000</v>
      </c>
      <c r="F48" s="17">
        <f t="shared" si="0"/>
        <v>22000</v>
      </c>
      <c r="G48" s="18"/>
    </row>
    <row r="49" s="2" customFormat="1" ht="19" customHeight="1" spans="1:7">
      <c r="A49" s="19"/>
      <c r="B49" s="14"/>
      <c r="C49" s="15" t="s">
        <v>15</v>
      </c>
      <c r="D49" s="13">
        <v>34</v>
      </c>
      <c r="E49" s="16">
        <v>1500</v>
      </c>
      <c r="F49" s="17">
        <f t="shared" si="0"/>
        <v>51000</v>
      </c>
      <c r="G49" s="18"/>
    </row>
    <row r="50" s="2" customFormat="1" ht="19" customHeight="1" spans="1:7">
      <c r="A50" s="19">
        <v>70351</v>
      </c>
      <c r="B50" s="14">
        <v>45941</v>
      </c>
      <c r="C50" s="15" t="s">
        <v>16</v>
      </c>
      <c r="D50" s="13">
        <v>2</v>
      </c>
      <c r="E50" s="16">
        <v>115000</v>
      </c>
      <c r="F50" s="17">
        <f t="shared" si="0"/>
        <v>230000</v>
      </c>
      <c r="G50" s="18">
        <f>SUM(F50:F53)</f>
        <v>304000</v>
      </c>
    </row>
    <row r="51" s="2" customFormat="1" ht="19" customHeight="1" spans="1:7">
      <c r="A51" s="19"/>
      <c r="B51" s="14"/>
      <c r="C51" s="15" t="s">
        <v>6</v>
      </c>
      <c r="D51" s="13">
        <v>4</v>
      </c>
      <c r="E51" s="16">
        <v>8000</v>
      </c>
      <c r="F51" s="17">
        <f t="shared" si="0"/>
        <v>32000</v>
      </c>
      <c r="G51" s="18"/>
    </row>
    <row r="52" s="2" customFormat="1" ht="19" customHeight="1" spans="1:7">
      <c r="A52" s="19"/>
      <c r="B52" s="14"/>
      <c r="C52" s="15" t="s">
        <v>10</v>
      </c>
      <c r="D52" s="13">
        <v>1</v>
      </c>
      <c r="E52" s="16">
        <v>20000</v>
      </c>
      <c r="F52" s="17">
        <f t="shared" si="0"/>
        <v>20000</v>
      </c>
      <c r="G52" s="18"/>
    </row>
    <row r="53" s="2" customFormat="1" ht="19" customHeight="1" spans="1:7">
      <c r="A53" s="19"/>
      <c r="B53" s="14"/>
      <c r="C53" s="15" t="s">
        <v>9</v>
      </c>
      <c r="D53" s="13">
        <v>1</v>
      </c>
      <c r="E53" s="16">
        <v>22000</v>
      </c>
      <c r="F53" s="17">
        <f t="shared" si="0"/>
        <v>22000</v>
      </c>
      <c r="G53" s="18"/>
    </row>
    <row r="54" s="2" customFormat="1" ht="19" customHeight="1" spans="1:7">
      <c r="A54" s="19">
        <v>70413</v>
      </c>
      <c r="B54" s="14">
        <v>45942</v>
      </c>
      <c r="C54" s="15" t="s">
        <v>6</v>
      </c>
      <c r="D54" s="13">
        <v>5</v>
      </c>
      <c r="E54" s="16">
        <v>8000</v>
      </c>
      <c r="F54" s="17">
        <f t="shared" si="0"/>
        <v>40000</v>
      </c>
      <c r="G54" s="18">
        <f>SUM(F54:F57)</f>
        <v>207000</v>
      </c>
    </row>
    <row r="55" s="2" customFormat="1" ht="19" customHeight="1" spans="1:7">
      <c r="A55" s="19"/>
      <c r="B55" s="14"/>
      <c r="C55" s="15" t="s">
        <v>10</v>
      </c>
      <c r="D55" s="13">
        <v>1</v>
      </c>
      <c r="E55" s="16">
        <v>20000</v>
      </c>
      <c r="F55" s="17">
        <f t="shared" si="0"/>
        <v>20000</v>
      </c>
      <c r="G55" s="18"/>
    </row>
    <row r="56" s="2" customFormat="1" ht="19" customHeight="1" spans="1:7">
      <c r="A56" s="19"/>
      <c r="B56" s="14"/>
      <c r="C56" s="15" t="s">
        <v>9</v>
      </c>
      <c r="D56" s="13">
        <v>1</v>
      </c>
      <c r="E56" s="16">
        <v>22000</v>
      </c>
      <c r="F56" s="17">
        <f t="shared" si="0"/>
        <v>22000</v>
      </c>
      <c r="G56" s="18"/>
    </row>
    <row r="57" s="2" customFormat="1" ht="19" customHeight="1" spans="1:7">
      <c r="A57" s="19"/>
      <c r="B57" s="14"/>
      <c r="C57" s="15" t="s">
        <v>8</v>
      </c>
      <c r="D57" s="13">
        <v>1</v>
      </c>
      <c r="E57" s="16">
        <v>125000</v>
      </c>
      <c r="F57" s="17">
        <f t="shared" si="0"/>
        <v>125000</v>
      </c>
      <c r="G57" s="18"/>
    </row>
    <row r="58" s="2" customFormat="1" ht="19" customHeight="1" spans="1:7">
      <c r="A58" s="19">
        <v>70470</v>
      </c>
      <c r="B58" s="14">
        <v>45943</v>
      </c>
      <c r="C58" s="15" t="s">
        <v>6</v>
      </c>
      <c r="D58" s="13">
        <v>5</v>
      </c>
      <c r="E58" s="16">
        <v>8000</v>
      </c>
      <c r="F58" s="17">
        <f t="shared" si="0"/>
        <v>40000</v>
      </c>
      <c r="G58" s="18">
        <f>SUM(F58:F63)</f>
        <v>887000</v>
      </c>
    </row>
    <row r="59" s="2" customFormat="1" ht="19" customHeight="1" spans="1:7">
      <c r="A59" s="19"/>
      <c r="B59" s="14"/>
      <c r="C59" s="15" t="s">
        <v>10</v>
      </c>
      <c r="D59" s="13">
        <v>1</v>
      </c>
      <c r="E59" s="16">
        <v>20000</v>
      </c>
      <c r="F59" s="17">
        <f t="shared" si="0"/>
        <v>20000</v>
      </c>
      <c r="G59" s="18"/>
    </row>
    <row r="60" s="2" customFormat="1" ht="19" customHeight="1" spans="1:7">
      <c r="A60" s="19"/>
      <c r="B60" s="14"/>
      <c r="C60" s="15" t="s">
        <v>9</v>
      </c>
      <c r="D60" s="13">
        <v>1</v>
      </c>
      <c r="E60" s="16">
        <v>22000</v>
      </c>
      <c r="F60" s="17">
        <f t="shared" si="0"/>
        <v>22000</v>
      </c>
      <c r="G60" s="18"/>
    </row>
    <row r="61" s="2" customFormat="1" ht="19" customHeight="1" spans="1:7">
      <c r="A61" s="19"/>
      <c r="B61" s="14"/>
      <c r="C61" s="15" t="s">
        <v>16</v>
      </c>
      <c r="D61" s="13">
        <v>2</v>
      </c>
      <c r="E61" s="16">
        <v>115000</v>
      </c>
      <c r="F61" s="17">
        <f t="shared" si="0"/>
        <v>230000</v>
      </c>
      <c r="G61" s="18"/>
    </row>
    <row r="62" s="2" customFormat="1" ht="19" customHeight="1" spans="1:7">
      <c r="A62" s="19"/>
      <c r="B62" s="14"/>
      <c r="C62" s="15" t="s">
        <v>7</v>
      </c>
      <c r="D62" s="13">
        <v>1</v>
      </c>
      <c r="E62" s="16">
        <v>135000</v>
      </c>
      <c r="F62" s="17">
        <f t="shared" si="0"/>
        <v>135000</v>
      </c>
      <c r="G62" s="18"/>
    </row>
    <row r="63" s="2" customFormat="1" ht="19" customHeight="1" spans="1:7">
      <c r="A63" s="19"/>
      <c r="B63" s="14"/>
      <c r="C63" s="15" t="s">
        <v>14</v>
      </c>
      <c r="D63" s="13">
        <v>1</v>
      </c>
      <c r="E63" s="16">
        <v>440000</v>
      </c>
      <c r="F63" s="17">
        <f t="shared" si="0"/>
        <v>440000</v>
      </c>
      <c r="G63" s="18"/>
    </row>
    <row r="64" s="2" customFormat="1" ht="19" customHeight="1" spans="1:7">
      <c r="A64" s="19">
        <v>70527</v>
      </c>
      <c r="B64" s="14">
        <v>45944</v>
      </c>
      <c r="C64" s="15" t="s">
        <v>6</v>
      </c>
      <c r="D64" s="13">
        <v>5</v>
      </c>
      <c r="E64" s="16">
        <v>8000</v>
      </c>
      <c r="F64" s="17">
        <f t="shared" si="0"/>
        <v>40000</v>
      </c>
      <c r="G64" s="18">
        <f>SUM(F64:F66)</f>
        <v>82000</v>
      </c>
    </row>
    <row r="65" s="2" customFormat="1" ht="19" customHeight="1" spans="1:7">
      <c r="A65" s="19"/>
      <c r="B65" s="14"/>
      <c r="C65" s="15" t="s">
        <v>10</v>
      </c>
      <c r="D65" s="13">
        <v>1</v>
      </c>
      <c r="E65" s="16">
        <v>20000</v>
      </c>
      <c r="F65" s="17">
        <f t="shared" si="0"/>
        <v>20000</v>
      </c>
      <c r="G65" s="18"/>
    </row>
    <row r="66" s="2" customFormat="1" ht="19" customHeight="1" spans="1:7">
      <c r="A66" s="19"/>
      <c r="B66" s="14"/>
      <c r="C66" s="15" t="s">
        <v>9</v>
      </c>
      <c r="D66" s="13">
        <v>1</v>
      </c>
      <c r="E66" s="16">
        <v>22000</v>
      </c>
      <c r="F66" s="17">
        <f t="shared" ref="F66:F129" si="1">SUM(D66*E66)</f>
        <v>22000</v>
      </c>
      <c r="G66" s="18"/>
    </row>
    <row r="67" s="2" customFormat="1" ht="19" customHeight="1" spans="1:7">
      <c r="A67" s="20">
        <v>70610</v>
      </c>
      <c r="B67" s="21">
        <v>45945</v>
      </c>
      <c r="C67" s="31" t="s">
        <v>12</v>
      </c>
      <c r="D67" s="23">
        <v>1</v>
      </c>
      <c r="E67" s="24">
        <v>135000</v>
      </c>
      <c r="F67" s="17">
        <f t="shared" si="1"/>
        <v>135000</v>
      </c>
      <c r="G67" s="25">
        <f>SUM(F67:F70)</f>
        <v>330000</v>
      </c>
    </row>
    <row r="68" s="2" customFormat="1" ht="19" customHeight="1" spans="1:7">
      <c r="A68" s="20"/>
      <c r="B68" s="21"/>
      <c r="C68" s="15" t="s">
        <v>8</v>
      </c>
      <c r="D68" s="13">
        <v>1</v>
      </c>
      <c r="E68" s="16">
        <v>125000</v>
      </c>
      <c r="F68" s="17">
        <f t="shared" si="1"/>
        <v>125000</v>
      </c>
      <c r="G68" s="25"/>
    </row>
    <row r="69" s="1" customFormat="1" spans="1:7">
      <c r="A69" s="20"/>
      <c r="B69" s="21"/>
      <c r="C69" s="15" t="s">
        <v>9</v>
      </c>
      <c r="D69" s="13">
        <v>1</v>
      </c>
      <c r="E69" s="16">
        <v>22000</v>
      </c>
      <c r="F69" s="17">
        <f t="shared" si="1"/>
        <v>22000</v>
      </c>
      <c r="G69" s="25"/>
    </row>
    <row r="70" s="1" customFormat="1" spans="1:7">
      <c r="A70" s="26"/>
      <c r="B70" s="27"/>
      <c r="C70" s="15" t="s">
        <v>6</v>
      </c>
      <c r="D70" s="13">
        <v>6</v>
      </c>
      <c r="E70" s="16">
        <v>8000</v>
      </c>
      <c r="F70" s="17">
        <f t="shared" si="1"/>
        <v>48000</v>
      </c>
      <c r="G70" s="28"/>
    </row>
    <row r="71" s="1" customFormat="1" spans="1:7">
      <c r="A71" s="19">
        <v>70708</v>
      </c>
      <c r="B71" s="14">
        <v>45946</v>
      </c>
      <c r="C71" s="15" t="s">
        <v>6</v>
      </c>
      <c r="D71" s="13">
        <v>4</v>
      </c>
      <c r="E71" s="16">
        <v>8000</v>
      </c>
      <c r="F71" s="17">
        <f t="shared" si="1"/>
        <v>32000</v>
      </c>
      <c r="G71" s="18">
        <f>SUM(F71:F75)</f>
        <v>334000</v>
      </c>
    </row>
    <row r="72" s="1" customFormat="1" spans="1:7">
      <c r="A72" s="19"/>
      <c r="B72" s="14"/>
      <c r="C72" s="15" t="s">
        <v>8</v>
      </c>
      <c r="D72" s="13">
        <v>1</v>
      </c>
      <c r="E72" s="16">
        <v>125000</v>
      </c>
      <c r="F72" s="17">
        <f t="shared" si="1"/>
        <v>125000</v>
      </c>
      <c r="G72" s="18"/>
    </row>
    <row r="73" s="1" customFormat="1" spans="1:7">
      <c r="A73" s="19"/>
      <c r="B73" s="14"/>
      <c r="C73" s="15" t="s">
        <v>12</v>
      </c>
      <c r="D73" s="13">
        <v>1</v>
      </c>
      <c r="E73" s="16">
        <v>135000</v>
      </c>
      <c r="F73" s="17">
        <f t="shared" si="1"/>
        <v>135000</v>
      </c>
      <c r="G73" s="18"/>
    </row>
    <row r="74" s="1" customFormat="1" spans="1:7">
      <c r="A74" s="19"/>
      <c r="B74" s="14"/>
      <c r="C74" s="15" t="s">
        <v>10</v>
      </c>
      <c r="D74" s="13">
        <v>1</v>
      </c>
      <c r="E74" s="16">
        <v>20000</v>
      </c>
      <c r="F74" s="17">
        <f t="shared" si="1"/>
        <v>20000</v>
      </c>
      <c r="G74" s="18"/>
    </row>
    <row r="75" s="1" customFormat="1" spans="1:7">
      <c r="A75" s="19"/>
      <c r="B75" s="14"/>
      <c r="C75" s="15" t="s">
        <v>9</v>
      </c>
      <c r="D75" s="13">
        <v>1</v>
      </c>
      <c r="E75" s="16">
        <v>22000</v>
      </c>
      <c r="F75" s="17">
        <f t="shared" si="1"/>
        <v>22000</v>
      </c>
      <c r="G75" s="18"/>
    </row>
    <row r="76" s="1" customFormat="1" spans="1:7">
      <c r="A76" s="19">
        <v>70767</v>
      </c>
      <c r="B76" s="14">
        <v>45947</v>
      </c>
      <c r="C76" s="15" t="s">
        <v>6</v>
      </c>
      <c r="D76" s="13">
        <v>5</v>
      </c>
      <c r="E76" s="16">
        <v>8000</v>
      </c>
      <c r="F76" s="17">
        <f t="shared" si="1"/>
        <v>40000</v>
      </c>
      <c r="G76" s="18">
        <f>SUM(F76:F78)</f>
        <v>82000</v>
      </c>
    </row>
    <row r="77" s="1" customFormat="1" spans="1:7">
      <c r="A77" s="19"/>
      <c r="B77" s="14"/>
      <c r="C77" s="15" t="s">
        <v>9</v>
      </c>
      <c r="D77" s="13">
        <v>1</v>
      </c>
      <c r="E77" s="16">
        <v>22000</v>
      </c>
      <c r="F77" s="17">
        <f t="shared" si="1"/>
        <v>22000</v>
      </c>
      <c r="G77" s="18"/>
    </row>
    <row r="78" s="1" customFormat="1" spans="1:7">
      <c r="A78" s="19"/>
      <c r="B78" s="14"/>
      <c r="C78" s="15" t="s">
        <v>10</v>
      </c>
      <c r="D78" s="13">
        <v>1</v>
      </c>
      <c r="E78" s="16">
        <v>20000</v>
      </c>
      <c r="F78" s="17">
        <f t="shared" si="1"/>
        <v>20000</v>
      </c>
      <c r="G78" s="18"/>
    </row>
    <row r="79" s="1" customFormat="1" spans="1:8">
      <c r="A79" s="20">
        <v>70855</v>
      </c>
      <c r="B79" s="21">
        <v>45948</v>
      </c>
      <c r="C79" s="15" t="s">
        <v>8</v>
      </c>
      <c r="D79" s="13">
        <v>1</v>
      </c>
      <c r="E79" s="16">
        <v>125000</v>
      </c>
      <c r="F79" s="17">
        <f t="shared" si="1"/>
        <v>125000</v>
      </c>
      <c r="G79" s="25">
        <f>SUM(F79:F82)</f>
        <v>217000</v>
      </c>
      <c r="H79" s="32"/>
    </row>
    <row r="80" s="1" customFormat="1" spans="1:7">
      <c r="A80" s="20"/>
      <c r="B80" s="21"/>
      <c r="C80" s="15" t="s">
        <v>10</v>
      </c>
      <c r="D80" s="13">
        <v>1</v>
      </c>
      <c r="E80" s="16">
        <v>20000</v>
      </c>
      <c r="F80" s="17">
        <f t="shared" si="1"/>
        <v>20000</v>
      </c>
      <c r="G80" s="25"/>
    </row>
    <row r="81" s="1" customFormat="1" spans="1:7">
      <c r="A81" s="20"/>
      <c r="B81" s="21"/>
      <c r="C81" s="15" t="s">
        <v>9</v>
      </c>
      <c r="D81" s="13">
        <v>1</v>
      </c>
      <c r="E81" s="16">
        <v>22000</v>
      </c>
      <c r="F81" s="17">
        <f t="shared" si="1"/>
        <v>22000</v>
      </c>
      <c r="G81" s="25"/>
    </row>
    <row r="82" s="1" customFormat="1" spans="1:7">
      <c r="A82" s="26"/>
      <c r="B82" s="27"/>
      <c r="C82" s="15" t="s">
        <v>6</v>
      </c>
      <c r="D82" s="13">
        <v>5</v>
      </c>
      <c r="E82" s="16">
        <v>10000</v>
      </c>
      <c r="F82" s="17">
        <f t="shared" si="1"/>
        <v>50000</v>
      </c>
      <c r="G82" s="28"/>
    </row>
    <row r="83" s="1" customFormat="1" spans="1:7">
      <c r="A83" s="33">
        <v>70947</v>
      </c>
      <c r="B83" s="21">
        <v>45949</v>
      </c>
      <c r="C83" s="15" t="s">
        <v>6</v>
      </c>
      <c r="D83" s="13">
        <v>5</v>
      </c>
      <c r="E83" s="16">
        <v>8000</v>
      </c>
      <c r="F83" s="17">
        <f t="shared" si="1"/>
        <v>40000</v>
      </c>
      <c r="G83" s="18">
        <f>SUM(F83:F86)</f>
        <v>322000</v>
      </c>
    </row>
    <row r="84" s="1" customFormat="1" spans="1:7">
      <c r="A84" s="20"/>
      <c r="B84" s="21"/>
      <c r="C84" s="15" t="s">
        <v>9</v>
      </c>
      <c r="D84" s="13">
        <v>1</v>
      </c>
      <c r="E84" s="16">
        <v>22000</v>
      </c>
      <c r="F84" s="17">
        <f t="shared" si="1"/>
        <v>22000</v>
      </c>
      <c r="G84" s="18"/>
    </row>
    <row r="85" s="1" customFormat="1" spans="1:7">
      <c r="A85" s="20"/>
      <c r="B85" s="21"/>
      <c r="C85" s="15" t="s">
        <v>10</v>
      </c>
      <c r="D85" s="13">
        <v>1</v>
      </c>
      <c r="E85" s="16">
        <v>20000</v>
      </c>
      <c r="F85" s="17">
        <f t="shared" si="1"/>
        <v>20000</v>
      </c>
      <c r="G85" s="18"/>
    </row>
    <row r="86" s="1" customFormat="1" spans="1:7">
      <c r="A86" s="26"/>
      <c r="B86" s="27"/>
      <c r="C86" s="15" t="s">
        <v>11</v>
      </c>
      <c r="D86" s="13">
        <v>2</v>
      </c>
      <c r="E86" s="16">
        <v>120000</v>
      </c>
      <c r="F86" s="17">
        <f t="shared" si="1"/>
        <v>240000</v>
      </c>
      <c r="G86" s="18"/>
    </row>
    <row r="87" s="1" customFormat="1" spans="1:7">
      <c r="A87" s="19">
        <v>70996</v>
      </c>
      <c r="B87" s="14">
        <v>45950</v>
      </c>
      <c r="C87" s="15" t="s">
        <v>6</v>
      </c>
      <c r="D87" s="13">
        <v>4</v>
      </c>
      <c r="E87" s="16">
        <v>8000</v>
      </c>
      <c r="F87" s="17">
        <f t="shared" si="1"/>
        <v>32000</v>
      </c>
      <c r="G87" s="18">
        <f>SUM(F87)</f>
        <v>32000</v>
      </c>
    </row>
    <row r="88" s="1" customFormat="1" spans="1:7">
      <c r="A88" s="33">
        <v>71019</v>
      </c>
      <c r="B88" s="34">
        <v>45950</v>
      </c>
      <c r="C88" s="15" t="s">
        <v>8</v>
      </c>
      <c r="D88" s="13">
        <v>1</v>
      </c>
      <c r="E88" s="16">
        <v>125000</v>
      </c>
      <c r="F88" s="17">
        <f t="shared" si="1"/>
        <v>125000</v>
      </c>
      <c r="G88" s="35">
        <f>SUM(F88:F89)</f>
        <v>975000</v>
      </c>
    </row>
    <row r="89" s="1" customFormat="1" spans="1:7">
      <c r="A89" s="26"/>
      <c r="B89" s="27"/>
      <c r="C89" s="15" t="s">
        <v>20</v>
      </c>
      <c r="D89" s="13">
        <v>1</v>
      </c>
      <c r="E89" s="16">
        <v>850000</v>
      </c>
      <c r="F89" s="17">
        <f t="shared" si="1"/>
        <v>850000</v>
      </c>
      <c r="G89" s="28"/>
    </row>
    <row r="90" s="1" customFormat="1" spans="1:7">
      <c r="A90" s="33">
        <v>71091</v>
      </c>
      <c r="B90" s="34">
        <v>45951</v>
      </c>
      <c r="C90" s="15" t="s">
        <v>13</v>
      </c>
      <c r="D90" s="13">
        <v>1</v>
      </c>
      <c r="E90" s="16">
        <v>125000</v>
      </c>
      <c r="F90" s="17">
        <f t="shared" si="1"/>
        <v>125000</v>
      </c>
      <c r="G90" s="35">
        <f>SUM(F90:F96)</f>
        <v>589000</v>
      </c>
    </row>
    <row r="91" s="1" customFormat="1" spans="1:7">
      <c r="A91" s="20"/>
      <c r="B91" s="21"/>
      <c r="C91" s="15" t="s">
        <v>11</v>
      </c>
      <c r="D91" s="13">
        <v>1</v>
      </c>
      <c r="E91" s="16">
        <v>120000</v>
      </c>
      <c r="F91" s="17">
        <f t="shared" si="1"/>
        <v>120000</v>
      </c>
      <c r="G91" s="25"/>
    </row>
    <row r="92" s="1" customFormat="1" spans="1:7">
      <c r="A92" s="20"/>
      <c r="B92" s="21"/>
      <c r="C92" s="15" t="s">
        <v>12</v>
      </c>
      <c r="D92" s="13">
        <v>1</v>
      </c>
      <c r="E92" s="16">
        <v>135000</v>
      </c>
      <c r="F92" s="17">
        <f t="shared" si="1"/>
        <v>135000</v>
      </c>
      <c r="G92" s="25"/>
    </row>
    <row r="93" s="1" customFormat="1" spans="1:7">
      <c r="A93" s="20"/>
      <c r="B93" s="21"/>
      <c r="C93" s="15" t="s">
        <v>7</v>
      </c>
      <c r="D93" s="13">
        <v>1</v>
      </c>
      <c r="E93" s="16">
        <v>135000</v>
      </c>
      <c r="F93" s="17">
        <f t="shared" si="1"/>
        <v>135000</v>
      </c>
      <c r="G93" s="25"/>
    </row>
    <row r="94" s="1" customFormat="1" spans="1:7">
      <c r="A94" s="20"/>
      <c r="B94" s="21"/>
      <c r="C94" s="15" t="s">
        <v>6</v>
      </c>
      <c r="D94" s="13">
        <v>4</v>
      </c>
      <c r="E94" s="16">
        <v>8000</v>
      </c>
      <c r="F94" s="17">
        <f t="shared" si="1"/>
        <v>32000</v>
      </c>
      <c r="G94" s="25"/>
    </row>
    <row r="95" s="1" customFormat="1" spans="1:7">
      <c r="A95" s="20"/>
      <c r="B95" s="21"/>
      <c r="C95" s="15" t="s">
        <v>10</v>
      </c>
      <c r="D95" s="13">
        <v>1</v>
      </c>
      <c r="E95" s="16">
        <v>20000</v>
      </c>
      <c r="F95" s="17">
        <f t="shared" si="1"/>
        <v>20000</v>
      </c>
      <c r="G95" s="25"/>
    </row>
    <row r="96" s="1" customFormat="1" spans="1:7">
      <c r="A96" s="26"/>
      <c r="B96" s="27"/>
      <c r="C96" s="15" t="s">
        <v>9</v>
      </c>
      <c r="D96" s="13">
        <v>1</v>
      </c>
      <c r="E96" s="16">
        <v>22000</v>
      </c>
      <c r="F96" s="17">
        <f t="shared" si="1"/>
        <v>22000</v>
      </c>
      <c r="G96" s="28"/>
    </row>
    <row r="97" s="1" customFormat="1" spans="1:7">
      <c r="A97" s="33">
        <v>71161</v>
      </c>
      <c r="B97" s="34">
        <v>45952</v>
      </c>
      <c r="C97" s="15" t="s">
        <v>8</v>
      </c>
      <c r="D97" s="13">
        <v>1</v>
      </c>
      <c r="E97" s="16">
        <v>125000</v>
      </c>
      <c r="F97" s="17">
        <f t="shared" si="1"/>
        <v>125000</v>
      </c>
      <c r="G97" s="35">
        <f>SUM(F97:F102)</f>
        <v>539000</v>
      </c>
    </row>
    <row r="98" s="1" customFormat="1" spans="1:7">
      <c r="A98" s="20"/>
      <c r="B98" s="21"/>
      <c r="C98" s="15" t="s">
        <v>13</v>
      </c>
      <c r="D98" s="13">
        <v>1</v>
      </c>
      <c r="E98" s="16">
        <v>125000</v>
      </c>
      <c r="F98" s="17">
        <f t="shared" si="1"/>
        <v>125000</v>
      </c>
      <c r="G98" s="25"/>
    </row>
    <row r="99" s="1" customFormat="1" spans="1:7">
      <c r="A99" s="20"/>
      <c r="B99" s="21"/>
      <c r="C99" s="15" t="s">
        <v>11</v>
      </c>
      <c r="D99" s="13">
        <v>1</v>
      </c>
      <c r="E99" s="16">
        <v>120000</v>
      </c>
      <c r="F99" s="17">
        <f t="shared" si="1"/>
        <v>120000</v>
      </c>
      <c r="G99" s="25"/>
    </row>
    <row r="100" s="1" customFormat="1" spans="1:7">
      <c r="A100" s="20"/>
      <c r="B100" s="21"/>
      <c r="C100" s="15" t="s">
        <v>16</v>
      </c>
      <c r="D100" s="13">
        <v>1</v>
      </c>
      <c r="E100" s="16">
        <v>115000</v>
      </c>
      <c r="F100" s="17">
        <f t="shared" si="1"/>
        <v>115000</v>
      </c>
      <c r="G100" s="25"/>
    </row>
    <row r="101" s="1" customFormat="1" spans="1:7">
      <c r="A101" s="20"/>
      <c r="B101" s="21"/>
      <c r="C101" s="15" t="s">
        <v>6</v>
      </c>
      <c r="D101" s="13">
        <v>4</v>
      </c>
      <c r="E101" s="16">
        <v>8000</v>
      </c>
      <c r="F101" s="17">
        <f t="shared" si="1"/>
        <v>32000</v>
      </c>
      <c r="G101" s="25"/>
    </row>
    <row r="102" s="1" customFormat="1" spans="1:7">
      <c r="A102" s="26"/>
      <c r="B102" s="27"/>
      <c r="C102" s="15" t="s">
        <v>9</v>
      </c>
      <c r="D102" s="13">
        <v>1</v>
      </c>
      <c r="E102" s="16">
        <v>22000</v>
      </c>
      <c r="F102" s="17">
        <f t="shared" si="1"/>
        <v>22000</v>
      </c>
      <c r="G102" s="28"/>
    </row>
    <row r="103" s="1" customFormat="1" spans="1:7">
      <c r="A103" s="19">
        <v>71235</v>
      </c>
      <c r="B103" s="14">
        <v>45953</v>
      </c>
      <c r="C103" s="15" t="s">
        <v>6</v>
      </c>
      <c r="D103" s="13">
        <v>4</v>
      </c>
      <c r="E103" s="16">
        <v>8000</v>
      </c>
      <c r="F103" s="17">
        <f t="shared" si="1"/>
        <v>32000</v>
      </c>
      <c r="G103" s="18">
        <f>SUM(F103:F105)</f>
        <v>74000</v>
      </c>
    </row>
    <row r="104" s="1" customFormat="1" spans="1:7">
      <c r="A104" s="19"/>
      <c r="B104" s="14"/>
      <c r="C104" s="15" t="s">
        <v>10</v>
      </c>
      <c r="D104" s="13">
        <v>1</v>
      </c>
      <c r="E104" s="16">
        <v>20000</v>
      </c>
      <c r="F104" s="17">
        <f t="shared" si="1"/>
        <v>20000</v>
      </c>
      <c r="G104" s="18"/>
    </row>
    <row r="105" s="1" customFormat="1" spans="1:7">
      <c r="A105" s="19"/>
      <c r="B105" s="14"/>
      <c r="C105" s="15" t="s">
        <v>9</v>
      </c>
      <c r="D105" s="13">
        <v>1</v>
      </c>
      <c r="E105" s="16">
        <v>22000</v>
      </c>
      <c r="F105" s="17">
        <f t="shared" si="1"/>
        <v>22000</v>
      </c>
      <c r="G105" s="18"/>
    </row>
    <row r="106" s="1" customFormat="1" spans="1:7">
      <c r="A106" s="19">
        <v>71326</v>
      </c>
      <c r="B106" s="14">
        <v>45954</v>
      </c>
      <c r="C106" s="15" t="s">
        <v>10</v>
      </c>
      <c r="D106" s="13">
        <v>1</v>
      </c>
      <c r="E106" s="16">
        <v>20000</v>
      </c>
      <c r="F106" s="17">
        <f t="shared" si="1"/>
        <v>20000</v>
      </c>
      <c r="G106" s="18">
        <f>SUM(F106:F109)</f>
        <v>530000</v>
      </c>
    </row>
    <row r="107" s="1" customFormat="1" spans="1:7">
      <c r="A107" s="19"/>
      <c r="B107" s="14"/>
      <c r="C107" s="15" t="s">
        <v>9</v>
      </c>
      <c r="D107" s="13">
        <v>1</v>
      </c>
      <c r="E107" s="16">
        <v>22000</v>
      </c>
      <c r="F107" s="17">
        <f t="shared" si="1"/>
        <v>22000</v>
      </c>
      <c r="G107" s="18"/>
    </row>
    <row r="108" s="1" customFormat="1" spans="1:7">
      <c r="A108" s="19"/>
      <c r="B108" s="14"/>
      <c r="C108" s="15" t="s">
        <v>14</v>
      </c>
      <c r="D108" s="13">
        <v>1</v>
      </c>
      <c r="E108" s="16">
        <v>440000</v>
      </c>
      <c r="F108" s="17">
        <f t="shared" si="1"/>
        <v>440000</v>
      </c>
      <c r="G108" s="18"/>
    </row>
    <row r="109" s="1" customFormat="1" spans="1:7">
      <c r="A109" s="19"/>
      <c r="B109" s="14"/>
      <c r="C109" s="15" t="s">
        <v>6</v>
      </c>
      <c r="D109" s="13">
        <v>6</v>
      </c>
      <c r="E109" s="16">
        <v>8000</v>
      </c>
      <c r="F109" s="17">
        <f t="shared" si="1"/>
        <v>48000</v>
      </c>
      <c r="G109" s="18"/>
    </row>
    <row r="110" s="1" customFormat="1" spans="1:7">
      <c r="A110" s="19">
        <v>71386</v>
      </c>
      <c r="B110" s="14">
        <v>45955</v>
      </c>
      <c r="C110" s="15" t="s">
        <v>6</v>
      </c>
      <c r="D110" s="13">
        <v>6</v>
      </c>
      <c r="E110" s="16">
        <v>8000</v>
      </c>
      <c r="F110" s="17">
        <f t="shared" si="1"/>
        <v>48000</v>
      </c>
      <c r="G110" s="18">
        <f>SUM(F110:F113)</f>
        <v>225000</v>
      </c>
    </row>
    <row r="111" s="1" customFormat="1" spans="1:7">
      <c r="A111" s="19"/>
      <c r="B111" s="14"/>
      <c r="C111" s="15" t="s">
        <v>10</v>
      </c>
      <c r="D111" s="13">
        <v>1</v>
      </c>
      <c r="E111" s="16">
        <v>20000</v>
      </c>
      <c r="F111" s="17">
        <f t="shared" si="1"/>
        <v>20000</v>
      </c>
      <c r="G111" s="18"/>
    </row>
    <row r="112" s="1" customFormat="1" spans="1:7">
      <c r="A112" s="19"/>
      <c r="B112" s="14"/>
      <c r="C112" s="15" t="s">
        <v>9</v>
      </c>
      <c r="D112" s="13">
        <v>1</v>
      </c>
      <c r="E112" s="16">
        <v>22000</v>
      </c>
      <c r="F112" s="17">
        <f t="shared" si="1"/>
        <v>22000</v>
      </c>
      <c r="G112" s="18"/>
    </row>
    <row r="113" s="1" customFormat="1" spans="1:7">
      <c r="A113" s="19"/>
      <c r="B113" s="14"/>
      <c r="C113" s="15" t="s">
        <v>7</v>
      </c>
      <c r="D113" s="13">
        <v>1</v>
      </c>
      <c r="E113" s="16">
        <v>135000</v>
      </c>
      <c r="F113" s="17">
        <f t="shared" si="1"/>
        <v>135000</v>
      </c>
      <c r="G113" s="18"/>
    </row>
    <row r="114" s="1" customFormat="1" spans="1:7">
      <c r="A114" s="20">
        <v>71456</v>
      </c>
      <c r="B114" s="21">
        <v>45956</v>
      </c>
      <c r="C114" s="22" t="s">
        <v>6</v>
      </c>
      <c r="D114" s="23">
        <v>5</v>
      </c>
      <c r="E114" s="24">
        <v>8000</v>
      </c>
      <c r="F114" s="17">
        <f t="shared" si="1"/>
        <v>40000</v>
      </c>
      <c r="G114" s="25">
        <f>SUM(F114:F117)</f>
        <v>207000</v>
      </c>
    </row>
    <row r="115" s="1" customFormat="1" spans="1:7">
      <c r="A115" s="20"/>
      <c r="B115" s="21"/>
      <c r="C115" s="15" t="s">
        <v>10</v>
      </c>
      <c r="D115" s="13">
        <v>1</v>
      </c>
      <c r="E115" s="16">
        <v>20000</v>
      </c>
      <c r="F115" s="17">
        <f t="shared" si="1"/>
        <v>20000</v>
      </c>
      <c r="G115" s="25"/>
    </row>
    <row r="116" s="1" customFormat="1" spans="1:7">
      <c r="A116" s="20"/>
      <c r="B116" s="21"/>
      <c r="C116" s="15" t="s">
        <v>9</v>
      </c>
      <c r="D116" s="13">
        <v>1</v>
      </c>
      <c r="E116" s="16">
        <v>22000</v>
      </c>
      <c r="F116" s="17">
        <f t="shared" si="1"/>
        <v>22000</v>
      </c>
      <c r="G116" s="25"/>
    </row>
    <row r="117" s="1" customFormat="1" spans="1:7">
      <c r="A117" s="26"/>
      <c r="B117" s="27"/>
      <c r="C117" s="15" t="s">
        <v>8</v>
      </c>
      <c r="D117" s="13">
        <v>1</v>
      </c>
      <c r="E117" s="16">
        <v>125000</v>
      </c>
      <c r="F117" s="17">
        <f t="shared" si="1"/>
        <v>125000</v>
      </c>
      <c r="G117" s="28"/>
    </row>
    <row r="118" s="1" customFormat="1" spans="1:7">
      <c r="A118" s="19">
        <v>71528</v>
      </c>
      <c r="B118" s="14">
        <v>45957</v>
      </c>
      <c r="C118" s="15" t="s">
        <v>6</v>
      </c>
      <c r="D118" s="13">
        <v>6</v>
      </c>
      <c r="E118" s="16">
        <v>8000</v>
      </c>
      <c r="F118" s="17">
        <f t="shared" si="1"/>
        <v>48000</v>
      </c>
      <c r="G118" s="18">
        <f>SUM(F118:F119)</f>
        <v>88000</v>
      </c>
    </row>
    <row r="119" s="1" customFormat="1" spans="1:7">
      <c r="A119" s="19"/>
      <c r="B119" s="14"/>
      <c r="C119" s="15" t="s">
        <v>10</v>
      </c>
      <c r="D119" s="13">
        <v>2</v>
      </c>
      <c r="E119" s="16">
        <v>20000</v>
      </c>
      <c r="F119" s="17">
        <f t="shared" si="1"/>
        <v>40000</v>
      </c>
      <c r="G119" s="18"/>
    </row>
    <row r="120" s="1" customFormat="1" spans="1:7">
      <c r="A120" s="19">
        <v>71609</v>
      </c>
      <c r="B120" s="14">
        <v>45958</v>
      </c>
      <c r="C120" s="15" t="s">
        <v>6</v>
      </c>
      <c r="D120" s="13">
        <v>4</v>
      </c>
      <c r="E120" s="16">
        <v>8000</v>
      </c>
      <c r="F120" s="17">
        <f t="shared" si="1"/>
        <v>32000</v>
      </c>
      <c r="G120" s="18">
        <f>SUM(F120:F121)</f>
        <v>262000</v>
      </c>
    </row>
    <row r="121" s="1" customFormat="1" spans="1:7">
      <c r="A121" s="19"/>
      <c r="B121" s="14"/>
      <c r="C121" s="15" t="s">
        <v>16</v>
      </c>
      <c r="D121" s="13">
        <v>2</v>
      </c>
      <c r="E121" s="16">
        <v>115000</v>
      </c>
      <c r="F121" s="17">
        <f t="shared" si="1"/>
        <v>230000</v>
      </c>
      <c r="G121" s="18"/>
    </row>
    <row r="122" s="1" customFormat="1" spans="1:7">
      <c r="A122" s="20">
        <v>71689</v>
      </c>
      <c r="B122" s="21">
        <v>45959</v>
      </c>
      <c r="C122" s="22" t="s">
        <v>13</v>
      </c>
      <c r="D122" s="23">
        <v>1</v>
      </c>
      <c r="E122" s="24">
        <v>125000</v>
      </c>
      <c r="F122" s="17">
        <f t="shared" si="1"/>
        <v>125000</v>
      </c>
      <c r="G122" s="25">
        <f>SUM(F122:F124)</f>
        <v>300000</v>
      </c>
    </row>
    <row r="123" s="1" customFormat="1" spans="1:7">
      <c r="A123" s="20"/>
      <c r="B123" s="21"/>
      <c r="C123" s="15" t="s">
        <v>6</v>
      </c>
      <c r="D123" s="13">
        <v>5</v>
      </c>
      <c r="E123" s="16">
        <v>8000</v>
      </c>
      <c r="F123" s="17">
        <f t="shared" si="1"/>
        <v>40000</v>
      </c>
      <c r="G123" s="25"/>
    </row>
    <row r="124" s="1" customFormat="1" spans="1:7">
      <c r="A124" s="26"/>
      <c r="B124" s="27"/>
      <c r="C124" s="15" t="s">
        <v>12</v>
      </c>
      <c r="D124" s="13">
        <v>1</v>
      </c>
      <c r="E124" s="16">
        <v>135000</v>
      </c>
      <c r="F124" s="17">
        <f t="shared" si="1"/>
        <v>135000</v>
      </c>
      <c r="G124" s="28"/>
    </row>
    <row r="125" s="1" customFormat="1" spans="1:7">
      <c r="A125" s="36">
        <v>71748</v>
      </c>
      <c r="B125" s="37">
        <v>45960</v>
      </c>
      <c r="C125" s="15" t="s">
        <v>10</v>
      </c>
      <c r="D125" s="13">
        <v>2</v>
      </c>
      <c r="E125" s="16">
        <v>20000</v>
      </c>
      <c r="F125" s="17">
        <f t="shared" si="1"/>
        <v>40000</v>
      </c>
      <c r="G125" s="38">
        <f>SUM(F125:F129)</f>
        <v>356000</v>
      </c>
    </row>
    <row r="126" s="1" customFormat="1" spans="1:7">
      <c r="A126" s="36"/>
      <c r="B126" s="37"/>
      <c r="C126" s="15" t="s">
        <v>9</v>
      </c>
      <c r="D126" s="13">
        <v>2</v>
      </c>
      <c r="E126" s="16">
        <v>22000</v>
      </c>
      <c r="F126" s="17">
        <f t="shared" si="1"/>
        <v>44000</v>
      </c>
      <c r="G126" s="38"/>
    </row>
    <row r="127" s="1" customFormat="1" spans="1:7">
      <c r="A127" s="36"/>
      <c r="B127" s="37"/>
      <c r="C127" s="15" t="s">
        <v>16</v>
      </c>
      <c r="D127" s="13">
        <v>1</v>
      </c>
      <c r="E127" s="16">
        <v>115000</v>
      </c>
      <c r="F127" s="17">
        <f t="shared" si="1"/>
        <v>115000</v>
      </c>
      <c r="G127" s="38"/>
    </row>
    <row r="128" s="1" customFormat="1" spans="1:7">
      <c r="A128" s="36"/>
      <c r="B128" s="37"/>
      <c r="C128" s="15" t="s">
        <v>8</v>
      </c>
      <c r="D128" s="13">
        <v>1</v>
      </c>
      <c r="E128" s="16">
        <v>125000</v>
      </c>
      <c r="F128" s="17">
        <f t="shared" si="1"/>
        <v>125000</v>
      </c>
      <c r="G128" s="38"/>
    </row>
    <row r="129" s="1" customFormat="1" spans="1:7">
      <c r="A129" s="36"/>
      <c r="B129" s="37"/>
      <c r="C129" s="15" t="s">
        <v>6</v>
      </c>
      <c r="D129" s="13">
        <v>4</v>
      </c>
      <c r="E129" s="16">
        <v>8000</v>
      </c>
      <c r="F129" s="17">
        <f t="shared" si="1"/>
        <v>32000</v>
      </c>
      <c r="G129" s="38"/>
    </row>
    <row r="130" s="1" customFormat="1" spans="1:7">
      <c r="A130" s="36">
        <v>71794</v>
      </c>
      <c r="B130" s="37">
        <v>45960</v>
      </c>
      <c r="C130" s="15" t="s">
        <v>14</v>
      </c>
      <c r="D130" s="13">
        <v>1</v>
      </c>
      <c r="E130" s="16">
        <v>440000</v>
      </c>
      <c r="F130" s="17">
        <f t="shared" ref="F130:F137" si="2">SUM(D130*E130)</f>
        <v>440000</v>
      </c>
      <c r="G130" s="39">
        <f>SUM(F130)</f>
        <v>440000</v>
      </c>
    </row>
    <row r="131" s="1" customFormat="1" spans="1:7">
      <c r="A131" s="36">
        <v>71807</v>
      </c>
      <c r="B131" s="37">
        <v>45961</v>
      </c>
      <c r="C131" s="15" t="s">
        <v>6</v>
      </c>
      <c r="D131" s="13">
        <v>4</v>
      </c>
      <c r="E131" s="16">
        <v>8000</v>
      </c>
      <c r="F131" s="17">
        <f t="shared" si="2"/>
        <v>32000</v>
      </c>
      <c r="G131" s="38">
        <f>SUM(F131:F137)</f>
        <v>1566000</v>
      </c>
    </row>
    <row r="132" s="1" customFormat="1" spans="1:7">
      <c r="A132" s="36"/>
      <c r="B132" s="37"/>
      <c r="C132" s="15" t="s">
        <v>9</v>
      </c>
      <c r="D132" s="13">
        <v>2</v>
      </c>
      <c r="E132" s="16">
        <v>22000</v>
      </c>
      <c r="F132" s="17">
        <f t="shared" si="2"/>
        <v>44000</v>
      </c>
      <c r="G132" s="38"/>
    </row>
    <row r="133" s="1" customFormat="1" spans="1:7">
      <c r="A133" s="36"/>
      <c r="B133" s="37"/>
      <c r="C133" s="15" t="s">
        <v>10</v>
      </c>
      <c r="D133" s="13">
        <v>1</v>
      </c>
      <c r="E133" s="16">
        <v>20000</v>
      </c>
      <c r="F133" s="17">
        <f t="shared" si="2"/>
        <v>20000</v>
      </c>
      <c r="G133" s="38"/>
    </row>
    <row r="134" s="1" customFormat="1" spans="1:7">
      <c r="A134" s="36"/>
      <c r="B134" s="37"/>
      <c r="C134" s="15" t="s">
        <v>12</v>
      </c>
      <c r="D134" s="13">
        <v>1</v>
      </c>
      <c r="E134" s="16">
        <v>135000</v>
      </c>
      <c r="F134" s="17">
        <f t="shared" si="2"/>
        <v>135000</v>
      </c>
      <c r="G134" s="38"/>
    </row>
    <row r="135" s="1" customFormat="1" spans="1:7">
      <c r="A135" s="36"/>
      <c r="B135" s="37"/>
      <c r="C135" s="15" t="s">
        <v>14</v>
      </c>
      <c r="D135" s="13">
        <v>2</v>
      </c>
      <c r="E135" s="16">
        <v>440000</v>
      </c>
      <c r="F135" s="17">
        <f t="shared" si="2"/>
        <v>880000</v>
      </c>
      <c r="G135" s="38"/>
    </row>
    <row r="136" s="1" customFormat="1" spans="1:7">
      <c r="A136" s="36"/>
      <c r="B136" s="37"/>
      <c r="C136" s="15" t="s">
        <v>19</v>
      </c>
      <c r="D136" s="13">
        <v>1</v>
      </c>
      <c r="E136" s="16">
        <v>440000</v>
      </c>
      <c r="F136" s="17">
        <f t="shared" si="2"/>
        <v>440000</v>
      </c>
      <c r="G136" s="38"/>
    </row>
    <row r="137" s="1" customFormat="1" spans="1:7">
      <c r="A137" s="36"/>
      <c r="B137" s="37"/>
      <c r="C137" s="15" t="s">
        <v>15</v>
      </c>
      <c r="D137" s="13">
        <v>10</v>
      </c>
      <c r="E137" s="16">
        <v>1500</v>
      </c>
      <c r="F137" s="17">
        <f t="shared" si="2"/>
        <v>15000</v>
      </c>
      <c r="G137" s="38"/>
    </row>
    <row r="138" s="1" customFormat="1" spans="1:7">
      <c r="A138" s="40"/>
      <c r="B138" s="41"/>
      <c r="C138" s="22"/>
      <c r="D138" s="23"/>
      <c r="E138" s="24"/>
      <c r="F138" s="42"/>
      <c r="G138" s="43"/>
    </row>
    <row r="139" s="1" customFormat="1" spans="1:7">
      <c r="A139" s="44"/>
      <c r="B139" s="45"/>
      <c r="C139" s="15"/>
      <c r="D139" s="13"/>
      <c r="E139" s="16"/>
      <c r="F139" s="17"/>
      <c r="G139" s="46"/>
    </row>
    <row r="140" s="1" customFormat="1" spans="1:7">
      <c r="A140" s="19"/>
      <c r="B140" s="14"/>
      <c r="C140" s="15"/>
      <c r="D140" s="13"/>
      <c r="E140" s="16"/>
      <c r="F140" s="17"/>
      <c r="G140" s="18"/>
    </row>
    <row r="141" s="1" customFormat="1" spans="1:7">
      <c r="A141" s="19"/>
      <c r="B141" s="14"/>
      <c r="C141" s="15"/>
      <c r="D141" s="13"/>
      <c r="E141" s="16"/>
      <c r="F141" s="17"/>
      <c r="G141" s="18"/>
    </row>
    <row r="142" s="1" customFormat="1" spans="1:7">
      <c r="A142" s="19"/>
      <c r="B142" s="14"/>
      <c r="C142" s="15"/>
      <c r="D142" s="13"/>
      <c r="E142" s="16"/>
      <c r="F142" s="17"/>
      <c r="G142" s="18"/>
    </row>
    <row r="143" s="1" customFormat="1" spans="1:7">
      <c r="A143" s="20"/>
      <c r="B143" s="21"/>
      <c r="C143" s="22"/>
      <c r="D143" s="23"/>
      <c r="E143" s="24"/>
      <c r="F143" s="42"/>
      <c r="G143" s="25"/>
    </row>
    <row r="144" s="1" customFormat="1" spans="1:7">
      <c r="A144" s="26"/>
      <c r="B144" s="27"/>
      <c r="C144" s="15"/>
      <c r="D144" s="13"/>
      <c r="E144" s="16"/>
      <c r="F144" s="17"/>
      <c r="G144" s="28"/>
    </row>
    <row r="145" s="1" customFormat="1" spans="1:7">
      <c r="A145" s="19"/>
      <c r="B145" s="14"/>
      <c r="C145" s="15"/>
      <c r="D145" s="13"/>
      <c r="E145" s="16"/>
      <c r="F145" s="17"/>
      <c r="G145" s="18"/>
    </row>
    <row r="146" s="1" customFormat="1" spans="1:7">
      <c r="A146" s="19"/>
      <c r="B146" s="14"/>
      <c r="C146" s="15"/>
      <c r="D146" s="13"/>
      <c r="E146" s="16"/>
      <c r="F146" s="17"/>
      <c r="G146" s="18"/>
    </row>
    <row r="147" s="1" customFormat="1" spans="1:7">
      <c r="A147" s="19"/>
      <c r="B147" s="14"/>
      <c r="C147" s="15"/>
      <c r="D147" s="13"/>
      <c r="E147" s="16"/>
      <c r="F147" s="17"/>
      <c r="G147" s="18"/>
    </row>
    <row r="148" s="1" customFormat="1" spans="1:7">
      <c r="A148" s="19"/>
      <c r="B148" s="14"/>
      <c r="C148" s="22"/>
      <c r="D148" s="23"/>
      <c r="E148" s="24"/>
      <c r="F148" s="42"/>
      <c r="G148" s="35"/>
    </row>
    <row r="149" s="1" customFormat="1" spans="1:7">
      <c r="A149" s="19"/>
      <c r="B149" s="14"/>
      <c r="C149" s="22"/>
      <c r="D149" s="23"/>
      <c r="E149" s="24"/>
      <c r="F149" s="17"/>
      <c r="G149" s="25"/>
    </row>
    <row r="150" s="1" customFormat="1" spans="1:7">
      <c r="A150" s="19"/>
      <c r="B150" s="14"/>
      <c r="C150" s="15"/>
      <c r="D150" s="13"/>
      <c r="E150" s="16"/>
      <c r="F150" s="17"/>
      <c r="G150" s="25"/>
    </row>
    <row r="151" s="1" customFormat="1" spans="1:7">
      <c r="A151" s="19"/>
      <c r="B151" s="14"/>
      <c r="C151" s="15"/>
      <c r="D151" s="13"/>
      <c r="E151" s="16"/>
      <c r="F151" s="17"/>
      <c r="G151" s="25"/>
    </row>
    <row r="152" s="1" customFormat="1" spans="1:7">
      <c r="A152" s="19"/>
      <c r="B152" s="14"/>
      <c r="C152" s="15"/>
      <c r="D152" s="13"/>
      <c r="E152" s="16"/>
      <c r="F152" s="17"/>
      <c r="G152" s="25"/>
    </row>
    <row r="153" s="1" customFormat="1" spans="1:7">
      <c r="A153" s="19"/>
      <c r="B153" s="14"/>
      <c r="C153" s="15"/>
      <c r="D153" s="13"/>
      <c r="E153" s="16"/>
      <c r="F153" s="17"/>
      <c r="G153" s="28"/>
    </row>
    <row r="154" s="1" customFormat="1" spans="1:7">
      <c r="A154" s="19"/>
      <c r="B154" s="14"/>
      <c r="C154" s="15"/>
      <c r="D154" s="13"/>
      <c r="E154" s="16"/>
      <c r="F154" s="17"/>
      <c r="G154" s="18"/>
    </row>
    <row r="155" s="1" customFormat="1" spans="1:7">
      <c r="A155" s="19"/>
      <c r="B155" s="14"/>
      <c r="C155" s="15"/>
      <c r="D155" s="13"/>
      <c r="E155" s="16"/>
      <c r="F155" s="17"/>
      <c r="G155" s="18"/>
    </row>
    <row r="156" s="1" customFormat="1" spans="1:7">
      <c r="A156" s="19"/>
      <c r="B156" s="14"/>
      <c r="C156" s="15"/>
      <c r="D156" s="13"/>
      <c r="E156" s="16"/>
      <c r="F156" s="17"/>
      <c r="G156" s="18"/>
    </row>
    <row r="157" s="1" customFormat="1" spans="1:8">
      <c r="A157" s="3"/>
      <c r="B157" s="4"/>
      <c r="C157" s="5"/>
      <c r="D157" s="6"/>
      <c r="E157" s="7"/>
      <c r="G157" s="7">
        <f>SUM(G2:G156)</f>
        <v>13909500</v>
      </c>
      <c r="H157" s="32"/>
    </row>
  </sheetData>
  <mergeCells count="108">
    <mergeCell ref="A2:A7"/>
    <mergeCell ref="A8:A10"/>
    <mergeCell ref="A11:A13"/>
    <mergeCell ref="A14:A19"/>
    <mergeCell ref="A20:A25"/>
    <mergeCell ref="A26:A31"/>
    <mergeCell ref="A32:A34"/>
    <mergeCell ref="A35:A39"/>
    <mergeCell ref="A40:A42"/>
    <mergeCell ref="A43:A49"/>
    <mergeCell ref="A50:A53"/>
    <mergeCell ref="A54:A57"/>
    <mergeCell ref="A58:A63"/>
    <mergeCell ref="A64:A66"/>
    <mergeCell ref="A67:A70"/>
    <mergeCell ref="A71:A75"/>
    <mergeCell ref="A76:A78"/>
    <mergeCell ref="A79:A82"/>
    <mergeCell ref="A83:A86"/>
    <mergeCell ref="A88:A89"/>
    <mergeCell ref="A90:A96"/>
    <mergeCell ref="A97:A102"/>
    <mergeCell ref="A103:A105"/>
    <mergeCell ref="A106:A109"/>
    <mergeCell ref="A110:A113"/>
    <mergeCell ref="A114:A117"/>
    <mergeCell ref="A118:A119"/>
    <mergeCell ref="A120:A121"/>
    <mergeCell ref="A122:A124"/>
    <mergeCell ref="A125:A129"/>
    <mergeCell ref="A131:A137"/>
    <mergeCell ref="A140:A142"/>
    <mergeCell ref="A143:A144"/>
    <mergeCell ref="A145:A147"/>
    <mergeCell ref="A148:A153"/>
    <mergeCell ref="A154:A156"/>
    <mergeCell ref="B2:B7"/>
    <mergeCell ref="B8:B10"/>
    <mergeCell ref="B11:B13"/>
    <mergeCell ref="B14:B19"/>
    <mergeCell ref="B20:B25"/>
    <mergeCell ref="B26:B31"/>
    <mergeCell ref="B32:B34"/>
    <mergeCell ref="B35:B39"/>
    <mergeCell ref="B40:B42"/>
    <mergeCell ref="B43:B49"/>
    <mergeCell ref="B50:B53"/>
    <mergeCell ref="B54:B57"/>
    <mergeCell ref="B58:B63"/>
    <mergeCell ref="B64:B66"/>
    <mergeCell ref="B67:B70"/>
    <mergeCell ref="B71:B75"/>
    <mergeCell ref="B76:B78"/>
    <mergeCell ref="B79:B82"/>
    <mergeCell ref="B83:B86"/>
    <mergeCell ref="B88:B89"/>
    <mergeCell ref="B90:B96"/>
    <mergeCell ref="B97:B102"/>
    <mergeCell ref="B103:B105"/>
    <mergeCell ref="B106:B109"/>
    <mergeCell ref="B110:B113"/>
    <mergeCell ref="B114:B117"/>
    <mergeCell ref="B118:B119"/>
    <mergeCell ref="B120:B121"/>
    <mergeCell ref="B122:B124"/>
    <mergeCell ref="B125:B129"/>
    <mergeCell ref="B131:B137"/>
    <mergeCell ref="B140:B142"/>
    <mergeCell ref="B143:B144"/>
    <mergeCell ref="B145:B147"/>
    <mergeCell ref="B148:B153"/>
    <mergeCell ref="B154:B156"/>
    <mergeCell ref="G2:G7"/>
    <mergeCell ref="G8:G10"/>
    <mergeCell ref="G11:G13"/>
    <mergeCell ref="G14:G19"/>
    <mergeCell ref="G20:G25"/>
    <mergeCell ref="G26:G31"/>
    <mergeCell ref="G32:G34"/>
    <mergeCell ref="G35:G39"/>
    <mergeCell ref="G40:G42"/>
    <mergeCell ref="G43:G49"/>
    <mergeCell ref="G50:G53"/>
    <mergeCell ref="G54:G57"/>
    <mergeCell ref="G58:G63"/>
    <mergeCell ref="G64:G66"/>
    <mergeCell ref="G67:G70"/>
    <mergeCell ref="G71:G75"/>
    <mergeCell ref="G76:G78"/>
    <mergeCell ref="G79:G82"/>
    <mergeCell ref="G83:G86"/>
    <mergeCell ref="G88:G89"/>
    <mergeCell ref="G90:G96"/>
    <mergeCell ref="G97:G102"/>
    <mergeCell ref="G103:G105"/>
    <mergeCell ref="G106:G109"/>
    <mergeCell ref="G110:G113"/>
    <mergeCell ref="G114:G117"/>
    <mergeCell ref="G118:G119"/>
    <mergeCell ref="G120:G121"/>
    <mergeCell ref="G122:G124"/>
    <mergeCell ref="G125:G129"/>
    <mergeCell ref="G131:G137"/>
    <mergeCell ref="G140:G142"/>
    <mergeCell ref="G143:G144"/>
    <mergeCell ref="G145:G147"/>
    <mergeCell ref="G148:G153"/>
    <mergeCell ref="G154:G1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2025-10-31T10:12:11Z</dcterms:created>
  <dcterms:modified xsi:type="dcterms:W3CDTF">2025-10-31T10:12:37Z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32E507F6512C43B6941B72B1F72AB744_11</vt:lpwstr>
  </property>
  <property fmtid="{D5CDD505-2E9C-101B-9397-08002B2CF9AE}" pid="3" name="KSOProductBuildVer">
    <vt:lpwstr>1033-12.2.0.23131</vt:lpwstr>
  </property>
</Properties>
</file>