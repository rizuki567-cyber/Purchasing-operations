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980" windowHeight="17020"/>
  </bookViews>
  <sheets>
    <sheet name="Daily Acitivies &amp; Checklists" sheetId="26" r:id="rId1"/>
    <sheet name="Gasoline&amp;Petroleum Costs" sheetId="27" r:id="rId2"/>
    <sheet name="Puchasing cash &amp; transfer costs" sheetId="28" r:id="rId3"/>
    <sheet name="Staff lists" sheetId="2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<sst xmlns="http://schemas.openxmlformats.org/spreadsheetml/2006/main" count="4191" uniqueCount="635">
  <si>
    <t>DATE</t>
  </si>
  <si>
    <t>DAILY CHECKLIST</t>
  </si>
  <si>
    <t>DETAILS</t>
  </si>
  <si>
    <t>CHECK</t>
  </si>
  <si>
    <t>Ambil Salami dari kemang food di soputan sdh dibayar via Qris oleh chef</t>
  </si>
  <si>
    <t>V</t>
  </si>
  <si>
    <t>Chef mengirim invoice Boiler 26 oct 2025 melalui WA</t>
  </si>
  <si>
    <t>Mulia Jaya datang menagih tagihan tgl 20 oct dan sudah dibayarkan cashier</t>
  </si>
  <si>
    <t>Terima barang dan invoice dari Nico berupa burger bun 12 pcs</t>
  </si>
  <si>
    <t>terima barang dari dishy soap (hand sanitizer 5L)</t>
  </si>
  <si>
    <t>furniture polish</t>
  </si>
  <si>
    <t>2 jrgn</t>
  </si>
  <si>
    <t>refill tinta spidol</t>
  </si>
  <si>
    <t>1 pack</t>
  </si>
  <si>
    <t>hansaplast BIG</t>
  </si>
  <si>
    <t>1 BOX</t>
  </si>
  <si>
    <t>obat merah</t>
  </si>
  <si>
    <t>obat magh</t>
  </si>
  <si>
    <t>antasidadoen 1</t>
  </si>
  <si>
    <t>obat demam</t>
  </si>
  <si>
    <t>panadol sakit kepala 1</t>
  </si>
  <si>
    <t>paracetamol 1</t>
  </si>
  <si>
    <t>ibuprofen 1</t>
  </si>
  <si>
    <t>print Art label</t>
  </si>
  <si>
    <t>1 lembar</t>
  </si>
  <si>
    <t>Beli pena &amp; tinta spidol, obat2an, print art label, sapu</t>
  </si>
  <si>
    <t>Pickup urgent order from buk bunga</t>
  </si>
  <si>
    <t>meeting with sales dineta jaya</t>
  </si>
  <si>
    <t>detergen</t>
  </si>
  <si>
    <t>sabun cuci piring</t>
  </si>
  <si>
    <t>Tiara gatzu beli alat pel, sikat, battery AAA, sprayer, labu kabocha</t>
  </si>
  <si>
    <t>engineering utk listrik</t>
  </si>
  <si>
    <t>hadir siang jam 1 tgl 30 082266242557 cek mcb ac dan exhaust</t>
  </si>
  <si>
    <t>pumpkin besar order 12 pcs</t>
  </si>
  <si>
    <t>12 pcs</t>
  </si>
  <si>
    <t>jasa bersihin kaca hotel bagian luar</t>
  </si>
  <si>
    <t>Price too expensive. Not approved</t>
  </si>
  <si>
    <t>X</t>
  </si>
  <si>
    <t>pumpkin kecil (kabocha)</t>
  </si>
  <si>
    <t>Beli 1 dus larutan apel</t>
  </si>
  <si>
    <t>1 dus</t>
  </si>
  <si>
    <t>beli sikat lantai</t>
  </si>
  <si>
    <t>Toko crystal beli larutan penyegar cap badak 1 dus, beli sikat lantai</t>
  </si>
  <si>
    <t>Beli sprayer, towel kitchen</t>
  </si>
  <si>
    <t>Ambil banner roll up pesanan 2x</t>
  </si>
  <si>
    <t>Rekap absen sistem</t>
  </si>
  <si>
    <t>1st</t>
  </si>
  <si>
    <t>&gt;</t>
  </si>
  <si>
    <t>Cari foto how to wash your hand (haccp)</t>
  </si>
  <si>
    <t>Temperature utk chiller (haccp)</t>
  </si>
  <si>
    <t>Strainer water purifier</t>
  </si>
  <si>
    <t>tunggu foto dari chef</t>
  </si>
  <si>
    <t>Nachos 1 kg</t>
  </si>
  <si>
    <t>tanya awa jenis nachosnya</t>
  </si>
  <si>
    <t>Cari supplier pastry and bakery</t>
  </si>
  <si>
    <t>minta price list dan apakah bisa diantar</t>
  </si>
  <si>
    <t>print par stock takeaway each dept.</t>
  </si>
  <si>
    <t>tambah 5 baris kolom kosong dibawahnya</t>
  </si>
  <si>
    <t>print absen manual floor</t>
  </si>
  <si>
    <t>20 lembar</t>
  </si>
  <si>
    <t>Belanjaan vadim</t>
  </si>
  <si>
    <t>hanger for 6 towel</t>
  </si>
  <si>
    <t>15 towel for kitchen</t>
  </si>
  <si>
    <t>5 done</t>
  </si>
  <si>
    <t>7 hand sanitizer dispenser</t>
  </si>
  <si>
    <t>7 soap dispenser</t>
  </si>
  <si>
    <t>4 spray for heavy spraying</t>
  </si>
  <si>
    <t>waiting for cash</t>
  </si>
  <si>
    <t>Making air conditioner treatment schedule</t>
  </si>
  <si>
    <t>Excel</t>
  </si>
  <si>
    <t>Buy crumbing down tools for floor</t>
  </si>
  <si>
    <t>Tokopedia</t>
  </si>
  <si>
    <t>UANG PRIBADI DI CASHIER 50.000</t>
  </si>
  <si>
    <t>Will follow up</t>
  </si>
  <si>
    <t>Internet down</t>
  </si>
  <si>
    <t>on progress</t>
  </si>
  <si>
    <t>nachos 1 kg</t>
  </si>
  <si>
    <t>cari supplier pastry and bakery</t>
  </si>
  <si>
    <t>excel</t>
  </si>
  <si>
    <t>Already received</t>
  </si>
  <si>
    <t>Print Art Information "NO POLITIC, NO HATE, NO WAR"</t>
  </si>
  <si>
    <t>Balistars</t>
  </si>
  <si>
    <t>Repair deep fat fryer kitchen</t>
  </si>
  <si>
    <t>Costs 425k for repair and 100k for check refrig</t>
  </si>
  <si>
    <t>Engineer checking bar chiller</t>
  </si>
  <si>
    <t>Checked, problem is clogging</t>
  </si>
  <si>
    <t>Salary paid</t>
  </si>
  <si>
    <t>Buy long tissue &amp; takeaway box L for kitchen from Abdi Jaya</t>
  </si>
  <si>
    <t>Abdi Jaya</t>
  </si>
  <si>
    <t>Buy nachos</t>
  </si>
  <si>
    <t>El tortilla</t>
  </si>
  <si>
    <t>Buy dumplings</t>
  </si>
  <si>
    <t>Mama rada</t>
  </si>
  <si>
    <t>Buy canvas 3 pcs size 100x100cm</t>
  </si>
  <si>
    <t>Waiting for approval to get funding from cashier</t>
  </si>
  <si>
    <t>Still looking</t>
  </si>
  <si>
    <t>Look for new Pastry &amp; Bakery suppliers(Brioche bun, Burger bun, Sourdough, Baquette, Croissant)</t>
  </si>
  <si>
    <t>On progress</t>
  </si>
  <si>
    <t>Buy canvas 80x100cm 3 pcs size @Rp. 282.000 (Vadim request)</t>
  </si>
  <si>
    <t>DONE</t>
  </si>
  <si>
    <t>Check for AC freon</t>
  </si>
  <si>
    <t>Need to communicate with chef</t>
  </si>
  <si>
    <t>Minta price list dan apakah bisa diantar</t>
  </si>
  <si>
    <t>Already checked by Vadim</t>
  </si>
  <si>
    <t>Contacting bar chiller warranty</t>
  </si>
  <si>
    <t>Already informing chef</t>
  </si>
  <si>
    <t>Still looking... Maybe buy from tokopedia</t>
  </si>
  <si>
    <t>Contacting bar chiller for warranty</t>
  </si>
  <si>
    <t>Make BCA Flazz Card</t>
  </si>
  <si>
    <t>Better change with Ovo but still stuck on process</t>
  </si>
  <si>
    <t>Purchase 2 MCB size 50 to fix the AC electrical problem</t>
  </si>
  <si>
    <t>Order by chef</t>
  </si>
  <si>
    <t>Purchase fujifilm instax mini and ant killer</t>
  </si>
  <si>
    <t>Purchase Canary Transparant tissue box</t>
  </si>
  <si>
    <t>Hotel technician already come and installed new MCB</t>
  </si>
  <si>
    <t>Make BCA Flazz Card (Changed to OVO instead)</t>
  </si>
  <si>
    <t>OVO done just waiting for funding to be approved</t>
  </si>
  <si>
    <t>Tokopedia status is still on process</t>
  </si>
  <si>
    <t>Buy Flowers for floor</t>
  </si>
  <si>
    <t>Cash from cashier</t>
  </si>
  <si>
    <t>Buy Cellphone card and internet quota for floor phone</t>
  </si>
  <si>
    <t>Telkomsel Cellphones chip already bought</t>
  </si>
  <si>
    <t>Collect transfer money from chef regarding MCB purchase</t>
  </si>
  <si>
    <t>Transfer money already received</t>
  </si>
  <si>
    <t>Buy 8 purple blanket from tokopedia (Vadim's request)</t>
  </si>
  <si>
    <t>Mission by Vadim</t>
  </si>
  <si>
    <t>Ask for edible paper printing costs  to shop (Angelica)</t>
  </si>
  <si>
    <t>Mission by Angelica</t>
  </si>
  <si>
    <t>Maintenance for Coffee machine (Steamer need to be fixed)</t>
  </si>
  <si>
    <t>Mission by Pak Bayu</t>
  </si>
  <si>
    <t>Sedana kitchen still not balance on 6 nov</t>
  </si>
  <si>
    <t>On progress... waiting for information tomorrow</t>
  </si>
  <si>
    <t>Return 1 oatmilk to Buk Bunga</t>
  </si>
  <si>
    <t>Mistake to take more quantity</t>
  </si>
  <si>
    <t>Tokopedia still not approved on lemesy group</t>
  </si>
  <si>
    <t>Already contacting the company to check</t>
  </si>
  <si>
    <t>Tokopedia status is still stuck on process</t>
  </si>
  <si>
    <t>Buy 8 purple blanket, Floor mop, magician tissue from tokopedia (Vadim's request)</t>
  </si>
  <si>
    <t>Already approved by Vadim</t>
  </si>
  <si>
    <t>Already make contact and ready to print tomorrow</t>
  </si>
  <si>
    <t>Technician come at night and we are stiill waiting for ther invoice</t>
  </si>
  <si>
    <t>Already solved they fixed their invoice</t>
  </si>
  <si>
    <t>Case solved</t>
  </si>
  <si>
    <t>Already making contact and request to meet up with their sales representatves</t>
  </si>
  <si>
    <t>Buy crumbing down tools for floor (Tokopedia)</t>
  </si>
  <si>
    <t>Aircond Bali solution might give a better price</t>
  </si>
  <si>
    <t>Already topped up</t>
  </si>
  <si>
    <t>Purchase Canary Transparant tissue box (Tokopedia)</t>
  </si>
  <si>
    <t>Approved. But expired will have to repurchase tomorrow after Rhoma informed</t>
  </si>
  <si>
    <t>Goods already on shipment</t>
  </si>
  <si>
    <t>already received funding for OVO will buy tomorrow</t>
  </si>
  <si>
    <t>Technician already come and still waiting for the invoice</t>
  </si>
  <si>
    <t>Printing collected shirts on Balistars cancelled and changed to Ciititex Jimbaran</t>
  </si>
  <si>
    <t>Ready to print all clothes tomorrow with PNC quality @95.000</t>
  </si>
  <si>
    <t>Maintenance AC Cassette cinema (E9 error problem)</t>
  </si>
  <si>
    <t>Aircond Technician will come tomorrow</t>
  </si>
  <si>
    <t>Aircon Bali solution give a better Price. And now still waiting for decision</t>
  </si>
  <si>
    <t>Purchase 2 Canary Transparant tissue box (Tokopedia)</t>
  </si>
  <si>
    <t>Already repurchase and waiting for the payment on Tokopedia</t>
  </si>
  <si>
    <t>Already printed edible paper</t>
  </si>
  <si>
    <t>Printing collected shirts on Cititex Jimbaran</t>
  </si>
  <si>
    <t>Waiting for lemesy payment on invoice</t>
  </si>
  <si>
    <t>Technician done cleaning, Changing drain censor of AC cassette</t>
  </si>
  <si>
    <t>Printing Form request for schedule</t>
  </si>
  <si>
    <t>Done printing</t>
  </si>
  <si>
    <t>Making contact with subtitute for main daily supplier for alternatve to buk bunga</t>
  </si>
  <si>
    <t>No Information yet..</t>
  </si>
  <si>
    <t>Floor Mop from Tokopedia</t>
  </si>
  <si>
    <t>Done. Product has arrived</t>
  </si>
  <si>
    <t>Payment already made and goods already on process</t>
  </si>
  <si>
    <t>Rekap dishy soap</t>
  </si>
  <si>
    <t>Done</t>
  </si>
  <si>
    <t>Arrange maintenance of cinema ceiling</t>
  </si>
  <si>
    <t>Buy urgent supplies for Bar and kitchen on Bumdes</t>
  </si>
  <si>
    <t>Buy Carton paper &amp; Screws to fix cinema ceiling using OVO</t>
  </si>
  <si>
    <t>Order white plastic bag for floor</t>
  </si>
  <si>
    <t>Done ordering 5 bags</t>
  </si>
  <si>
    <t>Goods already arrived</t>
  </si>
  <si>
    <t>Check suppliier status on galungan</t>
  </si>
  <si>
    <t>Order teh teh botol kotak 2 dos</t>
  </si>
  <si>
    <t>Ordered</t>
  </si>
  <si>
    <t>Go to Pertamina to get change for petty cash</t>
  </si>
  <si>
    <t>Make paid suppliier lists</t>
  </si>
  <si>
    <t>Done. need to filled up the data</t>
  </si>
  <si>
    <t>Sending service lists to Rhoma</t>
  </si>
  <si>
    <t>Request for surya cipta niaga photo's of white invoice at 15 november 2025 for excel database</t>
  </si>
  <si>
    <t>Pending</t>
  </si>
  <si>
    <t>Make lists of how to maintain the flower</t>
  </si>
  <si>
    <t>Done. Need to be printed</t>
  </si>
  <si>
    <t>Find a way how to make all the flower vase not leaking (Ask chatGPT)</t>
  </si>
  <si>
    <t>Print new balagan stickers (Ms. Angelica)</t>
  </si>
  <si>
    <t>AC Cinema got leaking again</t>
  </si>
  <si>
    <t>Already make report</t>
  </si>
  <si>
    <t>Already painted the leaking vase</t>
  </si>
  <si>
    <t>AC Cinema is leaking again</t>
  </si>
  <si>
    <t>Already make report to aircond solution</t>
  </si>
  <si>
    <t>Make and print "Please be careful" sign for the staircase</t>
  </si>
  <si>
    <t>Give cash of Rp. 4.200.000 from ms. Lina to Mr. Ruslan</t>
  </si>
  <si>
    <t>Money already received</t>
  </si>
  <si>
    <t>Pickup urgent order for kitchen (Chicken leg fillet 5 kg) from buk bunga</t>
  </si>
  <si>
    <t>Input shisha data On Google drive</t>
  </si>
  <si>
    <t>Already got information look for Pak Bayu</t>
  </si>
  <si>
    <t>Follow up with the Handyman. Ask the price include materials</t>
  </si>
  <si>
    <t>Money already given to Mr. Ruslan</t>
  </si>
  <si>
    <t>Bring Kamboja flower by Chef request</t>
  </si>
  <si>
    <t>Exchange the plastic bag to Abdi jaya because of wrong size</t>
  </si>
  <si>
    <t>Purchase orders from pastry: Puff Pastry, Royal NZ apple</t>
  </si>
  <si>
    <t>Look for HAM supplier Aroma</t>
  </si>
  <si>
    <t>Done get small changes from accounting Roma</t>
  </si>
  <si>
    <t>Purchase edible flower for photoshoot from KropNation</t>
  </si>
  <si>
    <t>Making special excel to records New Year Expenses: Mission issued by Vadim</t>
  </si>
  <si>
    <t>Arranged a meeting to meet up with Mr. Pavel at 2 PM Monday at Balagan restaurant</t>
  </si>
  <si>
    <t>Arranged a meeting to meet up with Braud Pastry &amp; Bakery supplier at Tuesday 25 at Balagan restaurant</t>
  </si>
  <si>
    <t>Stir up syrup asking for payment invoice</t>
  </si>
  <si>
    <t>Coordinate with Chef and Roma</t>
  </si>
  <si>
    <t>Looking for stuff for Photoshoot very busy for purchasing</t>
  </si>
  <si>
    <t>Already contacting the company</t>
  </si>
  <si>
    <t>Buy torch refill for Bar</t>
  </si>
  <si>
    <t>No petty cash yet</t>
  </si>
  <si>
    <t>Check invoice DDB dharma dewata bersinar payment status</t>
  </si>
  <si>
    <t>they sent outstanding already</t>
  </si>
  <si>
    <t>Boiler Invoice isn't proper</t>
  </si>
  <si>
    <t>Already contact lena godnik</t>
  </si>
  <si>
    <t>Taking balagan order from boiler directly</t>
  </si>
  <si>
    <t>Take fresh milk from abiseka</t>
  </si>
  <si>
    <t>Near home</t>
  </si>
  <si>
    <t>Bar chiller already been fixed and waiting for payment approval</t>
  </si>
  <si>
    <t>Payment already made and sent the slip to Pak Bayu</t>
  </si>
  <si>
    <t>Already paid and need to collect invoice. will be done at 27 November</t>
  </si>
  <si>
    <t>Cancelled because it's not cheaper</t>
  </si>
  <si>
    <t>Already requested</t>
  </si>
  <si>
    <t>It's already fixed and paid</t>
  </si>
  <si>
    <t>Done meeting with them with note already made</t>
  </si>
  <si>
    <t>Done. Paid</t>
  </si>
  <si>
    <t>Already take cash from cashier to buy tomorrow</t>
  </si>
  <si>
    <t>Payment slip alreay sent to them</t>
  </si>
  <si>
    <t>Done. It's was sent by Gosend and paid.</t>
  </si>
  <si>
    <t>Check sedana outstanding balance</t>
  </si>
  <si>
    <t>Pizza box cek supplier</t>
  </si>
  <si>
    <t>wait for more inforation from Chef</t>
  </si>
  <si>
    <t>Done. Cancelled because we still got HAM and the payment can't be credited</t>
  </si>
  <si>
    <t>Done today along with chef</t>
  </si>
  <si>
    <t>Petty cash received will buy tomorrow</t>
  </si>
  <si>
    <t>Buy Blact duck tape for floor</t>
  </si>
  <si>
    <t>Already contact lena godnik. Might get the official invoice when taking another order</t>
  </si>
  <si>
    <t>Already Reminding Angelica regarding new design</t>
  </si>
  <si>
    <t>Beli Nachos</t>
  </si>
  <si>
    <t>Gonna buy tomorrow</t>
  </si>
  <si>
    <t>Already paid and need to collect invoice. will be done at 27 November (tomorrow)</t>
  </si>
  <si>
    <t>Follow up with the Handyman. Ask the price include material. Handyman will survey tomorrow</t>
  </si>
  <si>
    <t>Done. torch refill bought and paid using OVO</t>
  </si>
  <si>
    <t>Already contact lena godnik. She said will sent the official invoice by tomorrow</t>
  </si>
  <si>
    <t>Angelica prefer to use previous design already informed to chef order already been made</t>
  </si>
  <si>
    <t>Buy Nachos</t>
  </si>
  <si>
    <t>Gonna buy tomorrow (Chef request)</t>
  </si>
  <si>
    <t>Print Art label</t>
  </si>
  <si>
    <t>Done paid using OVO</t>
  </si>
  <si>
    <t>Purchase torch refill</t>
  </si>
  <si>
    <t>Pay for Mulya jaya Bill for 21 November Invoice Rp. 300.000</t>
  </si>
  <si>
    <t>Looking for Cheesecake takeaway box</t>
  </si>
  <si>
    <t>Purchase double tape for floor</t>
  </si>
  <si>
    <t>Cashier gave cash to buy it</t>
  </si>
  <si>
    <t>Purchasing Takeaway box L for kitchen urgent order</t>
  </si>
  <si>
    <t>Bar chiller already been fixed by aircond and waiting for payment approval</t>
  </si>
  <si>
    <t>Not done yet. So will check tomorrow when going to work</t>
  </si>
  <si>
    <t>Already order 1000 pcs using previous 2 design</t>
  </si>
  <si>
    <t>Purchase plant fertilizers</t>
  </si>
  <si>
    <t>Purchase bar sticks 200 pcs on Bar Essentials</t>
  </si>
  <si>
    <t>Purchase Salami order by chef (for tomorrow)</t>
  </si>
  <si>
    <t>Initializing...</t>
  </si>
  <si>
    <t>Pick Up Nachos invoice tomorrow</t>
  </si>
  <si>
    <t>Input dineta Jaya to price comparison</t>
  </si>
  <si>
    <t>Complete Price comparison category with kitchen inventory as references</t>
  </si>
  <si>
    <t>Purchase 2 spidol (Marker) for kithcen and floor</t>
  </si>
  <si>
    <t>Done she sent the invoice already</t>
  </si>
  <si>
    <t>Need to coordinate to get exact packaging size for the price</t>
  </si>
  <si>
    <t>Purchase small stapless refill for floor</t>
  </si>
  <si>
    <t>Aready order 1000 pcs using previous 2 design</t>
  </si>
  <si>
    <t>Purchase Chamomile Tea from The Chai using petty cash</t>
  </si>
  <si>
    <t>Buy protein whey for BAR (Tokopedia)</t>
  </si>
  <si>
    <t>Found a handyman that agree to repair ceiling on cinema and floor area spot for Rp. 1.300.000</t>
  </si>
  <si>
    <t>Buy Baygon for Bar</t>
  </si>
  <si>
    <t>Buy Bar urgent order</t>
  </si>
  <si>
    <t>Making supplier spending recap</t>
  </si>
  <si>
    <t>Make sure long tissue and cocktail napkin arrived</t>
  </si>
  <si>
    <t>Propose 50% down payment for it. Accepted and invoice already received</t>
  </si>
  <si>
    <t>Already asked Vadim for approval on PM 1st attempt got no response regarding it.</t>
  </si>
  <si>
    <t>Purchase apron</t>
  </si>
  <si>
    <t>Remind that laundry ask for payments every 5 early of months like before</t>
  </si>
  <si>
    <t>50% down payment already done. Case closed.</t>
  </si>
  <si>
    <t>Done already posted on lemesy group today</t>
  </si>
  <si>
    <t>Arrived today</t>
  </si>
  <si>
    <t>Awaiting for further information from Chef</t>
  </si>
  <si>
    <t>Done Laundry already paid</t>
  </si>
  <si>
    <t>Make suppliers payments details format</t>
  </si>
  <si>
    <t>Picking up urgent Kitchen order 5 canned peeled tomatoes from Bu Bunga</t>
  </si>
  <si>
    <t>Bought paint for Art</t>
  </si>
  <si>
    <t>Find rental places for refrigerator</t>
  </si>
  <si>
    <t>Bar essential look for smaller cocktail</t>
  </si>
  <si>
    <t>Purchase dimmer with bigger capacity than 200w led on local shop</t>
  </si>
  <si>
    <t>Go to DIY look for 2 beautiful big glass and 1 Christmas tree lights</t>
  </si>
  <si>
    <t>Check for price change on supplier and ask them when it's rising</t>
  </si>
  <si>
    <t>Print 10 sticker on Balistars. Vinyl quality</t>
  </si>
  <si>
    <t>Find glass cleaner robot on Tokopedia</t>
  </si>
  <si>
    <t>Arrange to borrow 2 ice box from warung eka</t>
  </si>
  <si>
    <t>Didn't find the smaller one for love shape on bar essentials</t>
  </si>
  <si>
    <t>Done. Bought the same capacity since it's the maximum capacity available</t>
  </si>
  <si>
    <t>Already ordered the printing</t>
  </si>
  <si>
    <t>2 references already been sent to Vadim</t>
  </si>
  <si>
    <t>Buy plant fertilizer for floor</t>
  </si>
  <si>
    <t>Pickup fresh milk from Abiseka</t>
  </si>
  <si>
    <t>Look for another fresh milk supplier</t>
  </si>
  <si>
    <t>Buy paints for Cinema 1897, Main Area 1873/1872, Bar 2020 Blue (Nippon)</t>
  </si>
  <si>
    <t>Buy 4 polish napkin for bar</t>
  </si>
  <si>
    <t>Tomorrow</t>
  </si>
  <si>
    <t>Purchase Da hang pau 100gr from The Chai</t>
  </si>
  <si>
    <t>Done but the size is A3</t>
  </si>
  <si>
    <t>Already requested and confirmed yes by EKA</t>
  </si>
  <si>
    <t>Done found Dairy fresh milk as the cheaper supplier</t>
  </si>
  <si>
    <t>On looking</t>
  </si>
  <si>
    <t>Out of stock on bar essentials. They will inform us when the stock is available</t>
  </si>
  <si>
    <t>Purchase head charger for floor charged lamp</t>
  </si>
  <si>
    <t>Rafi seafood exchange wrong written invoice tomorrow</t>
  </si>
  <si>
    <t>Purchase Da hang pao 60 gr</t>
  </si>
  <si>
    <t>Purchase flower for floor</t>
  </si>
  <si>
    <t>Bar broken knife need to purchase at bar essentials</t>
  </si>
  <si>
    <t>Meeting with The chai</t>
  </si>
  <si>
    <t>Wednesday morning 10.30 AM</t>
  </si>
  <si>
    <t>Find one on 087864294441 2-4 degree Celcius temperature</t>
  </si>
  <si>
    <t>Wait until next order for invoice changes</t>
  </si>
  <si>
    <t>Buy trash box for Shisha</t>
  </si>
  <si>
    <t>Buy 3G Adapter swtich at Mr.D.I.Y</t>
  </si>
  <si>
    <t>Done Invoice already been exchanged with the correct one</t>
  </si>
  <si>
    <t>Done Aready bought by pak Bayu and reimbursed</t>
  </si>
  <si>
    <t>Dineta Jaya come meeting with us to promote their yoghurt</t>
  </si>
  <si>
    <t>Done. The yoghurt has better price</t>
  </si>
  <si>
    <t>Pick up urgent order for kitchen 1kg of tomatoes</t>
  </si>
  <si>
    <t>Done bought on ex hotel</t>
  </si>
  <si>
    <t>Buy 15L of fresh milk using OVO at dairy fresh milk</t>
  </si>
  <si>
    <t>Purchase broom for kitchen</t>
  </si>
  <si>
    <t>Done purchase at D.I.Y</t>
  </si>
  <si>
    <t>Purchase gypsum and holo</t>
  </si>
  <si>
    <t>Done with their payment</t>
  </si>
  <si>
    <t>Look to get custom size of table top for bar</t>
  </si>
  <si>
    <t>Waiting for broken table top measurement</t>
  </si>
  <si>
    <t>Buy popcorn jolly time big cheez</t>
  </si>
  <si>
    <t>Buy map 1 blue, 1 green, 1 black, 1 red</t>
  </si>
  <si>
    <t>Bought flowers for floor</t>
  </si>
  <si>
    <t>Purchase Tali rami (3pcs)</t>
  </si>
  <si>
    <t>Purchase Stapless 1 box</t>
  </si>
  <si>
    <t xml:space="preserve">Purchase toothpicks </t>
  </si>
  <si>
    <t>Already ordered from Abdi jaya</t>
  </si>
  <si>
    <t>D.I.Y and Arthayasa is out of stock. Pending for next day</t>
  </si>
  <si>
    <t>Purchase Porting Glue for Iron</t>
  </si>
  <si>
    <t>Done taken from kitchen</t>
  </si>
  <si>
    <t>Purchase fresh milk from abiseka w OVO</t>
  </si>
  <si>
    <t>buy green and red map for chef</t>
  </si>
  <si>
    <t>Purchase 4 napkin for floor</t>
  </si>
  <si>
    <t>Purchase porstex</t>
  </si>
  <si>
    <t>Ordered from dishy soap</t>
  </si>
  <si>
    <t>Purchase paint code 1873 for floor</t>
  </si>
  <si>
    <t>Purchse toilet brush</t>
  </si>
  <si>
    <t>Purchase spoon for kitchen</t>
  </si>
  <si>
    <t>Purchase strainer for kitchen</t>
  </si>
  <si>
    <t>Purchase milk from abiseka 15L</t>
  </si>
  <si>
    <t>Already measured myself. Will look for carpenter or shop to make the table top</t>
  </si>
  <si>
    <t>Done. Goods has arrived</t>
  </si>
  <si>
    <t>Purchase paint code 1873 for floor to fix the floor mismatch ceilling colour</t>
  </si>
  <si>
    <t>Purchase grater for kitchen</t>
  </si>
  <si>
    <t>Purchase hand sprayer</t>
  </si>
  <si>
    <t>Purchase dimmer for bar lamps</t>
  </si>
  <si>
    <t>buy green, red and yellow map for chef</t>
  </si>
  <si>
    <t>Purchase Kebab stick for kitchen</t>
  </si>
  <si>
    <t>Purchase tortilla wrap from urgent source using gosend</t>
  </si>
  <si>
    <t>Pick up urgent order for kitchen</t>
  </si>
  <si>
    <t>Print new menu for balagan on Balistars</t>
  </si>
  <si>
    <t>Awaiting for payments from lemesy</t>
  </si>
  <si>
    <t>Purchase urgent crytal ice on madura waroeng for bar</t>
  </si>
  <si>
    <t>Done on sunday</t>
  </si>
  <si>
    <t>Print Gluhwein sgn</t>
  </si>
  <si>
    <t>purchase abiseka milk 20 litre</t>
  </si>
  <si>
    <t>purchase abiseka milk 30 litre via grab express</t>
  </si>
  <si>
    <t>New year event got cancelled</t>
  </si>
  <si>
    <t>Purchase crystal ice 5 packs for bar (urgent)</t>
  </si>
  <si>
    <t>Print Rooftop Bar menu</t>
  </si>
  <si>
    <t>Stella perfume for toilet x3 pcs</t>
  </si>
  <si>
    <t>Ring cutter x4 pcs</t>
  </si>
  <si>
    <t>Purchase sauce cup 12 pcs, tiramisu cup 10 pcs, soup cup 8 pcs, ring cutter (lemon cheese cake 3 pcs)</t>
  </si>
  <si>
    <t>Awaiting spesific data from the source</t>
  </si>
  <si>
    <t>Purchase 15 pax of tortilla wrap for kitchen</t>
  </si>
  <si>
    <t>Pick up boiler cherry kiss dumpling 2 kg</t>
  </si>
  <si>
    <t>Purchase 30 L of fresh milk</t>
  </si>
  <si>
    <t>Buy protein whey for BAR and KITCHEN (Tokopedia)</t>
  </si>
  <si>
    <t>APPROVED ON LEMESY</t>
  </si>
  <si>
    <t>Purchase Red gaba 200 gr, mango oolong 200 gr</t>
  </si>
  <si>
    <t>Find welder to fix the tables</t>
  </si>
  <si>
    <t>Purchase birthday candle for floor</t>
  </si>
  <si>
    <t>Purchase sauce cup 12 pcs, tiramisu cup 10 pcs, soup cup 8 pcs, ring cutter 10.3 cm (lemon cheese cake 3 pcs)</t>
  </si>
  <si>
    <t>Purchase 3 spidol for kitchen</t>
  </si>
  <si>
    <t>Ring cutter x4 pcs 10.3 cm</t>
  </si>
  <si>
    <t>Purchase glasses for bar</t>
  </si>
  <si>
    <t>Purchase swing stop for glass door on cinema</t>
  </si>
  <si>
    <t>Done bought 1 pcs only</t>
  </si>
  <si>
    <t>Done. need to install it soon</t>
  </si>
  <si>
    <t>Pick up shisha stikers from balistars</t>
  </si>
  <si>
    <t>Table frame sent to hotel's engineer room at B2</t>
  </si>
  <si>
    <t>Purchase plastic wrap and big transparant plastic</t>
  </si>
  <si>
    <t>Arrange AC maintenance for it's not cold enough</t>
  </si>
  <si>
    <t>Purchase 2 kg of salami</t>
  </si>
  <si>
    <t>Purchase saucer for bar coffee cup</t>
  </si>
  <si>
    <t>Puchase plank 60x185cm for bar table</t>
  </si>
  <si>
    <t>Purchase towel for shisha</t>
  </si>
  <si>
    <t>Changed to plank mission</t>
  </si>
  <si>
    <t>Already ordered on Tokopedia</t>
  </si>
  <si>
    <t>Still no answer from Chai Chi Tai</t>
  </si>
  <si>
    <t>Done installation</t>
  </si>
  <si>
    <t>Purchase trash bin with leg switch opener (Soon)</t>
  </si>
  <si>
    <t>Label for organic and anorganic trash</t>
  </si>
  <si>
    <t>Print how to wash your hands</t>
  </si>
  <si>
    <t>Make "Supplier pickup" label</t>
  </si>
  <si>
    <t>Inform supplier to put plastic wrap on delivered goods like vegetables</t>
  </si>
  <si>
    <t>Purchase masker and hair net</t>
  </si>
  <si>
    <t>Arrange maintenance of kitchen AC and Freezer</t>
  </si>
  <si>
    <t>Already contacted aircond solution. They agree to come tomorrow 9 AM</t>
  </si>
  <si>
    <t>Find plant seller to replace dead plant</t>
  </si>
  <si>
    <t>Purchase stop contact for shisha</t>
  </si>
  <si>
    <t>Not necessary anymore for the inspection</t>
  </si>
  <si>
    <t>Already ordered from Chai Chitai. Goods will be sent on thursday</t>
  </si>
  <si>
    <t>Done. Only bought 1 kg instead of 2 kg</t>
  </si>
  <si>
    <t>Already ordered Chai Chitai. Goods will be sent on thursday</t>
  </si>
  <si>
    <t>Purchase garnish picks 200 pcs</t>
  </si>
  <si>
    <t>Purchase 1 pax of vaccuum plastic 16x25</t>
  </si>
  <si>
    <t>Purchase matcha whisker</t>
  </si>
  <si>
    <t>Plant on terrace done. plant on basement left</t>
  </si>
  <si>
    <t>Puri pangan supplier to contact ice cream 160.000 L</t>
  </si>
  <si>
    <t>Gluten free pasta purchase at pepito</t>
  </si>
  <si>
    <t>Purchase water jug or can</t>
  </si>
  <si>
    <t>Purchase cream cheese 2kg from Dineta Jaya</t>
  </si>
  <si>
    <t>Purchase sauce cup 12 pcs, tiramisu cup 10 pcs, soup cup 8 pcs, ring cutter (Done)</t>
  </si>
  <si>
    <t>Purchase water jug or can for watering the plant</t>
  </si>
  <si>
    <t>Purchase vaccuum box for kitchen whey protein</t>
  </si>
  <si>
    <t>Toilet perfume</t>
  </si>
  <si>
    <t>Fresh Milk 30 L</t>
  </si>
  <si>
    <t>ring cutter bought, sauce dish bought</t>
  </si>
  <si>
    <t>PurchaseToilet perfume</t>
  </si>
  <si>
    <t>Pick up expat matcha</t>
  </si>
  <si>
    <t>Purchase stronger Isolation for Bar</t>
  </si>
  <si>
    <t>Purchase flies trapper</t>
  </si>
  <si>
    <t>Purchase edible paper van gogh and Rose</t>
  </si>
  <si>
    <t>Bamboo straw</t>
  </si>
  <si>
    <t>Find maintenance to fix the kitchen door</t>
  </si>
  <si>
    <t>Find electrician to fix the socket hole</t>
  </si>
  <si>
    <t>Already contacted the technician</t>
  </si>
  <si>
    <t>Print words for coffee paper</t>
  </si>
  <si>
    <t>Purchase 2 pcs of kitchen timer</t>
  </si>
  <si>
    <t>Purchase gluten free pasta</t>
  </si>
  <si>
    <t>Purchase thick paper tape for take away cup</t>
  </si>
  <si>
    <t>Purchase drugs for floor</t>
  </si>
  <si>
    <t>Purchase sauce cup 12 pcs (Done), tiramisu cup 10 pcs, soup cup 8 pcs, ring cutter (Done)</t>
  </si>
  <si>
    <t>Purchase gluten free pasta 2 pcs</t>
  </si>
  <si>
    <t>Cancelled</t>
  </si>
  <si>
    <t>Cancelled. Using the black sprayer instead it's good for spraying the plants</t>
  </si>
  <si>
    <t>Purchase flies trapper and mouse traps</t>
  </si>
  <si>
    <t>Already contacted the handyman</t>
  </si>
  <si>
    <t>Find maintenance to fix the stairs and bar neon</t>
  </si>
  <si>
    <t>Purchase the neon controller box 2 pcs</t>
  </si>
  <si>
    <t>Basement door got problem. Will find some part for the door</t>
  </si>
  <si>
    <t>Contacting the ceilling handyman to fix the bar ceilling and the speaker socket</t>
  </si>
  <si>
    <t>Already contacting the handyman and purchasing the materials. handyman agreed to work at night after closing</t>
  </si>
  <si>
    <t>Purchase 2 plants for the basement</t>
  </si>
  <si>
    <t>Already contacted and they will come at saturday or sunday</t>
  </si>
  <si>
    <t>Purchase Kebab stick for kitchen 3 pcs</t>
  </si>
  <si>
    <t>Need Vadim to decide wether to continue with the installation or leave it be</t>
  </si>
  <si>
    <t>Done purchase 4 pcs of plants instead</t>
  </si>
  <si>
    <t>Purchase flowers for floor</t>
  </si>
  <si>
    <t>Purchase Tortilla 4 packs</t>
  </si>
  <si>
    <t>Purchase labeller roll</t>
  </si>
  <si>
    <t>Purchase door hinge</t>
  </si>
  <si>
    <t>Done. merged with another task lists below</t>
  </si>
  <si>
    <t>Done table frame has been taken back because they can't do anything regarding it at the moment</t>
  </si>
  <si>
    <t>Already bought door hinge</t>
  </si>
  <si>
    <t>Done ordered from Abdi Jaya</t>
  </si>
  <si>
    <t>Purchase 3 dimmer</t>
  </si>
  <si>
    <t>Purchase piping bag</t>
  </si>
  <si>
    <t>Purchase napkin box for floor</t>
  </si>
  <si>
    <t>Purchase tap grabber 2 pcs</t>
  </si>
  <si>
    <t>buy strong iron glue for the table frame and hollow</t>
  </si>
  <si>
    <t>Purchase big staples refill</t>
  </si>
  <si>
    <t>Make custom made single socket with 20 meter long cable</t>
  </si>
  <si>
    <t>Purchase board marker from D.I.Y.</t>
  </si>
  <si>
    <t>Print flyers for ululani rooms</t>
  </si>
  <si>
    <t>Date</t>
  </si>
  <si>
    <t>Trip</t>
  </si>
  <si>
    <t>Description</t>
  </si>
  <si>
    <t>Km</t>
  </si>
  <si>
    <t>Petrol Cost</t>
  </si>
  <si>
    <t>Total Cost/ Day</t>
  </si>
  <si>
    <t>Paid cost</t>
  </si>
  <si>
    <t>Accumulated unpaid cost</t>
  </si>
  <si>
    <t>Bike Service (Km)</t>
  </si>
  <si>
    <t>Balagan &gt; Garuda mas</t>
  </si>
  <si>
    <t>Bought sticker for bar etc. Two way trip</t>
  </si>
  <si>
    <t>Balagan &gt; Boiler</t>
  </si>
  <si>
    <t>Pick up dumplings &amp; cottage cheese</t>
  </si>
  <si>
    <t>1 days (Km)</t>
  </si>
  <si>
    <t>Boiler &gt; Buk Bunga</t>
  </si>
  <si>
    <t>Pick up bertolli white grave vinegar 2 bottle</t>
  </si>
  <si>
    <t>Buk Bunga &gt; Balagan</t>
  </si>
  <si>
    <t>Going back</t>
  </si>
  <si>
    <t>Gasoliine cost / days</t>
  </si>
  <si>
    <t>Kemang food &gt; Balagan</t>
  </si>
  <si>
    <t>Pick up salami along the way to work</t>
  </si>
  <si>
    <t>Tiara soputan &gt; Balagan</t>
  </si>
  <si>
    <t>Beli sapu, obat2an, print art label, stationaries</t>
  </si>
  <si>
    <t>Service cost</t>
  </si>
  <si>
    <t>Balagan &gt; Buk Bunga</t>
  </si>
  <si>
    <t>Ambil edamame, telur puyuh, parsley, tomat (urgent)</t>
  </si>
  <si>
    <t>Tiara gatzu &gt; Balagan</t>
  </si>
  <si>
    <t>Beli alat pel, sikat, labu kabocha, battery AAA , sprayer</t>
  </si>
  <si>
    <t>Cost of replacing oil</t>
  </si>
  <si>
    <t>Toko crystal &gt; Balagan</t>
  </si>
  <si>
    <t>Beli larutan penyegar cap badak 1 dus, beli sikat lantai</t>
  </si>
  <si>
    <t>Balagan &gt; Bali stars</t>
  </si>
  <si>
    <t>Pergi print banner dan sticker dan movie posters</t>
  </si>
  <si>
    <t>Gasoline cost / km</t>
  </si>
  <si>
    <t>Bali stars &gt; Balagan</t>
  </si>
  <si>
    <t>Balik lagi ambil 2 stand banner lama</t>
  </si>
  <si>
    <t>Kembali ke printing bawa stand banner lama utk diganti dgn printout yg baru</t>
  </si>
  <si>
    <t>Service / km</t>
  </si>
  <si>
    <t>Balik ke balagan bawa printout sticker dan poster</t>
  </si>
  <si>
    <t>Balagan &gt; Nirmala</t>
  </si>
  <si>
    <t>Beli lilin halloween Two way trip</t>
  </si>
  <si>
    <t>Replacing Oil / km</t>
  </si>
  <si>
    <t>Home &gt; Abdi jaya</t>
  </si>
  <si>
    <t>beli hand soap dan kitchen towel two way</t>
  </si>
  <si>
    <t>Balagan &gt; Saraswati print</t>
  </si>
  <si>
    <t>print tkw lists &amp; bsen manual two way</t>
  </si>
  <si>
    <t>Total costs / km</t>
  </si>
  <si>
    <t>Balagan &gt; Bali art supplies</t>
  </si>
  <si>
    <t>Beli Art paint, beli bunga, ambil pesanan urgent di Bu Bunga. Two way trip</t>
  </si>
  <si>
    <t>Balagan &gt; DIY</t>
  </si>
  <si>
    <t>Beli gantungan towel,  pick up Kitchen urgent order parsley &amp; corriander</t>
  </si>
  <si>
    <t>El tortilla &gt; Mama Rada</t>
  </si>
  <si>
    <t>Taking long tissue and TKW box L, Purchasing Nachos</t>
  </si>
  <si>
    <t>Mama Rada &gt; Balagan</t>
  </si>
  <si>
    <t>Purchasing dumplings</t>
  </si>
  <si>
    <t>Balagan &gt; Bali Stars</t>
  </si>
  <si>
    <t>Printing Art info A4 "No Politics, No Hate, No War" Two way</t>
  </si>
  <si>
    <t>Purchasing 3 canvas for art. Two way</t>
  </si>
  <si>
    <t>Taking urgent order Bimoli oil &amp; Trash bag Two way</t>
  </si>
  <si>
    <t>Balagan &gt;  Toko Eka Listrik</t>
  </si>
  <si>
    <t>Purchasing 2MCB to fix AC electricl problem Two way</t>
  </si>
  <si>
    <t>Balagan &gt; Anna florist</t>
  </si>
  <si>
    <t>Purchasing flower and Cellphones card and It's internet quotas Two way</t>
  </si>
  <si>
    <t>Printing how to handwash, chiller temp, floor checklists, and Art label Two way</t>
  </si>
  <si>
    <t>Home &gt; Sinar Mulia &gt; Dewa ruci</t>
  </si>
  <si>
    <t>Printing floor sales report &gt; printing edible paper than back to go to work routes</t>
  </si>
  <si>
    <t>Balagan &gt; Cititex &gt; Saraswati net</t>
  </si>
  <si>
    <t>Print clothes logo @Cititex &gt; Priint schedule change request form (Chef)</t>
  </si>
  <si>
    <t>Balagan &gt; Bu Bunga</t>
  </si>
  <si>
    <t>Pickup urgent order for chicken from Bu Bunga Two Way</t>
  </si>
  <si>
    <t>Exchanging plastic bag with wrong size Two way</t>
  </si>
  <si>
    <t>Balagan &gt; Pepito &gt; Toko buah Puspita &gt; Balagan</t>
  </si>
  <si>
    <t>Purchasing trip to buy puff pastry and royal nz apple</t>
  </si>
  <si>
    <t>Home &gt; Tiara Gatzu</t>
  </si>
  <si>
    <t>Purchasing Jolly Time Popcorn Two way</t>
  </si>
  <si>
    <t>Balagan &gt; Bar Essentials &gt; Mr. DIY &gt; Pasar Ampera &gt; Balagan</t>
  </si>
  <si>
    <t>Purchasing bar stuff (Vadim's payment), torch refill, balinese cookies)</t>
  </si>
  <si>
    <t>Balagan &gt; Mr. DIY</t>
  </si>
  <si>
    <t>Purchasing wooden cutting board (cancelled), bought Balinese offeringgs Two way</t>
  </si>
  <si>
    <t>Taking urgent order for Bar Sunkist Two way</t>
  </si>
  <si>
    <t>Balaggan &gt; Bar Essentials</t>
  </si>
  <si>
    <t>Looking for edible glitter but they don't have it. Go to bu bunga to take sunkist for bar Two way</t>
  </si>
  <si>
    <t>Balagan &gt; Boiler &gt; Pasar Ampera &gt; Balagan resto</t>
  </si>
  <si>
    <t>Pick up Syrniki from Boiler and Pick up urgent order for kitchen from Bu Bunga</t>
  </si>
  <si>
    <t>Heritage jl. Gajah Mada &gt; TIara Dewata &gt; Patung Dewa Ruci</t>
  </si>
  <si>
    <t>Printing Art label and Purchasing Bar torch refill using OVO</t>
  </si>
  <si>
    <t>Balagan &gt; CM Uluwatu</t>
  </si>
  <si>
    <t>Picking up  1 bag of Takeaway Box L for kitchen from CM Uluwatu</t>
  </si>
  <si>
    <t>Heritage jl. Gajah Mada &gt; PT. Olmec &gt; Tria garden &gt; Patung Dewa Ruci</t>
  </si>
  <si>
    <t>Enroute to purchase nachos at pt. Olmec then purchase insecticide, and back to working route</t>
  </si>
  <si>
    <t>Balagan &gt; Arthayasa digital photo</t>
  </si>
  <si>
    <t>Purchasing 2 spidol (Marker) for kitchen and floor using OVO Two way</t>
  </si>
  <si>
    <t>Balagan &gt; The Chai Uluwatu</t>
  </si>
  <si>
    <t>Purchasing chamomile tea using Petty cash (Cash)</t>
  </si>
  <si>
    <t>Balagan &gt; Nirmala Balangan</t>
  </si>
  <si>
    <t>Purchasing Baygon for Bar Two way</t>
  </si>
  <si>
    <t>Balagan &gt; Dewata fresh &gt; Bumdes &gt; Toko buah Puspita &gt; Balagan</t>
  </si>
  <si>
    <t>Purchasing bar urgent order (Orange, lemon, cucumber, mustard, mango) using petty cash cash</t>
  </si>
  <si>
    <t>Balagan &gt; PT. Surya cipta niaga &gt; Kropnation &gt; Balagan resto</t>
  </si>
  <si>
    <t>Pick up edible flower and steak meat for kitchen</t>
  </si>
  <si>
    <t>Home &gt; Abiseka &gt; Tria garden &gt; Patung dewa ruci</t>
  </si>
  <si>
    <t>Pick up fresh milk, buy plant fertilizer, purchase dimmer</t>
  </si>
  <si>
    <t>Balagan &gt; Pasar Ampera</t>
  </si>
  <si>
    <t>Pick up tortilla.  and return again to pick up another urgent tortilla smaller size 8 inch 4 way trip</t>
  </si>
  <si>
    <t>Taking urgent order for kitchen basil, mint, avocado Two way</t>
  </si>
  <si>
    <t>Gerbang new kuta gold &gt; The chai &gt; Balagan</t>
  </si>
  <si>
    <t>Purchase Da hang pao tea for bar</t>
  </si>
  <si>
    <t>Purchasing tapes for christmas decoration req. by ms. Angelica Two way</t>
  </si>
  <si>
    <t>Home &gt; JNE Kanda Sanur &gt; Patung Dewa Ruci</t>
  </si>
  <si>
    <t>Chasing Vadim's JNE package</t>
  </si>
  <si>
    <t>Balagan &gt; Nippon pain karya nirmala</t>
  </si>
  <si>
    <t>Purchase Paints for Cinema and Floor ceilling Two way</t>
  </si>
  <si>
    <t>Purchase 3G Adapter switch two way</t>
  </si>
  <si>
    <t>Meeting with The Chai for B2B agreement at 10.30 AM Two Way</t>
  </si>
  <si>
    <t>Pick up urgent order for kitchen tomatoes 1kg Two way</t>
  </si>
  <si>
    <t>Home &gt; Abiseka &gt; Home</t>
  </si>
  <si>
    <t>Purchase fresh milk from abiseka for kitchen Two way</t>
  </si>
  <si>
    <t>Balagan &gt; Bunga &gt; Boiler &gt; Balagan</t>
  </si>
  <si>
    <t>Taking urgent order from bu bunga and taking cherry kiss dumpking from boiler</t>
  </si>
  <si>
    <t>Print sign for private event on main area on Bali stars</t>
  </si>
  <si>
    <t>INV NO.</t>
  </si>
  <si>
    <t>DESCRIPTIONS</t>
  </si>
  <si>
    <t>QTY</t>
  </si>
  <si>
    <t>UNIT</t>
  </si>
  <si>
    <t>BILLS</t>
  </si>
  <si>
    <t>PRICE</t>
  </si>
  <si>
    <t>SUB TOTAL</t>
  </si>
  <si>
    <t>TOTAL</t>
  </si>
  <si>
    <t>SOURCE OF FUND</t>
  </si>
  <si>
    <t>CS00425</t>
  </si>
  <si>
    <t>STRETCHED CANVAS STUDIO 100% COTTON SIZE 80X100</t>
  </si>
  <si>
    <t>PCS</t>
  </si>
  <si>
    <t>ACCOUNTING CASH</t>
  </si>
  <si>
    <t>Floor</t>
  </si>
  <si>
    <t>Name</t>
  </si>
  <si>
    <t>Pass</t>
  </si>
  <si>
    <t>Cindy</t>
  </si>
  <si>
    <t>Dina</t>
  </si>
  <si>
    <t>Diah</t>
  </si>
  <si>
    <t>Riki</t>
  </si>
  <si>
    <t>Nafa</t>
  </si>
  <si>
    <t>Riski</t>
  </si>
  <si>
    <t>Efraim</t>
  </si>
  <si>
    <t>Decha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</si>
</sst>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[$-409]d\-mmm\-yyyy;@"/>
    <numFmt numFmtId="181" formatCode="_-&quot;Rp&quot;* #,##0_-;\-&quot;Rp&quot;* #,##0_-;_-&quot;Rp&quot;* &quot;-&quot;??_-;_-@_-"/>
    <numFmt numFmtId="182" formatCode="[$Rp-421]#,##0.00;[Red][$Rp-421]#,##0.00"/>
    <numFmt numFmtId="183" formatCode="dd\-mmm"/>
    <numFmt numFmtId="184" formatCode="[$Rp-421]#,##0;[Red]\-[$Rp-421]#,##0"/>
    <numFmt numFmtId="185" formatCode="[$Rp-421]#,##0;\-[$Rp-421]#,##0"/>
  </numFmts>
  <fonts count="27">
    <font>
      <sz val="11"/>
      <color theme="1"/>
      <name val="Calibri"/>
      <charset val="134"/>
      <scheme val="minor"/>
    </font>
    <font>
      <sz val="14"/>
      <color theme="1"/>
      <name val="Calibri"/>
      <charset val="134"/>
    </font>
    <font>
      <sz val="14"/>
      <color theme="1"/>
      <name val="Calibri"/>
      <charset val="134"/>
      <scheme val="minor"/>
    </font>
    <font>
      <sz val="14"/>
      <color theme="1"/>
      <name val="Calibri Light"/>
      <charset val="134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3" borderId="9" applyNumberFormat="0" applyAlignment="0" applyProtection="0">
      <alignment vertical="center"/>
    </xf>
    <xf numFmtId="0" fontId="17" fillId="14" borderId="10" applyNumberFormat="0" applyAlignment="0" applyProtection="0">
      <alignment vertical="center"/>
    </xf>
    <xf numFmtId="0" fontId="18" fillId="14" borderId="9" applyNumberFormat="0" applyAlignment="0" applyProtection="0">
      <alignment vertical="center"/>
    </xf>
    <xf numFmtId="0" fontId="19" fillId="15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</cellStyleXfs>
  <cellXfs count="1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0" xfId="0" applyFont="1">
      <alignment vertical="center"/>
    </xf>
    <xf numFmtId="180" fontId="2" fillId="0" borderId="0" xfId="0" applyNumberFormat="1" applyFont="1">
      <alignment vertical="center"/>
    </xf>
    <xf numFmtId="0" fontId="2" fillId="0" borderId="0" xfId="0" applyFont="1">
      <alignment vertical="center"/>
    </xf>
    <xf numFmtId="181" fontId="2" fillId="0" borderId="0" xfId="0" applyNumberFormat="1" applyFont="1">
      <alignment vertical="center"/>
    </xf>
    <xf numFmtId="182" fontId="2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1" fontId="1" fillId="2" borderId="1" xfId="0" applyNumberFormat="1" applyFont="1" applyFill="1" applyBorder="1" applyAlignment="1">
      <alignment horizontal="center" vertical="center"/>
    </xf>
    <xf numFmtId="180" fontId="2" fillId="3" borderId="1" xfId="0" applyNumberFormat="1" applyFont="1" applyFill="1" applyBorder="1" applyAlignment="1">
      <alignment horizontal="center" vertical="center"/>
    </xf>
    <xf numFmtId="183" fontId="2" fillId="3" borderId="1" xfId="0" applyNumberFormat="1" applyFont="1" applyFill="1" applyBorder="1" applyAlignment="1">
      <alignment horizontal="center" vertical="center"/>
    </xf>
    <xf numFmtId="181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1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81" fontId="2" fillId="3" borderId="1" xfId="0" applyNumberFormat="1" applyFont="1" applyFill="1" applyBorder="1" applyAlignment="1">
      <alignment horizontal="center" vertical="center"/>
    </xf>
    <xf numFmtId="180" fontId="2" fillId="0" borderId="1" xfId="0" applyNumberFormat="1" applyFont="1" applyBorder="1">
      <alignment vertical="center"/>
    </xf>
    <xf numFmtId="0" fontId="2" fillId="0" borderId="1" xfId="0" applyFont="1" applyBorder="1">
      <alignment vertical="center"/>
    </xf>
    <xf numFmtId="182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82" fontId="2" fillId="0" borderId="1" xfId="0" applyNumberFormat="1" applyFont="1" applyBorder="1" applyAlignment="1">
      <alignment horizontal="center" vertical="center"/>
    </xf>
    <xf numFmtId="182" fontId="2" fillId="0" borderId="1" xfId="0" applyNumberFormat="1" applyFont="1" applyBorder="1">
      <alignment vertical="center"/>
    </xf>
    <xf numFmtId="181" fontId="2" fillId="0" borderId="1" xfId="0" applyNumberFormat="1" applyFont="1" applyBorder="1" applyAlignment="1">
      <alignment horizontal="center" vertical="center"/>
    </xf>
    <xf numFmtId="181" fontId="2" fillId="0" borderId="1" xfId="0" applyNumberFormat="1" applyFont="1" applyBorder="1">
      <alignment vertical="center"/>
    </xf>
    <xf numFmtId="0" fontId="4" fillId="0" borderId="0" xfId="0" applyFont="1" applyAlignment="1">
      <alignment horizontal="center" vertical="center"/>
    </xf>
    <xf numFmtId="184" fontId="4" fillId="0" borderId="0" xfId="0" applyNumberFormat="1" applyFont="1" applyAlignment="1">
      <alignment horizontal="center" vertical="center"/>
    </xf>
    <xf numFmtId="180" fontId="5" fillId="0" borderId="0" xfId="0" applyNumberFormat="1" applyFont="1" applyAlignment="1">
      <alignment horizontal="center" vertical="center"/>
    </xf>
    <xf numFmtId="184" fontId="5" fillId="0" borderId="0" xfId="0" applyNumberFormat="1" applyFont="1" applyAlignment="1">
      <alignment horizontal="left" vertical="center"/>
    </xf>
    <xf numFmtId="184" fontId="5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184" fontId="5" fillId="0" borderId="0" xfId="0" applyNumberFormat="1" applyFont="1" applyAlignment="1">
      <alignment vertical="center"/>
    </xf>
    <xf numFmtId="184" fontId="5" fillId="0" borderId="0" xfId="0" applyNumberFormat="1" applyFont="1" applyAlignment="1">
      <alignment horizontal="right" vertical="center"/>
    </xf>
    <xf numFmtId="184" fontId="4" fillId="2" borderId="1" xfId="0" applyNumberFormat="1" applyFont="1" applyFill="1" applyBorder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/>
    </xf>
    <xf numFmtId="184" fontId="5" fillId="0" borderId="1" xfId="0" applyNumberFormat="1" applyFont="1" applyBorder="1" applyAlignment="1">
      <alignment horizontal="left" vertical="center"/>
    </xf>
    <xf numFmtId="184" fontId="5" fillId="0" borderId="1" xfId="0" applyNumberFormat="1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180" fontId="5" fillId="3" borderId="1" xfId="0" applyNumberFormat="1" applyFont="1" applyFill="1" applyBorder="1" applyAlignment="1">
      <alignment horizontal="center" vertical="center"/>
    </xf>
    <xf numFmtId="184" fontId="5" fillId="3" borderId="1" xfId="0" applyNumberFormat="1" applyFont="1" applyFill="1" applyBorder="1" applyAlignment="1">
      <alignment horizontal="left" vertical="center"/>
    </xf>
    <xf numFmtId="184" fontId="5" fillId="3" borderId="1" xfId="0" applyNumberFormat="1" applyFont="1" applyFill="1" applyBorder="1">
      <alignment vertical="center"/>
    </xf>
    <xf numFmtId="0" fontId="5" fillId="3" borderId="1" xfId="0" applyFont="1" applyFill="1" applyBorder="1" applyAlignment="1">
      <alignment horizontal="center" vertical="center"/>
    </xf>
    <xf numFmtId="180" fontId="5" fillId="0" borderId="1" xfId="0" applyNumberFormat="1" applyFont="1" applyFill="1" applyBorder="1" applyAlignment="1">
      <alignment horizontal="center" vertical="center"/>
    </xf>
    <xf numFmtId="184" fontId="5" fillId="0" borderId="1" xfId="0" applyNumberFormat="1" applyFont="1" applyFill="1" applyBorder="1" applyAlignment="1">
      <alignment horizontal="left" vertical="center"/>
    </xf>
    <xf numFmtId="184" fontId="5" fillId="0" borderId="1" xfId="0" applyNumberFormat="1" applyFont="1" applyFill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180" fontId="5" fillId="0" borderId="2" xfId="0" applyNumberFormat="1" applyFont="1" applyBorder="1" applyAlignment="1">
      <alignment horizontal="center" vertical="center"/>
    </xf>
    <xf numFmtId="184" fontId="5" fillId="0" borderId="2" xfId="0" applyNumberFormat="1" applyFont="1" applyBorder="1" applyAlignment="1">
      <alignment horizontal="left" vertical="center"/>
    </xf>
    <xf numFmtId="184" fontId="5" fillId="0" borderId="2" xfId="0" applyNumberFormat="1" applyFont="1" applyBorder="1">
      <alignment vertical="center"/>
    </xf>
    <xf numFmtId="0" fontId="5" fillId="0" borderId="2" xfId="0" applyFont="1" applyBorder="1" applyAlignment="1">
      <alignment horizontal="center" vertical="center"/>
    </xf>
    <xf numFmtId="184" fontId="4" fillId="2" borderId="1" xfId="0" applyNumberFormat="1" applyFont="1" applyFill="1" applyBorder="1" applyAlignment="1">
      <alignment vertical="center"/>
    </xf>
    <xf numFmtId="184" fontId="5" fillId="0" borderId="1" xfId="0" applyNumberFormat="1" applyFont="1" applyBorder="1" applyAlignment="1">
      <alignment vertical="center"/>
    </xf>
    <xf numFmtId="184" fontId="5" fillId="3" borderId="2" xfId="0" applyNumberFormat="1" applyFont="1" applyFill="1" applyBorder="1" applyAlignment="1">
      <alignment horizontal="center" vertical="center"/>
    </xf>
    <xf numFmtId="184" fontId="5" fillId="3" borderId="1" xfId="0" applyNumberFormat="1" applyFont="1" applyFill="1" applyBorder="1" applyAlignment="1">
      <alignment vertical="center"/>
    </xf>
    <xf numFmtId="184" fontId="5" fillId="3" borderId="3" xfId="0" applyNumberFormat="1" applyFont="1" applyFill="1" applyBorder="1" applyAlignment="1">
      <alignment horizontal="center" vertical="center"/>
    </xf>
    <xf numFmtId="184" fontId="5" fillId="0" borderId="1" xfId="0" applyNumberFormat="1" applyFont="1" applyFill="1" applyBorder="1" applyAlignment="1">
      <alignment vertical="center"/>
    </xf>
    <xf numFmtId="184" fontId="5" fillId="0" borderId="1" xfId="0" applyNumberFormat="1" applyFont="1" applyFill="1" applyBorder="1" applyAlignment="1">
      <alignment horizontal="right" vertical="center"/>
    </xf>
    <xf numFmtId="184" fontId="5" fillId="3" borderId="1" xfId="0" applyNumberFormat="1" applyFont="1" applyFill="1" applyBorder="1" applyAlignment="1">
      <alignment horizontal="right" vertical="center"/>
    </xf>
    <xf numFmtId="184" fontId="5" fillId="0" borderId="1" xfId="0" applyNumberFormat="1" applyFont="1" applyBorder="1" applyAlignment="1">
      <alignment horizontal="right" vertical="center"/>
    </xf>
    <xf numFmtId="184" fontId="5" fillId="3" borderId="2" xfId="0" applyNumberFormat="1" applyFont="1" applyFill="1" applyBorder="1">
      <alignment vertical="center"/>
    </xf>
    <xf numFmtId="184" fontId="5" fillId="0" borderId="2" xfId="0" applyNumberFormat="1" applyFont="1" applyBorder="1" applyAlignment="1">
      <alignment vertical="center"/>
    </xf>
    <xf numFmtId="184" fontId="5" fillId="0" borderId="2" xfId="0" applyNumberFormat="1" applyFont="1" applyBorder="1" applyAlignment="1">
      <alignment horizontal="right" vertical="center"/>
    </xf>
    <xf numFmtId="184" fontId="5" fillId="0" borderId="4" xfId="0" applyNumberFormat="1" applyFont="1" applyBorder="1" applyAlignment="1">
      <alignment vertical="center"/>
    </xf>
    <xf numFmtId="184" fontId="5" fillId="3" borderId="4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5" fillId="0" borderId="0" xfId="0" applyFont="1" applyAlignment="1">
      <alignment horizontal="right" vertical="center"/>
    </xf>
    <xf numFmtId="0" fontId="4" fillId="4" borderId="1" xfId="0" applyFont="1" applyFill="1" applyBorder="1">
      <alignment vertical="center"/>
    </xf>
    <xf numFmtId="0" fontId="4" fillId="5" borderId="2" xfId="0" applyFont="1" applyFill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85" fontId="0" fillId="0" borderId="0" xfId="0" applyNumberFormat="1">
      <alignment vertical="center"/>
    </xf>
    <xf numFmtId="180" fontId="0" fillId="2" borderId="0" xfId="0" applyNumberForma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5" xfId="0" applyFill="1" applyBorder="1" applyAlignment="1">
      <alignment horizontal="center" vertical="center"/>
    </xf>
    <xf numFmtId="180" fontId="0" fillId="0" borderId="3" xfId="0" applyNumberFormat="1" applyBorder="1" applyAlignment="1">
      <alignment horizontal="center" vertical="center"/>
    </xf>
    <xf numFmtId="0" fontId="0" fillId="0" borderId="4" xfId="0" applyBorder="1">
      <alignment vertical="center"/>
    </xf>
    <xf numFmtId="0" fontId="0" fillId="6" borderId="4" xfId="0" applyFill="1" applyBorder="1" applyAlignment="1">
      <alignment horizontal="left" vertical="center"/>
    </xf>
    <xf numFmtId="0" fontId="0" fillId="3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180" fontId="0" fillId="0" borderId="4" xfId="0" applyNumberFormat="1" applyBorder="1" applyAlignment="1">
      <alignment horizontal="center" vertical="center"/>
    </xf>
    <xf numFmtId="180" fontId="0" fillId="0" borderId="2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0" fillId="0" borderId="5" xfId="0" applyBorder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80" fontId="0" fillId="0" borderId="0" xfId="0" applyNumberFormat="1">
      <alignment vertical="center"/>
    </xf>
    <xf numFmtId="0" fontId="6" fillId="0" borderId="1" xfId="0" applyFont="1" applyBorder="1">
      <alignment vertical="center"/>
    </xf>
    <xf numFmtId="185" fontId="0" fillId="0" borderId="0" xfId="0" applyNumberFormat="1" applyAlignment="1">
      <alignment horizontal="center" vertical="center"/>
    </xf>
    <xf numFmtId="0" fontId="0" fillId="6" borderId="1" xfId="0" applyFont="1" applyFill="1" applyBorder="1" applyAlignment="1">
      <alignment horizontal="left" vertical="center"/>
    </xf>
    <xf numFmtId="0" fontId="0" fillId="8" borderId="1" xfId="0" applyFill="1" applyBorder="1">
      <alignment vertical="center"/>
    </xf>
    <xf numFmtId="0" fontId="0" fillId="8" borderId="5" xfId="0" applyFill="1" applyBorder="1">
      <alignment vertical="center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horizontal="left" vertical="center"/>
    </xf>
    <xf numFmtId="0" fontId="0" fillId="3" borderId="1" xfId="0" applyFont="1" applyFill="1" applyBorder="1" applyAlignment="1">
      <alignment horizontal="center" vertical="center"/>
    </xf>
    <xf numFmtId="0" fontId="0" fillId="6" borderId="1" xfId="0" applyFill="1" applyBorder="1">
      <alignment vertical="center"/>
    </xf>
    <xf numFmtId="0" fontId="0" fillId="3" borderId="1" xfId="0" applyFill="1" applyBorder="1" applyAlignment="1">
      <alignment horizontal="left" vertical="center"/>
    </xf>
    <xf numFmtId="0" fontId="0" fillId="9" borderId="1" xfId="0" applyFill="1" applyBorder="1">
      <alignment vertical="center"/>
    </xf>
    <xf numFmtId="0" fontId="0" fillId="0" borderId="1" xfId="0" applyFill="1" applyBorder="1">
      <alignment vertical="center"/>
    </xf>
    <xf numFmtId="0" fontId="0" fillId="10" borderId="1" xfId="0" applyFill="1" applyBorder="1">
      <alignment vertical="center"/>
    </xf>
    <xf numFmtId="0" fontId="0" fillId="11" borderId="1" xfId="0" applyFill="1" applyBorder="1" applyAlignment="1">
      <alignment horizontal="left" vertical="center"/>
    </xf>
    <xf numFmtId="0" fontId="0" fillId="0" borderId="0" xfId="0" applyFill="1">
      <alignment vertical="center"/>
    </xf>
    <xf numFmtId="0" fontId="7" fillId="6" borderId="1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8E57F"/>
      <color rgb="0099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1090</xdr:row>
      <xdr:rowOff>121920</xdr:rowOff>
    </xdr:from>
    <xdr:to>
      <xdr:col>3</xdr:col>
      <xdr:colOff>0</xdr:colOff>
      <xdr:row>1090</xdr:row>
      <xdr:rowOff>121920</xdr:rowOff>
    </xdr:to>
    <xdr:pic>
      <xdr:nvPicPr>
        <xdr:cNvPr id="2" name="Picture 1"/>
        <xdr:cNvPicPr>
          <a:picLocks noChangeAspect="1"/>
        </xdr:cNvPicPr>
      </xdr:nvPicPr>
      <xdr:blipFill>
        <a:stretch>
          <a:fillRect/>
        </a:stretch>
      </xdr:blipFill>
      <xdr:spPr>
        <a:xfrm>
          <a:off x="14245590" y="23272496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1107</xdr:row>
      <xdr:rowOff>0</xdr:rowOff>
    </xdr:from>
    <xdr:to>
      <xdr:col>3</xdr:col>
      <xdr:colOff>0</xdr:colOff>
      <xdr:row>1107</xdr:row>
      <xdr:rowOff>0</xdr:rowOff>
    </xdr:to>
    <xdr:pic>
      <xdr:nvPicPr>
        <xdr:cNvPr id="3" name="Picture 2"/>
        <xdr:cNvPicPr>
          <a:picLocks noChangeAspect="1"/>
        </xdr:cNvPicPr>
      </xdr:nvPicPr>
      <xdr:blipFill>
        <a:stretch>
          <a:fillRect/>
        </a:stretch>
      </xdr:blipFill>
      <xdr:spPr>
        <a:xfrm>
          <a:off x="14245590" y="23623016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330200</xdr:colOff>
      <xdr:row>1</xdr:row>
      <xdr:rowOff>24765</xdr:rowOff>
    </xdr:from>
    <xdr:to>
      <xdr:col>5</xdr:col>
      <xdr:colOff>2882265</xdr:colOff>
      <xdr:row>1</xdr:row>
      <xdr:rowOff>1593850</xdr:rowOff>
    </xdr:to>
    <xdr:pic>
      <xdr:nvPicPr>
        <xdr:cNvPr id="2" name="ID_5E747E1D8B0A4E77951D43D9D70DB197" descr="WhatsApp Image 2025-11-06 at 13.47.57_d4261872"/>
        <xdr:cNvPicPr>
          <a:picLocks noChangeAspect="1"/>
        </xdr:cNvPicPr>
      </xdr:nvPicPr>
      <xdr:blipFill>
        <a:blip r:embed="rId1"/>
        <a:srcRect l="8286" r="4073" b="4711"/>
        <a:stretch>
          <a:fillRect/>
        </a:stretch>
      </xdr:blipFill>
      <xdr:spPr>
        <a:xfrm>
          <a:off x="6670040" y="227965"/>
          <a:ext cx="2552065" cy="15690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43"/>
  <sheetViews>
    <sheetView tabSelected="1" zoomScale="90" zoomScaleNormal="90" workbookViewId="0">
      <pane ySplit="1" topLeftCell="A1405" activePane="bottomLeft" state="frozen"/>
      <selection/>
      <selection pane="bottomLeft" activeCell="B1440" sqref="B1440"/>
    </sheetView>
  </sheetViews>
  <sheetFormatPr defaultColWidth="9.1640625" defaultRowHeight="16.8"/>
  <cols>
    <col min="1" max="1" width="12.859375" style="72"/>
    <col min="2" max="2" width="67.9765625" customWidth="1"/>
    <col min="3" max="3" width="94.4296875" style="73" customWidth="1"/>
    <col min="4" max="4" width="9.1640625" style="74"/>
    <col min="6" max="6" width="12.828125"/>
    <col min="7" max="7" width="53.828125" customWidth="1"/>
    <col min="8" max="8" width="12.3359375" style="75"/>
    <col min="9" max="9" width="11.5078125" customWidth="1"/>
    <col min="10" max="10" width="12.3359375"/>
    <col min="11" max="11" width="10.5078125"/>
  </cols>
  <sheetData>
    <row r="1" spans="1:8">
      <c r="A1" s="76" t="s">
        <v>0</v>
      </c>
      <c r="B1" s="77" t="s">
        <v>1</v>
      </c>
      <c r="C1" s="78" t="s">
        <v>2</v>
      </c>
      <c r="D1" s="79" t="s">
        <v>3</v>
      </c>
      <c r="F1" s="72"/>
      <c r="H1" s="96"/>
    </row>
    <row r="2" spans="1:9">
      <c r="A2" s="80">
        <v>45957</v>
      </c>
      <c r="B2" s="81" t="s">
        <v>4</v>
      </c>
      <c r="C2" s="82"/>
      <c r="D2" s="83" t="s">
        <v>5</v>
      </c>
      <c r="I2" s="96"/>
    </row>
    <row r="3" spans="1:11">
      <c r="A3" s="80"/>
      <c r="B3" s="2" t="s">
        <v>6</v>
      </c>
      <c r="C3" s="84"/>
      <c r="D3" s="83" t="s">
        <v>5</v>
      </c>
      <c r="I3" s="75"/>
      <c r="J3" s="75"/>
      <c r="K3" s="75"/>
    </row>
    <row r="4" spans="1:4">
      <c r="A4" s="80"/>
      <c r="B4" s="2" t="s">
        <v>7</v>
      </c>
      <c r="C4" s="84"/>
      <c r="D4" s="83" t="s">
        <v>5</v>
      </c>
    </row>
    <row r="5" spans="1:4">
      <c r="A5" s="80"/>
      <c r="B5" s="2" t="s">
        <v>8</v>
      </c>
      <c r="C5" s="84"/>
      <c r="D5" s="83" t="s">
        <v>5</v>
      </c>
    </row>
    <row r="6" spans="1:10">
      <c r="A6" s="80"/>
      <c r="B6" s="2" t="s">
        <v>9</v>
      </c>
      <c r="C6" s="84"/>
      <c r="D6" s="83" t="s">
        <v>5</v>
      </c>
      <c r="J6" s="75"/>
    </row>
    <row r="7" spans="1:4">
      <c r="A7" s="80"/>
      <c r="B7" s="2" t="s">
        <v>10</v>
      </c>
      <c r="C7" s="84" t="s">
        <v>11</v>
      </c>
      <c r="D7" s="83" t="s">
        <v>5</v>
      </c>
    </row>
    <row r="8" spans="1:4">
      <c r="A8" s="80"/>
      <c r="B8" s="2" t="s">
        <v>12</v>
      </c>
      <c r="C8" s="84" t="s">
        <v>13</v>
      </c>
      <c r="D8" s="83" t="s">
        <v>5</v>
      </c>
    </row>
    <row r="9" spans="1:4">
      <c r="A9" s="80"/>
      <c r="B9" s="2" t="s">
        <v>14</v>
      </c>
      <c r="C9" s="84" t="s">
        <v>15</v>
      </c>
      <c r="D9" s="83" t="s">
        <v>5</v>
      </c>
    </row>
    <row r="10" spans="1:9">
      <c r="A10" s="80"/>
      <c r="B10" s="2" t="s">
        <v>16</v>
      </c>
      <c r="C10" s="84" t="s">
        <v>13</v>
      </c>
      <c r="D10" s="83" t="s">
        <v>5</v>
      </c>
      <c r="I10" s="75"/>
    </row>
    <row r="11" spans="1:10">
      <c r="A11" s="80"/>
      <c r="B11" s="2" t="s">
        <v>17</v>
      </c>
      <c r="C11" s="84" t="s">
        <v>18</v>
      </c>
      <c r="D11" s="83" t="s">
        <v>5</v>
      </c>
      <c r="I11" s="75"/>
      <c r="J11" s="75"/>
    </row>
    <row r="12" spans="1:10">
      <c r="A12" s="80"/>
      <c r="B12" s="2" t="s">
        <v>19</v>
      </c>
      <c r="C12" s="84" t="s">
        <v>20</v>
      </c>
      <c r="D12" s="83" t="s">
        <v>5</v>
      </c>
      <c r="J12" s="75"/>
    </row>
    <row r="13" spans="1:4">
      <c r="A13" s="80"/>
      <c r="B13" s="2"/>
      <c r="C13" s="84" t="s">
        <v>21</v>
      </c>
      <c r="D13" s="83" t="s">
        <v>5</v>
      </c>
    </row>
    <row r="14" spans="1:4">
      <c r="A14" s="80"/>
      <c r="B14" s="2"/>
      <c r="C14" s="84" t="s">
        <v>22</v>
      </c>
      <c r="D14" s="83" t="s">
        <v>5</v>
      </c>
    </row>
    <row r="15" spans="1:4">
      <c r="A15" s="85"/>
      <c r="B15" s="2" t="s">
        <v>23</v>
      </c>
      <c r="C15" s="84" t="s">
        <v>24</v>
      </c>
      <c r="D15" s="83" t="s">
        <v>5</v>
      </c>
    </row>
    <row r="16" spans="5:5">
      <c r="E16" s="74"/>
    </row>
    <row r="17" spans="1:4">
      <c r="A17" s="86">
        <v>45958</v>
      </c>
      <c r="B17" s="2" t="s">
        <v>25</v>
      </c>
      <c r="C17" s="84"/>
      <c r="D17" s="87" t="s">
        <v>5</v>
      </c>
    </row>
    <row r="18" spans="1:4">
      <c r="A18" s="80"/>
      <c r="B18" s="2" t="s">
        <v>26</v>
      </c>
      <c r="C18" s="84"/>
      <c r="D18" s="87" t="s">
        <v>5</v>
      </c>
    </row>
    <row r="19" spans="1:4">
      <c r="A19" s="80"/>
      <c r="B19" s="2" t="s">
        <v>27</v>
      </c>
      <c r="C19" s="84"/>
      <c r="D19" s="87" t="s">
        <v>5</v>
      </c>
    </row>
    <row r="20" spans="1:4">
      <c r="A20" s="80"/>
      <c r="B20" s="2" t="s">
        <v>28</v>
      </c>
      <c r="C20" s="84">
        <v>1</v>
      </c>
      <c r="D20" s="87" t="s">
        <v>5</v>
      </c>
    </row>
    <row r="21" spans="1:4">
      <c r="A21" s="85"/>
      <c r="B21" s="2" t="s">
        <v>29</v>
      </c>
      <c r="C21" s="84">
        <v>1</v>
      </c>
      <c r="D21" s="87" t="s">
        <v>5</v>
      </c>
    </row>
    <row r="23" spans="1:4">
      <c r="A23" s="88">
        <v>45959</v>
      </c>
      <c r="B23" s="89" t="s">
        <v>30</v>
      </c>
      <c r="C23" s="84"/>
      <c r="D23" s="87" t="s">
        <v>5</v>
      </c>
    </row>
    <row r="24" spans="1:4">
      <c r="A24" s="88"/>
      <c r="B24" s="89" t="s">
        <v>31</v>
      </c>
      <c r="C24" s="84">
        <v>1</v>
      </c>
      <c r="D24" s="90" t="s">
        <v>5</v>
      </c>
    </row>
    <row r="25" spans="1:4">
      <c r="A25" s="88"/>
      <c r="B25" s="89" t="s">
        <v>32</v>
      </c>
      <c r="C25" s="84"/>
      <c r="D25" s="91"/>
    </row>
    <row r="26" spans="1:4">
      <c r="A26" s="88"/>
      <c r="B26" s="89" t="s">
        <v>33</v>
      </c>
      <c r="C26" s="84" t="s">
        <v>34</v>
      </c>
      <c r="D26" s="87" t="s">
        <v>5</v>
      </c>
    </row>
    <row r="27" spans="1:4">
      <c r="A27" s="88"/>
      <c r="B27" s="89" t="s">
        <v>35</v>
      </c>
      <c r="C27" s="92" t="s">
        <v>36</v>
      </c>
      <c r="D27" s="87" t="s">
        <v>37</v>
      </c>
    </row>
    <row r="28" spans="1:4">
      <c r="A28" s="88"/>
      <c r="B28" s="89" t="s">
        <v>38</v>
      </c>
      <c r="C28" s="84">
        <v>3</v>
      </c>
      <c r="D28" s="87" t="s">
        <v>5</v>
      </c>
    </row>
    <row r="29" spans="1:4">
      <c r="A29" s="88"/>
      <c r="B29" s="89" t="s">
        <v>39</v>
      </c>
      <c r="C29" s="84" t="s">
        <v>40</v>
      </c>
      <c r="D29" s="87" t="s">
        <v>5</v>
      </c>
    </row>
    <row r="30" spans="1:4">
      <c r="A30" s="88"/>
      <c r="B30" s="89" t="s">
        <v>41</v>
      </c>
      <c r="C30" s="84">
        <v>1</v>
      </c>
      <c r="D30" s="87" t="s">
        <v>5</v>
      </c>
    </row>
    <row r="32" spans="1:4">
      <c r="A32" s="88">
        <v>45960</v>
      </c>
      <c r="B32" s="2" t="s">
        <v>42</v>
      </c>
      <c r="C32" s="84"/>
      <c r="D32" s="87" t="s">
        <v>5</v>
      </c>
    </row>
    <row r="34" spans="1:4">
      <c r="A34" s="88">
        <v>45961</v>
      </c>
      <c r="B34" s="2" t="s">
        <v>43</v>
      </c>
      <c r="C34" s="84"/>
      <c r="D34" s="87" t="s">
        <v>5</v>
      </c>
    </row>
    <row r="35" spans="1:4">
      <c r="A35" s="88"/>
      <c r="B35" s="2" t="s">
        <v>44</v>
      </c>
      <c r="C35" s="84"/>
      <c r="D35" s="87" t="s">
        <v>5</v>
      </c>
    </row>
    <row r="36" spans="1:4">
      <c r="A36" s="88"/>
      <c r="B36" s="2" t="s">
        <v>45</v>
      </c>
      <c r="C36" s="93" t="s">
        <v>46</v>
      </c>
      <c r="D36" s="87" t="s">
        <v>47</v>
      </c>
    </row>
    <row r="37" spans="1:4">
      <c r="A37" s="88"/>
      <c r="B37" s="2" t="s">
        <v>48</v>
      </c>
      <c r="C37" s="84"/>
      <c r="D37" s="87" t="s">
        <v>5</v>
      </c>
    </row>
    <row r="38" spans="1:4">
      <c r="A38" s="88"/>
      <c r="B38" s="2" t="s">
        <v>49</v>
      </c>
      <c r="C38" s="84"/>
      <c r="D38" s="87" t="s">
        <v>5</v>
      </c>
    </row>
    <row r="39" spans="1:4">
      <c r="A39" s="88"/>
      <c r="B39" s="2" t="s">
        <v>50</v>
      </c>
      <c r="C39" s="93" t="s">
        <v>51</v>
      </c>
      <c r="D39" s="87" t="s">
        <v>47</v>
      </c>
    </row>
    <row r="40" spans="1:4">
      <c r="A40" s="88"/>
      <c r="B40" s="2" t="s">
        <v>52</v>
      </c>
      <c r="C40" s="93" t="s">
        <v>53</v>
      </c>
      <c r="D40" s="87" t="s">
        <v>47</v>
      </c>
    </row>
    <row r="41" spans="1:4">
      <c r="A41" s="88"/>
      <c r="B41" s="2" t="s">
        <v>54</v>
      </c>
      <c r="C41" s="93" t="s">
        <v>55</v>
      </c>
      <c r="D41" s="87" t="s">
        <v>47</v>
      </c>
    </row>
    <row r="42" spans="1:4">
      <c r="A42" s="88"/>
      <c r="B42" s="2" t="s">
        <v>56</v>
      </c>
      <c r="C42" s="84" t="s">
        <v>57</v>
      </c>
      <c r="D42" s="87" t="s">
        <v>5</v>
      </c>
    </row>
    <row r="43" spans="1:4">
      <c r="A43" s="88"/>
      <c r="B43" s="2" t="s">
        <v>58</v>
      </c>
      <c r="C43" s="84" t="s">
        <v>59</v>
      </c>
      <c r="D43" s="87" t="s">
        <v>5</v>
      </c>
    </row>
    <row r="44" spans="1:4">
      <c r="A44" s="88"/>
      <c r="B44" s="2" t="s">
        <v>60</v>
      </c>
      <c r="C44" s="93" t="s">
        <v>61</v>
      </c>
      <c r="D44" s="87" t="s">
        <v>47</v>
      </c>
    </row>
    <row r="45" spans="3:4">
      <c r="C45" s="84" t="s">
        <v>62</v>
      </c>
      <c r="D45" s="87" t="s">
        <v>63</v>
      </c>
    </row>
    <row r="46" spans="1:4">
      <c r="A46" s="94"/>
      <c r="C46" s="84" t="s">
        <v>64</v>
      </c>
      <c r="D46" s="87" t="s">
        <v>5</v>
      </c>
    </row>
    <row r="47" spans="1:4">
      <c r="A47" s="94"/>
      <c r="C47" s="84" t="s">
        <v>65</v>
      </c>
      <c r="D47" s="87" t="s">
        <v>5</v>
      </c>
    </row>
    <row r="48" spans="1:4">
      <c r="A48" s="94"/>
      <c r="C48" s="84" t="s">
        <v>66</v>
      </c>
      <c r="D48" s="87" t="s">
        <v>5</v>
      </c>
    </row>
    <row r="49" spans="1:1">
      <c r="A49" s="94"/>
    </row>
    <row r="50" spans="1:4">
      <c r="A50" s="88">
        <v>45962</v>
      </c>
      <c r="B50" s="2" t="s">
        <v>45</v>
      </c>
      <c r="C50" s="93" t="s">
        <v>46</v>
      </c>
      <c r="D50" s="87" t="s">
        <v>47</v>
      </c>
    </row>
    <row r="51" spans="1:4">
      <c r="A51" s="88"/>
      <c r="B51" s="2" t="s">
        <v>50</v>
      </c>
      <c r="C51" s="93" t="s">
        <v>51</v>
      </c>
      <c r="D51" s="87" t="s">
        <v>47</v>
      </c>
    </row>
    <row r="52" spans="1:4">
      <c r="A52" s="88"/>
      <c r="B52" s="2" t="s">
        <v>52</v>
      </c>
      <c r="C52" s="93" t="s">
        <v>67</v>
      </c>
      <c r="D52" s="87" t="s">
        <v>47</v>
      </c>
    </row>
    <row r="53" spans="1:4">
      <c r="A53" s="88"/>
      <c r="B53" s="2" t="s">
        <v>54</v>
      </c>
      <c r="C53" s="93" t="s">
        <v>55</v>
      </c>
      <c r="D53" s="87" t="s">
        <v>47</v>
      </c>
    </row>
    <row r="54" spans="1:4">
      <c r="A54" s="88"/>
      <c r="B54" s="2" t="s">
        <v>60</v>
      </c>
      <c r="C54" s="84" t="s">
        <v>61</v>
      </c>
      <c r="D54" s="87" t="s">
        <v>5</v>
      </c>
    </row>
    <row r="55" spans="1:4">
      <c r="A55" s="88">
        <v>45964</v>
      </c>
      <c r="B55" s="2" t="s">
        <v>68</v>
      </c>
      <c r="C55" s="93" t="s">
        <v>69</v>
      </c>
      <c r="D55" s="87" t="s">
        <v>47</v>
      </c>
    </row>
    <row r="56" spans="1:4">
      <c r="A56" s="88"/>
      <c r="B56" s="2" t="s">
        <v>70</v>
      </c>
      <c r="C56" s="93" t="s">
        <v>71</v>
      </c>
      <c r="D56" s="87" t="s">
        <v>47</v>
      </c>
    </row>
    <row r="57" spans="1:4">
      <c r="A57" s="88"/>
      <c r="B57" s="95" t="s">
        <v>72</v>
      </c>
      <c r="C57" s="93" t="s">
        <v>73</v>
      </c>
      <c r="D57" s="87" t="s">
        <v>47</v>
      </c>
    </row>
    <row r="58" spans="1:4">
      <c r="A58" s="88"/>
      <c r="B58" s="2" t="s">
        <v>74</v>
      </c>
      <c r="C58" s="93" t="s">
        <v>75</v>
      </c>
      <c r="D58" s="87" t="s">
        <v>47</v>
      </c>
    </row>
    <row r="60" spans="1:4">
      <c r="A60" s="86">
        <v>45965</v>
      </c>
      <c r="B60" s="2" t="s">
        <v>45</v>
      </c>
      <c r="C60" s="93" t="s">
        <v>46</v>
      </c>
      <c r="D60" s="87" t="s">
        <v>47</v>
      </c>
    </row>
    <row r="61" spans="1:4">
      <c r="A61" s="80"/>
      <c r="B61" s="2" t="s">
        <v>50</v>
      </c>
      <c r="C61" s="93" t="s">
        <v>51</v>
      </c>
      <c r="D61" s="87" t="s">
        <v>47</v>
      </c>
    </row>
    <row r="62" spans="1:4">
      <c r="A62" s="80"/>
      <c r="B62" s="2" t="s">
        <v>76</v>
      </c>
      <c r="C62" s="93" t="s">
        <v>67</v>
      </c>
      <c r="D62" s="87" t="s">
        <v>47</v>
      </c>
    </row>
    <row r="63" spans="1:4">
      <c r="A63" s="80"/>
      <c r="B63" s="2" t="s">
        <v>77</v>
      </c>
      <c r="C63" s="93" t="s">
        <v>55</v>
      </c>
      <c r="D63" s="87" t="s">
        <v>47</v>
      </c>
    </row>
    <row r="64" spans="1:4">
      <c r="A64" s="80"/>
      <c r="B64" s="2" t="s">
        <v>68</v>
      </c>
      <c r="C64" s="84" t="s">
        <v>78</v>
      </c>
      <c r="D64" s="87" t="s">
        <v>5</v>
      </c>
    </row>
    <row r="65" spans="1:4">
      <c r="A65" s="80"/>
      <c r="B65" s="2" t="s">
        <v>70</v>
      </c>
      <c r="C65" s="93" t="s">
        <v>71</v>
      </c>
      <c r="D65" s="87" t="s">
        <v>47</v>
      </c>
    </row>
    <row r="66" spans="1:4">
      <c r="A66" s="80"/>
      <c r="B66" s="95" t="s">
        <v>72</v>
      </c>
      <c r="C66" s="84" t="s">
        <v>79</v>
      </c>
      <c r="D66" s="87" t="s">
        <v>5</v>
      </c>
    </row>
    <row r="67" spans="1:4">
      <c r="A67" s="80"/>
      <c r="B67" s="2" t="s">
        <v>74</v>
      </c>
      <c r="C67" s="93" t="s">
        <v>75</v>
      </c>
      <c r="D67" s="87" t="s">
        <v>47</v>
      </c>
    </row>
    <row r="68" spans="1:4">
      <c r="A68" s="80"/>
      <c r="B68" s="2" t="s">
        <v>80</v>
      </c>
      <c r="C68" s="93" t="s">
        <v>81</v>
      </c>
      <c r="D68" s="87" t="s">
        <v>47</v>
      </c>
    </row>
    <row r="69" spans="1:4">
      <c r="A69" s="80"/>
      <c r="B69" s="2" t="s">
        <v>82</v>
      </c>
      <c r="C69" s="84" t="s">
        <v>83</v>
      </c>
      <c r="D69" s="87" t="s">
        <v>5</v>
      </c>
    </row>
    <row r="70" spans="1:4">
      <c r="A70" s="85"/>
      <c r="B70" s="2" t="s">
        <v>84</v>
      </c>
      <c r="C70" s="84" t="s">
        <v>85</v>
      </c>
      <c r="D70" s="87" t="s">
        <v>5</v>
      </c>
    </row>
    <row r="72" spans="1:4">
      <c r="A72" s="86">
        <v>45966</v>
      </c>
      <c r="B72" s="2" t="s">
        <v>45</v>
      </c>
      <c r="C72" s="84" t="s">
        <v>86</v>
      </c>
      <c r="D72" s="87" t="s">
        <v>5</v>
      </c>
    </row>
    <row r="73" spans="1:4">
      <c r="A73" s="80"/>
      <c r="B73" s="2" t="s">
        <v>50</v>
      </c>
      <c r="C73" s="93" t="s">
        <v>51</v>
      </c>
      <c r="D73" s="87" t="s">
        <v>47</v>
      </c>
    </row>
    <row r="74" spans="1:4">
      <c r="A74" s="80"/>
      <c r="B74" s="2" t="s">
        <v>76</v>
      </c>
      <c r="C74" s="84" t="s">
        <v>67</v>
      </c>
      <c r="D74" s="87" t="s">
        <v>5</v>
      </c>
    </row>
    <row r="75" spans="1:4">
      <c r="A75" s="80"/>
      <c r="B75" s="2" t="s">
        <v>77</v>
      </c>
      <c r="C75" s="93" t="s">
        <v>55</v>
      </c>
      <c r="D75" s="87" t="s">
        <v>47</v>
      </c>
    </row>
    <row r="76" spans="1:4">
      <c r="A76" s="80"/>
      <c r="B76" s="2" t="s">
        <v>70</v>
      </c>
      <c r="C76" s="93" t="s">
        <v>71</v>
      </c>
      <c r="D76" s="87" t="s">
        <v>47</v>
      </c>
    </row>
    <row r="77" spans="1:4">
      <c r="A77" s="80"/>
      <c r="B77" s="2" t="s">
        <v>74</v>
      </c>
      <c r="C77" s="93" t="s">
        <v>75</v>
      </c>
      <c r="D77" s="87" t="s">
        <v>47</v>
      </c>
    </row>
    <row r="78" spans="1:4">
      <c r="A78" s="80"/>
      <c r="B78" s="2" t="s">
        <v>80</v>
      </c>
      <c r="C78" s="84" t="s">
        <v>81</v>
      </c>
      <c r="D78" s="87" t="s">
        <v>5</v>
      </c>
    </row>
    <row r="79" spans="1:4">
      <c r="A79" s="80"/>
      <c r="B79" s="2" t="s">
        <v>87</v>
      </c>
      <c r="C79" s="84" t="s">
        <v>88</v>
      </c>
      <c r="D79" s="87" t="s">
        <v>5</v>
      </c>
    </row>
    <row r="80" spans="1:4">
      <c r="A80" s="80"/>
      <c r="B80" s="2" t="s">
        <v>89</v>
      </c>
      <c r="C80" s="97" t="s">
        <v>90</v>
      </c>
      <c r="D80" s="87" t="s">
        <v>5</v>
      </c>
    </row>
    <row r="81" spans="1:4">
      <c r="A81" s="80"/>
      <c r="B81" s="2" t="s">
        <v>91</v>
      </c>
      <c r="C81" s="84" t="s">
        <v>92</v>
      </c>
      <c r="D81" s="87" t="s">
        <v>5</v>
      </c>
    </row>
    <row r="82" spans="1:4">
      <c r="A82" s="85"/>
      <c r="B82" s="2" t="s">
        <v>93</v>
      </c>
      <c r="C82" s="93" t="s">
        <v>94</v>
      </c>
      <c r="D82" s="87" t="s">
        <v>47</v>
      </c>
    </row>
    <row r="84" spans="1:4">
      <c r="A84" s="88">
        <v>45967</v>
      </c>
      <c r="B84" s="98" t="s">
        <v>50</v>
      </c>
      <c r="C84" s="93" t="s">
        <v>95</v>
      </c>
      <c r="D84" s="87" t="s">
        <v>47</v>
      </c>
    </row>
    <row r="85" spans="1:4">
      <c r="A85" s="88"/>
      <c r="B85" s="2" t="s">
        <v>96</v>
      </c>
      <c r="C85" s="93" t="s">
        <v>55</v>
      </c>
      <c r="D85" s="87" t="s">
        <v>47</v>
      </c>
    </row>
    <row r="86" spans="1:4">
      <c r="A86" s="88"/>
      <c r="B86" s="2" t="s">
        <v>70</v>
      </c>
      <c r="C86" s="93" t="s">
        <v>71</v>
      </c>
      <c r="D86" s="87" t="s">
        <v>47</v>
      </c>
    </row>
    <row r="87" spans="1:4">
      <c r="A87" s="88"/>
      <c r="B87" s="2" t="s">
        <v>74</v>
      </c>
      <c r="C87" s="93" t="s">
        <v>97</v>
      </c>
      <c r="D87" s="87" t="s">
        <v>47</v>
      </c>
    </row>
    <row r="88" spans="1:4">
      <c r="A88" s="88"/>
      <c r="B88" s="2" t="s">
        <v>98</v>
      </c>
      <c r="C88" s="84" t="s">
        <v>99</v>
      </c>
      <c r="D88" s="87" t="s">
        <v>5</v>
      </c>
    </row>
    <row r="89" spans="1:4">
      <c r="A89" s="88"/>
      <c r="B89" s="2" t="s">
        <v>100</v>
      </c>
      <c r="C89" s="93" t="s">
        <v>101</v>
      </c>
      <c r="D89" s="87" t="s">
        <v>47</v>
      </c>
    </row>
    <row r="90" spans="1:1">
      <c r="A90" s="94"/>
    </row>
    <row r="91" spans="1:4">
      <c r="A91" s="88">
        <v>45968</v>
      </c>
      <c r="B91" s="98" t="s">
        <v>50</v>
      </c>
      <c r="C91" s="93" t="s">
        <v>95</v>
      </c>
      <c r="D91" s="87" t="s">
        <v>47</v>
      </c>
    </row>
    <row r="92" spans="1:4">
      <c r="A92" s="88"/>
      <c r="B92" s="2" t="s">
        <v>96</v>
      </c>
      <c r="C92" s="93" t="s">
        <v>102</v>
      </c>
      <c r="D92" s="87" t="s">
        <v>47</v>
      </c>
    </row>
    <row r="93" spans="1:4">
      <c r="A93" s="88"/>
      <c r="B93" s="2" t="s">
        <v>70</v>
      </c>
      <c r="C93" s="93" t="s">
        <v>71</v>
      </c>
      <c r="D93" s="87" t="s">
        <v>47</v>
      </c>
    </row>
    <row r="94" spans="1:4">
      <c r="A94" s="88"/>
      <c r="B94" s="2" t="s">
        <v>74</v>
      </c>
      <c r="C94" s="84" t="s">
        <v>103</v>
      </c>
      <c r="D94" s="87" t="s">
        <v>5</v>
      </c>
    </row>
    <row r="95" spans="1:4">
      <c r="A95" s="88"/>
      <c r="B95" s="2" t="s">
        <v>100</v>
      </c>
      <c r="C95" s="93" t="s">
        <v>101</v>
      </c>
      <c r="D95" s="87" t="s">
        <v>47</v>
      </c>
    </row>
    <row r="96" spans="1:4">
      <c r="A96" s="88"/>
      <c r="B96" s="2" t="s">
        <v>104</v>
      </c>
      <c r="C96" s="93" t="s">
        <v>105</v>
      </c>
      <c r="D96" s="87" t="s">
        <v>47</v>
      </c>
    </row>
    <row r="98" spans="1:4">
      <c r="A98" s="86">
        <v>45969</v>
      </c>
      <c r="B98" s="98" t="s">
        <v>50</v>
      </c>
      <c r="C98" s="93" t="s">
        <v>106</v>
      </c>
      <c r="D98" s="87" t="s">
        <v>47</v>
      </c>
    </row>
    <row r="99" spans="1:4">
      <c r="A99" s="80"/>
      <c r="B99" s="2" t="s">
        <v>96</v>
      </c>
      <c r="C99" s="93" t="s">
        <v>102</v>
      </c>
      <c r="D99" s="87" t="s">
        <v>47</v>
      </c>
    </row>
    <row r="100" spans="1:4">
      <c r="A100" s="80"/>
      <c r="B100" s="2" t="s">
        <v>70</v>
      </c>
      <c r="C100" s="93" t="s">
        <v>71</v>
      </c>
      <c r="D100" s="87" t="s">
        <v>47</v>
      </c>
    </row>
    <row r="101" spans="1:4">
      <c r="A101" s="80"/>
      <c r="B101" s="2" t="s">
        <v>100</v>
      </c>
      <c r="C101" s="93" t="s">
        <v>101</v>
      </c>
      <c r="D101" s="87" t="s">
        <v>47</v>
      </c>
    </row>
    <row r="102" spans="1:4">
      <c r="A102" s="80"/>
      <c r="B102" s="2" t="s">
        <v>107</v>
      </c>
      <c r="C102" s="93" t="s">
        <v>105</v>
      </c>
      <c r="D102" s="87" t="s">
        <v>47</v>
      </c>
    </row>
    <row r="103" spans="1:4">
      <c r="A103" s="80"/>
      <c r="B103" s="2" t="s">
        <v>108</v>
      </c>
      <c r="C103" s="93" t="s">
        <v>109</v>
      </c>
      <c r="D103" s="87" t="s">
        <v>47</v>
      </c>
    </row>
    <row r="104" spans="1:4">
      <c r="A104" s="80"/>
      <c r="B104" s="2" t="s">
        <v>110</v>
      </c>
      <c r="C104" s="84" t="s">
        <v>111</v>
      </c>
      <c r="D104" s="87" t="s">
        <v>5</v>
      </c>
    </row>
    <row r="105" spans="1:4">
      <c r="A105" s="80"/>
      <c r="B105" s="2" t="s">
        <v>112</v>
      </c>
      <c r="C105" s="84" t="s">
        <v>71</v>
      </c>
      <c r="D105" s="87" t="s">
        <v>5</v>
      </c>
    </row>
    <row r="106" spans="1:4">
      <c r="A106" s="85"/>
      <c r="B106" s="2" t="s">
        <v>113</v>
      </c>
      <c r="C106" s="93" t="s">
        <v>71</v>
      </c>
      <c r="D106" s="87" t="s">
        <v>47</v>
      </c>
    </row>
    <row r="108" spans="1:4">
      <c r="A108" s="86">
        <v>45971</v>
      </c>
      <c r="B108" s="98" t="s">
        <v>50</v>
      </c>
      <c r="C108" s="93" t="s">
        <v>106</v>
      </c>
      <c r="D108" s="87" t="s">
        <v>47</v>
      </c>
    </row>
    <row r="109" spans="1:4">
      <c r="A109" s="80"/>
      <c r="B109" s="2" t="s">
        <v>96</v>
      </c>
      <c r="C109" s="93" t="s">
        <v>102</v>
      </c>
      <c r="D109" s="87" t="s">
        <v>47</v>
      </c>
    </row>
    <row r="110" spans="1:4">
      <c r="A110" s="80"/>
      <c r="B110" s="2" t="s">
        <v>70</v>
      </c>
      <c r="C110" s="93" t="s">
        <v>71</v>
      </c>
      <c r="D110" s="87" t="s">
        <v>47</v>
      </c>
    </row>
    <row r="111" spans="1:4">
      <c r="A111" s="80"/>
      <c r="B111" s="2" t="s">
        <v>100</v>
      </c>
      <c r="C111" s="84" t="s">
        <v>114</v>
      </c>
      <c r="D111" s="87" t="s">
        <v>5</v>
      </c>
    </row>
    <row r="112" spans="1:4">
      <c r="A112" s="80"/>
      <c r="B112" s="2" t="s">
        <v>107</v>
      </c>
      <c r="C112" s="93" t="s">
        <v>105</v>
      </c>
      <c r="D112" s="87" t="s">
        <v>47</v>
      </c>
    </row>
    <row r="113" spans="1:4">
      <c r="A113" s="80"/>
      <c r="B113" s="2" t="s">
        <v>115</v>
      </c>
      <c r="C113" s="93" t="s">
        <v>116</v>
      </c>
      <c r="D113" s="87" t="s">
        <v>47</v>
      </c>
    </row>
    <row r="114" spans="1:4">
      <c r="A114" s="80"/>
      <c r="B114" s="2" t="s">
        <v>113</v>
      </c>
      <c r="C114" s="93" t="s">
        <v>117</v>
      </c>
      <c r="D114" s="87" t="s">
        <v>47</v>
      </c>
    </row>
    <row r="115" spans="1:4">
      <c r="A115" s="80"/>
      <c r="B115" s="2" t="s">
        <v>118</v>
      </c>
      <c r="C115" s="84" t="s">
        <v>119</v>
      </c>
      <c r="D115" s="87" t="s">
        <v>5</v>
      </c>
    </row>
    <row r="116" spans="1:4">
      <c r="A116" s="80"/>
      <c r="B116" s="2" t="s">
        <v>120</v>
      </c>
      <c r="C116" s="84" t="s">
        <v>121</v>
      </c>
      <c r="D116" s="87" t="s">
        <v>5</v>
      </c>
    </row>
    <row r="117" spans="1:4">
      <c r="A117" s="80"/>
      <c r="B117" s="2" t="s">
        <v>122</v>
      </c>
      <c r="C117" s="84" t="s">
        <v>123</v>
      </c>
      <c r="D117" s="87" t="s">
        <v>5</v>
      </c>
    </row>
    <row r="118" spans="1:4">
      <c r="A118" s="80"/>
      <c r="B118" s="2" t="s">
        <v>124</v>
      </c>
      <c r="C118" s="93" t="s">
        <v>125</v>
      </c>
      <c r="D118" s="87" t="s">
        <v>47</v>
      </c>
    </row>
    <row r="119" spans="1:4">
      <c r="A119" s="80"/>
      <c r="B119" s="2" t="s">
        <v>126</v>
      </c>
      <c r="C119" s="93" t="s">
        <v>127</v>
      </c>
      <c r="D119" s="87" t="s">
        <v>47</v>
      </c>
    </row>
    <row r="120" spans="1:4">
      <c r="A120" s="80"/>
      <c r="B120" s="2" t="s">
        <v>128</v>
      </c>
      <c r="C120" s="93" t="s">
        <v>129</v>
      </c>
      <c r="D120" s="87" t="s">
        <v>47</v>
      </c>
    </row>
    <row r="121" spans="1:4">
      <c r="A121" s="80"/>
      <c r="B121" s="2" t="s">
        <v>130</v>
      </c>
      <c r="C121" s="93" t="s">
        <v>131</v>
      </c>
      <c r="D121" s="87" t="s">
        <v>47</v>
      </c>
    </row>
    <row r="122" spans="1:4">
      <c r="A122" s="85"/>
      <c r="B122" s="2" t="s">
        <v>132</v>
      </c>
      <c r="C122" s="93" t="s">
        <v>133</v>
      </c>
      <c r="D122" s="87" t="s">
        <v>47</v>
      </c>
    </row>
    <row r="124" spans="1:4">
      <c r="A124" s="86">
        <v>45972</v>
      </c>
      <c r="B124" s="98" t="s">
        <v>50</v>
      </c>
      <c r="C124" s="93" t="s">
        <v>106</v>
      </c>
      <c r="D124" s="87" t="s">
        <v>47</v>
      </c>
    </row>
    <row r="125" spans="1:4">
      <c r="A125" s="80"/>
      <c r="B125" s="2" t="s">
        <v>96</v>
      </c>
      <c r="C125" s="93" t="s">
        <v>102</v>
      </c>
      <c r="D125" s="87" t="s">
        <v>47</v>
      </c>
    </row>
    <row r="126" spans="1:4">
      <c r="A126" s="80"/>
      <c r="B126" s="2" t="s">
        <v>70</v>
      </c>
      <c r="C126" s="93" t="s">
        <v>134</v>
      </c>
      <c r="D126" s="87" t="s">
        <v>47</v>
      </c>
    </row>
    <row r="127" spans="1:4">
      <c r="A127" s="80"/>
      <c r="B127" s="2" t="s">
        <v>107</v>
      </c>
      <c r="C127" s="93" t="s">
        <v>135</v>
      </c>
      <c r="D127" s="87" t="s">
        <v>47</v>
      </c>
    </row>
    <row r="128" spans="1:4">
      <c r="A128" s="80"/>
      <c r="B128" s="2" t="s">
        <v>115</v>
      </c>
      <c r="C128" s="93" t="s">
        <v>116</v>
      </c>
      <c r="D128" s="87" t="s">
        <v>47</v>
      </c>
    </row>
    <row r="129" spans="1:4">
      <c r="A129" s="80"/>
      <c r="B129" s="2" t="s">
        <v>113</v>
      </c>
      <c r="C129" s="93" t="s">
        <v>136</v>
      </c>
      <c r="D129" s="87" t="s">
        <v>47</v>
      </c>
    </row>
    <row r="130" spans="1:4">
      <c r="A130" s="80"/>
      <c r="B130" s="2" t="s">
        <v>137</v>
      </c>
      <c r="C130" s="93" t="s">
        <v>138</v>
      </c>
      <c r="D130" s="87" t="s">
        <v>47</v>
      </c>
    </row>
    <row r="131" spans="1:4">
      <c r="A131" s="80"/>
      <c r="B131" s="2" t="s">
        <v>126</v>
      </c>
      <c r="C131" s="93" t="s">
        <v>139</v>
      </c>
      <c r="D131" s="87" t="s">
        <v>47</v>
      </c>
    </row>
    <row r="132" spans="1:4">
      <c r="A132" s="80"/>
      <c r="B132" s="2" t="s">
        <v>128</v>
      </c>
      <c r="C132" s="93" t="s">
        <v>140</v>
      </c>
      <c r="D132" s="87" t="s">
        <v>47</v>
      </c>
    </row>
    <row r="133" spans="1:4">
      <c r="A133" s="80"/>
      <c r="B133" s="2" t="s">
        <v>130</v>
      </c>
      <c r="C133" s="84" t="s">
        <v>141</v>
      </c>
      <c r="D133" s="87" t="s">
        <v>5</v>
      </c>
    </row>
    <row r="134" spans="1:4">
      <c r="A134" s="85"/>
      <c r="B134" s="2" t="s">
        <v>132</v>
      </c>
      <c r="C134" s="84" t="s">
        <v>142</v>
      </c>
      <c r="D134" s="87" t="s">
        <v>5</v>
      </c>
    </row>
    <row r="136" spans="1:4">
      <c r="A136" s="88">
        <v>45973</v>
      </c>
      <c r="B136" s="98" t="s">
        <v>50</v>
      </c>
      <c r="C136" s="93" t="s">
        <v>106</v>
      </c>
      <c r="D136" s="87" t="s">
        <v>47</v>
      </c>
    </row>
    <row r="137" spans="1:4">
      <c r="A137" s="88"/>
      <c r="B137" s="98" t="s">
        <v>96</v>
      </c>
      <c r="C137" s="93" t="s">
        <v>143</v>
      </c>
      <c r="D137" s="87" t="s">
        <v>47</v>
      </c>
    </row>
    <row r="138" spans="1:4">
      <c r="A138" s="88"/>
      <c r="B138" s="98" t="s">
        <v>144</v>
      </c>
      <c r="C138" s="93" t="s">
        <v>134</v>
      </c>
      <c r="D138" s="87" t="s">
        <v>47</v>
      </c>
    </row>
    <row r="139" spans="1:4">
      <c r="A139" s="88"/>
      <c r="B139" s="2" t="s">
        <v>107</v>
      </c>
      <c r="C139" s="93" t="s">
        <v>145</v>
      </c>
      <c r="D139" s="87" t="s">
        <v>47</v>
      </c>
    </row>
    <row r="140" spans="1:4">
      <c r="A140" s="88"/>
      <c r="B140" s="2" t="s">
        <v>115</v>
      </c>
      <c r="C140" s="84" t="s">
        <v>146</v>
      </c>
      <c r="D140" s="87" t="s">
        <v>5</v>
      </c>
    </row>
    <row r="141" spans="1:4">
      <c r="A141" s="88"/>
      <c r="B141" s="2" t="s">
        <v>147</v>
      </c>
      <c r="C141" s="93" t="s">
        <v>148</v>
      </c>
      <c r="D141" s="87" t="s">
        <v>47</v>
      </c>
    </row>
    <row r="142" spans="1:4">
      <c r="A142" s="88"/>
      <c r="B142" s="2" t="s">
        <v>137</v>
      </c>
      <c r="C142" s="84" t="s">
        <v>149</v>
      </c>
      <c r="D142" s="87" t="s">
        <v>5</v>
      </c>
    </row>
    <row r="143" spans="1:4">
      <c r="A143" s="88"/>
      <c r="B143" s="2" t="s">
        <v>126</v>
      </c>
      <c r="C143" s="93" t="s">
        <v>150</v>
      </c>
      <c r="D143" s="87" t="s">
        <v>47</v>
      </c>
    </row>
    <row r="144" spans="1:4">
      <c r="A144" s="88"/>
      <c r="B144" s="2" t="s">
        <v>128</v>
      </c>
      <c r="C144" s="93" t="s">
        <v>151</v>
      </c>
      <c r="D144" s="87" t="s">
        <v>47</v>
      </c>
    </row>
    <row r="145" spans="1:4">
      <c r="A145" s="88"/>
      <c r="B145" s="2" t="s">
        <v>152</v>
      </c>
      <c r="C145" s="93" t="s">
        <v>153</v>
      </c>
      <c r="D145" s="87" t="s">
        <v>47</v>
      </c>
    </row>
    <row r="146" spans="1:4">
      <c r="A146" s="88"/>
      <c r="B146" s="2" t="s">
        <v>154</v>
      </c>
      <c r="C146" s="93" t="s">
        <v>155</v>
      </c>
      <c r="D146" s="87" t="s">
        <v>47</v>
      </c>
    </row>
    <row r="148" spans="1:4">
      <c r="A148" s="86">
        <v>45974</v>
      </c>
      <c r="B148" s="98" t="s">
        <v>50</v>
      </c>
      <c r="C148" s="93" t="s">
        <v>106</v>
      </c>
      <c r="D148" s="87" t="s">
        <v>47</v>
      </c>
    </row>
    <row r="149" spans="1:4">
      <c r="A149" s="80"/>
      <c r="B149" s="98" t="s">
        <v>96</v>
      </c>
      <c r="C149" s="93" t="s">
        <v>143</v>
      </c>
      <c r="D149" s="87" t="s">
        <v>47</v>
      </c>
    </row>
    <row r="150" spans="1:4">
      <c r="A150" s="80"/>
      <c r="B150" s="98" t="s">
        <v>144</v>
      </c>
      <c r="C150" s="93" t="s">
        <v>134</v>
      </c>
      <c r="D150" s="87" t="s">
        <v>47</v>
      </c>
    </row>
    <row r="151" spans="1:4">
      <c r="A151" s="80"/>
      <c r="B151" s="2" t="s">
        <v>107</v>
      </c>
      <c r="C151" s="93" t="s">
        <v>156</v>
      </c>
      <c r="D151" s="87" t="s">
        <v>47</v>
      </c>
    </row>
    <row r="152" spans="1:4">
      <c r="A152" s="80"/>
      <c r="B152" s="2" t="s">
        <v>157</v>
      </c>
      <c r="C152" s="93" t="s">
        <v>158</v>
      </c>
      <c r="D152" s="87" t="s">
        <v>47</v>
      </c>
    </row>
    <row r="153" spans="1:4">
      <c r="A153" s="80"/>
      <c r="B153" s="2" t="s">
        <v>126</v>
      </c>
      <c r="C153" s="84" t="s">
        <v>159</v>
      </c>
      <c r="D153" s="87" t="s">
        <v>5</v>
      </c>
    </row>
    <row r="154" spans="1:4">
      <c r="A154" s="80"/>
      <c r="B154" s="2" t="s">
        <v>128</v>
      </c>
      <c r="C154" s="93" t="s">
        <v>151</v>
      </c>
      <c r="D154" s="87" t="s">
        <v>47</v>
      </c>
    </row>
    <row r="155" spans="1:4">
      <c r="A155" s="80"/>
      <c r="B155" s="2" t="s">
        <v>160</v>
      </c>
      <c r="C155" s="78" t="s">
        <v>161</v>
      </c>
      <c r="D155" s="87" t="s">
        <v>47</v>
      </c>
    </row>
    <row r="156" spans="1:4">
      <c r="A156" s="80"/>
      <c r="B156" s="2" t="s">
        <v>154</v>
      </c>
      <c r="C156" s="84" t="s">
        <v>162</v>
      </c>
      <c r="D156" s="87" t="s">
        <v>5</v>
      </c>
    </row>
    <row r="157" spans="1:4">
      <c r="A157" s="80"/>
      <c r="B157" s="2" t="s">
        <v>163</v>
      </c>
      <c r="C157" s="84" t="s">
        <v>164</v>
      </c>
      <c r="D157" s="87" t="s">
        <v>5</v>
      </c>
    </row>
    <row r="158" spans="1:4">
      <c r="A158" s="80"/>
      <c r="B158" s="2" t="s">
        <v>165</v>
      </c>
      <c r="C158" s="93" t="s">
        <v>166</v>
      </c>
      <c r="D158" s="87" t="s">
        <v>47</v>
      </c>
    </row>
    <row r="159" spans="1:4">
      <c r="A159" s="85"/>
      <c r="B159" s="2" t="s">
        <v>167</v>
      </c>
      <c r="C159" s="84" t="s">
        <v>168</v>
      </c>
      <c r="D159" s="87" t="s">
        <v>5</v>
      </c>
    </row>
    <row r="161" spans="1:4">
      <c r="A161" s="88">
        <v>45975</v>
      </c>
      <c r="B161" s="99" t="s">
        <v>50</v>
      </c>
      <c r="C161" s="93" t="s">
        <v>106</v>
      </c>
      <c r="D161" s="87" t="s">
        <v>47</v>
      </c>
    </row>
    <row r="162" spans="1:4">
      <c r="A162" s="88"/>
      <c r="B162" s="99" t="s">
        <v>96</v>
      </c>
      <c r="C162" s="93" t="s">
        <v>143</v>
      </c>
      <c r="D162" s="87" t="s">
        <v>47</v>
      </c>
    </row>
    <row r="163" spans="1:4">
      <c r="A163" s="88"/>
      <c r="B163" s="99" t="s">
        <v>144</v>
      </c>
      <c r="C163" s="93" t="s">
        <v>134</v>
      </c>
      <c r="D163" s="87" t="s">
        <v>47</v>
      </c>
    </row>
    <row r="164" spans="1:4">
      <c r="A164" s="88"/>
      <c r="B164" s="89" t="s">
        <v>107</v>
      </c>
      <c r="C164" s="93" t="s">
        <v>156</v>
      </c>
      <c r="D164" s="87" t="s">
        <v>47</v>
      </c>
    </row>
    <row r="165" spans="1:4">
      <c r="A165" s="88"/>
      <c r="B165" s="89" t="s">
        <v>157</v>
      </c>
      <c r="C165" s="93" t="s">
        <v>169</v>
      </c>
      <c r="D165" s="87" t="s">
        <v>47</v>
      </c>
    </row>
    <row r="166" spans="1:4">
      <c r="A166" s="88"/>
      <c r="B166" s="89" t="s">
        <v>128</v>
      </c>
      <c r="C166" s="93" t="s">
        <v>151</v>
      </c>
      <c r="D166" s="87" t="s">
        <v>47</v>
      </c>
    </row>
    <row r="167" spans="1:4">
      <c r="A167" s="88"/>
      <c r="B167" s="89" t="s">
        <v>160</v>
      </c>
      <c r="C167" s="78" t="s">
        <v>161</v>
      </c>
      <c r="D167" s="87" t="s">
        <v>47</v>
      </c>
    </row>
    <row r="168" spans="1:4">
      <c r="A168" s="88"/>
      <c r="B168" s="89" t="s">
        <v>165</v>
      </c>
      <c r="C168" s="93" t="s">
        <v>166</v>
      </c>
      <c r="D168" s="87" t="s">
        <v>47</v>
      </c>
    </row>
    <row r="169" spans="1:4">
      <c r="A169" s="88"/>
      <c r="B169" s="89" t="s">
        <v>170</v>
      </c>
      <c r="C169" s="84" t="s">
        <v>171</v>
      </c>
      <c r="D169" s="87" t="s">
        <v>5</v>
      </c>
    </row>
    <row r="170" spans="1:4">
      <c r="A170" s="88"/>
      <c r="B170" s="89" t="s">
        <v>172</v>
      </c>
      <c r="C170" s="93" t="s">
        <v>97</v>
      </c>
      <c r="D170" s="87" t="s">
        <v>47</v>
      </c>
    </row>
    <row r="171" spans="1:4">
      <c r="A171" s="88"/>
      <c r="B171" s="89" t="s">
        <v>173</v>
      </c>
      <c r="C171" s="84" t="s">
        <v>171</v>
      </c>
      <c r="D171" s="87" t="s">
        <v>5</v>
      </c>
    </row>
    <row r="172" spans="1:4">
      <c r="A172" s="88"/>
      <c r="B172" s="89" t="s">
        <v>174</v>
      </c>
      <c r="C172" s="84" t="s">
        <v>171</v>
      </c>
      <c r="D172" s="87" t="s">
        <v>5</v>
      </c>
    </row>
    <row r="173" spans="1:4">
      <c r="A173" s="88"/>
      <c r="B173" s="89" t="s">
        <v>175</v>
      </c>
      <c r="C173" s="84" t="s">
        <v>176</v>
      </c>
      <c r="D173" s="87" t="s">
        <v>5</v>
      </c>
    </row>
    <row r="175" spans="1:4">
      <c r="A175" s="86">
        <v>45978</v>
      </c>
      <c r="B175" s="98" t="s">
        <v>50</v>
      </c>
      <c r="C175" s="93" t="s">
        <v>106</v>
      </c>
      <c r="D175" s="87" t="s">
        <v>47</v>
      </c>
    </row>
    <row r="176" spans="1:4">
      <c r="A176" s="80"/>
      <c r="B176" s="98" t="s">
        <v>96</v>
      </c>
      <c r="C176" s="93" t="s">
        <v>143</v>
      </c>
      <c r="D176" s="87" t="s">
        <v>47</v>
      </c>
    </row>
    <row r="177" spans="1:4">
      <c r="A177" s="80"/>
      <c r="B177" s="98" t="s">
        <v>144</v>
      </c>
      <c r="C177" s="93" t="s">
        <v>134</v>
      </c>
      <c r="D177" s="87" t="s">
        <v>47</v>
      </c>
    </row>
    <row r="178" spans="1:4">
      <c r="A178" s="80"/>
      <c r="B178" s="2" t="s">
        <v>107</v>
      </c>
      <c r="C178" s="93" t="s">
        <v>156</v>
      </c>
      <c r="D178" s="87" t="s">
        <v>47</v>
      </c>
    </row>
    <row r="179" spans="1:4">
      <c r="A179" s="80"/>
      <c r="B179" s="2" t="s">
        <v>157</v>
      </c>
      <c r="C179" s="84" t="s">
        <v>177</v>
      </c>
      <c r="D179" s="87" t="s">
        <v>5</v>
      </c>
    </row>
    <row r="180" spans="1:4">
      <c r="A180" s="80"/>
      <c r="B180" s="2" t="s">
        <v>128</v>
      </c>
      <c r="C180" s="93" t="s">
        <v>151</v>
      </c>
      <c r="D180" s="87" t="s">
        <v>47</v>
      </c>
    </row>
    <row r="181" spans="1:4">
      <c r="A181" s="80"/>
      <c r="B181" s="2" t="s">
        <v>160</v>
      </c>
      <c r="C181" s="78" t="s">
        <v>161</v>
      </c>
      <c r="D181" s="87" t="s">
        <v>47</v>
      </c>
    </row>
    <row r="182" spans="1:4">
      <c r="A182" s="80"/>
      <c r="B182" s="2" t="s">
        <v>165</v>
      </c>
      <c r="C182" s="93" t="s">
        <v>166</v>
      </c>
      <c r="D182" s="87" t="s">
        <v>47</v>
      </c>
    </row>
    <row r="183" spans="1:4">
      <c r="A183" s="80"/>
      <c r="B183" s="2" t="s">
        <v>172</v>
      </c>
      <c r="C183" s="93" t="s">
        <v>97</v>
      </c>
      <c r="D183" s="87" t="s">
        <v>47</v>
      </c>
    </row>
    <row r="184" spans="1:4">
      <c r="A184" s="80"/>
      <c r="B184" s="2" t="s">
        <v>178</v>
      </c>
      <c r="C184" s="84" t="s">
        <v>171</v>
      </c>
      <c r="D184" s="87" t="s">
        <v>5</v>
      </c>
    </row>
    <row r="185" spans="1:4">
      <c r="A185" s="80"/>
      <c r="B185" s="2" t="s">
        <v>179</v>
      </c>
      <c r="C185" s="84" t="s">
        <v>180</v>
      </c>
      <c r="D185" s="87" t="s">
        <v>5</v>
      </c>
    </row>
    <row r="186" spans="1:4">
      <c r="A186" s="80"/>
      <c r="B186" s="2" t="s">
        <v>181</v>
      </c>
      <c r="C186" s="93" t="s">
        <v>97</v>
      </c>
      <c r="D186" s="87" t="s">
        <v>47</v>
      </c>
    </row>
    <row r="187" spans="1:4">
      <c r="A187" s="80"/>
      <c r="B187" s="2" t="s">
        <v>182</v>
      </c>
      <c r="C187" s="93" t="s">
        <v>183</v>
      </c>
      <c r="D187" s="87" t="s">
        <v>47</v>
      </c>
    </row>
    <row r="188" spans="1:4">
      <c r="A188" s="80"/>
      <c r="B188" s="2" t="s">
        <v>184</v>
      </c>
      <c r="C188" s="84" t="s">
        <v>171</v>
      </c>
      <c r="D188" s="87" t="s">
        <v>5</v>
      </c>
    </row>
    <row r="189" spans="1:4">
      <c r="A189" s="80"/>
      <c r="B189" s="2" t="s">
        <v>185</v>
      </c>
      <c r="C189" s="93" t="s">
        <v>186</v>
      </c>
      <c r="D189" s="87" t="s">
        <v>47</v>
      </c>
    </row>
    <row r="190" spans="1:4">
      <c r="A190" s="80"/>
      <c r="B190" s="2" t="s">
        <v>182</v>
      </c>
      <c r="C190" s="84" t="s">
        <v>171</v>
      </c>
      <c r="D190" s="87" t="s">
        <v>5</v>
      </c>
    </row>
    <row r="191" spans="1:4">
      <c r="A191" s="80"/>
      <c r="B191" s="2" t="s">
        <v>187</v>
      </c>
      <c r="C191" s="93" t="s">
        <v>188</v>
      </c>
      <c r="D191" s="87" t="s">
        <v>47</v>
      </c>
    </row>
    <row r="192" spans="1:4">
      <c r="A192" s="80"/>
      <c r="B192" s="2" t="s">
        <v>189</v>
      </c>
      <c r="C192" s="93" t="s">
        <v>97</v>
      </c>
      <c r="D192" s="87" t="s">
        <v>47</v>
      </c>
    </row>
    <row r="193" spans="1:4">
      <c r="A193" s="80"/>
      <c r="B193" s="2" t="s">
        <v>190</v>
      </c>
      <c r="C193" s="93" t="s">
        <v>97</v>
      </c>
      <c r="D193" s="87" t="s">
        <v>47</v>
      </c>
    </row>
    <row r="194" spans="1:4">
      <c r="A194" s="85"/>
      <c r="B194" s="2" t="s">
        <v>191</v>
      </c>
      <c r="C194" s="93" t="s">
        <v>192</v>
      </c>
      <c r="D194" s="87" t="s">
        <v>47</v>
      </c>
    </row>
    <row r="196" spans="1:4">
      <c r="A196" s="88">
        <v>45979</v>
      </c>
      <c r="B196" s="98" t="s">
        <v>50</v>
      </c>
      <c r="C196" s="93" t="s">
        <v>106</v>
      </c>
      <c r="D196" s="87" t="s">
        <v>47</v>
      </c>
    </row>
    <row r="197" spans="1:4">
      <c r="A197" s="88"/>
      <c r="B197" s="98" t="s">
        <v>96</v>
      </c>
      <c r="C197" s="93" t="s">
        <v>143</v>
      </c>
      <c r="D197" s="87" t="s">
        <v>47</v>
      </c>
    </row>
    <row r="198" spans="1:4">
      <c r="A198" s="88"/>
      <c r="B198" s="98" t="s">
        <v>144</v>
      </c>
      <c r="C198" s="93" t="s">
        <v>134</v>
      </c>
      <c r="D198" s="87" t="s">
        <v>47</v>
      </c>
    </row>
    <row r="199" spans="1:4">
      <c r="A199" s="88"/>
      <c r="B199" s="2" t="s">
        <v>107</v>
      </c>
      <c r="C199" s="93" t="s">
        <v>156</v>
      </c>
      <c r="D199" s="87" t="s">
        <v>47</v>
      </c>
    </row>
    <row r="200" spans="1:4">
      <c r="A200" s="88"/>
      <c r="B200" s="2" t="s">
        <v>128</v>
      </c>
      <c r="C200" s="93" t="s">
        <v>151</v>
      </c>
      <c r="D200" s="87" t="s">
        <v>47</v>
      </c>
    </row>
    <row r="201" spans="1:4">
      <c r="A201" s="88"/>
      <c r="B201" s="2" t="s">
        <v>160</v>
      </c>
      <c r="C201" s="78" t="s">
        <v>161</v>
      </c>
      <c r="D201" s="87" t="s">
        <v>47</v>
      </c>
    </row>
    <row r="202" spans="1:4">
      <c r="A202" s="88"/>
      <c r="B202" s="2" t="s">
        <v>165</v>
      </c>
      <c r="C202" s="93" t="s">
        <v>166</v>
      </c>
      <c r="D202" s="87" t="s">
        <v>47</v>
      </c>
    </row>
    <row r="203" spans="1:4">
      <c r="A203" s="88"/>
      <c r="B203" s="2" t="s">
        <v>172</v>
      </c>
      <c r="C203" s="93" t="s">
        <v>97</v>
      </c>
      <c r="D203" s="87" t="s">
        <v>47</v>
      </c>
    </row>
    <row r="204" spans="1:4">
      <c r="A204" s="88"/>
      <c r="B204" s="2" t="s">
        <v>181</v>
      </c>
      <c r="C204" s="93" t="s">
        <v>97</v>
      </c>
      <c r="D204" s="87" t="s">
        <v>47</v>
      </c>
    </row>
    <row r="205" spans="1:4">
      <c r="A205" s="88"/>
      <c r="B205" s="2" t="s">
        <v>182</v>
      </c>
      <c r="C205" s="93" t="s">
        <v>183</v>
      </c>
      <c r="D205" s="87" t="s">
        <v>47</v>
      </c>
    </row>
    <row r="206" spans="1:4">
      <c r="A206" s="88"/>
      <c r="B206" s="2" t="s">
        <v>185</v>
      </c>
      <c r="C206" s="93" t="s">
        <v>186</v>
      </c>
      <c r="D206" s="87" t="s">
        <v>47</v>
      </c>
    </row>
    <row r="207" spans="1:4">
      <c r="A207" s="88"/>
      <c r="B207" s="2" t="s">
        <v>187</v>
      </c>
      <c r="C207" s="84" t="s">
        <v>171</v>
      </c>
      <c r="D207" s="87" t="s">
        <v>5</v>
      </c>
    </row>
    <row r="208" spans="1:4">
      <c r="A208" s="88"/>
      <c r="B208" s="2" t="s">
        <v>189</v>
      </c>
      <c r="C208" s="84" t="s">
        <v>193</v>
      </c>
      <c r="D208" s="87" t="s">
        <v>5</v>
      </c>
    </row>
    <row r="209" spans="1:4">
      <c r="A209" s="88"/>
      <c r="B209" s="2" t="s">
        <v>190</v>
      </c>
      <c r="C209" s="84" t="s">
        <v>171</v>
      </c>
      <c r="D209" s="87" t="s">
        <v>5</v>
      </c>
    </row>
    <row r="210" spans="1:4">
      <c r="A210" s="88"/>
      <c r="B210" s="2" t="s">
        <v>194</v>
      </c>
      <c r="C210" s="93" t="s">
        <v>195</v>
      </c>
      <c r="D210" s="87" t="s">
        <v>47</v>
      </c>
    </row>
    <row r="211" spans="1:4">
      <c r="A211" s="88"/>
      <c r="B211" s="2" t="s">
        <v>196</v>
      </c>
      <c r="C211" s="84" t="s">
        <v>171</v>
      </c>
      <c r="D211" s="87" t="s">
        <v>5</v>
      </c>
    </row>
    <row r="212" spans="1:4">
      <c r="A212" s="88"/>
      <c r="B212" s="2" t="s">
        <v>118</v>
      </c>
      <c r="C212" s="84" t="s">
        <v>171</v>
      </c>
      <c r="D212" s="87" t="s">
        <v>5</v>
      </c>
    </row>
    <row r="213" spans="1:4">
      <c r="A213" s="88"/>
      <c r="B213" s="2" t="s">
        <v>197</v>
      </c>
      <c r="C213" s="93" t="s">
        <v>198</v>
      </c>
      <c r="D213" s="87" t="s">
        <v>47</v>
      </c>
    </row>
    <row r="214" spans="1:4">
      <c r="A214" s="88"/>
      <c r="B214" s="2" t="s">
        <v>199</v>
      </c>
      <c r="C214" s="84" t="s">
        <v>171</v>
      </c>
      <c r="D214" s="87" t="s">
        <v>5</v>
      </c>
    </row>
    <row r="215" spans="1:4">
      <c r="A215" s="88"/>
      <c r="B215" s="2" t="s">
        <v>200</v>
      </c>
      <c r="C215" s="93" t="s">
        <v>97</v>
      </c>
      <c r="D215" s="87" t="s">
        <v>47</v>
      </c>
    </row>
    <row r="217" spans="1:4">
      <c r="A217" s="86">
        <v>45980</v>
      </c>
      <c r="B217" s="98" t="s">
        <v>50</v>
      </c>
      <c r="C217" s="93" t="s">
        <v>106</v>
      </c>
      <c r="D217" s="83" t="s">
        <v>47</v>
      </c>
    </row>
    <row r="218" spans="1:4">
      <c r="A218" s="80"/>
      <c r="B218" s="98" t="s">
        <v>96</v>
      </c>
      <c r="C218" s="84" t="s">
        <v>171</v>
      </c>
      <c r="D218" s="83" t="s">
        <v>5</v>
      </c>
    </row>
    <row r="219" spans="1:4">
      <c r="A219" s="80"/>
      <c r="B219" s="98" t="s">
        <v>144</v>
      </c>
      <c r="C219" s="93" t="s">
        <v>134</v>
      </c>
      <c r="D219" s="83" t="s">
        <v>47</v>
      </c>
    </row>
    <row r="220" spans="1:4">
      <c r="A220" s="80"/>
      <c r="B220" s="2" t="s">
        <v>107</v>
      </c>
      <c r="C220" s="93" t="s">
        <v>156</v>
      </c>
      <c r="D220" s="83" t="s">
        <v>47</v>
      </c>
    </row>
    <row r="221" spans="1:4">
      <c r="A221" s="80"/>
      <c r="B221" s="2" t="s">
        <v>128</v>
      </c>
      <c r="C221" s="93" t="s">
        <v>151</v>
      </c>
      <c r="D221" s="83" t="s">
        <v>47</v>
      </c>
    </row>
    <row r="222" spans="1:4">
      <c r="A222" s="80"/>
      <c r="B222" s="2" t="s">
        <v>160</v>
      </c>
      <c r="C222" s="78" t="s">
        <v>161</v>
      </c>
      <c r="D222" s="83" t="s">
        <v>47</v>
      </c>
    </row>
    <row r="223" spans="1:4">
      <c r="A223" s="80"/>
      <c r="B223" s="2" t="s">
        <v>165</v>
      </c>
      <c r="C223" s="93" t="s">
        <v>201</v>
      </c>
      <c r="D223" s="83" t="s">
        <v>47</v>
      </c>
    </row>
    <row r="224" spans="1:4">
      <c r="A224" s="80"/>
      <c r="B224" s="2" t="s">
        <v>172</v>
      </c>
      <c r="C224" s="93" t="s">
        <v>202</v>
      </c>
      <c r="D224" s="83" t="s">
        <v>47</v>
      </c>
    </row>
    <row r="225" spans="1:4">
      <c r="A225" s="80"/>
      <c r="B225" s="2" t="s">
        <v>181</v>
      </c>
      <c r="C225" s="93" t="s">
        <v>97</v>
      </c>
      <c r="D225" s="83" t="s">
        <v>47</v>
      </c>
    </row>
    <row r="226" spans="1:4">
      <c r="A226" s="80"/>
      <c r="B226" s="2" t="s">
        <v>182</v>
      </c>
      <c r="C226" s="84" t="s">
        <v>171</v>
      </c>
      <c r="D226" s="83" t="s">
        <v>5</v>
      </c>
    </row>
    <row r="227" spans="1:4">
      <c r="A227" s="80"/>
      <c r="B227" s="2" t="s">
        <v>185</v>
      </c>
      <c r="C227" s="93" t="s">
        <v>186</v>
      </c>
      <c r="D227" s="83" t="s">
        <v>47</v>
      </c>
    </row>
    <row r="228" spans="1:4">
      <c r="A228" s="80"/>
      <c r="B228" s="2" t="s">
        <v>194</v>
      </c>
      <c r="C228" s="93" t="s">
        <v>195</v>
      </c>
      <c r="D228" s="83" t="s">
        <v>47</v>
      </c>
    </row>
    <row r="229" spans="1:4">
      <c r="A229" s="80"/>
      <c r="B229" s="2" t="s">
        <v>197</v>
      </c>
      <c r="C229" s="84" t="s">
        <v>203</v>
      </c>
      <c r="D229" s="83" t="s">
        <v>5</v>
      </c>
    </row>
    <row r="230" spans="1:4">
      <c r="A230" s="80"/>
      <c r="B230" s="2" t="s">
        <v>200</v>
      </c>
      <c r="C230" s="84" t="s">
        <v>171</v>
      </c>
      <c r="D230" s="83" t="s">
        <v>5</v>
      </c>
    </row>
    <row r="231" spans="1:4">
      <c r="A231" s="80"/>
      <c r="B231" s="2" t="s">
        <v>204</v>
      </c>
      <c r="C231" s="84" t="s">
        <v>171</v>
      </c>
      <c r="D231" s="83" t="s">
        <v>5</v>
      </c>
    </row>
    <row r="232" spans="1:4">
      <c r="A232" s="80"/>
      <c r="B232" s="2" t="s">
        <v>205</v>
      </c>
      <c r="C232" s="84" t="s">
        <v>171</v>
      </c>
      <c r="D232" s="83" t="s">
        <v>5</v>
      </c>
    </row>
    <row r="233" spans="1:4">
      <c r="A233" s="80"/>
      <c r="B233" s="2" t="s">
        <v>206</v>
      </c>
      <c r="C233" s="84" t="s">
        <v>171</v>
      </c>
      <c r="D233" s="83" t="s">
        <v>5</v>
      </c>
    </row>
    <row r="234" spans="1:4">
      <c r="A234" s="85"/>
      <c r="B234" s="2" t="s">
        <v>207</v>
      </c>
      <c r="C234" s="93" t="s">
        <v>97</v>
      </c>
      <c r="D234" s="87" t="s">
        <v>47</v>
      </c>
    </row>
    <row r="236" spans="1:4">
      <c r="A236" s="86">
        <v>45981</v>
      </c>
      <c r="B236" s="99" t="s">
        <v>50</v>
      </c>
      <c r="C236" s="93" t="s">
        <v>106</v>
      </c>
      <c r="D236" s="87" t="s">
        <v>47</v>
      </c>
    </row>
    <row r="237" spans="1:4">
      <c r="A237" s="80"/>
      <c r="B237" s="99" t="s">
        <v>144</v>
      </c>
      <c r="C237" s="93" t="s">
        <v>134</v>
      </c>
      <c r="D237" s="87" t="s">
        <v>47</v>
      </c>
    </row>
    <row r="238" spans="1:4">
      <c r="A238" s="80"/>
      <c r="B238" s="89" t="s">
        <v>107</v>
      </c>
      <c r="C238" s="93" t="s">
        <v>156</v>
      </c>
      <c r="D238" s="87" t="s">
        <v>47</v>
      </c>
    </row>
    <row r="239" spans="1:4">
      <c r="A239" s="80"/>
      <c r="B239" s="89" t="s">
        <v>128</v>
      </c>
      <c r="C239" s="93" t="s">
        <v>151</v>
      </c>
      <c r="D239" s="87" t="s">
        <v>47</v>
      </c>
    </row>
    <row r="240" spans="1:4">
      <c r="A240" s="80"/>
      <c r="B240" s="89" t="s">
        <v>160</v>
      </c>
      <c r="C240" s="78" t="s">
        <v>161</v>
      </c>
      <c r="D240" s="87" t="s">
        <v>47</v>
      </c>
    </row>
    <row r="241" spans="1:4">
      <c r="A241" s="80"/>
      <c r="B241" s="89" t="s">
        <v>165</v>
      </c>
      <c r="C241" s="93" t="s">
        <v>201</v>
      </c>
      <c r="D241" s="87" t="s">
        <v>47</v>
      </c>
    </row>
    <row r="242" spans="1:4">
      <c r="A242" s="80"/>
      <c r="B242" s="89" t="s">
        <v>172</v>
      </c>
      <c r="C242" s="93" t="s">
        <v>202</v>
      </c>
      <c r="D242" s="87" t="s">
        <v>47</v>
      </c>
    </row>
    <row r="243" spans="1:4">
      <c r="A243" s="80"/>
      <c r="B243" s="89" t="s">
        <v>181</v>
      </c>
      <c r="C243" s="84" t="s">
        <v>208</v>
      </c>
      <c r="D243" s="87" t="s">
        <v>5</v>
      </c>
    </row>
    <row r="244" spans="1:4">
      <c r="A244" s="80"/>
      <c r="B244" s="89" t="s">
        <v>185</v>
      </c>
      <c r="C244" s="93" t="s">
        <v>186</v>
      </c>
      <c r="D244" s="87" t="s">
        <v>47</v>
      </c>
    </row>
    <row r="245" spans="1:4">
      <c r="A245" s="80"/>
      <c r="B245" s="89" t="s">
        <v>194</v>
      </c>
      <c r="C245" s="93" t="s">
        <v>195</v>
      </c>
      <c r="D245" s="87" t="s">
        <v>47</v>
      </c>
    </row>
    <row r="246" spans="1:4">
      <c r="A246" s="80"/>
      <c r="B246" s="89" t="s">
        <v>207</v>
      </c>
      <c r="C246" s="93" t="s">
        <v>97</v>
      </c>
      <c r="D246" s="87" t="s">
        <v>47</v>
      </c>
    </row>
    <row r="247" spans="1:4">
      <c r="A247" s="80"/>
      <c r="B247" s="89" t="s">
        <v>209</v>
      </c>
      <c r="C247" s="84" t="s">
        <v>171</v>
      </c>
      <c r="D247" s="87" t="s">
        <v>5</v>
      </c>
    </row>
    <row r="248" spans="1:4">
      <c r="A248" s="80"/>
      <c r="B248" s="89" t="s">
        <v>210</v>
      </c>
      <c r="C248" s="84" t="s">
        <v>171</v>
      </c>
      <c r="D248" s="87" t="s">
        <v>5</v>
      </c>
    </row>
    <row r="249" spans="1:4">
      <c r="A249" s="80"/>
      <c r="B249" s="100" t="s">
        <v>211</v>
      </c>
      <c r="C249" s="101" t="s">
        <v>97</v>
      </c>
      <c r="D249" s="102" t="s">
        <v>47</v>
      </c>
    </row>
    <row r="250" spans="1:4">
      <c r="A250" s="85"/>
      <c r="B250" s="100" t="s">
        <v>212</v>
      </c>
      <c r="C250" s="101" t="s">
        <v>97</v>
      </c>
      <c r="D250" s="102" t="s">
        <v>47</v>
      </c>
    </row>
    <row r="252" spans="1:4">
      <c r="A252" s="86">
        <v>45982</v>
      </c>
      <c r="B252" s="98" t="s">
        <v>50</v>
      </c>
      <c r="C252" s="93" t="s">
        <v>106</v>
      </c>
      <c r="D252" s="87" t="s">
        <v>47</v>
      </c>
    </row>
    <row r="253" spans="1:4">
      <c r="A253" s="80"/>
      <c r="B253" s="98" t="s">
        <v>144</v>
      </c>
      <c r="C253" s="93" t="s">
        <v>134</v>
      </c>
      <c r="D253" s="87" t="s">
        <v>47</v>
      </c>
    </row>
    <row r="254" spans="1:4">
      <c r="A254" s="80"/>
      <c r="B254" s="2" t="s">
        <v>107</v>
      </c>
      <c r="C254" s="93" t="s">
        <v>156</v>
      </c>
      <c r="D254" s="87" t="s">
        <v>47</v>
      </c>
    </row>
    <row r="255" spans="1:4">
      <c r="A255" s="80"/>
      <c r="B255" s="2" t="s">
        <v>128</v>
      </c>
      <c r="C255" s="93" t="s">
        <v>151</v>
      </c>
      <c r="D255" s="87" t="s">
        <v>47</v>
      </c>
    </row>
    <row r="256" spans="1:4">
      <c r="A256" s="80"/>
      <c r="B256" s="2" t="s">
        <v>160</v>
      </c>
      <c r="C256" s="78" t="s">
        <v>161</v>
      </c>
      <c r="D256" s="87" t="s">
        <v>47</v>
      </c>
    </row>
    <row r="257" spans="1:4">
      <c r="A257" s="80"/>
      <c r="B257" s="2" t="s">
        <v>165</v>
      </c>
      <c r="C257" s="93" t="s">
        <v>201</v>
      </c>
      <c r="D257" s="87" t="s">
        <v>47</v>
      </c>
    </row>
    <row r="258" spans="1:4">
      <c r="A258" s="80"/>
      <c r="B258" s="2" t="s">
        <v>172</v>
      </c>
      <c r="C258" s="78" t="s">
        <v>202</v>
      </c>
      <c r="D258" s="87" t="s">
        <v>47</v>
      </c>
    </row>
    <row r="259" spans="1:4">
      <c r="A259" s="80"/>
      <c r="B259" s="2" t="s">
        <v>185</v>
      </c>
      <c r="C259" s="93" t="s">
        <v>186</v>
      </c>
      <c r="D259" s="87" t="s">
        <v>47</v>
      </c>
    </row>
    <row r="260" spans="1:4">
      <c r="A260" s="80"/>
      <c r="B260" s="2" t="s">
        <v>194</v>
      </c>
      <c r="C260" s="93" t="s">
        <v>195</v>
      </c>
      <c r="D260" s="87" t="s">
        <v>47</v>
      </c>
    </row>
    <row r="261" spans="1:4">
      <c r="A261" s="80"/>
      <c r="B261" s="2" t="s">
        <v>207</v>
      </c>
      <c r="C261" s="78" t="s">
        <v>97</v>
      </c>
      <c r="D261" s="87" t="s">
        <v>47</v>
      </c>
    </row>
    <row r="262" spans="1:4">
      <c r="A262" s="80"/>
      <c r="B262" s="100" t="s">
        <v>211</v>
      </c>
      <c r="C262" s="101" t="s">
        <v>97</v>
      </c>
      <c r="D262" s="102" t="s">
        <v>47</v>
      </c>
    </row>
    <row r="263" spans="1:4">
      <c r="A263" s="80"/>
      <c r="B263" s="100" t="s">
        <v>212</v>
      </c>
      <c r="C263" s="101" t="s">
        <v>97</v>
      </c>
      <c r="D263" s="102" t="s">
        <v>47</v>
      </c>
    </row>
    <row r="264" spans="1:4">
      <c r="A264" s="80"/>
      <c r="B264" s="2" t="s">
        <v>213</v>
      </c>
      <c r="C264" s="93" t="s">
        <v>214</v>
      </c>
      <c r="D264" s="87" t="s">
        <v>47</v>
      </c>
    </row>
    <row r="265" spans="1:4">
      <c r="A265" s="85"/>
      <c r="B265" s="2" t="s">
        <v>215</v>
      </c>
      <c r="C265" s="84" t="s">
        <v>171</v>
      </c>
      <c r="D265" s="87" t="s">
        <v>5</v>
      </c>
    </row>
    <row r="267" spans="1:4">
      <c r="A267" s="86">
        <v>45983</v>
      </c>
      <c r="B267" s="98" t="s">
        <v>50</v>
      </c>
      <c r="C267" s="93" t="s">
        <v>106</v>
      </c>
      <c r="D267" s="87" t="s">
        <v>47</v>
      </c>
    </row>
    <row r="268" spans="1:4">
      <c r="A268" s="80"/>
      <c r="B268" s="98" t="s">
        <v>144</v>
      </c>
      <c r="C268" s="93" t="s">
        <v>134</v>
      </c>
      <c r="D268" s="87" t="s">
        <v>47</v>
      </c>
    </row>
    <row r="269" spans="1:4">
      <c r="A269" s="80"/>
      <c r="B269" s="2" t="s">
        <v>107</v>
      </c>
      <c r="C269" s="93" t="s">
        <v>156</v>
      </c>
      <c r="D269" s="87" t="s">
        <v>47</v>
      </c>
    </row>
    <row r="270" spans="1:4">
      <c r="A270" s="80"/>
      <c r="B270" s="2" t="s">
        <v>128</v>
      </c>
      <c r="C270" s="93" t="s">
        <v>151</v>
      </c>
      <c r="D270" s="87" t="s">
        <v>47</v>
      </c>
    </row>
    <row r="271" spans="1:4">
      <c r="A271" s="80"/>
      <c r="B271" s="2" t="s">
        <v>160</v>
      </c>
      <c r="C271" s="78" t="s">
        <v>161</v>
      </c>
      <c r="D271" s="87" t="s">
        <v>47</v>
      </c>
    </row>
    <row r="272" spans="1:4">
      <c r="A272" s="80"/>
      <c r="B272" s="2" t="s">
        <v>165</v>
      </c>
      <c r="C272" s="93" t="s">
        <v>201</v>
      </c>
      <c r="D272" s="87" t="s">
        <v>47</v>
      </c>
    </row>
    <row r="273" spans="1:4">
      <c r="A273" s="80"/>
      <c r="B273" s="2" t="s">
        <v>172</v>
      </c>
      <c r="C273" s="78" t="s">
        <v>202</v>
      </c>
      <c r="D273" s="87" t="s">
        <v>47</v>
      </c>
    </row>
    <row r="274" spans="1:4">
      <c r="A274" s="80"/>
      <c r="B274" s="2" t="s">
        <v>185</v>
      </c>
      <c r="C274" s="93" t="s">
        <v>186</v>
      </c>
      <c r="D274" s="87" t="s">
        <v>47</v>
      </c>
    </row>
    <row r="275" spans="1:4">
      <c r="A275" s="80"/>
      <c r="B275" s="2" t="s">
        <v>194</v>
      </c>
      <c r="C275" s="93" t="s">
        <v>195</v>
      </c>
      <c r="D275" s="87" t="s">
        <v>47</v>
      </c>
    </row>
    <row r="276" spans="1:4">
      <c r="A276" s="80"/>
      <c r="B276" s="2" t="s">
        <v>207</v>
      </c>
      <c r="C276" s="78" t="s">
        <v>216</v>
      </c>
      <c r="D276" s="87" t="s">
        <v>47</v>
      </c>
    </row>
    <row r="277" spans="1:4">
      <c r="A277" s="80"/>
      <c r="B277" s="100" t="s">
        <v>211</v>
      </c>
      <c r="C277" s="101" t="s">
        <v>97</v>
      </c>
      <c r="D277" s="102" t="s">
        <v>47</v>
      </c>
    </row>
    <row r="278" spans="1:4">
      <c r="A278" s="80"/>
      <c r="B278" s="100" t="s">
        <v>212</v>
      </c>
      <c r="C278" s="101" t="s">
        <v>97</v>
      </c>
      <c r="D278" s="102" t="s">
        <v>47</v>
      </c>
    </row>
    <row r="279" spans="1:4">
      <c r="A279" s="80"/>
      <c r="B279" s="2" t="s">
        <v>213</v>
      </c>
      <c r="C279" s="93" t="s">
        <v>214</v>
      </c>
      <c r="D279" s="87" t="s">
        <v>47</v>
      </c>
    </row>
    <row r="280" spans="1:4">
      <c r="A280" s="80"/>
      <c r="B280" s="2" t="s">
        <v>217</v>
      </c>
      <c r="C280" s="93" t="s">
        <v>218</v>
      </c>
      <c r="D280" s="87" t="s">
        <v>47</v>
      </c>
    </row>
    <row r="281" spans="1:4">
      <c r="A281" s="80"/>
      <c r="B281" s="2" t="s">
        <v>118</v>
      </c>
      <c r="C281" s="93" t="s">
        <v>218</v>
      </c>
      <c r="D281" s="87" t="s">
        <v>47</v>
      </c>
    </row>
    <row r="282" spans="1:4">
      <c r="A282" s="80"/>
      <c r="B282" s="2" t="s">
        <v>219</v>
      </c>
      <c r="C282" s="93" t="s">
        <v>220</v>
      </c>
      <c r="D282" s="87" t="s">
        <v>47</v>
      </c>
    </row>
    <row r="283" spans="1:4">
      <c r="A283" s="80"/>
      <c r="B283" s="2" t="s">
        <v>221</v>
      </c>
      <c r="C283" s="93" t="s">
        <v>222</v>
      </c>
      <c r="D283" s="87" t="s">
        <v>47</v>
      </c>
    </row>
    <row r="284" spans="1:4">
      <c r="A284" s="80"/>
      <c r="B284" s="2" t="s">
        <v>223</v>
      </c>
      <c r="C284" s="84" t="s">
        <v>171</v>
      </c>
      <c r="D284" s="87" t="s">
        <v>5</v>
      </c>
    </row>
    <row r="285" spans="1:4">
      <c r="A285" s="85"/>
      <c r="B285" s="2" t="s">
        <v>224</v>
      </c>
      <c r="C285" s="93" t="s">
        <v>225</v>
      </c>
      <c r="D285" s="87" t="s">
        <v>47</v>
      </c>
    </row>
    <row r="287" spans="1:4">
      <c r="A287" s="86">
        <v>45985</v>
      </c>
      <c r="B287" s="98" t="s">
        <v>50</v>
      </c>
      <c r="C287" s="93" t="s">
        <v>106</v>
      </c>
      <c r="D287" s="87" t="s">
        <v>47</v>
      </c>
    </row>
    <row r="288" spans="1:4">
      <c r="A288" s="80"/>
      <c r="B288" s="98" t="s">
        <v>144</v>
      </c>
      <c r="C288" s="93" t="s">
        <v>134</v>
      </c>
      <c r="D288" s="87" t="s">
        <v>47</v>
      </c>
    </row>
    <row r="289" spans="1:4">
      <c r="A289" s="80"/>
      <c r="B289" s="2" t="s">
        <v>107</v>
      </c>
      <c r="C289" s="78" t="s">
        <v>226</v>
      </c>
      <c r="D289" s="87" t="s">
        <v>47</v>
      </c>
    </row>
    <row r="290" spans="1:4">
      <c r="A290" s="80"/>
      <c r="B290" s="2" t="s">
        <v>128</v>
      </c>
      <c r="C290" s="84" t="s">
        <v>227</v>
      </c>
      <c r="D290" s="87" t="s">
        <v>5</v>
      </c>
    </row>
    <row r="291" spans="1:4">
      <c r="A291" s="80"/>
      <c r="B291" s="2" t="s">
        <v>160</v>
      </c>
      <c r="C291" s="78" t="s">
        <v>228</v>
      </c>
      <c r="D291" s="87" t="s">
        <v>47</v>
      </c>
    </row>
    <row r="292" spans="1:4">
      <c r="A292" s="80"/>
      <c r="B292" s="2" t="s">
        <v>165</v>
      </c>
      <c r="C292" s="84" t="s">
        <v>229</v>
      </c>
      <c r="D292" s="87" t="s">
        <v>5</v>
      </c>
    </row>
    <row r="293" spans="1:4">
      <c r="A293" s="80"/>
      <c r="B293" s="2" t="s">
        <v>172</v>
      </c>
      <c r="C293" s="78" t="s">
        <v>202</v>
      </c>
      <c r="D293" s="87" t="s">
        <v>47</v>
      </c>
    </row>
    <row r="294" spans="1:4">
      <c r="A294" s="80"/>
      <c r="B294" s="2" t="s">
        <v>185</v>
      </c>
      <c r="C294" s="93" t="s">
        <v>230</v>
      </c>
      <c r="D294" s="87" t="s">
        <v>47</v>
      </c>
    </row>
    <row r="295" spans="1:4">
      <c r="A295" s="80"/>
      <c r="B295" s="2" t="s">
        <v>194</v>
      </c>
      <c r="C295" s="84" t="s">
        <v>231</v>
      </c>
      <c r="D295" s="87" t="s">
        <v>5</v>
      </c>
    </row>
    <row r="296" spans="1:4">
      <c r="A296" s="80"/>
      <c r="B296" s="2" t="s">
        <v>207</v>
      </c>
      <c r="C296" s="78" t="s">
        <v>216</v>
      </c>
      <c r="D296" s="87" t="s">
        <v>47</v>
      </c>
    </row>
    <row r="297" spans="1:4">
      <c r="A297" s="80"/>
      <c r="B297" s="100" t="s">
        <v>211</v>
      </c>
      <c r="C297" s="97" t="s">
        <v>232</v>
      </c>
      <c r="D297" s="102" t="s">
        <v>5</v>
      </c>
    </row>
    <row r="298" spans="1:4">
      <c r="A298" s="80"/>
      <c r="B298" s="100" t="s">
        <v>212</v>
      </c>
      <c r="C298" s="101" t="s">
        <v>97</v>
      </c>
      <c r="D298" s="102" t="s">
        <v>47</v>
      </c>
    </row>
    <row r="299" spans="1:4">
      <c r="A299" s="80"/>
      <c r="B299" s="2" t="s">
        <v>213</v>
      </c>
      <c r="C299" s="84" t="s">
        <v>233</v>
      </c>
      <c r="D299" s="87" t="s">
        <v>5</v>
      </c>
    </row>
    <row r="300" spans="1:4">
      <c r="A300" s="80"/>
      <c r="B300" s="2" t="s">
        <v>217</v>
      </c>
      <c r="C300" s="93" t="s">
        <v>218</v>
      </c>
      <c r="D300" s="87" t="s">
        <v>47</v>
      </c>
    </row>
    <row r="301" spans="1:4">
      <c r="A301" s="80"/>
      <c r="B301" s="2" t="s">
        <v>118</v>
      </c>
      <c r="C301" s="93" t="s">
        <v>234</v>
      </c>
      <c r="D301" s="87" t="s">
        <v>47</v>
      </c>
    </row>
    <row r="302" spans="1:4">
      <c r="A302" s="80"/>
      <c r="B302" s="2" t="s">
        <v>219</v>
      </c>
      <c r="C302" s="84" t="s">
        <v>235</v>
      </c>
      <c r="D302" s="87" t="s">
        <v>5</v>
      </c>
    </row>
    <row r="303" spans="1:4">
      <c r="A303" s="80"/>
      <c r="B303" s="2" t="s">
        <v>221</v>
      </c>
      <c r="C303" s="93" t="s">
        <v>222</v>
      </c>
      <c r="D303" s="87" t="s">
        <v>47</v>
      </c>
    </row>
    <row r="304" spans="1:4">
      <c r="A304" s="80"/>
      <c r="B304" s="2" t="s">
        <v>224</v>
      </c>
      <c r="C304" s="84" t="s">
        <v>236</v>
      </c>
      <c r="D304" s="87" t="s">
        <v>5</v>
      </c>
    </row>
    <row r="305" spans="1:4">
      <c r="A305" s="80"/>
      <c r="B305" s="2" t="s">
        <v>237</v>
      </c>
      <c r="C305" s="93" t="s">
        <v>97</v>
      </c>
      <c r="D305" s="87" t="s">
        <v>47</v>
      </c>
    </row>
    <row r="306" spans="1:4">
      <c r="A306" s="85"/>
      <c r="B306" s="2" t="s">
        <v>238</v>
      </c>
      <c r="C306" s="93" t="s">
        <v>239</v>
      </c>
      <c r="D306" s="87" t="s">
        <v>47</v>
      </c>
    </row>
    <row r="308" spans="1:4">
      <c r="A308" s="86">
        <v>45986</v>
      </c>
      <c r="B308" s="98" t="s">
        <v>50</v>
      </c>
      <c r="C308" s="93" t="s">
        <v>106</v>
      </c>
      <c r="D308" s="87" t="s">
        <v>47</v>
      </c>
    </row>
    <row r="309" spans="1:4">
      <c r="A309" s="80"/>
      <c r="B309" s="98" t="s">
        <v>144</v>
      </c>
      <c r="C309" s="93" t="s">
        <v>134</v>
      </c>
      <c r="D309" s="87" t="s">
        <v>47</v>
      </c>
    </row>
    <row r="310" spans="1:4">
      <c r="A310" s="80"/>
      <c r="B310" s="2" t="s">
        <v>107</v>
      </c>
      <c r="C310" s="78" t="s">
        <v>226</v>
      </c>
      <c r="D310" s="87" t="s">
        <v>47</v>
      </c>
    </row>
    <row r="311" spans="1:4">
      <c r="A311" s="80"/>
      <c r="B311" s="2" t="s">
        <v>160</v>
      </c>
      <c r="C311" s="78" t="s">
        <v>228</v>
      </c>
      <c r="D311" s="87" t="s">
        <v>47</v>
      </c>
    </row>
    <row r="312" spans="1:4">
      <c r="A312" s="80"/>
      <c r="B312" s="2" t="s">
        <v>172</v>
      </c>
      <c r="C312" s="78" t="s">
        <v>202</v>
      </c>
      <c r="D312" s="87" t="s">
        <v>47</v>
      </c>
    </row>
    <row r="313" spans="1:4">
      <c r="A313" s="80"/>
      <c r="B313" s="2" t="s">
        <v>185</v>
      </c>
      <c r="C313" s="84" t="s">
        <v>171</v>
      </c>
      <c r="D313" s="87" t="s">
        <v>5</v>
      </c>
    </row>
    <row r="314" spans="1:4">
      <c r="A314" s="80"/>
      <c r="B314" s="2" t="s">
        <v>207</v>
      </c>
      <c r="C314" s="84" t="s">
        <v>240</v>
      </c>
      <c r="D314" s="87" t="s">
        <v>5</v>
      </c>
    </row>
    <row r="315" spans="1:4">
      <c r="A315" s="80"/>
      <c r="B315" s="100" t="s">
        <v>212</v>
      </c>
      <c r="C315" s="97" t="s">
        <v>241</v>
      </c>
      <c r="D315" s="102" t="s">
        <v>5</v>
      </c>
    </row>
    <row r="316" spans="1:4">
      <c r="A316" s="80"/>
      <c r="B316" s="2" t="s">
        <v>217</v>
      </c>
      <c r="C316" s="78" t="s">
        <v>242</v>
      </c>
      <c r="D316" s="87" t="s">
        <v>47</v>
      </c>
    </row>
    <row r="317" spans="1:4">
      <c r="A317" s="80"/>
      <c r="B317" s="2" t="s">
        <v>118</v>
      </c>
      <c r="C317" s="84" t="s">
        <v>171</v>
      </c>
      <c r="D317" s="87" t="s">
        <v>5</v>
      </c>
    </row>
    <row r="318" spans="1:4">
      <c r="A318" s="80"/>
      <c r="B318" s="2" t="s">
        <v>243</v>
      </c>
      <c r="C318" s="84" t="s">
        <v>171</v>
      </c>
      <c r="D318" s="87" t="s">
        <v>5</v>
      </c>
    </row>
    <row r="319" spans="1:4">
      <c r="A319" s="80"/>
      <c r="B319" s="2" t="s">
        <v>221</v>
      </c>
      <c r="C319" s="93" t="s">
        <v>244</v>
      </c>
      <c r="D319" s="87" t="s">
        <v>47</v>
      </c>
    </row>
    <row r="320" spans="1:4">
      <c r="A320" s="80"/>
      <c r="B320" s="2" t="s">
        <v>237</v>
      </c>
      <c r="C320" s="84" t="s">
        <v>171</v>
      </c>
      <c r="D320" s="87" t="s">
        <v>5</v>
      </c>
    </row>
    <row r="321" spans="1:4">
      <c r="A321" s="80"/>
      <c r="B321" s="2" t="s">
        <v>238</v>
      </c>
      <c r="C321" s="93" t="s">
        <v>245</v>
      </c>
      <c r="D321" s="87" t="s">
        <v>47</v>
      </c>
    </row>
    <row r="322" spans="1:4">
      <c r="A322" s="85"/>
      <c r="B322" s="2" t="s">
        <v>246</v>
      </c>
      <c r="C322" s="78" t="s">
        <v>247</v>
      </c>
      <c r="D322" s="87" t="s">
        <v>47</v>
      </c>
    </row>
    <row r="324" spans="1:4">
      <c r="A324" s="86">
        <v>45987</v>
      </c>
      <c r="B324" s="98" t="s">
        <v>50</v>
      </c>
      <c r="C324" s="93" t="s">
        <v>106</v>
      </c>
      <c r="D324" s="87" t="s">
        <v>47</v>
      </c>
    </row>
    <row r="325" spans="1:4">
      <c r="A325" s="80"/>
      <c r="B325" s="98" t="s">
        <v>144</v>
      </c>
      <c r="C325" s="93" t="s">
        <v>134</v>
      </c>
      <c r="D325" s="87" t="s">
        <v>47</v>
      </c>
    </row>
    <row r="326" spans="1:4">
      <c r="A326" s="80"/>
      <c r="B326" s="2" t="s">
        <v>107</v>
      </c>
      <c r="C326" s="78" t="s">
        <v>226</v>
      </c>
      <c r="D326" s="87" t="s">
        <v>47</v>
      </c>
    </row>
    <row r="327" spans="1:4">
      <c r="A327" s="80"/>
      <c r="B327" s="2" t="s">
        <v>160</v>
      </c>
      <c r="C327" s="78" t="s">
        <v>248</v>
      </c>
      <c r="D327" s="87" t="s">
        <v>47</v>
      </c>
    </row>
    <row r="328" spans="1:4">
      <c r="A328" s="80"/>
      <c r="B328" s="2" t="s">
        <v>172</v>
      </c>
      <c r="C328" s="78" t="s">
        <v>249</v>
      </c>
      <c r="D328" s="87" t="s">
        <v>47</v>
      </c>
    </row>
    <row r="329" spans="1:4">
      <c r="A329" s="80"/>
      <c r="B329" s="2" t="s">
        <v>217</v>
      </c>
      <c r="C329" s="84" t="s">
        <v>250</v>
      </c>
      <c r="D329" s="87" t="s">
        <v>5</v>
      </c>
    </row>
    <row r="330" spans="1:4">
      <c r="A330" s="80"/>
      <c r="B330" s="2" t="s">
        <v>221</v>
      </c>
      <c r="C330" s="93" t="s">
        <v>251</v>
      </c>
      <c r="D330" s="87" t="s">
        <v>47</v>
      </c>
    </row>
    <row r="331" spans="1:4">
      <c r="A331" s="80"/>
      <c r="B331" s="2" t="s">
        <v>238</v>
      </c>
      <c r="C331" s="93" t="s">
        <v>252</v>
      </c>
      <c r="D331" s="87" t="s">
        <v>47</v>
      </c>
    </row>
    <row r="332" spans="1:4">
      <c r="A332" s="80"/>
      <c r="B332" s="2" t="s">
        <v>253</v>
      </c>
      <c r="C332" s="78" t="s">
        <v>254</v>
      </c>
      <c r="D332" s="87" t="s">
        <v>47</v>
      </c>
    </row>
    <row r="333" spans="1:4">
      <c r="A333" s="80"/>
      <c r="B333" s="2" t="s">
        <v>255</v>
      </c>
      <c r="C333" s="84" t="s">
        <v>256</v>
      </c>
      <c r="D333" s="87" t="s">
        <v>5</v>
      </c>
    </row>
    <row r="334" spans="1:4">
      <c r="A334" s="80"/>
      <c r="B334" s="2" t="s">
        <v>257</v>
      </c>
      <c r="C334" s="84" t="s">
        <v>256</v>
      </c>
      <c r="D334" s="87" t="s">
        <v>5</v>
      </c>
    </row>
    <row r="335" spans="1:4">
      <c r="A335" s="80"/>
      <c r="B335" s="2" t="s">
        <v>258</v>
      </c>
      <c r="C335" s="84" t="s">
        <v>256</v>
      </c>
      <c r="D335" s="87" t="s">
        <v>5</v>
      </c>
    </row>
    <row r="336" spans="1:4">
      <c r="A336" s="80"/>
      <c r="B336" s="2" t="s">
        <v>259</v>
      </c>
      <c r="C336" s="78" t="s">
        <v>97</v>
      </c>
      <c r="D336" s="87" t="s">
        <v>47</v>
      </c>
    </row>
    <row r="337" spans="1:4">
      <c r="A337" s="80"/>
      <c r="B337" s="2" t="s">
        <v>260</v>
      </c>
      <c r="C337" s="78" t="s">
        <v>261</v>
      </c>
      <c r="D337" s="87" t="s">
        <v>47</v>
      </c>
    </row>
    <row r="338" spans="1:4">
      <c r="A338" s="85"/>
      <c r="B338" s="2" t="s">
        <v>262</v>
      </c>
      <c r="C338" s="84" t="s">
        <v>171</v>
      </c>
      <c r="D338" s="87" t="s">
        <v>5</v>
      </c>
    </row>
    <row r="340" spans="1:4">
      <c r="A340" s="86">
        <v>45988</v>
      </c>
      <c r="B340" s="98" t="s">
        <v>50</v>
      </c>
      <c r="C340" s="93" t="s">
        <v>106</v>
      </c>
      <c r="D340" s="87" t="s">
        <v>47</v>
      </c>
    </row>
    <row r="341" spans="1:4">
      <c r="A341" s="80"/>
      <c r="B341" s="98" t="s">
        <v>144</v>
      </c>
      <c r="C341" s="93" t="s">
        <v>134</v>
      </c>
      <c r="D341" s="87" t="s">
        <v>47</v>
      </c>
    </row>
    <row r="342" spans="1:4">
      <c r="A342" s="80"/>
      <c r="B342" s="2" t="s">
        <v>107</v>
      </c>
      <c r="C342" s="78" t="s">
        <v>263</v>
      </c>
      <c r="D342" s="87" t="s">
        <v>47</v>
      </c>
    </row>
    <row r="343" spans="1:4">
      <c r="A343" s="80"/>
      <c r="B343" s="2" t="s">
        <v>160</v>
      </c>
      <c r="C343" s="78" t="s">
        <v>264</v>
      </c>
      <c r="D343" s="87" t="s">
        <v>47</v>
      </c>
    </row>
    <row r="344" spans="1:4">
      <c r="A344" s="80"/>
      <c r="B344" s="2" t="s">
        <v>172</v>
      </c>
      <c r="C344" s="78" t="s">
        <v>249</v>
      </c>
      <c r="D344" s="87" t="s">
        <v>47</v>
      </c>
    </row>
    <row r="345" spans="1:4">
      <c r="A345" s="80"/>
      <c r="B345" s="2" t="s">
        <v>221</v>
      </c>
      <c r="C345" s="93" t="s">
        <v>251</v>
      </c>
      <c r="D345" s="87" t="s">
        <v>47</v>
      </c>
    </row>
    <row r="346" spans="1:4">
      <c r="A346" s="80"/>
      <c r="B346" s="2" t="s">
        <v>238</v>
      </c>
      <c r="C346" s="93" t="s">
        <v>265</v>
      </c>
      <c r="D346" s="87" t="s">
        <v>47</v>
      </c>
    </row>
    <row r="347" spans="1:4">
      <c r="A347" s="80"/>
      <c r="B347" s="2" t="s">
        <v>253</v>
      </c>
      <c r="C347" s="84" t="s">
        <v>171</v>
      </c>
      <c r="D347" s="87" t="s">
        <v>5</v>
      </c>
    </row>
    <row r="348" spans="1:4">
      <c r="A348" s="80"/>
      <c r="B348" s="2" t="s">
        <v>259</v>
      </c>
      <c r="C348" s="78" t="s">
        <v>97</v>
      </c>
      <c r="D348" s="87" t="s">
        <v>47</v>
      </c>
    </row>
    <row r="349" customFormat="1" spans="1:8">
      <c r="A349" s="80"/>
      <c r="B349" s="2" t="s">
        <v>260</v>
      </c>
      <c r="C349" s="84" t="s">
        <v>171</v>
      </c>
      <c r="D349" s="87" t="s">
        <v>5</v>
      </c>
      <c r="H349" s="75"/>
    </row>
    <row r="350" spans="1:4">
      <c r="A350" s="80"/>
      <c r="B350" s="2" t="s">
        <v>266</v>
      </c>
      <c r="C350" s="84" t="s">
        <v>171</v>
      </c>
      <c r="D350" s="87" t="s">
        <v>5</v>
      </c>
    </row>
    <row r="351" spans="1:4">
      <c r="A351" s="80"/>
      <c r="B351" s="2" t="s">
        <v>267</v>
      </c>
      <c r="C351" s="84" t="s">
        <v>171</v>
      </c>
      <c r="D351" s="87" t="s">
        <v>5</v>
      </c>
    </row>
    <row r="352" spans="1:4">
      <c r="A352" s="80"/>
      <c r="B352" s="2" t="s">
        <v>268</v>
      </c>
      <c r="C352" s="93" t="s">
        <v>269</v>
      </c>
      <c r="D352" s="87" t="s">
        <v>47</v>
      </c>
    </row>
    <row r="353" spans="1:4">
      <c r="A353" s="80"/>
      <c r="B353" s="2" t="s">
        <v>270</v>
      </c>
      <c r="C353" s="93" t="s">
        <v>269</v>
      </c>
      <c r="D353" s="87" t="s">
        <v>47</v>
      </c>
    </row>
    <row r="354" spans="1:4">
      <c r="A354" s="80"/>
      <c r="B354" s="2" t="s">
        <v>271</v>
      </c>
      <c r="C354" s="93" t="s">
        <v>269</v>
      </c>
      <c r="D354" s="87" t="s">
        <v>47</v>
      </c>
    </row>
    <row r="355" spans="1:4">
      <c r="A355" s="80"/>
      <c r="B355" s="2" t="s">
        <v>272</v>
      </c>
      <c r="C355" s="93" t="s">
        <v>97</v>
      </c>
      <c r="D355" s="87" t="s">
        <v>47</v>
      </c>
    </row>
    <row r="356" spans="1:4">
      <c r="A356" s="85"/>
      <c r="B356" s="2" t="s">
        <v>273</v>
      </c>
      <c r="C356" s="84" t="s">
        <v>171</v>
      </c>
      <c r="D356" s="87" t="s">
        <v>5</v>
      </c>
    </row>
    <row r="358" customFormat="1" spans="1:8">
      <c r="A358" s="86">
        <v>45989</v>
      </c>
      <c r="B358" s="98" t="s">
        <v>50</v>
      </c>
      <c r="C358" s="93" t="s">
        <v>106</v>
      </c>
      <c r="D358" s="87" t="s">
        <v>47</v>
      </c>
      <c r="H358" s="75"/>
    </row>
    <row r="359" customFormat="1" spans="1:8">
      <c r="A359" s="80"/>
      <c r="B359" s="98" t="s">
        <v>144</v>
      </c>
      <c r="C359" s="93" t="s">
        <v>134</v>
      </c>
      <c r="D359" s="87" t="s">
        <v>47</v>
      </c>
      <c r="H359" s="75"/>
    </row>
    <row r="360" customFormat="1" spans="1:8">
      <c r="A360" s="80"/>
      <c r="B360" s="2" t="s">
        <v>107</v>
      </c>
      <c r="C360" s="78" t="s">
        <v>263</v>
      </c>
      <c r="D360" s="87" t="s">
        <v>47</v>
      </c>
      <c r="H360" s="75"/>
    </row>
    <row r="361" customFormat="1" spans="1:8">
      <c r="A361" s="80"/>
      <c r="B361" s="2" t="s">
        <v>160</v>
      </c>
      <c r="C361" s="84" t="s">
        <v>171</v>
      </c>
      <c r="D361" s="87" t="s">
        <v>5</v>
      </c>
      <c r="H361" s="75"/>
    </row>
    <row r="362" customFormat="1" spans="1:8">
      <c r="A362" s="80"/>
      <c r="B362" s="2" t="s">
        <v>172</v>
      </c>
      <c r="C362" s="78" t="s">
        <v>249</v>
      </c>
      <c r="D362" s="87" t="s">
        <v>47</v>
      </c>
      <c r="H362" s="75"/>
    </row>
    <row r="363" customFormat="1" spans="1:8">
      <c r="A363" s="80"/>
      <c r="B363" s="2" t="s">
        <v>221</v>
      </c>
      <c r="C363" s="84" t="s">
        <v>274</v>
      </c>
      <c r="D363" s="87" t="s">
        <v>5</v>
      </c>
      <c r="H363" s="75"/>
    </row>
    <row r="364" customFormat="1" spans="1:8">
      <c r="A364" s="80"/>
      <c r="B364" s="2" t="s">
        <v>238</v>
      </c>
      <c r="C364" s="93" t="s">
        <v>265</v>
      </c>
      <c r="D364" s="87" t="s">
        <v>47</v>
      </c>
      <c r="H364" s="75"/>
    </row>
    <row r="365" customFormat="1" spans="1:8">
      <c r="A365" s="80"/>
      <c r="B365" s="2" t="s">
        <v>259</v>
      </c>
      <c r="C365" s="78" t="s">
        <v>97</v>
      </c>
      <c r="D365" s="87" t="s">
        <v>47</v>
      </c>
      <c r="H365" s="75"/>
    </row>
    <row r="366" customFormat="1" spans="1:8">
      <c r="A366" s="80"/>
      <c r="B366" s="2" t="s">
        <v>268</v>
      </c>
      <c r="C366" s="84" t="s">
        <v>171</v>
      </c>
      <c r="D366" s="87" t="s">
        <v>5</v>
      </c>
      <c r="H366" s="75"/>
    </row>
    <row r="367" customFormat="1" spans="1:8">
      <c r="A367" s="80"/>
      <c r="B367" s="2" t="s">
        <v>270</v>
      </c>
      <c r="C367" s="84" t="s">
        <v>171</v>
      </c>
      <c r="D367" s="87" t="s">
        <v>5</v>
      </c>
      <c r="H367" s="75"/>
    </row>
    <row r="368" customFormat="1" spans="1:8">
      <c r="A368" s="80"/>
      <c r="B368" s="2" t="s">
        <v>271</v>
      </c>
      <c r="C368" s="93" t="s">
        <v>275</v>
      </c>
      <c r="D368" s="87" t="s">
        <v>47</v>
      </c>
      <c r="H368" s="75"/>
    </row>
    <row r="369" customFormat="1" spans="1:8">
      <c r="A369" s="80"/>
      <c r="B369" s="2" t="s">
        <v>272</v>
      </c>
      <c r="C369" s="93" t="s">
        <v>97</v>
      </c>
      <c r="D369" s="87" t="s">
        <v>47</v>
      </c>
      <c r="H369" s="75"/>
    </row>
    <row r="370" spans="1:4">
      <c r="A370" s="85"/>
      <c r="B370" s="2" t="s">
        <v>276</v>
      </c>
      <c r="C370" s="93" t="s">
        <v>269</v>
      </c>
      <c r="D370" s="87" t="s">
        <v>47</v>
      </c>
    </row>
    <row r="372" spans="1:4">
      <c r="A372" s="88">
        <v>45990</v>
      </c>
      <c r="B372" s="98" t="s">
        <v>50</v>
      </c>
      <c r="C372" s="93" t="s">
        <v>106</v>
      </c>
      <c r="D372" s="87" t="s">
        <v>47</v>
      </c>
    </row>
    <row r="373" spans="1:4">
      <c r="A373" s="88"/>
      <c r="B373" s="98" t="s">
        <v>144</v>
      </c>
      <c r="C373" s="93" t="s">
        <v>134</v>
      </c>
      <c r="D373" s="87" t="s">
        <v>47</v>
      </c>
    </row>
    <row r="374" spans="1:4">
      <c r="A374" s="88"/>
      <c r="B374" s="2" t="s">
        <v>107</v>
      </c>
      <c r="C374" s="78" t="s">
        <v>263</v>
      </c>
      <c r="D374" s="87" t="s">
        <v>47</v>
      </c>
    </row>
    <row r="375" spans="1:4">
      <c r="A375" s="88"/>
      <c r="B375" s="2" t="s">
        <v>172</v>
      </c>
      <c r="C375" s="78" t="s">
        <v>249</v>
      </c>
      <c r="D375" s="87" t="s">
        <v>47</v>
      </c>
    </row>
    <row r="376" spans="1:4">
      <c r="A376" s="88"/>
      <c r="B376" s="2" t="s">
        <v>238</v>
      </c>
      <c r="C376" s="93" t="s">
        <v>277</v>
      </c>
      <c r="D376" s="87" t="s">
        <v>47</v>
      </c>
    </row>
    <row r="377" spans="1:4">
      <c r="A377" s="88"/>
      <c r="B377" s="2" t="s">
        <v>259</v>
      </c>
      <c r="C377" s="78" t="s">
        <v>97</v>
      </c>
      <c r="D377" s="87" t="s">
        <v>47</v>
      </c>
    </row>
    <row r="378" spans="1:4">
      <c r="A378" s="88"/>
      <c r="B378" s="2" t="s">
        <v>271</v>
      </c>
      <c r="C378" s="93" t="s">
        <v>275</v>
      </c>
      <c r="D378" s="87" t="s">
        <v>47</v>
      </c>
    </row>
    <row r="379" spans="1:4">
      <c r="A379" s="88"/>
      <c r="B379" s="2" t="s">
        <v>272</v>
      </c>
      <c r="C379" s="93" t="s">
        <v>97</v>
      </c>
      <c r="D379" s="87" t="s">
        <v>47</v>
      </c>
    </row>
    <row r="380" spans="1:4">
      <c r="A380" s="88"/>
      <c r="B380" s="2" t="s">
        <v>276</v>
      </c>
      <c r="C380" s="84" t="s">
        <v>171</v>
      </c>
      <c r="D380" s="87" t="s">
        <v>5</v>
      </c>
    </row>
    <row r="381" spans="1:4">
      <c r="A381" s="88"/>
      <c r="B381" s="2" t="s">
        <v>278</v>
      </c>
      <c r="C381" s="84" t="s">
        <v>171</v>
      </c>
      <c r="D381" s="87" t="s">
        <v>5</v>
      </c>
    </row>
    <row r="382" spans="1:4">
      <c r="A382" s="88"/>
      <c r="B382" s="2" t="s">
        <v>279</v>
      </c>
      <c r="C382" s="93" t="s">
        <v>269</v>
      </c>
      <c r="D382" s="87" t="s">
        <v>47</v>
      </c>
    </row>
    <row r="384" spans="1:4">
      <c r="A384" s="86">
        <v>45992</v>
      </c>
      <c r="B384" s="98" t="s">
        <v>50</v>
      </c>
      <c r="C384" s="93" t="s">
        <v>106</v>
      </c>
      <c r="D384" s="87" t="s">
        <v>47</v>
      </c>
    </row>
    <row r="385" spans="1:4">
      <c r="A385" s="80"/>
      <c r="B385" s="98" t="s">
        <v>144</v>
      </c>
      <c r="C385" s="93" t="s">
        <v>134</v>
      </c>
      <c r="D385" s="87" t="s">
        <v>47</v>
      </c>
    </row>
    <row r="386" spans="1:4">
      <c r="A386" s="80"/>
      <c r="B386" s="2" t="s">
        <v>107</v>
      </c>
      <c r="C386" s="78" t="s">
        <v>263</v>
      </c>
      <c r="D386" s="87" t="s">
        <v>47</v>
      </c>
    </row>
    <row r="387" spans="1:4">
      <c r="A387" s="80"/>
      <c r="B387" s="2" t="s">
        <v>172</v>
      </c>
      <c r="C387" s="78" t="s">
        <v>280</v>
      </c>
      <c r="D387" s="87" t="s">
        <v>47</v>
      </c>
    </row>
    <row r="388" spans="1:4">
      <c r="A388" s="80"/>
      <c r="B388" s="2" t="s">
        <v>238</v>
      </c>
      <c r="C388" s="93" t="s">
        <v>265</v>
      </c>
      <c r="D388" s="87" t="s">
        <v>47</v>
      </c>
    </row>
    <row r="389" spans="1:4">
      <c r="A389" s="80"/>
      <c r="B389" s="2" t="s">
        <v>259</v>
      </c>
      <c r="C389" s="78" t="s">
        <v>97</v>
      </c>
      <c r="D389" s="87" t="s">
        <v>47</v>
      </c>
    </row>
    <row r="390" spans="1:4">
      <c r="A390" s="80"/>
      <c r="B390" s="2" t="s">
        <v>271</v>
      </c>
      <c r="C390" s="93" t="s">
        <v>275</v>
      </c>
      <c r="D390" s="87" t="s">
        <v>47</v>
      </c>
    </row>
    <row r="391" spans="1:4">
      <c r="A391" s="80"/>
      <c r="B391" s="2" t="s">
        <v>272</v>
      </c>
      <c r="C391" s="93" t="s">
        <v>97</v>
      </c>
      <c r="D391" s="87" t="s">
        <v>47</v>
      </c>
    </row>
    <row r="392" spans="1:4">
      <c r="A392" s="80"/>
      <c r="B392" s="2" t="s">
        <v>279</v>
      </c>
      <c r="C392" s="93" t="s">
        <v>269</v>
      </c>
      <c r="D392" s="87" t="s">
        <v>47</v>
      </c>
    </row>
    <row r="393" spans="1:4">
      <c r="A393" s="80"/>
      <c r="B393" s="2" t="s">
        <v>281</v>
      </c>
      <c r="C393" s="84" t="s">
        <v>171</v>
      </c>
      <c r="D393" s="87" t="s">
        <v>5</v>
      </c>
    </row>
    <row r="394" spans="1:4">
      <c r="A394" s="80"/>
      <c r="B394" s="2" t="s">
        <v>282</v>
      </c>
      <c r="C394" s="84" t="s">
        <v>171</v>
      </c>
      <c r="D394" s="87" t="s">
        <v>5</v>
      </c>
    </row>
    <row r="395" spans="1:4">
      <c r="A395" s="80"/>
      <c r="B395" s="2" t="s">
        <v>283</v>
      </c>
      <c r="C395" s="93" t="s">
        <v>97</v>
      </c>
      <c r="D395" s="87" t="s">
        <v>47</v>
      </c>
    </row>
    <row r="396" spans="1:4">
      <c r="A396" s="85"/>
      <c r="B396" s="2" t="s">
        <v>284</v>
      </c>
      <c r="C396" s="93" t="s">
        <v>269</v>
      </c>
      <c r="D396" s="87" t="s">
        <v>47</v>
      </c>
    </row>
    <row r="398" spans="1:4">
      <c r="A398" s="86">
        <v>45993</v>
      </c>
      <c r="B398" s="98" t="s">
        <v>50</v>
      </c>
      <c r="C398" s="93" t="s">
        <v>106</v>
      </c>
      <c r="D398" s="83" t="s">
        <v>47</v>
      </c>
    </row>
    <row r="399" spans="1:4">
      <c r="A399" s="80"/>
      <c r="B399" s="98" t="s">
        <v>144</v>
      </c>
      <c r="C399" s="93" t="s">
        <v>134</v>
      </c>
      <c r="D399" s="83" t="s">
        <v>47</v>
      </c>
    </row>
    <row r="400" spans="1:4">
      <c r="A400" s="80"/>
      <c r="B400" s="2" t="s">
        <v>107</v>
      </c>
      <c r="C400" s="78" t="s">
        <v>263</v>
      </c>
      <c r="D400" s="83" t="s">
        <v>47</v>
      </c>
    </row>
    <row r="401" spans="1:4">
      <c r="A401" s="80"/>
      <c r="B401" s="2" t="s">
        <v>172</v>
      </c>
      <c r="C401" s="78" t="s">
        <v>280</v>
      </c>
      <c r="D401" s="83" t="s">
        <v>47</v>
      </c>
    </row>
    <row r="402" spans="1:4">
      <c r="A402" s="80"/>
      <c r="B402" s="2" t="s">
        <v>238</v>
      </c>
      <c r="C402" s="93" t="s">
        <v>285</v>
      </c>
      <c r="D402" s="83" t="s">
        <v>47</v>
      </c>
    </row>
    <row r="403" spans="1:4">
      <c r="A403" s="80"/>
      <c r="B403" s="2" t="s">
        <v>259</v>
      </c>
      <c r="C403" s="78" t="s">
        <v>97</v>
      </c>
      <c r="D403" s="83" t="s">
        <v>47</v>
      </c>
    </row>
    <row r="404" spans="1:4">
      <c r="A404" s="80"/>
      <c r="B404" s="2" t="s">
        <v>271</v>
      </c>
      <c r="C404" s="93" t="s">
        <v>275</v>
      </c>
      <c r="D404" s="83" t="s">
        <v>47</v>
      </c>
    </row>
    <row r="405" spans="1:4">
      <c r="A405" s="80"/>
      <c r="B405" s="2" t="s">
        <v>272</v>
      </c>
      <c r="C405" s="93" t="s">
        <v>97</v>
      </c>
      <c r="D405" s="83" t="s">
        <v>47</v>
      </c>
    </row>
    <row r="406" spans="1:4">
      <c r="A406" s="80"/>
      <c r="B406" s="2" t="s">
        <v>279</v>
      </c>
      <c r="C406" s="93" t="s">
        <v>286</v>
      </c>
      <c r="D406" s="83" t="s">
        <v>47</v>
      </c>
    </row>
    <row r="407" spans="1:4">
      <c r="A407" s="80"/>
      <c r="B407" s="2" t="s">
        <v>283</v>
      </c>
      <c r="C407" s="93" t="s">
        <v>97</v>
      </c>
      <c r="D407" s="83" t="s">
        <v>47</v>
      </c>
    </row>
    <row r="408" spans="1:4">
      <c r="A408" s="80"/>
      <c r="B408" s="2" t="s">
        <v>284</v>
      </c>
      <c r="C408" s="93" t="s">
        <v>97</v>
      </c>
      <c r="D408" s="83" t="s">
        <v>47</v>
      </c>
    </row>
    <row r="409" spans="1:4">
      <c r="A409" s="80"/>
      <c r="B409" s="2" t="s">
        <v>287</v>
      </c>
      <c r="C409" s="93" t="s">
        <v>269</v>
      </c>
      <c r="D409" s="83" t="s">
        <v>47</v>
      </c>
    </row>
    <row r="410" spans="1:4">
      <c r="A410" s="85"/>
      <c r="B410" s="2" t="s">
        <v>288</v>
      </c>
      <c r="C410" s="93" t="s">
        <v>269</v>
      </c>
      <c r="D410" s="87" t="s">
        <v>47</v>
      </c>
    </row>
    <row r="412" spans="1:4">
      <c r="A412" s="86">
        <v>45994</v>
      </c>
      <c r="B412" s="98" t="s">
        <v>50</v>
      </c>
      <c r="C412" s="93" t="s">
        <v>106</v>
      </c>
      <c r="D412" s="87" t="s">
        <v>47</v>
      </c>
    </row>
    <row r="413" spans="1:4">
      <c r="A413" s="80"/>
      <c r="B413" s="98" t="s">
        <v>144</v>
      </c>
      <c r="C413" s="93" t="s">
        <v>134</v>
      </c>
      <c r="D413" s="87" t="s">
        <v>47</v>
      </c>
    </row>
    <row r="414" spans="1:4">
      <c r="A414" s="80"/>
      <c r="B414" s="2" t="s">
        <v>107</v>
      </c>
      <c r="C414" s="78" t="s">
        <v>263</v>
      </c>
      <c r="D414" s="87" t="s">
        <v>47</v>
      </c>
    </row>
    <row r="415" spans="1:4">
      <c r="A415" s="80"/>
      <c r="B415" s="2" t="s">
        <v>172</v>
      </c>
      <c r="C415" s="78" t="s">
        <v>280</v>
      </c>
      <c r="D415" s="87" t="s">
        <v>47</v>
      </c>
    </row>
    <row r="416" spans="1:4">
      <c r="A416" s="80"/>
      <c r="B416" s="2" t="s">
        <v>238</v>
      </c>
      <c r="C416" s="84" t="s">
        <v>289</v>
      </c>
      <c r="D416" s="87" t="s">
        <v>5</v>
      </c>
    </row>
    <row r="417" spans="1:4">
      <c r="A417" s="80"/>
      <c r="B417" s="2" t="s">
        <v>259</v>
      </c>
      <c r="C417" s="78" t="s">
        <v>97</v>
      </c>
      <c r="D417" s="87" t="s">
        <v>47</v>
      </c>
    </row>
    <row r="418" spans="1:4">
      <c r="A418" s="80"/>
      <c r="B418" s="2" t="s">
        <v>271</v>
      </c>
      <c r="C418" s="93" t="s">
        <v>275</v>
      </c>
      <c r="D418" s="87" t="s">
        <v>47</v>
      </c>
    </row>
    <row r="419" spans="1:4">
      <c r="A419" s="80"/>
      <c r="B419" s="2" t="s">
        <v>272</v>
      </c>
      <c r="C419" s="93" t="s">
        <v>97</v>
      </c>
      <c r="D419" s="87" t="s">
        <v>47</v>
      </c>
    </row>
    <row r="420" spans="1:4">
      <c r="A420" s="80"/>
      <c r="B420" s="2" t="s">
        <v>279</v>
      </c>
      <c r="C420" s="93" t="s">
        <v>286</v>
      </c>
      <c r="D420" s="87" t="s">
        <v>47</v>
      </c>
    </row>
    <row r="421" spans="1:4">
      <c r="A421" s="80"/>
      <c r="B421" s="2" t="s">
        <v>283</v>
      </c>
      <c r="C421" s="84" t="s">
        <v>290</v>
      </c>
      <c r="D421" s="87" t="s">
        <v>5</v>
      </c>
    </row>
    <row r="422" spans="1:4">
      <c r="A422" s="80"/>
      <c r="B422" s="2" t="s">
        <v>284</v>
      </c>
      <c r="C422" s="84" t="s">
        <v>291</v>
      </c>
      <c r="D422" s="87" t="s">
        <v>5</v>
      </c>
    </row>
    <row r="423" spans="1:4">
      <c r="A423" s="80"/>
      <c r="B423" s="2" t="s">
        <v>287</v>
      </c>
      <c r="C423" s="93" t="s">
        <v>292</v>
      </c>
      <c r="D423" s="87" t="s">
        <v>47</v>
      </c>
    </row>
    <row r="424" spans="1:4">
      <c r="A424" s="80"/>
      <c r="B424" s="2" t="s">
        <v>288</v>
      </c>
      <c r="C424" s="84" t="s">
        <v>293</v>
      </c>
      <c r="D424" s="87" t="s">
        <v>5</v>
      </c>
    </row>
    <row r="425" spans="1:4">
      <c r="A425" s="80"/>
      <c r="B425" s="2" t="s">
        <v>294</v>
      </c>
      <c r="C425" s="93" t="s">
        <v>269</v>
      </c>
      <c r="D425" s="87" t="s">
        <v>47</v>
      </c>
    </row>
    <row r="426" spans="1:4">
      <c r="A426" s="85"/>
      <c r="B426" s="2" t="s">
        <v>295</v>
      </c>
      <c r="C426" s="84" t="s">
        <v>171</v>
      </c>
      <c r="D426" s="87" t="s">
        <v>5</v>
      </c>
    </row>
    <row r="428" spans="1:4">
      <c r="A428" s="86">
        <v>45995</v>
      </c>
      <c r="B428" s="98" t="s">
        <v>50</v>
      </c>
      <c r="C428" s="93" t="s">
        <v>106</v>
      </c>
      <c r="D428" s="87" t="s">
        <v>47</v>
      </c>
    </row>
    <row r="429" spans="1:4">
      <c r="A429" s="80"/>
      <c r="B429" s="98" t="s">
        <v>144</v>
      </c>
      <c r="C429" s="93" t="s">
        <v>134</v>
      </c>
      <c r="D429" s="87" t="s">
        <v>47</v>
      </c>
    </row>
    <row r="430" spans="1:4">
      <c r="A430" s="80"/>
      <c r="B430" s="2" t="s">
        <v>107</v>
      </c>
      <c r="C430" s="78" t="s">
        <v>263</v>
      </c>
      <c r="D430" s="87" t="s">
        <v>47</v>
      </c>
    </row>
    <row r="431" spans="1:4">
      <c r="A431" s="80"/>
      <c r="B431" s="2" t="s">
        <v>172</v>
      </c>
      <c r="C431" s="78" t="s">
        <v>280</v>
      </c>
      <c r="D431" s="87" t="s">
        <v>47</v>
      </c>
    </row>
    <row r="432" spans="1:4">
      <c r="A432" s="80"/>
      <c r="B432" s="2" t="s">
        <v>259</v>
      </c>
      <c r="C432" s="78" t="s">
        <v>97</v>
      </c>
      <c r="D432" s="87" t="s">
        <v>47</v>
      </c>
    </row>
    <row r="433" spans="1:4">
      <c r="A433" s="80"/>
      <c r="B433" s="2" t="s">
        <v>271</v>
      </c>
      <c r="C433" s="93" t="s">
        <v>275</v>
      </c>
      <c r="D433" s="87" t="s">
        <v>47</v>
      </c>
    </row>
    <row r="434" spans="1:4">
      <c r="A434" s="80"/>
      <c r="B434" s="2" t="s">
        <v>272</v>
      </c>
      <c r="C434" s="93" t="s">
        <v>97</v>
      </c>
      <c r="D434" s="87" t="s">
        <v>47</v>
      </c>
    </row>
    <row r="435" spans="1:4">
      <c r="A435" s="80"/>
      <c r="B435" s="2" t="s">
        <v>279</v>
      </c>
      <c r="C435" s="93" t="s">
        <v>286</v>
      </c>
      <c r="D435" s="87" t="s">
        <v>47</v>
      </c>
    </row>
    <row r="436" spans="1:4">
      <c r="A436" s="80"/>
      <c r="B436" s="2" t="s">
        <v>287</v>
      </c>
      <c r="C436" s="93" t="s">
        <v>292</v>
      </c>
      <c r="D436" s="87" t="s">
        <v>47</v>
      </c>
    </row>
    <row r="437" spans="1:4">
      <c r="A437" s="80"/>
      <c r="B437" s="2" t="s">
        <v>294</v>
      </c>
      <c r="C437" s="84" t="s">
        <v>171</v>
      </c>
      <c r="D437" s="87" t="s">
        <v>5</v>
      </c>
    </row>
    <row r="438" spans="1:4">
      <c r="A438" s="80"/>
      <c r="B438" s="2" t="s">
        <v>296</v>
      </c>
      <c r="C438" s="84" t="s">
        <v>171</v>
      </c>
      <c r="D438" s="87" t="s">
        <v>5</v>
      </c>
    </row>
    <row r="439" spans="1:4">
      <c r="A439" s="80"/>
      <c r="B439" s="2" t="s">
        <v>297</v>
      </c>
      <c r="C439" s="93" t="s">
        <v>269</v>
      </c>
      <c r="D439" s="87" t="s">
        <v>47</v>
      </c>
    </row>
    <row r="440" spans="1:4">
      <c r="A440" s="80"/>
      <c r="B440" s="2" t="s">
        <v>298</v>
      </c>
      <c r="C440" s="93" t="s">
        <v>269</v>
      </c>
      <c r="D440" s="87" t="s">
        <v>47</v>
      </c>
    </row>
    <row r="441" spans="1:4">
      <c r="A441" s="80"/>
      <c r="B441" s="2" t="s">
        <v>299</v>
      </c>
      <c r="C441" s="93" t="s">
        <v>269</v>
      </c>
      <c r="D441" s="87" t="s">
        <v>47</v>
      </c>
    </row>
    <row r="442" spans="1:4">
      <c r="A442" s="80"/>
      <c r="B442" s="2" t="s">
        <v>300</v>
      </c>
      <c r="C442" s="93" t="s">
        <v>269</v>
      </c>
      <c r="D442" s="87" t="s">
        <v>47</v>
      </c>
    </row>
    <row r="443" spans="1:4">
      <c r="A443" s="80"/>
      <c r="B443" s="2" t="s">
        <v>301</v>
      </c>
      <c r="C443" s="93" t="s">
        <v>269</v>
      </c>
      <c r="D443" s="87" t="s">
        <v>47</v>
      </c>
    </row>
    <row r="444" spans="1:4">
      <c r="A444" s="80"/>
      <c r="B444" s="2" t="s">
        <v>302</v>
      </c>
      <c r="C444" s="93" t="s">
        <v>269</v>
      </c>
      <c r="D444" s="87" t="s">
        <v>47</v>
      </c>
    </row>
    <row r="445" spans="1:4">
      <c r="A445" s="80"/>
      <c r="B445" s="2" t="s">
        <v>303</v>
      </c>
      <c r="C445" s="93" t="s">
        <v>269</v>
      </c>
      <c r="D445" s="87" t="s">
        <v>47</v>
      </c>
    </row>
    <row r="446" spans="1:4">
      <c r="A446" s="85"/>
      <c r="B446" s="2" t="s">
        <v>304</v>
      </c>
      <c r="C446" s="93" t="s">
        <v>269</v>
      </c>
      <c r="D446" s="87" t="s">
        <v>47</v>
      </c>
    </row>
    <row r="448" spans="1:4">
      <c r="A448" s="86">
        <v>45996</v>
      </c>
      <c r="B448" s="98" t="s">
        <v>50</v>
      </c>
      <c r="C448" s="93" t="s">
        <v>106</v>
      </c>
      <c r="D448" s="87" t="s">
        <v>47</v>
      </c>
    </row>
    <row r="449" spans="1:4">
      <c r="A449" s="80"/>
      <c r="B449" s="98" t="s">
        <v>144</v>
      </c>
      <c r="C449" s="93" t="s">
        <v>134</v>
      </c>
      <c r="D449" s="87" t="s">
        <v>47</v>
      </c>
    </row>
    <row r="450" spans="1:4">
      <c r="A450" s="80"/>
      <c r="B450" s="2" t="s">
        <v>107</v>
      </c>
      <c r="C450" s="78" t="s">
        <v>263</v>
      </c>
      <c r="D450" s="87" t="s">
        <v>47</v>
      </c>
    </row>
    <row r="451" spans="1:4">
      <c r="A451" s="80"/>
      <c r="B451" s="2" t="s">
        <v>172</v>
      </c>
      <c r="C451" s="78" t="s">
        <v>280</v>
      </c>
      <c r="D451" s="87" t="s">
        <v>47</v>
      </c>
    </row>
    <row r="452" spans="1:4">
      <c r="A452" s="80"/>
      <c r="B452" s="2" t="s">
        <v>259</v>
      </c>
      <c r="C452" s="78" t="s">
        <v>97</v>
      </c>
      <c r="D452" s="87" t="s">
        <v>47</v>
      </c>
    </row>
    <row r="453" spans="1:4">
      <c r="A453" s="80"/>
      <c r="B453" s="2" t="s">
        <v>271</v>
      </c>
      <c r="C453" s="93" t="s">
        <v>275</v>
      </c>
      <c r="D453" s="87" t="s">
        <v>47</v>
      </c>
    </row>
    <row r="454" spans="1:4">
      <c r="A454" s="80"/>
      <c r="B454" s="2" t="s">
        <v>272</v>
      </c>
      <c r="C454" s="93" t="s">
        <v>97</v>
      </c>
      <c r="D454" s="87" t="s">
        <v>47</v>
      </c>
    </row>
    <row r="455" spans="1:4">
      <c r="A455" s="80"/>
      <c r="B455" s="2" t="s">
        <v>279</v>
      </c>
      <c r="C455" s="93" t="s">
        <v>286</v>
      </c>
      <c r="D455" s="87" t="s">
        <v>47</v>
      </c>
    </row>
    <row r="456" spans="1:4">
      <c r="A456" s="80"/>
      <c r="B456" s="2" t="s">
        <v>287</v>
      </c>
      <c r="C456" s="93" t="s">
        <v>292</v>
      </c>
      <c r="D456" s="87" t="s">
        <v>47</v>
      </c>
    </row>
    <row r="457" spans="1:4">
      <c r="A457" s="80"/>
      <c r="B457" s="2" t="s">
        <v>297</v>
      </c>
      <c r="C457" s="93" t="s">
        <v>97</v>
      </c>
      <c r="D457" s="87" t="s">
        <v>47</v>
      </c>
    </row>
    <row r="458" spans="1:4">
      <c r="A458" s="80"/>
      <c r="B458" s="2" t="s">
        <v>298</v>
      </c>
      <c r="C458" s="93" t="s">
        <v>305</v>
      </c>
      <c r="D458" s="87" t="s">
        <v>47</v>
      </c>
    </row>
    <row r="459" spans="1:4">
      <c r="A459" s="80"/>
      <c r="B459" s="2" t="s">
        <v>299</v>
      </c>
      <c r="C459" s="84" t="s">
        <v>306</v>
      </c>
      <c r="D459" s="87" t="s">
        <v>5</v>
      </c>
    </row>
    <row r="460" spans="1:4">
      <c r="A460" s="80"/>
      <c r="B460" s="2" t="s">
        <v>300</v>
      </c>
      <c r="C460" s="84" t="s">
        <v>171</v>
      </c>
      <c r="D460" s="87" t="s">
        <v>5</v>
      </c>
    </row>
    <row r="461" spans="1:4">
      <c r="A461" s="80"/>
      <c r="B461" s="2" t="s">
        <v>301</v>
      </c>
      <c r="C461" s="84" t="s">
        <v>171</v>
      </c>
      <c r="D461" s="87" t="s">
        <v>5</v>
      </c>
    </row>
    <row r="462" spans="1:4">
      <c r="A462" s="80"/>
      <c r="B462" s="2" t="s">
        <v>302</v>
      </c>
      <c r="C462" s="84" t="s">
        <v>307</v>
      </c>
      <c r="D462" s="87" t="s">
        <v>5</v>
      </c>
    </row>
    <row r="463" spans="1:4">
      <c r="A463" s="80"/>
      <c r="B463" s="2" t="s">
        <v>303</v>
      </c>
      <c r="C463" s="93" t="s">
        <v>308</v>
      </c>
      <c r="D463" s="87" t="s">
        <v>47</v>
      </c>
    </row>
    <row r="464" spans="1:4">
      <c r="A464" s="80"/>
      <c r="B464" s="2" t="s">
        <v>304</v>
      </c>
      <c r="C464" s="93" t="s">
        <v>230</v>
      </c>
      <c r="D464" s="87" t="s">
        <v>47</v>
      </c>
    </row>
    <row r="465" spans="1:4">
      <c r="A465" s="80"/>
      <c r="B465" s="2" t="s">
        <v>309</v>
      </c>
      <c r="C465" s="84" t="s">
        <v>171</v>
      </c>
      <c r="D465" s="87" t="s">
        <v>5</v>
      </c>
    </row>
    <row r="466" spans="1:4">
      <c r="A466" s="80"/>
      <c r="B466" s="2" t="s">
        <v>310</v>
      </c>
      <c r="C466" s="84" t="s">
        <v>171</v>
      </c>
      <c r="D466" s="87" t="s">
        <v>5</v>
      </c>
    </row>
    <row r="467" spans="1:4">
      <c r="A467" s="80"/>
      <c r="B467" s="2" t="s">
        <v>311</v>
      </c>
      <c r="C467" s="93" t="s">
        <v>97</v>
      </c>
      <c r="D467" s="87" t="s">
        <v>47</v>
      </c>
    </row>
    <row r="468" ht="17.6" spans="1:4">
      <c r="A468" s="80"/>
      <c r="B468" s="37" t="s">
        <v>312</v>
      </c>
      <c r="C468" s="93" t="s">
        <v>269</v>
      </c>
      <c r="D468" s="87" t="s">
        <v>47</v>
      </c>
    </row>
    <row r="469" spans="1:4">
      <c r="A469" s="80"/>
      <c r="B469" s="2" t="s">
        <v>313</v>
      </c>
      <c r="C469" s="78" t="s">
        <v>314</v>
      </c>
      <c r="D469" s="87" t="s">
        <v>47</v>
      </c>
    </row>
    <row r="470" spans="1:4">
      <c r="A470" s="85"/>
      <c r="B470" s="2" t="s">
        <v>315</v>
      </c>
      <c r="C470" s="78" t="s">
        <v>314</v>
      </c>
      <c r="D470" s="87" t="s">
        <v>5</v>
      </c>
    </row>
    <row r="472" spans="1:4">
      <c r="A472" s="86">
        <v>45997</v>
      </c>
      <c r="B472" s="98" t="s">
        <v>50</v>
      </c>
      <c r="C472" s="93" t="s">
        <v>106</v>
      </c>
      <c r="D472" s="87" t="s">
        <v>47</v>
      </c>
    </row>
    <row r="473" spans="1:4">
      <c r="A473" s="80"/>
      <c r="B473" s="98" t="s">
        <v>144</v>
      </c>
      <c r="C473" s="93" t="s">
        <v>134</v>
      </c>
      <c r="D473" s="87" t="s">
        <v>47</v>
      </c>
    </row>
    <row r="474" spans="1:4">
      <c r="A474" s="80"/>
      <c r="B474" s="2" t="s">
        <v>107</v>
      </c>
      <c r="C474" s="78" t="s">
        <v>263</v>
      </c>
      <c r="D474" s="87" t="s">
        <v>47</v>
      </c>
    </row>
    <row r="475" spans="1:4">
      <c r="A475" s="80"/>
      <c r="B475" s="2" t="s">
        <v>172</v>
      </c>
      <c r="C475" s="78" t="s">
        <v>280</v>
      </c>
      <c r="D475" s="87" t="s">
        <v>47</v>
      </c>
    </row>
    <row r="476" spans="1:4">
      <c r="A476" s="80"/>
      <c r="B476" s="2" t="s">
        <v>259</v>
      </c>
      <c r="C476" s="78" t="s">
        <v>97</v>
      </c>
      <c r="D476" s="87" t="s">
        <v>47</v>
      </c>
    </row>
    <row r="477" spans="1:4">
      <c r="A477" s="80"/>
      <c r="B477" s="2" t="s">
        <v>271</v>
      </c>
      <c r="C477" s="93" t="s">
        <v>275</v>
      </c>
      <c r="D477" s="87" t="s">
        <v>47</v>
      </c>
    </row>
    <row r="478" spans="1:4">
      <c r="A478" s="80"/>
      <c r="B478" s="2" t="s">
        <v>272</v>
      </c>
      <c r="C478" s="93" t="s">
        <v>97</v>
      </c>
      <c r="D478" s="87" t="s">
        <v>47</v>
      </c>
    </row>
    <row r="479" spans="1:4">
      <c r="A479" s="80"/>
      <c r="B479" s="2" t="s">
        <v>279</v>
      </c>
      <c r="C479" s="93" t="s">
        <v>286</v>
      </c>
      <c r="D479" s="87" t="s">
        <v>47</v>
      </c>
    </row>
    <row r="480" spans="1:4">
      <c r="A480" s="80"/>
      <c r="B480" s="2" t="s">
        <v>287</v>
      </c>
      <c r="C480" s="93" t="s">
        <v>292</v>
      </c>
      <c r="D480" s="87" t="s">
        <v>47</v>
      </c>
    </row>
    <row r="481" spans="1:4">
      <c r="A481" s="80"/>
      <c r="B481" s="2" t="s">
        <v>297</v>
      </c>
      <c r="C481" s="93" t="s">
        <v>97</v>
      </c>
      <c r="D481" s="87" t="s">
        <v>47</v>
      </c>
    </row>
    <row r="482" spans="1:4">
      <c r="A482" s="80"/>
      <c r="B482" s="2" t="s">
        <v>298</v>
      </c>
      <c r="C482" s="93" t="s">
        <v>305</v>
      </c>
      <c r="D482" s="87" t="s">
        <v>47</v>
      </c>
    </row>
    <row r="483" spans="1:4">
      <c r="A483" s="80"/>
      <c r="B483" s="2" t="s">
        <v>302</v>
      </c>
      <c r="C483" s="84" t="s">
        <v>316</v>
      </c>
      <c r="D483" s="87" t="s">
        <v>5</v>
      </c>
    </row>
    <row r="484" spans="1:4">
      <c r="A484" s="80"/>
      <c r="B484" s="2" t="s">
        <v>303</v>
      </c>
      <c r="C484" s="93" t="s">
        <v>308</v>
      </c>
      <c r="D484" s="87" t="s">
        <v>47</v>
      </c>
    </row>
    <row r="485" spans="1:4">
      <c r="A485" s="80"/>
      <c r="B485" s="2" t="s">
        <v>304</v>
      </c>
      <c r="C485" s="93" t="s">
        <v>317</v>
      </c>
      <c r="D485" s="87" t="s">
        <v>47</v>
      </c>
    </row>
    <row r="486" spans="1:4">
      <c r="A486" s="80"/>
      <c r="B486" s="2" t="s">
        <v>311</v>
      </c>
      <c r="C486" s="84" t="s">
        <v>318</v>
      </c>
      <c r="D486" s="87" t="s">
        <v>5</v>
      </c>
    </row>
    <row r="487" ht="17.6" spans="1:4">
      <c r="A487" s="80"/>
      <c r="B487" s="37" t="s">
        <v>312</v>
      </c>
      <c r="C487" s="93" t="s">
        <v>319</v>
      </c>
      <c r="D487" s="87" t="s">
        <v>47</v>
      </c>
    </row>
    <row r="488" spans="1:4">
      <c r="A488" s="80"/>
      <c r="B488" s="2" t="s">
        <v>313</v>
      </c>
      <c r="C488" s="78" t="s">
        <v>320</v>
      </c>
      <c r="D488" s="87" t="s">
        <v>47</v>
      </c>
    </row>
    <row r="489" spans="1:4">
      <c r="A489" s="80"/>
      <c r="B489" s="2" t="s">
        <v>315</v>
      </c>
      <c r="C489" s="84" t="s">
        <v>171</v>
      </c>
      <c r="D489" s="87" t="s">
        <v>5</v>
      </c>
    </row>
    <row r="490" spans="1:4">
      <c r="A490" s="80"/>
      <c r="B490" s="2" t="s">
        <v>321</v>
      </c>
      <c r="C490" s="93" t="s">
        <v>97</v>
      </c>
      <c r="D490" s="87" t="s">
        <v>47</v>
      </c>
    </row>
    <row r="491" spans="1:4">
      <c r="A491" s="85"/>
      <c r="B491" s="2" t="s">
        <v>322</v>
      </c>
      <c r="C491" s="93" t="s">
        <v>97</v>
      </c>
      <c r="D491" s="87" t="s">
        <v>47</v>
      </c>
    </row>
    <row r="493" spans="1:4">
      <c r="A493" s="86">
        <v>45999</v>
      </c>
      <c r="B493" s="98" t="s">
        <v>50</v>
      </c>
      <c r="C493" s="93" t="s">
        <v>106</v>
      </c>
      <c r="D493" s="87" t="s">
        <v>47</v>
      </c>
    </row>
    <row r="494" spans="1:4">
      <c r="A494" s="80"/>
      <c r="B494" s="98" t="s">
        <v>144</v>
      </c>
      <c r="C494" s="93" t="s">
        <v>134</v>
      </c>
      <c r="D494" s="87" t="s">
        <v>47</v>
      </c>
    </row>
    <row r="495" spans="1:4">
      <c r="A495" s="80"/>
      <c r="B495" s="2" t="s">
        <v>107</v>
      </c>
      <c r="C495" s="78" t="s">
        <v>263</v>
      </c>
      <c r="D495" s="87" t="s">
        <v>47</v>
      </c>
    </row>
    <row r="496" spans="1:4">
      <c r="A496" s="80"/>
      <c r="B496" s="2" t="s">
        <v>172</v>
      </c>
      <c r="C496" s="78" t="s">
        <v>280</v>
      </c>
      <c r="D496" s="87" t="s">
        <v>47</v>
      </c>
    </row>
    <row r="497" spans="1:4">
      <c r="A497" s="80"/>
      <c r="B497" s="2" t="s">
        <v>259</v>
      </c>
      <c r="C497" s="78" t="s">
        <v>97</v>
      </c>
      <c r="D497" s="87" t="s">
        <v>47</v>
      </c>
    </row>
    <row r="498" spans="1:4">
      <c r="A498" s="80"/>
      <c r="B498" s="2" t="s">
        <v>271</v>
      </c>
      <c r="C498" s="93" t="s">
        <v>275</v>
      </c>
      <c r="D498" s="87" t="s">
        <v>47</v>
      </c>
    </row>
    <row r="499" spans="1:4">
      <c r="A499" s="80"/>
      <c r="B499" s="2" t="s">
        <v>272</v>
      </c>
      <c r="C499" s="93" t="s">
        <v>97</v>
      </c>
      <c r="D499" s="87" t="s">
        <v>47</v>
      </c>
    </row>
    <row r="500" spans="1:4">
      <c r="A500" s="80"/>
      <c r="B500" s="2" t="s">
        <v>279</v>
      </c>
      <c r="C500" s="93" t="s">
        <v>286</v>
      </c>
      <c r="D500" s="87" t="s">
        <v>47</v>
      </c>
    </row>
    <row r="501" spans="1:4">
      <c r="A501" s="80"/>
      <c r="B501" s="2" t="s">
        <v>287</v>
      </c>
      <c r="C501" s="93" t="s">
        <v>292</v>
      </c>
      <c r="D501" s="87" t="s">
        <v>47</v>
      </c>
    </row>
    <row r="502" spans="1:4">
      <c r="A502" s="80"/>
      <c r="B502" s="2" t="s">
        <v>297</v>
      </c>
      <c r="C502" s="93" t="s">
        <v>97</v>
      </c>
      <c r="D502" s="87" t="s">
        <v>47</v>
      </c>
    </row>
    <row r="503" spans="1:4">
      <c r="A503" s="80"/>
      <c r="B503" s="2" t="s">
        <v>298</v>
      </c>
      <c r="C503" s="93" t="s">
        <v>305</v>
      </c>
      <c r="D503" s="87" t="s">
        <v>47</v>
      </c>
    </row>
    <row r="504" spans="1:4">
      <c r="A504" s="80"/>
      <c r="B504" s="2" t="s">
        <v>303</v>
      </c>
      <c r="C504" s="93" t="s">
        <v>308</v>
      </c>
      <c r="D504" s="87" t="s">
        <v>47</v>
      </c>
    </row>
    <row r="505" spans="1:4">
      <c r="A505" s="80"/>
      <c r="B505" s="2" t="s">
        <v>304</v>
      </c>
      <c r="C505" s="93" t="s">
        <v>317</v>
      </c>
      <c r="D505" s="87" t="s">
        <v>47</v>
      </c>
    </row>
    <row r="506" ht="17.6" spans="1:4">
      <c r="A506" s="80"/>
      <c r="B506" s="37" t="s">
        <v>312</v>
      </c>
      <c r="C506" s="93" t="s">
        <v>319</v>
      </c>
      <c r="D506" s="87" t="s">
        <v>47</v>
      </c>
    </row>
    <row r="507" spans="1:4">
      <c r="A507" s="80"/>
      <c r="B507" s="2" t="s">
        <v>313</v>
      </c>
      <c r="C507" s="78" t="s">
        <v>320</v>
      </c>
      <c r="D507" s="87" t="s">
        <v>47</v>
      </c>
    </row>
    <row r="508" spans="1:4">
      <c r="A508" s="80"/>
      <c r="B508" s="2" t="s">
        <v>321</v>
      </c>
      <c r="C508" s="93" t="s">
        <v>97</v>
      </c>
      <c r="D508" s="87" t="s">
        <v>47</v>
      </c>
    </row>
    <row r="509" spans="1:4">
      <c r="A509" s="80"/>
      <c r="B509" s="2" t="s">
        <v>322</v>
      </c>
      <c r="C509" s="93" t="s">
        <v>97</v>
      </c>
      <c r="D509" s="87" t="s">
        <v>47</v>
      </c>
    </row>
    <row r="510" spans="1:4">
      <c r="A510" s="80"/>
      <c r="B510" s="2" t="s">
        <v>323</v>
      </c>
      <c r="C510" s="84" t="s">
        <v>171</v>
      </c>
      <c r="D510" s="87" t="s">
        <v>5</v>
      </c>
    </row>
    <row r="511" spans="1:4">
      <c r="A511" s="80"/>
      <c r="B511" s="2" t="s">
        <v>324</v>
      </c>
      <c r="C511" s="84" t="s">
        <v>171</v>
      </c>
      <c r="D511" s="87" t="s">
        <v>5</v>
      </c>
    </row>
    <row r="512" spans="1:4">
      <c r="A512" s="80"/>
      <c r="B512" s="2" t="s">
        <v>325</v>
      </c>
      <c r="C512" s="93" t="s">
        <v>314</v>
      </c>
      <c r="D512" s="87" t="s">
        <v>47</v>
      </c>
    </row>
    <row r="513" spans="1:4">
      <c r="A513" s="85"/>
      <c r="B513" s="2" t="s">
        <v>326</v>
      </c>
      <c r="C513" s="2" t="s">
        <v>327</v>
      </c>
      <c r="D513" s="87" t="s">
        <v>47</v>
      </c>
    </row>
    <row r="515" spans="1:4">
      <c r="A515" s="86">
        <v>46000</v>
      </c>
      <c r="B515" s="98" t="s">
        <v>50</v>
      </c>
      <c r="C515" s="93" t="s">
        <v>106</v>
      </c>
      <c r="D515" s="87" t="s">
        <v>47</v>
      </c>
    </row>
    <row r="516" spans="1:4">
      <c r="A516" s="80"/>
      <c r="B516" s="98" t="s">
        <v>144</v>
      </c>
      <c r="C516" s="93" t="s">
        <v>134</v>
      </c>
      <c r="D516" s="87" t="s">
        <v>47</v>
      </c>
    </row>
    <row r="517" spans="1:4">
      <c r="A517" s="80"/>
      <c r="B517" s="2" t="s">
        <v>107</v>
      </c>
      <c r="C517" s="78" t="s">
        <v>263</v>
      </c>
      <c r="D517" s="87" t="s">
        <v>47</v>
      </c>
    </row>
    <row r="518" spans="1:4">
      <c r="A518" s="80"/>
      <c r="B518" s="2" t="s">
        <v>172</v>
      </c>
      <c r="C518" s="78" t="s">
        <v>280</v>
      </c>
      <c r="D518" s="87" t="s">
        <v>47</v>
      </c>
    </row>
    <row r="519" spans="1:4">
      <c r="A519" s="80"/>
      <c r="B519" s="2" t="s">
        <v>259</v>
      </c>
      <c r="C519" s="78" t="s">
        <v>97</v>
      </c>
      <c r="D519" s="87" t="s">
        <v>47</v>
      </c>
    </row>
    <row r="520" spans="1:4">
      <c r="A520" s="80"/>
      <c r="B520" s="2" t="s">
        <v>271</v>
      </c>
      <c r="C520" s="93" t="s">
        <v>275</v>
      </c>
      <c r="D520" s="87" t="s">
        <v>47</v>
      </c>
    </row>
    <row r="521" spans="1:4">
      <c r="A521" s="80"/>
      <c r="B521" s="2" t="s">
        <v>272</v>
      </c>
      <c r="C521" s="93" t="s">
        <v>97</v>
      </c>
      <c r="D521" s="87" t="s">
        <v>47</v>
      </c>
    </row>
    <row r="522" spans="1:4">
      <c r="A522" s="80"/>
      <c r="B522" s="2" t="s">
        <v>279</v>
      </c>
      <c r="C522" s="93" t="s">
        <v>286</v>
      </c>
      <c r="D522" s="87" t="s">
        <v>47</v>
      </c>
    </row>
    <row r="523" spans="1:4">
      <c r="A523" s="80"/>
      <c r="B523" s="2" t="s">
        <v>287</v>
      </c>
      <c r="C523" s="93" t="s">
        <v>292</v>
      </c>
      <c r="D523" s="87" t="s">
        <v>47</v>
      </c>
    </row>
    <row r="524" spans="1:4">
      <c r="A524" s="80"/>
      <c r="B524" s="2" t="s">
        <v>297</v>
      </c>
      <c r="C524" s="93" t="s">
        <v>328</v>
      </c>
      <c r="D524" s="87" t="s">
        <v>47</v>
      </c>
    </row>
    <row r="525" spans="1:4">
      <c r="A525" s="80"/>
      <c r="B525" s="2" t="s">
        <v>298</v>
      </c>
      <c r="C525" s="93" t="s">
        <v>305</v>
      </c>
      <c r="D525" s="87" t="s">
        <v>47</v>
      </c>
    </row>
    <row r="526" spans="1:4">
      <c r="A526" s="80"/>
      <c r="B526" s="2" t="s">
        <v>303</v>
      </c>
      <c r="C526" s="93" t="s">
        <v>308</v>
      </c>
      <c r="D526" s="87" t="s">
        <v>47</v>
      </c>
    </row>
    <row r="527" spans="1:4">
      <c r="A527" s="80"/>
      <c r="B527" s="2" t="s">
        <v>304</v>
      </c>
      <c r="C527" s="93" t="s">
        <v>317</v>
      </c>
      <c r="D527" s="87" t="s">
        <v>47</v>
      </c>
    </row>
    <row r="528" ht="17.6" spans="1:4">
      <c r="A528" s="80"/>
      <c r="B528" s="37" t="s">
        <v>312</v>
      </c>
      <c r="C528" s="84" t="s">
        <v>171</v>
      </c>
      <c r="D528" s="87" t="s">
        <v>5</v>
      </c>
    </row>
    <row r="529" spans="1:4">
      <c r="A529" s="80"/>
      <c r="B529" s="2" t="s">
        <v>313</v>
      </c>
      <c r="C529" s="78" t="s">
        <v>320</v>
      </c>
      <c r="D529" s="87" t="s">
        <v>47</v>
      </c>
    </row>
    <row r="530" spans="1:4">
      <c r="A530" s="80"/>
      <c r="B530" s="2" t="s">
        <v>321</v>
      </c>
      <c r="C530" s="84" t="s">
        <v>171</v>
      </c>
      <c r="D530" s="87" t="s">
        <v>5</v>
      </c>
    </row>
    <row r="531" spans="1:4">
      <c r="A531" s="80"/>
      <c r="B531" s="2" t="s">
        <v>322</v>
      </c>
      <c r="C531" s="93" t="s">
        <v>329</v>
      </c>
      <c r="D531" s="87" t="s">
        <v>47</v>
      </c>
    </row>
    <row r="532" spans="1:4">
      <c r="A532" s="80"/>
      <c r="B532" s="2" t="s">
        <v>325</v>
      </c>
      <c r="C532" s="93" t="s">
        <v>97</v>
      </c>
      <c r="D532" s="87" t="s">
        <v>47</v>
      </c>
    </row>
    <row r="533" spans="1:4">
      <c r="A533" s="80"/>
      <c r="B533" s="2" t="s">
        <v>326</v>
      </c>
      <c r="C533" s="2" t="s">
        <v>327</v>
      </c>
      <c r="D533" s="87" t="s">
        <v>47</v>
      </c>
    </row>
    <row r="534" spans="1:4">
      <c r="A534" s="80"/>
      <c r="B534" s="2" t="s">
        <v>330</v>
      </c>
      <c r="C534" s="93" t="s">
        <v>314</v>
      </c>
      <c r="D534" s="87" t="s">
        <v>47</v>
      </c>
    </row>
    <row r="535" spans="1:4">
      <c r="A535" s="85"/>
      <c r="B535" s="2" t="s">
        <v>331</v>
      </c>
      <c r="C535" s="84" t="s">
        <v>171</v>
      </c>
      <c r="D535" s="87" t="s">
        <v>5</v>
      </c>
    </row>
    <row r="537" spans="1:4">
      <c r="A537" s="88">
        <v>46001</v>
      </c>
      <c r="B537" s="98" t="s">
        <v>50</v>
      </c>
      <c r="C537" s="93" t="s">
        <v>106</v>
      </c>
      <c r="D537" s="87" t="s">
        <v>47</v>
      </c>
    </row>
    <row r="538" spans="1:4">
      <c r="A538" s="88"/>
      <c r="B538" s="98" t="s">
        <v>144</v>
      </c>
      <c r="C538" s="93" t="s">
        <v>134</v>
      </c>
      <c r="D538" s="87" t="s">
        <v>47</v>
      </c>
    </row>
    <row r="539" spans="1:4">
      <c r="A539" s="88"/>
      <c r="B539" s="2" t="s">
        <v>107</v>
      </c>
      <c r="C539" s="78" t="s">
        <v>263</v>
      </c>
      <c r="D539" s="87" t="s">
        <v>47</v>
      </c>
    </row>
    <row r="540" spans="1:4">
      <c r="A540" s="88"/>
      <c r="B540" s="2" t="s">
        <v>172</v>
      </c>
      <c r="C540" s="78" t="s">
        <v>280</v>
      </c>
      <c r="D540" s="87" t="s">
        <v>47</v>
      </c>
    </row>
    <row r="541" spans="1:4">
      <c r="A541" s="88"/>
      <c r="B541" s="2" t="s">
        <v>259</v>
      </c>
      <c r="C541" s="78" t="s">
        <v>97</v>
      </c>
      <c r="D541" s="87" t="s">
        <v>47</v>
      </c>
    </row>
    <row r="542" spans="1:4">
      <c r="A542" s="88"/>
      <c r="B542" s="2" t="s">
        <v>271</v>
      </c>
      <c r="C542" s="93" t="s">
        <v>275</v>
      </c>
      <c r="D542" s="87" t="s">
        <v>47</v>
      </c>
    </row>
    <row r="543" spans="1:4">
      <c r="A543" s="88"/>
      <c r="B543" s="2" t="s">
        <v>272</v>
      </c>
      <c r="C543" s="93" t="s">
        <v>97</v>
      </c>
      <c r="D543" s="87" t="s">
        <v>47</v>
      </c>
    </row>
    <row r="544" spans="1:4">
      <c r="A544" s="88"/>
      <c r="B544" s="2" t="s">
        <v>279</v>
      </c>
      <c r="C544" s="93" t="s">
        <v>286</v>
      </c>
      <c r="D544" s="87" t="s">
        <v>47</v>
      </c>
    </row>
    <row r="545" spans="1:4">
      <c r="A545" s="88"/>
      <c r="B545" s="2" t="s">
        <v>287</v>
      </c>
      <c r="C545" s="93" t="s">
        <v>292</v>
      </c>
      <c r="D545" s="87" t="s">
        <v>47</v>
      </c>
    </row>
    <row r="546" spans="1:4">
      <c r="A546" s="88"/>
      <c r="B546" s="2" t="s">
        <v>297</v>
      </c>
      <c r="C546" s="93" t="s">
        <v>328</v>
      </c>
      <c r="D546" s="87" t="s">
        <v>47</v>
      </c>
    </row>
    <row r="547" spans="1:4">
      <c r="A547" s="88"/>
      <c r="B547" s="2" t="s">
        <v>298</v>
      </c>
      <c r="C547" s="93" t="s">
        <v>305</v>
      </c>
      <c r="D547" s="87" t="s">
        <v>47</v>
      </c>
    </row>
    <row r="548" spans="1:4">
      <c r="A548" s="88"/>
      <c r="B548" s="2" t="s">
        <v>303</v>
      </c>
      <c r="C548" s="93" t="s">
        <v>308</v>
      </c>
      <c r="D548" s="87" t="s">
        <v>47</v>
      </c>
    </row>
    <row r="549" spans="1:4">
      <c r="A549" s="88"/>
      <c r="B549" s="2" t="s">
        <v>304</v>
      </c>
      <c r="C549" s="93" t="s">
        <v>317</v>
      </c>
      <c r="D549" s="87" t="s">
        <v>47</v>
      </c>
    </row>
    <row r="550" spans="1:4">
      <c r="A550" s="88"/>
      <c r="B550" s="2" t="s">
        <v>313</v>
      </c>
      <c r="C550" s="78" t="s">
        <v>320</v>
      </c>
      <c r="D550" s="87" t="s">
        <v>47</v>
      </c>
    </row>
    <row r="551" spans="1:4">
      <c r="A551" s="88"/>
      <c r="B551" s="2" t="s">
        <v>322</v>
      </c>
      <c r="C551" s="84" t="s">
        <v>332</v>
      </c>
      <c r="D551" s="87" t="s">
        <v>5</v>
      </c>
    </row>
    <row r="552" spans="1:4">
      <c r="A552" s="88"/>
      <c r="B552" s="2" t="s">
        <v>325</v>
      </c>
      <c r="C552" s="84" t="s">
        <v>333</v>
      </c>
      <c r="D552" s="87" t="s">
        <v>5</v>
      </c>
    </row>
    <row r="553" spans="1:4">
      <c r="A553" s="88"/>
      <c r="B553" s="2" t="s">
        <v>326</v>
      </c>
      <c r="C553" s="103" t="s">
        <v>171</v>
      </c>
      <c r="D553" s="87" t="s">
        <v>5</v>
      </c>
    </row>
    <row r="554" spans="1:4">
      <c r="A554" s="88"/>
      <c r="B554" s="2" t="s">
        <v>330</v>
      </c>
      <c r="C554" s="84" t="s">
        <v>171</v>
      </c>
      <c r="D554" s="87" t="s">
        <v>5</v>
      </c>
    </row>
    <row r="556" spans="1:4">
      <c r="A556" s="86">
        <v>46002</v>
      </c>
      <c r="B556" s="98" t="s">
        <v>50</v>
      </c>
      <c r="C556" s="93" t="s">
        <v>106</v>
      </c>
      <c r="D556" s="87" t="s">
        <v>47</v>
      </c>
    </row>
    <row r="557" spans="1:4">
      <c r="A557" s="80"/>
      <c r="B557" s="98" t="s">
        <v>144</v>
      </c>
      <c r="C557" s="93" t="s">
        <v>134</v>
      </c>
      <c r="D557" s="87" t="s">
        <v>47</v>
      </c>
    </row>
    <row r="558" spans="1:4">
      <c r="A558" s="80"/>
      <c r="B558" s="2" t="s">
        <v>107</v>
      </c>
      <c r="C558" s="78" t="s">
        <v>263</v>
      </c>
      <c r="D558" s="87" t="s">
        <v>47</v>
      </c>
    </row>
    <row r="559" spans="1:4">
      <c r="A559" s="80"/>
      <c r="B559" s="2" t="s">
        <v>172</v>
      </c>
      <c r="C559" s="78" t="s">
        <v>280</v>
      </c>
      <c r="D559" s="87" t="s">
        <v>47</v>
      </c>
    </row>
    <row r="560" spans="1:4">
      <c r="A560" s="80"/>
      <c r="B560" s="2" t="s">
        <v>259</v>
      </c>
      <c r="C560" s="78" t="s">
        <v>97</v>
      </c>
      <c r="D560" s="87" t="s">
        <v>47</v>
      </c>
    </row>
    <row r="561" spans="1:4">
      <c r="A561" s="80"/>
      <c r="B561" s="2" t="s">
        <v>271</v>
      </c>
      <c r="C561" s="93" t="s">
        <v>275</v>
      </c>
      <c r="D561" s="87" t="s">
        <v>47</v>
      </c>
    </row>
    <row r="562" spans="1:4">
      <c r="A562" s="80"/>
      <c r="B562" s="2" t="s">
        <v>272</v>
      </c>
      <c r="C562" s="93" t="s">
        <v>97</v>
      </c>
      <c r="D562" s="87" t="s">
        <v>47</v>
      </c>
    </row>
    <row r="563" spans="1:4">
      <c r="A563" s="80"/>
      <c r="B563" s="2" t="s">
        <v>279</v>
      </c>
      <c r="C563" s="93" t="s">
        <v>286</v>
      </c>
      <c r="D563" s="87" t="s">
        <v>47</v>
      </c>
    </row>
    <row r="564" spans="1:4">
      <c r="A564" s="80"/>
      <c r="B564" s="2" t="s">
        <v>287</v>
      </c>
      <c r="C564" s="93" t="s">
        <v>292</v>
      </c>
      <c r="D564" s="87" t="s">
        <v>47</v>
      </c>
    </row>
    <row r="565" spans="1:4">
      <c r="A565" s="80"/>
      <c r="B565" s="2" t="s">
        <v>297</v>
      </c>
      <c r="C565" s="93" t="s">
        <v>328</v>
      </c>
      <c r="D565" s="87" t="s">
        <v>47</v>
      </c>
    </row>
    <row r="566" spans="1:4">
      <c r="A566" s="80"/>
      <c r="B566" s="2" t="s">
        <v>298</v>
      </c>
      <c r="C566" s="93" t="s">
        <v>305</v>
      </c>
      <c r="D566" s="87" t="s">
        <v>47</v>
      </c>
    </row>
    <row r="567" spans="1:4">
      <c r="A567" s="80"/>
      <c r="B567" s="2" t="s">
        <v>303</v>
      </c>
      <c r="C567" s="93" t="s">
        <v>308</v>
      </c>
      <c r="D567" s="87" t="s">
        <v>47</v>
      </c>
    </row>
    <row r="568" spans="1:4">
      <c r="A568" s="80"/>
      <c r="B568" s="2" t="s">
        <v>304</v>
      </c>
      <c r="C568" s="93" t="s">
        <v>317</v>
      </c>
      <c r="D568" s="87" t="s">
        <v>47</v>
      </c>
    </row>
    <row r="569" spans="1:4">
      <c r="A569" s="80"/>
      <c r="B569" s="2" t="s">
        <v>313</v>
      </c>
      <c r="C569" s="78" t="s">
        <v>320</v>
      </c>
      <c r="D569" s="87" t="s">
        <v>47</v>
      </c>
    </row>
    <row r="570" spans="1:4">
      <c r="A570" s="80"/>
      <c r="B570" s="2" t="s">
        <v>334</v>
      </c>
      <c r="C570" s="84" t="s">
        <v>335</v>
      </c>
      <c r="D570" s="87" t="s">
        <v>5</v>
      </c>
    </row>
    <row r="571" spans="1:4">
      <c r="A571" s="85"/>
      <c r="B571" s="2" t="s">
        <v>336</v>
      </c>
      <c r="C571" s="84" t="s">
        <v>171</v>
      </c>
      <c r="D571" s="87" t="s">
        <v>5</v>
      </c>
    </row>
    <row r="573" spans="1:4">
      <c r="A573" s="86">
        <v>46003</v>
      </c>
      <c r="B573" s="98" t="s">
        <v>50</v>
      </c>
      <c r="C573" s="93" t="s">
        <v>106</v>
      </c>
      <c r="D573" s="87" t="s">
        <v>47</v>
      </c>
    </row>
    <row r="574" spans="1:4">
      <c r="A574" s="80"/>
      <c r="B574" s="98" t="s">
        <v>144</v>
      </c>
      <c r="C574" s="93" t="s">
        <v>134</v>
      </c>
      <c r="D574" s="87" t="s">
        <v>47</v>
      </c>
    </row>
    <row r="575" spans="1:4">
      <c r="A575" s="80"/>
      <c r="B575" s="2" t="s">
        <v>107</v>
      </c>
      <c r="C575" s="78" t="s">
        <v>263</v>
      </c>
      <c r="D575" s="87" t="s">
        <v>47</v>
      </c>
    </row>
    <row r="576" spans="1:4">
      <c r="A576" s="80"/>
      <c r="B576" s="2" t="s">
        <v>172</v>
      </c>
      <c r="C576" s="78" t="s">
        <v>280</v>
      </c>
      <c r="D576" s="87" t="s">
        <v>47</v>
      </c>
    </row>
    <row r="577" spans="1:4">
      <c r="A577" s="80"/>
      <c r="B577" s="2" t="s">
        <v>259</v>
      </c>
      <c r="C577" s="78" t="s">
        <v>97</v>
      </c>
      <c r="D577" s="87" t="s">
        <v>47</v>
      </c>
    </row>
    <row r="578" spans="1:4">
      <c r="A578" s="80"/>
      <c r="B578" s="2" t="s">
        <v>271</v>
      </c>
      <c r="C578" s="93" t="s">
        <v>275</v>
      </c>
      <c r="D578" s="87" t="s">
        <v>47</v>
      </c>
    </row>
    <row r="579" spans="1:4">
      <c r="A579" s="80"/>
      <c r="B579" s="2" t="s">
        <v>272</v>
      </c>
      <c r="C579" s="84" t="s">
        <v>171</v>
      </c>
      <c r="D579" s="87" t="s">
        <v>5</v>
      </c>
    </row>
    <row r="580" spans="1:4">
      <c r="A580" s="80"/>
      <c r="B580" s="2" t="s">
        <v>279</v>
      </c>
      <c r="C580" s="93" t="s">
        <v>286</v>
      </c>
      <c r="D580" s="87" t="s">
        <v>47</v>
      </c>
    </row>
    <row r="581" spans="1:4">
      <c r="A581" s="80"/>
      <c r="B581" s="2" t="s">
        <v>287</v>
      </c>
      <c r="C581" s="93" t="s">
        <v>292</v>
      </c>
      <c r="D581" s="87" t="s">
        <v>47</v>
      </c>
    </row>
    <row r="582" spans="1:4">
      <c r="A582" s="80"/>
      <c r="B582" s="2" t="s">
        <v>297</v>
      </c>
      <c r="C582" s="93" t="s">
        <v>328</v>
      </c>
      <c r="D582" s="87" t="s">
        <v>47</v>
      </c>
    </row>
    <row r="583" spans="1:4">
      <c r="A583" s="80"/>
      <c r="B583" s="2" t="s">
        <v>298</v>
      </c>
      <c r="C583" s="93" t="s">
        <v>305</v>
      </c>
      <c r="D583" s="87" t="s">
        <v>47</v>
      </c>
    </row>
    <row r="584" spans="1:4">
      <c r="A584" s="80"/>
      <c r="B584" s="2" t="s">
        <v>303</v>
      </c>
      <c r="C584" s="93" t="s">
        <v>308</v>
      </c>
      <c r="D584" s="87" t="s">
        <v>47</v>
      </c>
    </row>
    <row r="585" spans="1:4">
      <c r="A585" s="80"/>
      <c r="B585" s="2" t="s">
        <v>304</v>
      </c>
      <c r="C585" s="93" t="s">
        <v>317</v>
      </c>
      <c r="D585" s="87" t="s">
        <v>47</v>
      </c>
    </row>
    <row r="586" spans="1:4">
      <c r="A586" s="80"/>
      <c r="B586" s="2" t="s">
        <v>313</v>
      </c>
      <c r="C586" s="84" t="s">
        <v>337</v>
      </c>
      <c r="D586" s="87" t="s">
        <v>5</v>
      </c>
    </row>
    <row r="587" spans="1:4">
      <c r="A587" s="85"/>
      <c r="B587" s="2" t="s">
        <v>338</v>
      </c>
      <c r="C587" s="84" t="s">
        <v>171</v>
      </c>
      <c r="D587" s="87" t="s">
        <v>5</v>
      </c>
    </row>
    <row r="589" spans="1:4">
      <c r="A589" s="88">
        <v>46004</v>
      </c>
      <c r="B589" s="98" t="s">
        <v>50</v>
      </c>
      <c r="C589" s="93" t="s">
        <v>106</v>
      </c>
      <c r="D589" s="87" t="s">
        <v>47</v>
      </c>
    </row>
    <row r="590" spans="1:4">
      <c r="A590" s="88"/>
      <c r="B590" s="98" t="s">
        <v>144</v>
      </c>
      <c r="C590" s="93" t="s">
        <v>134</v>
      </c>
      <c r="D590" s="87" t="s">
        <v>47</v>
      </c>
    </row>
    <row r="591" spans="1:4">
      <c r="A591" s="88"/>
      <c r="B591" s="2" t="s">
        <v>107</v>
      </c>
      <c r="C591" s="78" t="s">
        <v>263</v>
      </c>
      <c r="D591" s="87" t="s">
        <v>47</v>
      </c>
    </row>
    <row r="592" spans="1:4">
      <c r="A592" s="88"/>
      <c r="B592" s="2" t="s">
        <v>172</v>
      </c>
      <c r="C592" s="78" t="s">
        <v>280</v>
      </c>
      <c r="D592" s="87" t="s">
        <v>47</v>
      </c>
    </row>
    <row r="593" spans="1:4">
      <c r="A593" s="88"/>
      <c r="B593" s="2" t="s">
        <v>259</v>
      </c>
      <c r="C593" s="78" t="s">
        <v>97</v>
      </c>
      <c r="D593" s="87" t="s">
        <v>47</v>
      </c>
    </row>
    <row r="594" spans="1:4">
      <c r="A594" s="88"/>
      <c r="B594" s="2" t="s">
        <v>271</v>
      </c>
      <c r="C594" s="93" t="s">
        <v>275</v>
      </c>
      <c r="D594" s="87" t="s">
        <v>47</v>
      </c>
    </row>
    <row r="595" spans="1:4">
      <c r="A595" s="88"/>
      <c r="B595" s="2" t="s">
        <v>279</v>
      </c>
      <c r="C595" s="93" t="s">
        <v>286</v>
      </c>
      <c r="D595" s="87" t="s">
        <v>47</v>
      </c>
    </row>
    <row r="596" spans="1:4">
      <c r="A596" s="88"/>
      <c r="B596" s="2" t="s">
        <v>287</v>
      </c>
      <c r="C596" s="93" t="s">
        <v>292</v>
      </c>
      <c r="D596" s="87" t="s">
        <v>47</v>
      </c>
    </row>
    <row r="597" spans="1:4">
      <c r="A597" s="88"/>
      <c r="B597" s="2" t="s">
        <v>297</v>
      </c>
      <c r="C597" s="93" t="s">
        <v>328</v>
      </c>
      <c r="D597" s="87" t="s">
        <v>47</v>
      </c>
    </row>
    <row r="598" spans="1:4">
      <c r="A598" s="88"/>
      <c r="B598" s="2" t="s">
        <v>298</v>
      </c>
      <c r="C598" s="93" t="s">
        <v>305</v>
      </c>
      <c r="D598" s="87" t="s">
        <v>47</v>
      </c>
    </row>
    <row r="599" spans="1:4">
      <c r="A599" s="88"/>
      <c r="B599" s="2" t="s">
        <v>303</v>
      </c>
      <c r="C599" s="93" t="s">
        <v>308</v>
      </c>
      <c r="D599" s="87" t="s">
        <v>47</v>
      </c>
    </row>
    <row r="600" spans="1:4">
      <c r="A600" s="88"/>
      <c r="B600" s="2" t="s">
        <v>304</v>
      </c>
      <c r="C600" s="93" t="s">
        <v>317</v>
      </c>
      <c r="D600" s="87" t="s">
        <v>47</v>
      </c>
    </row>
    <row r="602" spans="1:4">
      <c r="A602" s="86">
        <v>46005</v>
      </c>
      <c r="B602" s="98" t="s">
        <v>50</v>
      </c>
      <c r="C602" s="93" t="s">
        <v>106</v>
      </c>
      <c r="D602" s="87" t="s">
        <v>47</v>
      </c>
    </row>
    <row r="603" spans="1:4">
      <c r="A603" s="80"/>
      <c r="B603" s="98" t="s">
        <v>144</v>
      </c>
      <c r="C603" s="93" t="s">
        <v>134</v>
      </c>
      <c r="D603" s="87" t="s">
        <v>47</v>
      </c>
    </row>
    <row r="604" spans="1:4">
      <c r="A604" s="80"/>
      <c r="B604" s="2" t="s">
        <v>107</v>
      </c>
      <c r="C604" s="78" t="s">
        <v>263</v>
      </c>
      <c r="D604" s="87" t="s">
        <v>47</v>
      </c>
    </row>
    <row r="605" spans="1:4">
      <c r="A605" s="80"/>
      <c r="B605" s="2" t="s">
        <v>172</v>
      </c>
      <c r="C605" s="78" t="s">
        <v>280</v>
      </c>
      <c r="D605" s="87" t="s">
        <v>47</v>
      </c>
    </row>
    <row r="606" spans="1:4">
      <c r="A606" s="80"/>
      <c r="B606" s="2" t="s">
        <v>259</v>
      </c>
      <c r="C606" s="78" t="s">
        <v>97</v>
      </c>
      <c r="D606" s="87" t="s">
        <v>47</v>
      </c>
    </row>
    <row r="607" spans="1:4">
      <c r="A607" s="80"/>
      <c r="B607" s="2" t="s">
        <v>271</v>
      </c>
      <c r="C607" s="93" t="s">
        <v>275</v>
      </c>
      <c r="D607" s="87" t="s">
        <v>47</v>
      </c>
    </row>
    <row r="608" spans="1:4">
      <c r="A608" s="80"/>
      <c r="B608" s="2" t="s">
        <v>279</v>
      </c>
      <c r="C608" s="93" t="s">
        <v>286</v>
      </c>
      <c r="D608" s="87" t="s">
        <v>47</v>
      </c>
    </row>
    <row r="609" spans="1:4">
      <c r="A609" s="80"/>
      <c r="B609" s="2" t="s">
        <v>287</v>
      </c>
      <c r="C609" s="93" t="s">
        <v>292</v>
      </c>
      <c r="D609" s="87" t="s">
        <v>47</v>
      </c>
    </row>
    <row r="610" spans="1:4">
      <c r="A610" s="80"/>
      <c r="B610" s="2" t="s">
        <v>297</v>
      </c>
      <c r="C610" s="93" t="s">
        <v>328</v>
      </c>
      <c r="D610" s="87" t="s">
        <v>47</v>
      </c>
    </row>
    <row r="611" spans="1:4">
      <c r="A611" s="80"/>
      <c r="B611" s="2" t="s">
        <v>298</v>
      </c>
      <c r="C611" s="93" t="s">
        <v>305</v>
      </c>
      <c r="D611" s="87" t="s">
        <v>47</v>
      </c>
    </row>
    <row r="612" spans="1:4">
      <c r="A612" s="80"/>
      <c r="B612" s="2" t="s">
        <v>303</v>
      </c>
      <c r="C612" s="93" t="s">
        <v>308</v>
      </c>
      <c r="D612" s="87" t="s">
        <v>47</v>
      </c>
    </row>
    <row r="613" spans="1:4">
      <c r="A613" s="80"/>
      <c r="B613" s="2" t="s">
        <v>304</v>
      </c>
      <c r="C613" s="93" t="s">
        <v>317</v>
      </c>
      <c r="D613" s="87" t="s">
        <v>47</v>
      </c>
    </row>
    <row r="614" spans="1:4">
      <c r="A614" s="80"/>
      <c r="B614" s="2" t="s">
        <v>339</v>
      </c>
      <c r="C614" s="84" t="s">
        <v>340</v>
      </c>
      <c r="D614" s="87" t="s">
        <v>5</v>
      </c>
    </row>
    <row r="615" spans="1:4">
      <c r="A615" s="85"/>
      <c r="B615" s="2" t="s">
        <v>341</v>
      </c>
      <c r="C615" s="84" t="s">
        <v>171</v>
      </c>
      <c r="D615" s="87" t="s">
        <v>5</v>
      </c>
    </row>
    <row r="617" spans="1:4">
      <c r="A617" s="86">
        <v>46006</v>
      </c>
      <c r="B617" s="98" t="s">
        <v>50</v>
      </c>
      <c r="C617" s="93" t="s">
        <v>106</v>
      </c>
      <c r="D617" s="87" t="s">
        <v>47</v>
      </c>
    </row>
    <row r="618" spans="1:4">
      <c r="A618" s="80"/>
      <c r="B618" s="98" t="s">
        <v>144</v>
      </c>
      <c r="C618" s="93" t="s">
        <v>134</v>
      </c>
      <c r="D618" s="87" t="s">
        <v>47</v>
      </c>
    </row>
    <row r="619" spans="1:4">
      <c r="A619" s="80"/>
      <c r="B619" s="2" t="s">
        <v>107</v>
      </c>
      <c r="C619" s="84" t="s">
        <v>342</v>
      </c>
      <c r="D619" s="87" t="s">
        <v>47</v>
      </c>
    </row>
    <row r="620" spans="1:4">
      <c r="A620" s="80"/>
      <c r="B620" s="2" t="s">
        <v>172</v>
      </c>
      <c r="C620" s="78" t="s">
        <v>280</v>
      </c>
      <c r="D620" s="87" t="s">
        <v>47</v>
      </c>
    </row>
    <row r="621" spans="1:4">
      <c r="A621" s="80"/>
      <c r="B621" s="2" t="s">
        <v>259</v>
      </c>
      <c r="C621" s="78" t="s">
        <v>97</v>
      </c>
      <c r="D621" s="87" t="s">
        <v>47</v>
      </c>
    </row>
    <row r="622" spans="1:4">
      <c r="A622" s="80"/>
      <c r="B622" s="2" t="s">
        <v>271</v>
      </c>
      <c r="C622" s="93" t="s">
        <v>275</v>
      </c>
      <c r="D622" s="87" t="s">
        <v>47</v>
      </c>
    </row>
    <row r="623" spans="1:4">
      <c r="A623" s="80"/>
      <c r="B623" s="2" t="s">
        <v>279</v>
      </c>
      <c r="C623" s="93" t="s">
        <v>286</v>
      </c>
      <c r="D623" s="87" t="s">
        <v>47</v>
      </c>
    </row>
    <row r="624" spans="1:4">
      <c r="A624" s="80"/>
      <c r="B624" s="2" t="s">
        <v>287</v>
      </c>
      <c r="C624" s="93" t="s">
        <v>292</v>
      </c>
      <c r="D624" s="87" t="s">
        <v>47</v>
      </c>
    </row>
    <row r="625" spans="1:4">
      <c r="A625" s="80"/>
      <c r="B625" s="2" t="s">
        <v>297</v>
      </c>
      <c r="C625" s="93" t="s">
        <v>328</v>
      </c>
      <c r="D625" s="87" t="s">
        <v>47</v>
      </c>
    </row>
    <row r="626" spans="1:4">
      <c r="A626" s="80"/>
      <c r="B626" s="2" t="s">
        <v>298</v>
      </c>
      <c r="C626" s="93" t="s">
        <v>305</v>
      </c>
      <c r="D626" s="87" t="s">
        <v>47</v>
      </c>
    </row>
    <row r="627" spans="1:4">
      <c r="A627" s="80"/>
      <c r="B627" s="2" t="s">
        <v>303</v>
      </c>
      <c r="C627" s="93" t="s">
        <v>308</v>
      </c>
      <c r="D627" s="87" t="s">
        <v>47</v>
      </c>
    </row>
    <row r="628" spans="1:4">
      <c r="A628" s="80"/>
      <c r="B628" s="2" t="s">
        <v>304</v>
      </c>
      <c r="C628" s="93" t="s">
        <v>317</v>
      </c>
      <c r="D628" s="87" t="s">
        <v>47</v>
      </c>
    </row>
    <row r="629" spans="1:4">
      <c r="A629" s="80"/>
      <c r="B629" s="2" t="s">
        <v>343</v>
      </c>
      <c r="C629" s="93" t="s">
        <v>344</v>
      </c>
      <c r="D629" s="1" t="s">
        <v>47</v>
      </c>
    </row>
    <row r="630" spans="1:4">
      <c r="A630" s="80"/>
      <c r="B630" s="2" t="s">
        <v>345</v>
      </c>
      <c r="C630" s="93" t="s">
        <v>314</v>
      </c>
      <c r="D630" s="1" t="s">
        <v>47</v>
      </c>
    </row>
    <row r="632" spans="1:4">
      <c r="A632" s="86">
        <v>46007</v>
      </c>
      <c r="B632" s="98" t="s">
        <v>50</v>
      </c>
      <c r="C632" s="93" t="s">
        <v>106</v>
      </c>
      <c r="D632" s="87" t="s">
        <v>47</v>
      </c>
    </row>
    <row r="633" spans="1:4">
      <c r="A633" s="80"/>
      <c r="B633" s="98" t="s">
        <v>144</v>
      </c>
      <c r="C633" s="93" t="s">
        <v>134</v>
      </c>
      <c r="D633" s="87" t="s">
        <v>47</v>
      </c>
    </row>
    <row r="634" spans="1:4">
      <c r="A634" s="80"/>
      <c r="B634" s="2" t="s">
        <v>172</v>
      </c>
      <c r="C634" s="78" t="s">
        <v>280</v>
      </c>
      <c r="D634" s="87" t="s">
        <v>47</v>
      </c>
    </row>
    <row r="635" spans="1:4">
      <c r="A635" s="80"/>
      <c r="B635" s="2" t="s">
        <v>259</v>
      </c>
      <c r="C635" s="78" t="s">
        <v>97</v>
      </c>
      <c r="D635" s="87" t="s">
        <v>47</v>
      </c>
    </row>
    <row r="636" spans="1:4">
      <c r="A636" s="80"/>
      <c r="B636" s="2" t="s">
        <v>271</v>
      </c>
      <c r="C636" s="93" t="s">
        <v>275</v>
      </c>
      <c r="D636" s="87" t="s">
        <v>47</v>
      </c>
    </row>
    <row r="637" spans="1:4">
      <c r="A637" s="80"/>
      <c r="B637" s="2" t="s">
        <v>279</v>
      </c>
      <c r="C637" s="93" t="s">
        <v>286</v>
      </c>
      <c r="D637" s="87" t="s">
        <v>47</v>
      </c>
    </row>
    <row r="638" spans="1:4">
      <c r="A638" s="80"/>
      <c r="B638" s="2" t="s">
        <v>287</v>
      </c>
      <c r="C638" s="93" t="s">
        <v>292</v>
      </c>
      <c r="D638" s="87" t="s">
        <v>47</v>
      </c>
    </row>
    <row r="639" spans="1:4">
      <c r="A639" s="80"/>
      <c r="B639" s="2" t="s">
        <v>297</v>
      </c>
      <c r="C639" s="93" t="s">
        <v>328</v>
      </c>
      <c r="D639" s="87" t="s">
        <v>47</v>
      </c>
    </row>
    <row r="640" spans="1:4">
      <c r="A640" s="80"/>
      <c r="B640" s="2" t="s">
        <v>298</v>
      </c>
      <c r="C640" s="93" t="s">
        <v>305</v>
      </c>
      <c r="D640" s="87" t="s">
        <v>47</v>
      </c>
    </row>
    <row r="641" spans="1:4">
      <c r="A641" s="80"/>
      <c r="B641" s="2" t="s">
        <v>303</v>
      </c>
      <c r="C641" s="93" t="s">
        <v>308</v>
      </c>
      <c r="D641" s="87" t="s">
        <v>47</v>
      </c>
    </row>
    <row r="642" spans="1:4">
      <c r="A642" s="80"/>
      <c r="B642" s="2" t="s">
        <v>304</v>
      </c>
      <c r="C642" s="93" t="s">
        <v>317</v>
      </c>
      <c r="D642" s="87" t="s">
        <v>47</v>
      </c>
    </row>
    <row r="643" spans="1:4">
      <c r="A643" s="80"/>
      <c r="B643" s="2" t="s">
        <v>343</v>
      </c>
      <c r="C643" s="93" t="s">
        <v>344</v>
      </c>
      <c r="D643" s="1" t="s">
        <v>47</v>
      </c>
    </row>
    <row r="644" spans="1:4">
      <c r="A644" s="80"/>
      <c r="B644" s="2" t="s">
        <v>345</v>
      </c>
      <c r="C644" s="93" t="s">
        <v>97</v>
      </c>
      <c r="D644" s="1" t="s">
        <v>47</v>
      </c>
    </row>
    <row r="645" spans="1:4">
      <c r="A645" s="80"/>
      <c r="B645" s="2" t="s">
        <v>346</v>
      </c>
      <c r="C645" s="84" t="s">
        <v>171</v>
      </c>
      <c r="D645" s="1" t="s">
        <v>5</v>
      </c>
    </row>
    <row r="646" spans="1:4">
      <c r="A646" s="80"/>
      <c r="B646" s="2" t="s">
        <v>347</v>
      </c>
      <c r="C646" s="84" t="s">
        <v>171</v>
      </c>
      <c r="D646" s="1" t="s">
        <v>5</v>
      </c>
    </row>
    <row r="647" spans="1:4">
      <c r="A647" s="80"/>
      <c r="B647" s="2" t="s">
        <v>348</v>
      </c>
      <c r="C647" s="93" t="s">
        <v>97</v>
      </c>
      <c r="D647" s="1" t="s">
        <v>47</v>
      </c>
    </row>
    <row r="648" spans="1:4">
      <c r="A648" s="80"/>
      <c r="B648" s="2" t="s">
        <v>349</v>
      </c>
      <c r="C648" s="93" t="s">
        <v>97</v>
      </c>
      <c r="D648" s="1" t="s">
        <v>47</v>
      </c>
    </row>
    <row r="649" spans="1:4">
      <c r="A649" s="85"/>
      <c r="B649" s="2" t="s">
        <v>350</v>
      </c>
      <c r="C649" s="93" t="s">
        <v>351</v>
      </c>
      <c r="D649" s="1" t="s">
        <v>47</v>
      </c>
    </row>
    <row r="651" spans="1:4">
      <c r="A651" s="86">
        <v>46008</v>
      </c>
      <c r="B651" s="98" t="s">
        <v>50</v>
      </c>
      <c r="C651" s="93" t="s">
        <v>106</v>
      </c>
      <c r="D651" s="87" t="s">
        <v>47</v>
      </c>
    </row>
    <row r="652" spans="1:4">
      <c r="A652" s="80"/>
      <c r="B652" s="98" t="s">
        <v>144</v>
      </c>
      <c r="C652" s="93" t="s">
        <v>134</v>
      </c>
      <c r="D652" s="87" t="s">
        <v>47</v>
      </c>
    </row>
    <row r="653" spans="1:4">
      <c r="A653" s="80"/>
      <c r="B653" s="2" t="s">
        <v>172</v>
      </c>
      <c r="C653" s="78" t="s">
        <v>280</v>
      </c>
      <c r="D653" s="87" t="s">
        <v>47</v>
      </c>
    </row>
    <row r="654" spans="1:4">
      <c r="A654" s="80"/>
      <c r="B654" s="2" t="s">
        <v>259</v>
      </c>
      <c r="C654" s="78" t="s">
        <v>97</v>
      </c>
      <c r="D654" s="87" t="s">
        <v>47</v>
      </c>
    </row>
    <row r="655" spans="1:4">
      <c r="A655" s="80"/>
      <c r="B655" s="2" t="s">
        <v>271</v>
      </c>
      <c r="C655" s="93" t="s">
        <v>275</v>
      </c>
      <c r="D655" s="87" t="s">
        <v>47</v>
      </c>
    </row>
    <row r="656" spans="1:4">
      <c r="A656" s="80"/>
      <c r="B656" s="2" t="s">
        <v>279</v>
      </c>
      <c r="C656" s="93" t="s">
        <v>286</v>
      </c>
      <c r="D656" s="87" t="s">
        <v>47</v>
      </c>
    </row>
    <row r="657" spans="1:4">
      <c r="A657" s="80"/>
      <c r="B657" s="2" t="s">
        <v>287</v>
      </c>
      <c r="C657" s="93" t="s">
        <v>292</v>
      </c>
      <c r="D657" s="87" t="s">
        <v>47</v>
      </c>
    </row>
    <row r="658" spans="1:4">
      <c r="A658" s="80"/>
      <c r="B658" s="2" t="s">
        <v>297</v>
      </c>
      <c r="C658" s="93" t="s">
        <v>328</v>
      </c>
      <c r="D658" s="87" t="s">
        <v>47</v>
      </c>
    </row>
    <row r="659" spans="1:4">
      <c r="A659" s="80"/>
      <c r="B659" s="2" t="s">
        <v>298</v>
      </c>
      <c r="C659" s="93" t="s">
        <v>305</v>
      </c>
      <c r="D659" s="87" t="s">
        <v>47</v>
      </c>
    </row>
    <row r="660" spans="1:4">
      <c r="A660" s="80"/>
      <c r="B660" s="2" t="s">
        <v>303</v>
      </c>
      <c r="C660" s="93" t="s">
        <v>308</v>
      </c>
      <c r="D660" s="87" t="s">
        <v>47</v>
      </c>
    </row>
    <row r="661" spans="1:4">
      <c r="A661" s="80"/>
      <c r="B661" s="2" t="s">
        <v>304</v>
      </c>
      <c r="C661" s="93" t="s">
        <v>317</v>
      </c>
      <c r="D661" s="87" t="s">
        <v>47</v>
      </c>
    </row>
    <row r="662" spans="1:4">
      <c r="A662" s="80"/>
      <c r="B662" s="2" t="s">
        <v>343</v>
      </c>
      <c r="C662" s="93" t="s">
        <v>344</v>
      </c>
      <c r="D662" s="1" t="s">
        <v>47</v>
      </c>
    </row>
    <row r="663" spans="1:4">
      <c r="A663" s="80"/>
      <c r="B663" s="2" t="s">
        <v>348</v>
      </c>
      <c r="C663" s="93" t="s">
        <v>352</v>
      </c>
      <c r="D663" s="1" t="s">
        <v>47</v>
      </c>
    </row>
    <row r="664" spans="1:4">
      <c r="A664" s="80"/>
      <c r="B664" s="2" t="s">
        <v>350</v>
      </c>
      <c r="C664" s="84" t="s">
        <v>171</v>
      </c>
      <c r="D664" s="1" t="s">
        <v>5</v>
      </c>
    </row>
    <row r="665" spans="1:4">
      <c r="A665" s="85"/>
      <c r="B665" s="2" t="s">
        <v>353</v>
      </c>
      <c r="C665" s="104" t="s">
        <v>97</v>
      </c>
      <c r="D665" s="1" t="s">
        <v>47</v>
      </c>
    </row>
    <row r="667" customFormat="1" spans="1:8">
      <c r="A667" s="86">
        <v>46009</v>
      </c>
      <c r="B667" s="98" t="s">
        <v>50</v>
      </c>
      <c r="C667" s="93" t="s">
        <v>106</v>
      </c>
      <c r="D667" s="87" t="s">
        <v>47</v>
      </c>
      <c r="H667" s="75"/>
    </row>
    <row r="668" customFormat="1" spans="1:8">
      <c r="A668" s="80"/>
      <c r="B668" s="98" t="s">
        <v>144</v>
      </c>
      <c r="C668" s="93" t="s">
        <v>134</v>
      </c>
      <c r="D668" s="87" t="s">
        <v>47</v>
      </c>
      <c r="H668" s="75"/>
    </row>
    <row r="669" customFormat="1" spans="1:8">
      <c r="A669" s="80"/>
      <c r="B669" s="2" t="s">
        <v>172</v>
      </c>
      <c r="C669" s="78" t="s">
        <v>280</v>
      </c>
      <c r="D669" s="87" t="s">
        <v>47</v>
      </c>
      <c r="H669" s="75"/>
    </row>
    <row r="670" customFormat="1" spans="1:8">
      <c r="A670" s="80"/>
      <c r="B670" s="2" t="s">
        <v>259</v>
      </c>
      <c r="C670" s="78" t="s">
        <v>97</v>
      </c>
      <c r="D670" s="87" t="s">
        <v>47</v>
      </c>
      <c r="H670" s="75"/>
    </row>
    <row r="671" customFormat="1" spans="1:8">
      <c r="A671" s="80"/>
      <c r="B671" s="2" t="s">
        <v>271</v>
      </c>
      <c r="C671" s="93" t="s">
        <v>275</v>
      </c>
      <c r="D671" s="87" t="s">
        <v>47</v>
      </c>
      <c r="H671" s="75"/>
    </row>
    <row r="672" customFormat="1" spans="1:8">
      <c r="A672" s="80"/>
      <c r="B672" s="2" t="s">
        <v>279</v>
      </c>
      <c r="C672" s="93" t="s">
        <v>286</v>
      </c>
      <c r="D672" s="87" t="s">
        <v>47</v>
      </c>
      <c r="H672" s="75"/>
    </row>
    <row r="673" customFormat="1" spans="1:8">
      <c r="A673" s="80"/>
      <c r="B673" s="2" t="s">
        <v>287</v>
      </c>
      <c r="C673" s="93" t="s">
        <v>292</v>
      </c>
      <c r="D673" s="87" t="s">
        <v>47</v>
      </c>
      <c r="H673" s="75"/>
    </row>
    <row r="674" customFormat="1" spans="1:8">
      <c r="A674" s="80"/>
      <c r="B674" s="2" t="s">
        <v>297</v>
      </c>
      <c r="C674" s="93" t="s">
        <v>328</v>
      </c>
      <c r="D674" s="87" t="s">
        <v>47</v>
      </c>
      <c r="H674" s="75"/>
    </row>
    <row r="675" customFormat="1" spans="1:8">
      <c r="A675" s="80"/>
      <c r="B675" s="2" t="s">
        <v>298</v>
      </c>
      <c r="C675" s="93" t="s">
        <v>305</v>
      </c>
      <c r="D675" s="87" t="s">
        <v>47</v>
      </c>
      <c r="H675" s="75"/>
    </row>
    <row r="676" customFormat="1" spans="1:8">
      <c r="A676" s="80"/>
      <c r="B676" s="2" t="s">
        <v>303</v>
      </c>
      <c r="C676" s="93" t="s">
        <v>308</v>
      </c>
      <c r="D676" s="87" t="s">
        <v>47</v>
      </c>
      <c r="H676" s="75"/>
    </row>
    <row r="677" customFormat="1" spans="1:8">
      <c r="A677" s="80"/>
      <c r="B677" s="2" t="s">
        <v>304</v>
      </c>
      <c r="C677" s="93" t="s">
        <v>317</v>
      </c>
      <c r="D677" s="87" t="s">
        <v>47</v>
      </c>
      <c r="H677" s="75"/>
    </row>
    <row r="678" customFormat="1" spans="1:8">
      <c r="A678" s="80"/>
      <c r="B678" s="2" t="s">
        <v>343</v>
      </c>
      <c r="C678" s="93" t="s">
        <v>344</v>
      </c>
      <c r="D678" s="1" t="s">
        <v>47</v>
      </c>
      <c r="H678" s="75"/>
    </row>
    <row r="679" customFormat="1" spans="1:8">
      <c r="A679" s="80"/>
      <c r="B679" s="2" t="s">
        <v>348</v>
      </c>
      <c r="C679" s="93" t="s">
        <v>352</v>
      </c>
      <c r="D679" s="1" t="s">
        <v>47</v>
      </c>
      <c r="H679" s="75"/>
    </row>
    <row r="680" customFormat="1" spans="1:8">
      <c r="A680" s="85"/>
      <c r="B680" s="2" t="s">
        <v>353</v>
      </c>
      <c r="C680" s="104" t="s">
        <v>97</v>
      </c>
      <c r="D680" s="1" t="s">
        <v>47</v>
      </c>
      <c r="H680" s="75"/>
    </row>
    <row r="682" spans="1:4">
      <c r="A682" s="86">
        <v>46009</v>
      </c>
      <c r="B682" s="98" t="s">
        <v>50</v>
      </c>
      <c r="C682" s="93" t="s">
        <v>106</v>
      </c>
      <c r="D682" s="87" t="s">
        <v>47</v>
      </c>
    </row>
    <row r="683" spans="1:4">
      <c r="A683" s="80"/>
      <c r="B683" s="98" t="s">
        <v>144</v>
      </c>
      <c r="C683" s="93" t="s">
        <v>134</v>
      </c>
      <c r="D683" s="87" t="s">
        <v>47</v>
      </c>
    </row>
    <row r="684" spans="1:4">
      <c r="A684" s="80"/>
      <c r="B684" s="2" t="s">
        <v>172</v>
      </c>
      <c r="C684" s="78" t="s">
        <v>280</v>
      </c>
      <c r="D684" s="87" t="s">
        <v>47</v>
      </c>
    </row>
    <row r="685" spans="1:4">
      <c r="A685" s="80"/>
      <c r="B685" s="2" t="s">
        <v>259</v>
      </c>
      <c r="C685" s="78" t="s">
        <v>97</v>
      </c>
      <c r="D685" s="87" t="s">
        <v>47</v>
      </c>
    </row>
    <row r="686" spans="1:4">
      <c r="A686" s="80"/>
      <c r="B686" s="2" t="s">
        <v>271</v>
      </c>
      <c r="C686" s="93" t="s">
        <v>275</v>
      </c>
      <c r="D686" s="87" t="s">
        <v>47</v>
      </c>
    </row>
    <row r="687" spans="1:4">
      <c r="A687" s="80"/>
      <c r="B687" s="2" t="s">
        <v>279</v>
      </c>
      <c r="C687" s="93" t="s">
        <v>286</v>
      </c>
      <c r="D687" s="87" t="s">
        <v>47</v>
      </c>
    </row>
    <row r="688" spans="1:4">
      <c r="A688" s="80"/>
      <c r="B688" s="2" t="s">
        <v>287</v>
      </c>
      <c r="C688" s="93" t="s">
        <v>292</v>
      </c>
      <c r="D688" s="87" t="s">
        <v>47</v>
      </c>
    </row>
    <row r="689" spans="1:4">
      <c r="A689" s="80"/>
      <c r="B689" s="2" t="s">
        <v>297</v>
      </c>
      <c r="C689" s="93" t="s">
        <v>328</v>
      </c>
      <c r="D689" s="87" t="s">
        <v>47</v>
      </c>
    </row>
    <row r="690" spans="1:4">
      <c r="A690" s="80"/>
      <c r="B690" s="2" t="s">
        <v>298</v>
      </c>
      <c r="C690" s="93" t="s">
        <v>305</v>
      </c>
      <c r="D690" s="87" t="s">
        <v>47</v>
      </c>
    </row>
    <row r="691" spans="1:4">
      <c r="A691" s="80"/>
      <c r="B691" s="2" t="s">
        <v>303</v>
      </c>
      <c r="C691" s="93" t="s">
        <v>308</v>
      </c>
      <c r="D691" s="87" t="s">
        <v>47</v>
      </c>
    </row>
    <row r="692" spans="1:4">
      <c r="A692" s="80"/>
      <c r="B692" s="2" t="s">
        <v>304</v>
      </c>
      <c r="C692" s="93" t="s">
        <v>317</v>
      </c>
      <c r="D692" s="87" t="s">
        <v>47</v>
      </c>
    </row>
    <row r="693" spans="1:4">
      <c r="A693" s="80"/>
      <c r="B693" s="2" t="s">
        <v>343</v>
      </c>
      <c r="C693" s="93" t="s">
        <v>344</v>
      </c>
      <c r="D693" s="1" t="s">
        <v>47</v>
      </c>
    </row>
    <row r="694" spans="1:4">
      <c r="A694" s="80"/>
      <c r="B694" s="2" t="s">
        <v>348</v>
      </c>
      <c r="C694" s="84" t="s">
        <v>171</v>
      </c>
      <c r="D694" s="1" t="s">
        <v>47</v>
      </c>
    </row>
    <row r="695" spans="1:4">
      <c r="A695" s="80"/>
      <c r="B695" s="2" t="s">
        <v>350</v>
      </c>
      <c r="C695" s="84" t="s">
        <v>171</v>
      </c>
      <c r="D695" s="1" t="s">
        <v>47</v>
      </c>
    </row>
    <row r="696" spans="1:4">
      <c r="A696" s="85"/>
      <c r="B696" s="2" t="s">
        <v>353</v>
      </c>
      <c r="C696" s="104" t="s">
        <v>97</v>
      </c>
      <c r="D696" s="1" t="s">
        <v>47</v>
      </c>
    </row>
    <row r="698" spans="1:4">
      <c r="A698" s="86">
        <v>46010</v>
      </c>
      <c r="B698" s="98" t="s">
        <v>50</v>
      </c>
      <c r="C698" s="93" t="s">
        <v>106</v>
      </c>
      <c r="D698" s="87" t="s">
        <v>47</v>
      </c>
    </row>
    <row r="699" spans="1:4">
      <c r="A699" s="80"/>
      <c r="B699" s="98" t="s">
        <v>144</v>
      </c>
      <c r="C699" s="93" t="s">
        <v>134</v>
      </c>
      <c r="D699" s="87" t="s">
        <v>47</v>
      </c>
    </row>
    <row r="700" spans="1:4">
      <c r="A700" s="80"/>
      <c r="B700" s="2" t="s">
        <v>172</v>
      </c>
      <c r="C700" s="78" t="s">
        <v>280</v>
      </c>
      <c r="D700" s="87" t="s">
        <v>47</v>
      </c>
    </row>
    <row r="701" spans="1:4">
      <c r="A701" s="80"/>
      <c r="B701" s="2" t="s">
        <v>259</v>
      </c>
      <c r="C701" s="78" t="s">
        <v>97</v>
      </c>
      <c r="D701" s="87" t="s">
        <v>47</v>
      </c>
    </row>
    <row r="702" spans="1:4">
      <c r="A702" s="80"/>
      <c r="B702" s="2" t="s">
        <v>271</v>
      </c>
      <c r="C702" s="93" t="s">
        <v>275</v>
      </c>
      <c r="D702" s="87" t="s">
        <v>47</v>
      </c>
    </row>
    <row r="703" spans="1:4">
      <c r="A703" s="80"/>
      <c r="B703" s="2" t="s">
        <v>279</v>
      </c>
      <c r="C703" s="93" t="s">
        <v>286</v>
      </c>
      <c r="D703" s="87" t="s">
        <v>47</v>
      </c>
    </row>
    <row r="704" spans="1:4">
      <c r="A704" s="80"/>
      <c r="B704" s="2" t="s">
        <v>287</v>
      </c>
      <c r="C704" s="93" t="s">
        <v>292</v>
      </c>
      <c r="D704" s="87" t="s">
        <v>47</v>
      </c>
    </row>
    <row r="705" spans="1:4">
      <c r="A705" s="80"/>
      <c r="B705" s="2" t="s">
        <v>297</v>
      </c>
      <c r="C705" s="93" t="s">
        <v>328</v>
      </c>
      <c r="D705" s="87" t="s">
        <v>47</v>
      </c>
    </row>
    <row r="706" spans="1:4">
      <c r="A706" s="80"/>
      <c r="B706" s="2" t="s">
        <v>298</v>
      </c>
      <c r="C706" s="93" t="s">
        <v>305</v>
      </c>
      <c r="D706" s="87" t="s">
        <v>47</v>
      </c>
    </row>
    <row r="707" spans="1:4">
      <c r="A707" s="80"/>
      <c r="B707" s="2" t="s">
        <v>303</v>
      </c>
      <c r="C707" s="93" t="s">
        <v>308</v>
      </c>
      <c r="D707" s="87" t="s">
        <v>47</v>
      </c>
    </row>
    <row r="708" spans="1:4">
      <c r="A708" s="80"/>
      <c r="B708" s="2" t="s">
        <v>304</v>
      </c>
      <c r="C708" s="93" t="s">
        <v>317</v>
      </c>
      <c r="D708" s="87" t="s">
        <v>47</v>
      </c>
    </row>
    <row r="709" spans="1:4">
      <c r="A709" s="80"/>
      <c r="B709" s="2" t="s">
        <v>343</v>
      </c>
      <c r="C709" s="93" t="s">
        <v>344</v>
      </c>
      <c r="D709" s="1" t="s">
        <v>47</v>
      </c>
    </row>
    <row r="710" spans="1:4">
      <c r="A710" s="80"/>
      <c r="B710" s="2" t="s">
        <v>353</v>
      </c>
      <c r="C710" s="84" t="s">
        <v>354</v>
      </c>
      <c r="D710" s="1" t="s">
        <v>5</v>
      </c>
    </row>
    <row r="711" spans="1:4">
      <c r="A711" s="80"/>
      <c r="B711" s="2" t="s">
        <v>355</v>
      </c>
      <c r="C711" s="84" t="s">
        <v>171</v>
      </c>
      <c r="D711" s="1" t="s">
        <v>5</v>
      </c>
    </row>
    <row r="712" spans="1:4">
      <c r="A712" s="80"/>
      <c r="B712" s="2" t="s">
        <v>356</v>
      </c>
      <c r="C712" s="93" t="s">
        <v>97</v>
      </c>
      <c r="D712" s="1"/>
    </row>
    <row r="713" spans="1:4">
      <c r="A713" s="85"/>
      <c r="B713" s="2" t="s">
        <v>357</v>
      </c>
      <c r="C713" s="84" t="s">
        <v>171</v>
      </c>
      <c r="D713" s="1" t="s">
        <v>5</v>
      </c>
    </row>
    <row r="715" spans="1:4">
      <c r="A715" s="88">
        <v>46011</v>
      </c>
      <c r="B715" s="98" t="s">
        <v>50</v>
      </c>
      <c r="C715" s="93" t="s">
        <v>106</v>
      </c>
      <c r="D715" s="87" t="s">
        <v>47</v>
      </c>
    </row>
    <row r="716" spans="1:4">
      <c r="A716" s="88"/>
      <c r="B716" s="98" t="s">
        <v>144</v>
      </c>
      <c r="C716" s="93" t="s">
        <v>134</v>
      </c>
      <c r="D716" s="87" t="s">
        <v>47</v>
      </c>
    </row>
    <row r="717" spans="1:4">
      <c r="A717" s="88"/>
      <c r="B717" s="2" t="s">
        <v>172</v>
      </c>
      <c r="C717" s="78" t="s">
        <v>280</v>
      </c>
      <c r="D717" s="87" t="s">
        <v>47</v>
      </c>
    </row>
    <row r="718" spans="1:4">
      <c r="A718" s="88"/>
      <c r="B718" s="2" t="s">
        <v>259</v>
      </c>
      <c r="C718" s="78" t="s">
        <v>97</v>
      </c>
      <c r="D718" s="87" t="s">
        <v>47</v>
      </c>
    </row>
    <row r="719" spans="1:4">
      <c r="A719" s="88"/>
      <c r="B719" s="2" t="s">
        <v>271</v>
      </c>
      <c r="C719" s="93" t="s">
        <v>275</v>
      </c>
      <c r="D719" s="87" t="s">
        <v>47</v>
      </c>
    </row>
    <row r="720" spans="1:4">
      <c r="A720" s="88"/>
      <c r="B720" s="2" t="s">
        <v>279</v>
      </c>
      <c r="C720" s="93" t="s">
        <v>286</v>
      </c>
      <c r="D720" s="87" t="s">
        <v>47</v>
      </c>
    </row>
    <row r="721" spans="1:4">
      <c r="A721" s="88"/>
      <c r="B721" s="2" t="s">
        <v>287</v>
      </c>
      <c r="C721" s="93" t="s">
        <v>292</v>
      </c>
      <c r="D721" s="87" t="s">
        <v>47</v>
      </c>
    </row>
    <row r="722" spans="1:4">
      <c r="A722" s="88"/>
      <c r="B722" s="2" t="s">
        <v>297</v>
      </c>
      <c r="C722" s="93" t="s">
        <v>328</v>
      </c>
      <c r="D722" s="87" t="s">
        <v>47</v>
      </c>
    </row>
    <row r="723" spans="1:4">
      <c r="A723" s="88"/>
      <c r="B723" s="2" t="s">
        <v>298</v>
      </c>
      <c r="C723" s="93" t="s">
        <v>305</v>
      </c>
      <c r="D723" s="87" t="s">
        <v>47</v>
      </c>
    </row>
    <row r="724" spans="1:4">
      <c r="A724" s="88"/>
      <c r="B724" s="2" t="s">
        <v>303</v>
      </c>
      <c r="C724" s="93" t="s">
        <v>308</v>
      </c>
      <c r="D724" s="87" t="s">
        <v>47</v>
      </c>
    </row>
    <row r="725" spans="1:4">
      <c r="A725" s="88"/>
      <c r="B725" s="2" t="s">
        <v>304</v>
      </c>
      <c r="C725" s="93" t="s">
        <v>317</v>
      </c>
      <c r="D725" s="87" t="s">
        <v>47</v>
      </c>
    </row>
    <row r="726" spans="1:4">
      <c r="A726" s="88"/>
      <c r="B726" s="2" t="s">
        <v>343</v>
      </c>
      <c r="C726" s="93" t="s">
        <v>344</v>
      </c>
      <c r="D726" s="1" t="s">
        <v>47</v>
      </c>
    </row>
    <row r="727" spans="1:4">
      <c r="A727" s="88"/>
      <c r="B727" s="2" t="s">
        <v>356</v>
      </c>
      <c r="C727" s="93" t="s">
        <v>97</v>
      </c>
      <c r="D727" s="1" t="s">
        <v>47</v>
      </c>
    </row>
    <row r="728" spans="1:4">
      <c r="A728" s="88"/>
      <c r="B728" s="2" t="s">
        <v>358</v>
      </c>
      <c r="C728" s="93" t="s">
        <v>97</v>
      </c>
      <c r="D728" s="1" t="s">
        <v>47</v>
      </c>
    </row>
    <row r="730" spans="1:4">
      <c r="A730" s="86">
        <v>46012</v>
      </c>
      <c r="B730" s="98" t="s">
        <v>50</v>
      </c>
      <c r="C730" s="93" t="s">
        <v>106</v>
      </c>
      <c r="D730" s="87" t="s">
        <v>47</v>
      </c>
    </row>
    <row r="731" spans="1:4">
      <c r="A731" s="80"/>
      <c r="B731" s="98" t="s">
        <v>144</v>
      </c>
      <c r="C731" s="93" t="s">
        <v>134</v>
      </c>
      <c r="D731" s="87" t="s">
        <v>47</v>
      </c>
    </row>
    <row r="732" spans="1:4">
      <c r="A732" s="80"/>
      <c r="B732" s="2" t="s">
        <v>172</v>
      </c>
      <c r="C732" s="84" t="s">
        <v>171</v>
      </c>
      <c r="D732" s="87" t="s">
        <v>5</v>
      </c>
    </row>
    <row r="733" spans="1:4">
      <c r="A733" s="80"/>
      <c r="B733" s="2" t="s">
        <v>259</v>
      </c>
      <c r="C733" s="78" t="s">
        <v>97</v>
      </c>
      <c r="D733" s="87" t="s">
        <v>47</v>
      </c>
    </row>
    <row r="734" spans="1:4">
      <c r="A734" s="80"/>
      <c r="B734" s="2" t="s">
        <v>271</v>
      </c>
      <c r="C734" s="93" t="s">
        <v>275</v>
      </c>
      <c r="D734" s="87" t="s">
        <v>47</v>
      </c>
    </row>
    <row r="735" spans="1:4">
      <c r="A735" s="80"/>
      <c r="B735" s="2" t="s">
        <v>279</v>
      </c>
      <c r="C735" s="93" t="s">
        <v>286</v>
      </c>
      <c r="D735" s="87" t="s">
        <v>47</v>
      </c>
    </row>
    <row r="736" spans="1:4">
      <c r="A736" s="80"/>
      <c r="B736" s="2" t="s">
        <v>287</v>
      </c>
      <c r="C736" s="93" t="s">
        <v>292</v>
      </c>
      <c r="D736" s="87" t="s">
        <v>47</v>
      </c>
    </row>
    <row r="737" spans="1:4">
      <c r="A737" s="80"/>
      <c r="B737" s="2" t="s">
        <v>297</v>
      </c>
      <c r="C737" s="93" t="s">
        <v>328</v>
      </c>
      <c r="D737" s="87" t="s">
        <v>47</v>
      </c>
    </row>
    <row r="738" spans="1:4">
      <c r="A738" s="80"/>
      <c r="B738" s="2" t="s">
        <v>298</v>
      </c>
      <c r="C738" s="93" t="s">
        <v>305</v>
      </c>
      <c r="D738" s="87" t="s">
        <v>47</v>
      </c>
    </row>
    <row r="739" spans="1:4">
      <c r="A739" s="80"/>
      <c r="B739" s="2" t="s">
        <v>303</v>
      </c>
      <c r="C739" s="93" t="s">
        <v>308</v>
      </c>
      <c r="D739" s="87" t="s">
        <v>47</v>
      </c>
    </row>
    <row r="740" spans="1:4">
      <c r="A740" s="80"/>
      <c r="B740" s="2" t="s">
        <v>304</v>
      </c>
      <c r="C740" s="93" t="s">
        <v>317</v>
      </c>
      <c r="D740" s="87" t="s">
        <v>47</v>
      </c>
    </row>
    <row r="741" spans="1:4">
      <c r="A741" s="80"/>
      <c r="B741" s="2" t="s">
        <v>343</v>
      </c>
      <c r="C741" s="93" t="s">
        <v>344</v>
      </c>
      <c r="D741" s="1" t="s">
        <v>47</v>
      </c>
    </row>
    <row r="742" spans="1:4">
      <c r="A742" s="80"/>
      <c r="B742" s="2" t="s">
        <v>356</v>
      </c>
      <c r="C742" s="93" t="s">
        <v>97</v>
      </c>
      <c r="D742" s="1" t="s">
        <v>47</v>
      </c>
    </row>
    <row r="743" spans="1:4">
      <c r="A743" s="80"/>
      <c r="B743" s="2" t="s">
        <v>358</v>
      </c>
      <c r="C743" s="104" t="s">
        <v>359</v>
      </c>
      <c r="D743" s="1" t="s">
        <v>47</v>
      </c>
    </row>
    <row r="744" spans="1:4">
      <c r="A744" s="80"/>
      <c r="B744" s="2" t="s">
        <v>360</v>
      </c>
      <c r="C744" s="93" t="s">
        <v>97</v>
      </c>
      <c r="D744" s="1" t="s">
        <v>47</v>
      </c>
    </row>
    <row r="745" spans="1:4">
      <c r="A745" s="80"/>
      <c r="B745" s="2" t="s">
        <v>361</v>
      </c>
      <c r="C745" s="93" t="s">
        <v>97</v>
      </c>
      <c r="D745" s="1" t="s">
        <v>47</v>
      </c>
    </row>
    <row r="746" spans="1:4">
      <c r="A746" s="80"/>
      <c r="B746" s="2" t="s">
        <v>362</v>
      </c>
      <c r="C746" s="93" t="s">
        <v>97</v>
      </c>
      <c r="D746" s="1" t="s">
        <v>47</v>
      </c>
    </row>
    <row r="747" spans="1:4">
      <c r="A747" s="80"/>
      <c r="B747" s="2" t="s">
        <v>363</v>
      </c>
      <c r="C747" s="93" t="s">
        <v>97</v>
      </c>
      <c r="D747" s="1" t="s">
        <v>47</v>
      </c>
    </row>
    <row r="748" spans="1:4">
      <c r="A748" s="85"/>
      <c r="B748" s="2" t="s">
        <v>364</v>
      </c>
      <c r="C748" s="93" t="s">
        <v>97</v>
      </c>
      <c r="D748" s="1" t="s">
        <v>47</v>
      </c>
    </row>
    <row r="750" spans="1:4">
      <c r="A750" s="86">
        <v>46013</v>
      </c>
      <c r="B750" s="98" t="s">
        <v>50</v>
      </c>
      <c r="C750" s="93" t="s">
        <v>106</v>
      </c>
      <c r="D750" s="87" t="s">
        <v>47</v>
      </c>
    </row>
    <row r="751" spans="1:4">
      <c r="A751" s="80"/>
      <c r="B751" s="98" t="s">
        <v>144</v>
      </c>
      <c r="C751" s="93" t="s">
        <v>134</v>
      </c>
      <c r="D751" s="87" t="s">
        <v>47</v>
      </c>
    </row>
    <row r="752" spans="1:4">
      <c r="A752" s="80"/>
      <c r="B752" s="105" t="s">
        <v>259</v>
      </c>
      <c r="C752" s="78" t="s">
        <v>97</v>
      </c>
      <c r="D752" s="87" t="s">
        <v>47</v>
      </c>
    </row>
    <row r="753" spans="1:4">
      <c r="A753" s="80"/>
      <c r="B753" s="2" t="s">
        <v>271</v>
      </c>
      <c r="C753" s="93" t="s">
        <v>275</v>
      </c>
      <c r="D753" s="87" t="s">
        <v>47</v>
      </c>
    </row>
    <row r="754" spans="1:4">
      <c r="A754" s="80"/>
      <c r="B754" s="2" t="s">
        <v>279</v>
      </c>
      <c r="C754" s="93" t="s">
        <v>286</v>
      </c>
      <c r="D754" s="87" t="s">
        <v>47</v>
      </c>
    </row>
    <row r="755" spans="1:4">
      <c r="A755" s="80"/>
      <c r="B755" s="2" t="s">
        <v>287</v>
      </c>
      <c r="C755" s="93" t="s">
        <v>292</v>
      </c>
      <c r="D755" s="87" t="s">
        <v>47</v>
      </c>
    </row>
    <row r="756" spans="1:4">
      <c r="A756" s="80"/>
      <c r="B756" s="2" t="s">
        <v>297</v>
      </c>
      <c r="C756" s="93" t="s">
        <v>328</v>
      </c>
      <c r="D756" s="87" t="s">
        <v>47</v>
      </c>
    </row>
    <row r="757" spans="1:4">
      <c r="A757" s="80"/>
      <c r="B757" s="2" t="s">
        <v>298</v>
      </c>
      <c r="C757" s="93" t="s">
        <v>305</v>
      </c>
      <c r="D757" s="87" t="s">
        <v>47</v>
      </c>
    </row>
    <row r="758" spans="1:4">
      <c r="A758" s="80"/>
      <c r="B758" s="2" t="s">
        <v>303</v>
      </c>
      <c r="C758" s="93" t="s">
        <v>308</v>
      </c>
      <c r="D758" s="87" t="s">
        <v>47</v>
      </c>
    </row>
    <row r="759" spans="1:4">
      <c r="A759" s="80"/>
      <c r="B759" s="2" t="s">
        <v>304</v>
      </c>
      <c r="C759" s="93" t="s">
        <v>317</v>
      </c>
      <c r="D759" s="87" t="s">
        <v>47</v>
      </c>
    </row>
    <row r="760" spans="1:4">
      <c r="A760" s="80"/>
      <c r="B760" s="105" t="s">
        <v>343</v>
      </c>
      <c r="C760" s="93" t="s">
        <v>365</v>
      </c>
      <c r="D760" s="1" t="s">
        <v>47</v>
      </c>
    </row>
    <row r="761" spans="1:4">
      <c r="A761" s="80"/>
      <c r="B761" s="105" t="s">
        <v>356</v>
      </c>
      <c r="C761" s="93" t="s">
        <v>97</v>
      </c>
      <c r="D761" s="1" t="s">
        <v>47</v>
      </c>
    </row>
    <row r="762" spans="1:4">
      <c r="A762" s="80"/>
      <c r="B762" s="105" t="s">
        <v>358</v>
      </c>
      <c r="C762" s="84" t="s">
        <v>366</v>
      </c>
      <c r="D762" s="1" t="s">
        <v>5</v>
      </c>
    </row>
    <row r="763" spans="1:4">
      <c r="A763" s="80"/>
      <c r="B763" s="105" t="s">
        <v>367</v>
      </c>
      <c r="C763" s="93" t="s">
        <v>97</v>
      </c>
      <c r="D763" s="1" t="s">
        <v>47</v>
      </c>
    </row>
    <row r="764" spans="1:4">
      <c r="A764" s="80"/>
      <c r="B764" s="105" t="s">
        <v>361</v>
      </c>
      <c r="C764" s="93" t="s">
        <v>97</v>
      </c>
      <c r="D764" s="1" t="s">
        <v>47</v>
      </c>
    </row>
    <row r="765" spans="1:4">
      <c r="A765" s="80"/>
      <c r="B765" s="105" t="s">
        <v>362</v>
      </c>
      <c r="C765" s="93" t="s">
        <v>97</v>
      </c>
      <c r="D765" s="1" t="s">
        <v>47</v>
      </c>
    </row>
    <row r="766" spans="1:4">
      <c r="A766" s="80"/>
      <c r="B766" s="105" t="s">
        <v>363</v>
      </c>
      <c r="C766" s="93" t="s">
        <v>97</v>
      </c>
      <c r="D766" s="1" t="s">
        <v>47</v>
      </c>
    </row>
    <row r="767" spans="1:4">
      <c r="A767" s="80"/>
      <c r="B767" s="105" t="s">
        <v>364</v>
      </c>
      <c r="C767" s="84" t="s">
        <v>171</v>
      </c>
      <c r="D767" s="1" t="s">
        <v>5</v>
      </c>
    </row>
    <row r="768" spans="1:4">
      <c r="A768" s="80"/>
      <c r="B768" s="105" t="s">
        <v>368</v>
      </c>
      <c r="C768" s="93" t="s">
        <v>97</v>
      </c>
      <c r="D768" s="1" t="s">
        <v>47</v>
      </c>
    </row>
    <row r="769" spans="1:4">
      <c r="A769" s="80"/>
      <c r="B769" s="105" t="s">
        <v>369</v>
      </c>
      <c r="C769" s="93" t="s">
        <v>97</v>
      </c>
      <c r="D769" s="1" t="s">
        <v>47</v>
      </c>
    </row>
    <row r="770" spans="1:4">
      <c r="A770" s="85"/>
      <c r="B770" s="105" t="s">
        <v>370</v>
      </c>
      <c r="C770" s="93" t="s">
        <v>97</v>
      </c>
      <c r="D770" s="1" t="s">
        <v>47</v>
      </c>
    </row>
    <row r="772" spans="1:4">
      <c r="A772" s="86">
        <v>46014</v>
      </c>
      <c r="B772" s="98" t="s">
        <v>50</v>
      </c>
      <c r="C772" s="93" t="s">
        <v>106</v>
      </c>
      <c r="D772" s="87" t="s">
        <v>47</v>
      </c>
    </row>
    <row r="773" spans="1:4">
      <c r="A773" s="80"/>
      <c r="B773" s="98" t="s">
        <v>144</v>
      </c>
      <c r="C773" s="93" t="s">
        <v>134</v>
      </c>
      <c r="D773" s="87" t="s">
        <v>47</v>
      </c>
    </row>
    <row r="774" spans="1:4">
      <c r="A774" s="80"/>
      <c r="B774" s="105" t="s">
        <v>259</v>
      </c>
      <c r="C774" s="78" t="s">
        <v>97</v>
      </c>
      <c r="D774" s="87" t="s">
        <v>47</v>
      </c>
    </row>
    <row r="775" spans="1:4">
      <c r="A775" s="80"/>
      <c r="B775" s="2" t="s">
        <v>271</v>
      </c>
      <c r="C775" s="93" t="s">
        <v>275</v>
      </c>
      <c r="D775" s="87" t="s">
        <v>47</v>
      </c>
    </row>
    <row r="776" spans="1:4">
      <c r="A776" s="80"/>
      <c r="B776" s="2" t="s">
        <v>279</v>
      </c>
      <c r="C776" s="93" t="s">
        <v>286</v>
      </c>
      <c r="D776" s="87" t="s">
        <v>47</v>
      </c>
    </row>
    <row r="777" spans="1:4">
      <c r="A777" s="80"/>
      <c r="B777" s="2" t="s">
        <v>287</v>
      </c>
      <c r="C777" s="93" t="s">
        <v>292</v>
      </c>
      <c r="D777" s="87" t="s">
        <v>47</v>
      </c>
    </row>
    <row r="778" spans="1:4">
      <c r="A778" s="80"/>
      <c r="B778" s="2" t="s">
        <v>297</v>
      </c>
      <c r="C778" s="93" t="s">
        <v>328</v>
      </c>
      <c r="D778" s="87" t="s">
        <v>47</v>
      </c>
    </row>
    <row r="779" spans="1:4">
      <c r="A779" s="80"/>
      <c r="B779" s="2" t="s">
        <v>298</v>
      </c>
      <c r="C779" s="93" t="s">
        <v>305</v>
      </c>
      <c r="D779" s="87" t="s">
        <v>47</v>
      </c>
    </row>
    <row r="780" spans="1:4">
      <c r="A780" s="80"/>
      <c r="B780" s="2" t="s">
        <v>303</v>
      </c>
      <c r="C780" s="93" t="s">
        <v>308</v>
      </c>
      <c r="D780" s="87" t="s">
        <v>47</v>
      </c>
    </row>
    <row r="781" spans="1:4">
      <c r="A781" s="80"/>
      <c r="B781" s="2" t="s">
        <v>304</v>
      </c>
      <c r="C781" s="93" t="s">
        <v>317</v>
      </c>
      <c r="D781" s="87" t="s">
        <v>47</v>
      </c>
    </row>
    <row r="782" spans="1:4">
      <c r="A782" s="80"/>
      <c r="B782" s="105" t="s">
        <v>343</v>
      </c>
      <c r="C782" s="93" t="s">
        <v>365</v>
      </c>
      <c r="D782" s="1" t="s">
        <v>47</v>
      </c>
    </row>
    <row r="783" spans="1:4">
      <c r="A783" s="80"/>
      <c r="B783" s="105" t="s">
        <v>356</v>
      </c>
      <c r="C783" s="93" t="s">
        <v>97</v>
      </c>
      <c r="D783" s="1" t="s">
        <v>47</v>
      </c>
    </row>
    <row r="784" spans="1:4">
      <c r="A784" s="80"/>
      <c r="B784" s="105" t="s">
        <v>367</v>
      </c>
      <c r="C784" s="93" t="s">
        <v>97</v>
      </c>
      <c r="D784" s="1" t="s">
        <v>47</v>
      </c>
    </row>
    <row r="785" spans="1:4">
      <c r="A785" s="80"/>
      <c r="B785" s="105" t="s">
        <v>361</v>
      </c>
      <c r="C785" s="93" t="s">
        <v>97</v>
      </c>
      <c r="D785" s="1" t="s">
        <v>47</v>
      </c>
    </row>
    <row r="786" spans="1:4">
      <c r="A786" s="80"/>
      <c r="B786" s="105" t="s">
        <v>362</v>
      </c>
      <c r="C786" s="93" t="s">
        <v>97</v>
      </c>
      <c r="D786" s="1" t="s">
        <v>47</v>
      </c>
    </row>
    <row r="787" spans="1:4">
      <c r="A787" s="80"/>
      <c r="B787" s="105" t="s">
        <v>363</v>
      </c>
      <c r="C787" s="93" t="s">
        <v>97</v>
      </c>
      <c r="D787" s="1" t="s">
        <v>47</v>
      </c>
    </row>
    <row r="788" spans="1:4">
      <c r="A788" s="80"/>
      <c r="B788" s="105" t="s">
        <v>368</v>
      </c>
      <c r="C788" s="93" t="s">
        <v>97</v>
      </c>
      <c r="D788" s="1" t="s">
        <v>47</v>
      </c>
    </row>
    <row r="789" spans="1:4">
      <c r="A789" s="80"/>
      <c r="B789" s="105" t="s">
        <v>369</v>
      </c>
      <c r="C789" s="93" t="s">
        <v>97</v>
      </c>
      <c r="D789" s="1" t="s">
        <v>47</v>
      </c>
    </row>
    <row r="790" spans="1:4">
      <c r="A790" s="85"/>
      <c r="B790" s="105" t="s">
        <v>370</v>
      </c>
      <c r="C790" s="93" t="s">
        <v>97</v>
      </c>
      <c r="D790" s="1" t="s">
        <v>47</v>
      </c>
    </row>
    <row r="792" spans="1:4">
      <c r="A792" s="86">
        <v>46015</v>
      </c>
      <c r="B792" s="98" t="s">
        <v>50</v>
      </c>
      <c r="C792" s="93" t="s">
        <v>106</v>
      </c>
      <c r="D792" s="87" t="s">
        <v>47</v>
      </c>
    </row>
    <row r="793" spans="1:4">
      <c r="A793" s="80"/>
      <c r="B793" s="98" t="s">
        <v>144</v>
      </c>
      <c r="C793" s="93" t="s">
        <v>134</v>
      </c>
      <c r="D793" s="87" t="s">
        <v>47</v>
      </c>
    </row>
    <row r="794" spans="1:4">
      <c r="A794" s="80"/>
      <c r="B794" s="105" t="s">
        <v>259</v>
      </c>
      <c r="C794" s="78" t="s">
        <v>97</v>
      </c>
      <c r="D794" s="87" t="s">
        <v>47</v>
      </c>
    </row>
    <row r="795" spans="1:4">
      <c r="A795" s="80"/>
      <c r="B795" s="2" t="s">
        <v>271</v>
      </c>
      <c r="C795" s="93" t="s">
        <v>275</v>
      </c>
      <c r="D795" s="87" t="s">
        <v>47</v>
      </c>
    </row>
    <row r="796" spans="1:4">
      <c r="A796" s="80"/>
      <c r="B796" s="2" t="s">
        <v>279</v>
      </c>
      <c r="C796" s="93" t="s">
        <v>286</v>
      </c>
      <c r="D796" s="87" t="s">
        <v>47</v>
      </c>
    </row>
    <row r="797" spans="1:4">
      <c r="A797" s="80"/>
      <c r="B797" s="2" t="s">
        <v>287</v>
      </c>
      <c r="C797" s="93" t="s">
        <v>292</v>
      </c>
      <c r="D797" s="87" t="s">
        <v>47</v>
      </c>
    </row>
    <row r="798" spans="1:4">
      <c r="A798" s="80"/>
      <c r="B798" s="2" t="s">
        <v>297</v>
      </c>
      <c r="C798" s="93" t="s">
        <v>328</v>
      </c>
      <c r="D798" s="87" t="s">
        <v>47</v>
      </c>
    </row>
    <row r="799" spans="1:4">
      <c r="A799" s="80"/>
      <c r="B799" s="2" t="s">
        <v>298</v>
      </c>
      <c r="C799" s="93" t="s">
        <v>305</v>
      </c>
      <c r="D799" s="87" t="s">
        <v>47</v>
      </c>
    </row>
    <row r="800" spans="1:4">
      <c r="A800" s="80"/>
      <c r="B800" s="2" t="s">
        <v>303</v>
      </c>
      <c r="C800" s="93" t="s">
        <v>308</v>
      </c>
      <c r="D800" s="87" t="s">
        <v>47</v>
      </c>
    </row>
    <row r="801" spans="1:4">
      <c r="A801" s="80"/>
      <c r="B801" s="2" t="s">
        <v>304</v>
      </c>
      <c r="C801" s="93" t="s">
        <v>317</v>
      </c>
      <c r="D801" s="87" t="s">
        <v>47</v>
      </c>
    </row>
    <row r="802" spans="1:4">
      <c r="A802" s="80"/>
      <c r="B802" s="105" t="s">
        <v>343</v>
      </c>
      <c r="C802" s="93" t="s">
        <v>365</v>
      </c>
      <c r="D802" s="1" t="s">
        <v>47</v>
      </c>
    </row>
    <row r="803" spans="1:4">
      <c r="A803" s="80"/>
      <c r="B803" s="105" t="s">
        <v>371</v>
      </c>
      <c r="C803" s="93" t="s">
        <v>97</v>
      </c>
      <c r="D803" s="1" t="s">
        <v>47</v>
      </c>
    </row>
    <row r="804" spans="1:4">
      <c r="A804" s="80"/>
      <c r="B804" s="105" t="s">
        <v>367</v>
      </c>
      <c r="C804" s="84" t="s">
        <v>99</v>
      </c>
      <c r="D804" s="1" t="s">
        <v>5</v>
      </c>
    </row>
    <row r="805" spans="1:4">
      <c r="A805" s="80"/>
      <c r="B805" s="105" t="s">
        <v>361</v>
      </c>
      <c r="C805" s="84" t="s">
        <v>99</v>
      </c>
      <c r="D805" s="1" t="s">
        <v>5</v>
      </c>
    </row>
    <row r="806" spans="1:4">
      <c r="A806" s="80"/>
      <c r="B806" s="105" t="s">
        <v>362</v>
      </c>
      <c r="C806" s="84" t="s">
        <v>99</v>
      </c>
      <c r="D806" s="1" t="s">
        <v>5</v>
      </c>
    </row>
    <row r="807" spans="1:4">
      <c r="A807" s="80"/>
      <c r="B807" s="105" t="s">
        <v>363</v>
      </c>
      <c r="C807" s="84" t="s">
        <v>99</v>
      </c>
      <c r="D807" s="1" t="s">
        <v>5</v>
      </c>
    </row>
    <row r="808" spans="1:4">
      <c r="A808" s="80"/>
      <c r="B808" s="105" t="s">
        <v>368</v>
      </c>
      <c r="C808" s="84" t="s">
        <v>99</v>
      </c>
      <c r="D808" s="1" t="s">
        <v>5</v>
      </c>
    </row>
    <row r="809" spans="1:4">
      <c r="A809" s="80"/>
      <c r="B809" s="105" t="s">
        <v>369</v>
      </c>
      <c r="C809" s="84" t="s">
        <v>99</v>
      </c>
      <c r="D809" s="1" t="s">
        <v>5</v>
      </c>
    </row>
    <row r="810" spans="1:4">
      <c r="A810" s="85"/>
      <c r="B810" s="105" t="s">
        <v>370</v>
      </c>
      <c r="C810" s="93" t="s">
        <v>97</v>
      </c>
      <c r="D810" s="1" t="s">
        <v>47</v>
      </c>
    </row>
    <row r="812" spans="1:4">
      <c r="A812" s="86">
        <v>46017</v>
      </c>
      <c r="B812" s="98" t="s">
        <v>50</v>
      </c>
      <c r="C812" s="93" t="s">
        <v>106</v>
      </c>
      <c r="D812" s="1" t="s">
        <v>47</v>
      </c>
    </row>
    <row r="813" spans="1:4">
      <c r="A813" s="80"/>
      <c r="B813" s="98" t="s">
        <v>144</v>
      </c>
      <c r="C813" s="93" t="s">
        <v>134</v>
      </c>
      <c r="D813" s="1" t="s">
        <v>47</v>
      </c>
    </row>
    <row r="814" spans="1:4">
      <c r="A814" s="80"/>
      <c r="B814" s="105" t="s">
        <v>259</v>
      </c>
      <c r="C814" s="78" t="s">
        <v>97</v>
      </c>
      <c r="D814" s="1" t="s">
        <v>47</v>
      </c>
    </row>
    <row r="815" spans="1:4">
      <c r="A815" s="80"/>
      <c r="B815" s="2" t="s">
        <v>271</v>
      </c>
      <c r="C815" s="93" t="s">
        <v>275</v>
      </c>
      <c r="D815" s="1" t="s">
        <v>47</v>
      </c>
    </row>
    <row r="816" spans="1:4">
      <c r="A816" s="80"/>
      <c r="B816" s="2" t="s">
        <v>279</v>
      </c>
      <c r="C816" s="93" t="s">
        <v>286</v>
      </c>
      <c r="D816" s="1" t="s">
        <v>47</v>
      </c>
    </row>
    <row r="817" spans="1:4">
      <c r="A817" s="80"/>
      <c r="B817" s="2" t="s">
        <v>287</v>
      </c>
      <c r="C817" s="93" t="s">
        <v>292</v>
      </c>
      <c r="D817" s="1" t="s">
        <v>47</v>
      </c>
    </row>
    <row r="818" spans="1:4">
      <c r="A818" s="80"/>
      <c r="B818" s="2" t="s">
        <v>297</v>
      </c>
      <c r="C818" s="93" t="s">
        <v>328</v>
      </c>
      <c r="D818" s="1" t="s">
        <v>47</v>
      </c>
    </row>
    <row r="819" spans="1:4">
      <c r="A819" s="80"/>
      <c r="B819" s="2" t="s">
        <v>298</v>
      </c>
      <c r="C819" s="93" t="s">
        <v>305</v>
      </c>
      <c r="D819" s="1" t="s">
        <v>47</v>
      </c>
    </row>
    <row r="820" spans="1:4">
      <c r="A820" s="80"/>
      <c r="B820" s="2" t="s">
        <v>303</v>
      </c>
      <c r="C820" s="93" t="s">
        <v>308</v>
      </c>
      <c r="D820" s="1" t="s">
        <v>47</v>
      </c>
    </row>
    <row r="821" spans="1:4">
      <c r="A821" s="80"/>
      <c r="B821" s="2" t="s">
        <v>304</v>
      </c>
      <c r="C821" s="93" t="s">
        <v>317</v>
      </c>
      <c r="D821" s="1" t="s">
        <v>47</v>
      </c>
    </row>
    <row r="822" spans="1:4">
      <c r="A822" s="80"/>
      <c r="B822" s="105" t="s">
        <v>343</v>
      </c>
      <c r="C822" s="93" t="s">
        <v>365</v>
      </c>
      <c r="D822" s="1" t="s">
        <v>47</v>
      </c>
    </row>
    <row r="823" spans="1:4">
      <c r="A823" s="80"/>
      <c r="B823" s="105" t="s">
        <v>371</v>
      </c>
      <c r="C823" s="93" t="s">
        <v>97</v>
      </c>
      <c r="D823" s="1" t="s">
        <v>47</v>
      </c>
    </row>
    <row r="824" spans="1:4">
      <c r="A824" s="80"/>
      <c r="B824" s="105" t="s">
        <v>370</v>
      </c>
      <c r="C824" s="93" t="s">
        <v>97</v>
      </c>
      <c r="D824" s="1" t="s">
        <v>47</v>
      </c>
    </row>
    <row r="825" spans="1:4">
      <c r="A825" s="80"/>
      <c r="B825" s="2" t="s">
        <v>372</v>
      </c>
      <c r="C825" s="84" t="s">
        <v>171</v>
      </c>
      <c r="D825" s="1" t="s">
        <v>5</v>
      </c>
    </row>
    <row r="826" spans="1:4">
      <c r="A826" s="80"/>
      <c r="B826" s="2" t="s">
        <v>324</v>
      </c>
      <c r="C826" s="84" t="s">
        <v>171</v>
      </c>
      <c r="D826" s="1"/>
    </row>
    <row r="827" spans="1:4">
      <c r="A827" s="80"/>
      <c r="B827" s="2" t="s">
        <v>373</v>
      </c>
      <c r="C827" s="84" t="s">
        <v>171</v>
      </c>
      <c r="D827" s="1"/>
    </row>
    <row r="828" spans="1:4">
      <c r="A828" s="80"/>
      <c r="B828" s="2" t="s">
        <v>374</v>
      </c>
      <c r="C828" s="84" t="s">
        <v>171</v>
      </c>
      <c r="D828" s="1" t="s">
        <v>5</v>
      </c>
    </row>
    <row r="829" spans="1:4">
      <c r="A829" s="85"/>
      <c r="B829" s="2" t="s">
        <v>375</v>
      </c>
      <c r="C829" s="93" t="s">
        <v>376</v>
      </c>
      <c r="D829" s="1" t="s">
        <v>47</v>
      </c>
    </row>
    <row r="831" spans="1:4">
      <c r="A831" s="86">
        <v>46018</v>
      </c>
      <c r="B831" s="98" t="s">
        <v>50</v>
      </c>
      <c r="C831" s="93" t="s">
        <v>106</v>
      </c>
      <c r="D831" s="1" t="s">
        <v>47</v>
      </c>
    </row>
    <row r="832" spans="1:4">
      <c r="A832" s="80"/>
      <c r="B832" s="98" t="s">
        <v>144</v>
      </c>
      <c r="C832" s="93" t="s">
        <v>134</v>
      </c>
      <c r="D832" s="1" t="s">
        <v>47</v>
      </c>
    </row>
    <row r="833" spans="1:4">
      <c r="A833" s="80"/>
      <c r="B833" s="105" t="s">
        <v>259</v>
      </c>
      <c r="C833" s="78" t="s">
        <v>97</v>
      </c>
      <c r="D833" s="1" t="s">
        <v>47</v>
      </c>
    </row>
    <row r="834" spans="1:4">
      <c r="A834" s="80"/>
      <c r="B834" s="2" t="s">
        <v>271</v>
      </c>
      <c r="C834" s="93" t="s">
        <v>275</v>
      </c>
      <c r="D834" s="1" t="s">
        <v>47</v>
      </c>
    </row>
    <row r="835" spans="1:4">
      <c r="A835" s="80"/>
      <c r="B835" s="2" t="s">
        <v>279</v>
      </c>
      <c r="C835" s="93" t="s">
        <v>286</v>
      </c>
      <c r="D835" s="1" t="s">
        <v>47</v>
      </c>
    </row>
    <row r="836" spans="1:4">
      <c r="A836" s="80"/>
      <c r="B836" s="2" t="s">
        <v>287</v>
      </c>
      <c r="C836" s="93" t="s">
        <v>292</v>
      </c>
      <c r="D836" s="1" t="s">
        <v>47</v>
      </c>
    </row>
    <row r="837" spans="1:4">
      <c r="A837" s="80"/>
      <c r="B837" s="2" t="s">
        <v>297</v>
      </c>
      <c r="C837" s="93" t="s">
        <v>328</v>
      </c>
      <c r="D837" s="1" t="s">
        <v>47</v>
      </c>
    </row>
    <row r="838" spans="1:4">
      <c r="A838" s="80"/>
      <c r="B838" s="2" t="s">
        <v>298</v>
      </c>
      <c r="C838" s="93" t="s">
        <v>305</v>
      </c>
      <c r="D838" s="1" t="s">
        <v>47</v>
      </c>
    </row>
    <row r="839" spans="1:4">
      <c r="A839" s="80"/>
      <c r="B839" s="2" t="s">
        <v>303</v>
      </c>
      <c r="C839" s="93" t="s">
        <v>308</v>
      </c>
      <c r="D839" s="1" t="s">
        <v>47</v>
      </c>
    </row>
    <row r="840" spans="1:4">
      <c r="A840" s="80"/>
      <c r="B840" s="2" t="s">
        <v>304</v>
      </c>
      <c r="C840" s="93" t="s">
        <v>317</v>
      </c>
      <c r="D840" s="1" t="s">
        <v>47</v>
      </c>
    </row>
    <row r="841" spans="1:4">
      <c r="A841" s="80"/>
      <c r="B841" s="105" t="s">
        <v>343</v>
      </c>
      <c r="C841" s="93" t="s">
        <v>365</v>
      </c>
      <c r="D841" s="1" t="s">
        <v>47</v>
      </c>
    </row>
    <row r="842" spans="1:4">
      <c r="A842" s="80"/>
      <c r="B842" s="105" t="s">
        <v>371</v>
      </c>
      <c r="C842" s="93" t="s">
        <v>97</v>
      </c>
      <c r="D842" s="1" t="s">
        <v>47</v>
      </c>
    </row>
    <row r="843" spans="1:4">
      <c r="A843" s="80"/>
      <c r="B843" s="105" t="s">
        <v>370</v>
      </c>
      <c r="C843" s="93" t="s">
        <v>97</v>
      </c>
      <c r="D843" s="1" t="s">
        <v>47</v>
      </c>
    </row>
    <row r="844" spans="1:4">
      <c r="A844" s="80"/>
      <c r="B844" s="2" t="s">
        <v>375</v>
      </c>
      <c r="C844" s="93" t="s">
        <v>376</v>
      </c>
      <c r="D844" s="1" t="s">
        <v>47</v>
      </c>
    </row>
    <row r="845" spans="1:4">
      <c r="A845" s="85"/>
      <c r="B845" s="2" t="s">
        <v>377</v>
      </c>
      <c r="C845" s="84" t="s">
        <v>171</v>
      </c>
      <c r="D845" s="1" t="s">
        <v>5</v>
      </c>
    </row>
    <row r="847" spans="1:4">
      <c r="A847" s="86">
        <v>46020</v>
      </c>
      <c r="B847" s="98" t="s">
        <v>50</v>
      </c>
      <c r="C847" s="93" t="s">
        <v>106</v>
      </c>
      <c r="D847" s="1" t="s">
        <v>47</v>
      </c>
    </row>
    <row r="848" spans="1:4">
      <c r="A848" s="80"/>
      <c r="B848" s="98" t="s">
        <v>144</v>
      </c>
      <c r="C848" s="93" t="s">
        <v>134</v>
      </c>
      <c r="D848" s="1" t="s">
        <v>47</v>
      </c>
    </row>
    <row r="849" spans="1:4">
      <c r="A849" s="80"/>
      <c r="B849" s="105" t="s">
        <v>259</v>
      </c>
      <c r="C849" s="78" t="s">
        <v>97</v>
      </c>
      <c r="D849" s="1" t="s">
        <v>47</v>
      </c>
    </row>
    <row r="850" spans="1:4">
      <c r="A850" s="80"/>
      <c r="B850" s="2" t="s">
        <v>271</v>
      </c>
      <c r="C850" s="93" t="s">
        <v>275</v>
      </c>
      <c r="D850" s="1" t="s">
        <v>47</v>
      </c>
    </row>
    <row r="851" spans="1:4">
      <c r="A851" s="80"/>
      <c r="B851" s="2" t="s">
        <v>279</v>
      </c>
      <c r="C851" s="93" t="s">
        <v>286</v>
      </c>
      <c r="D851" s="1" t="s">
        <v>47</v>
      </c>
    </row>
    <row r="852" spans="1:4">
      <c r="A852" s="80"/>
      <c r="B852" s="2" t="s">
        <v>287</v>
      </c>
      <c r="C852" s="93" t="s">
        <v>292</v>
      </c>
      <c r="D852" s="1" t="s">
        <v>47</v>
      </c>
    </row>
    <row r="853" spans="1:4">
      <c r="A853" s="80"/>
      <c r="B853" s="2" t="s">
        <v>297</v>
      </c>
      <c r="C853" s="93" t="s">
        <v>328</v>
      </c>
      <c r="D853" s="1" t="s">
        <v>47</v>
      </c>
    </row>
    <row r="854" spans="1:4">
      <c r="A854" s="80"/>
      <c r="B854" s="2" t="s">
        <v>298</v>
      </c>
      <c r="C854" s="93" t="s">
        <v>305</v>
      </c>
      <c r="D854" s="1" t="s">
        <v>47</v>
      </c>
    </row>
    <row r="855" spans="1:4">
      <c r="A855" s="80"/>
      <c r="B855" s="2" t="s">
        <v>303</v>
      </c>
      <c r="C855" s="93" t="s">
        <v>308</v>
      </c>
      <c r="D855" s="1" t="s">
        <v>47</v>
      </c>
    </row>
    <row r="856" spans="1:4">
      <c r="A856" s="80"/>
      <c r="B856" s="2" t="s">
        <v>304</v>
      </c>
      <c r="C856" s="93" t="s">
        <v>317</v>
      </c>
      <c r="D856" s="1" t="s">
        <v>47</v>
      </c>
    </row>
    <row r="857" spans="1:4">
      <c r="A857" s="80"/>
      <c r="B857" s="105" t="s">
        <v>343</v>
      </c>
      <c r="C857" s="93" t="s">
        <v>365</v>
      </c>
      <c r="D857" s="1" t="s">
        <v>47</v>
      </c>
    </row>
    <row r="858" spans="1:4">
      <c r="A858" s="80"/>
      <c r="B858" s="105" t="s">
        <v>371</v>
      </c>
      <c r="C858" s="93" t="s">
        <v>97</v>
      </c>
      <c r="D858" s="1" t="s">
        <v>47</v>
      </c>
    </row>
    <row r="859" spans="1:4">
      <c r="A859" s="80"/>
      <c r="B859" s="105" t="s">
        <v>370</v>
      </c>
      <c r="C859" s="93" t="s">
        <v>97</v>
      </c>
      <c r="D859" s="1" t="s">
        <v>47</v>
      </c>
    </row>
    <row r="860" spans="1:4">
      <c r="A860" s="80"/>
      <c r="B860" s="2" t="s">
        <v>375</v>
      </c>
      <c r="C860" s="84" t="s">
        <v>378</v>
      </c>
      <c r="D860" s="1" t="s">
        <v>5</v>
      </c>
    </row>
    <row r="861" spans="1:4">
      <c r="A861" s="80"/>
      <c r="B861" s="2" t="s">
        <v>379</v>
      </c>
      <c r="C861" s="93" t="s">
        <v>97</v>
      </c>
      <c r="D861" s="1" t="s">
        <v>47</v>
      </c>
    </row>
    <row r="862" spans="1:4">
      <c r="A862" s="80"/>
      <c r="B862" s="2" t="s">
        <v>380</v>
      </c>
      <c r="C862" s="84" t="s">
        <v>378</v>
      </c>
      <c r="D862" s="1" t="s">
        <v>5</v>
      </c>
    </row>
    <row r="863" spans="1:4">
      <c r="A863" s="85"/>
      <c r="B863" s="2" t="s">
        <v>381</v>
      </c>
      <c r="C863" s="84" t="s">
        <v>171</v>
      </c>
      <c r="D863" s="1" t="s">
        <v>5</v>
      </c>
    </row>
    <row r="865" spans="1:4">
      <c r="A865" s="88">
        <v>46021</v>
      </c>
      <c r="B865" s="98" t="s">
        <v>50</v>
      </c>
      <c r="C865" s="93" t="s">
        <v>106</v>
      </c>
      <c r="D865" s="1" t="s">
        <v>47</v>
      </c>
    </row>
    <row r="866" spans="1:4">
      <c r="A866" s="88"/>
      <c r="B866" s="98" t="s">
        <v>144</v>
      </c>
      <c r="C866" s="93" t="s">
        <v>134</v>
      </c>
      <c r="D866" s="1" t="s">
        <v>47</v>
      </c>
    </row>
    <row r="867" spans="1:4">
      <c r="A867" s="88"/>
      <c r="B867" s="105" t="s">
        <v>259</v>
      </c>
      <c r="C867" s="78" t="s">
        <v>97</v>
      </c>
      <c r="D867" s="1" t="s">
        <v>47</v>
      </c>
    </row>
    <row r="868" spans="1:4">
      <c r="A868" s="88"/>
      <c r="B868" s="2" t="s">
        <v>271</v>
      </c>
      <c r="C868" s="93" t="s">
        <v>275</v>
      </c>
      <c r="D868" s="1" t="s">
        <v>47</v>
      </c>
    </row>
    <row r="869" spans="1:4">
      <c r="A869" s="88"/>
      <c r="B869" s="2" t="s">
        <v>279</v>
      </c>
      <c r="C869" s="93" t="s">
        <v>286</v>
      </c>
      <c r="D869" s="1" t="s">
        <v>47</v>
      </c>
    </row>
    <row r="870" spans="1:4">
      <c r="A870" s="88"/>
      <c r="B870" s="2" t="s">
        <v>287</v>
      </c>
      <c r="C870" s="93" t="s">
        <v>292</v>
      </c>
      <c r="D870" s="1" t="s">
        <v>47</v>
      </c>
    </row>
    <row r="871" spans="1:4">
      <c r="A871" s="88"/>
      <c r="B871" s="2" t="s">
        <v>297</v>
      </c>
      <c r="C871" s="93" t="s">
        <v>328</v>
      </c>
      <c r="D871" s="1" t="s">
        <v>47</v>
      </c>
    </row>
    <row r="872" spans="1:4">
      <c r="A872" s="88"/>
      <c r="B872" s="2" t="s">
        <v>298</v>
      </c>
      <c r="C872" s="93" t="s">
        <v>305</v>
      </c>
      <c r="D872" s="1" t="s">
        <v>47</v>
      </c>
    </row>
    <row r="873" spans="1:4">
      <c r="A873" s="88"/>
      <c r="B873" s="2" t="s">
        <v>303</v>
      </c>
      <c r="C873" s="93" t="s">
        <v>308</v>
      </c>
      <c r="D873" s="1" t="s">
        <v>47</v>
      </c>
    </row>
    <row r="874" spans="1:4">
      <c r="A874" s="88"/>
      <c r="B874" s="2" t="s">
        <v>304</v>
      </c>
      <c r="C874" s="93" t="s">
        <v>317</v>
      </c>
      <c r="D874" s="1" t="s">
        <v>47</v>
      </c>
    </row>
    <row r="875" spans="1:4">
      <c r="A875" s="88"/>
      <c r="B875" s="105" t="s">
        <v>343</v>
      </c>
      <c r="C875" s="93" t="s">
        <v>365</v>
      </c>
      <c r="D875" s="1" t="s">
        <v>47</v>
      </c>
    </row>
    <row r="876" spans="1:4">
      <c r="A876" s="88"/>
      <c r="B876" s="105" t="s">
        <v>371</v>
      </c>
      <c r="C876" s="93" t="s">
        <v>97</v>
      </c>
      <c r="D876" s="1" t="s">
        <v>47</v>
      </c>
    </row>
    <row r="877" spans="1:4">
      <c r="A877" s="88"/>
      <c r="B877" s="105" t="s">
        <v>370</v>
      </c>
      <c r="C877" s="93" t="s">
        <v>97</v>
      </c>
      <c r="D877" s="1" t="s">
        <v>47</v>
      </c>
    </row>
    <row r="878" spans="1:4">
      <c r="A878" s="88"/>
      <c r="B878" s="2" t="s">
        <v>379</v>
      </c>
      <c r="C878" s="84" t="s">
        <v>171</v>
      </c>
      <c r="D878" s="1" t="s">
        <v>5</v>
      </c>
    </row>
    <row r="880" spans="1:4">
      <c r="A880" s="86">
        <v>46022</v>
      </c>
      <c r="B880" s="98" t="s">
        <v>50</v>
      </c>
      <c r="C880" s="93" t="s">
        <v>106</v>
      </c>
      <c r="D880" s="1" t="s">
        <v>47</v>
      </c>
    </row>
    <row r="881" spans="1:4">
      <c r="A881" s="80"/>
      <c r="B881" s="98" t="s">
        <v>144</v>
      </c>
      <c r="C881" s="93" t="s">
        <v>134</v>
      </c>
      <c r="D881" s="1" t="s">
        <v>47</v>
      </c>
    </row>
    <row r="882" spans="1:4">
      <c r="A882" s="80"/>
      <c r="B882" s="105" t="s">
        <v>259</v>
      </c>
      <c r="C882" s="78" t="s">
        <v>97</v>
      </c>
      <c r="D882" s="1" t="s">
        <v>47</v>
      </c>
    </row>
    <row r="883" spans="1:4">
      <c r="A883" s="80"/>
      <c r="B883" s="2" t="s">
        <v>271</v>
      </c>
      <c r="C883" s="93" t="s">
        <v>275</v>
      </c>
      <c r="D883" s="1" t="s">
        <v>47</v>
      </c>
    </row>
    <row r="884" spans="1:4">
      <c r="A884" s="80"/>
      <c r="B884" s="2" t="s">
        <v>279</v>
      </c>
      <c r="C884" s="93" t="s">
        <v>286</v>
      </c>
      <c r="D884" s="1" t="s">
        <v>47</v>
      </c>
    </row>
    <row r="885" spans="1:4">
      <c r="A885" s="80"/>
      <c r="B885" s="2" t="s">
        <v>287</v>
      </c>
      <c r="C885" s="93" t="s">
        <v>292</v>
      </c>
      <c r="D885" s="1" t="s">
        <v>47</v>
      </c>
    </row>
    <row r="886" spans="1:4">
      <c r="A886" s="80"/>
      <c r="B886" s="2" t="s">
        <v>297</v>
      </c>
      <c r="C886" s="84" t="s">
        <v>382</v>
      </c>
      <c r="D886" s="1" t="s">
        <v>5</v>
      </c>
    </row>
    <row r="887" spans="1:4">
      <c r="A887" s="80"/>
      <c r="B887" s="2" t="s">
        <v>298</v>
      </c>
      <c r="C887" s="84" t="s">
        <v>382</v>
      </c>
      <c r="D887" s="1" t="s">
        <v>5</v>
      </c>
    </row>
    <row r="888" spans="1:4">
      <c r="A888" s="80"/>
      <c r="B888" s="2" t="s">
        <v>303</v>
      </c>
      <c r="C888" s="93" t="s">
        <v>308</v>
      </c>
      <c r="D888" s="1" t="s">
        <v>47</v>
      </c>
    </row>
    <row r="889" spans="1:4">
      <c r="A889" s="80"/>
      <c r="B889" s="2" t="s">
        <v>304</v>
      </c>
      <c r="C889" s="84" t="s">
        <v>171</v>
      </c>
      <c r="D889" s="1" t="s">
        <v>5</v>
      </c>
    </row>
    <row r="890" spans="1:4">
      <c r="A890" s="80"/>
      <c r="B890" s="105" t="s">
        <v>343</v>
      </c>
      <c r="C890" s="93" t="s">
        <v>365</v>
      </c>
      <c r="D890" s="1" t="s">
        <v>47</v>
      </c>
    </row>
    <row r="891" spans="1:4">
      <c r="A891" s="80"/>
      <c r="B891" s="105" t="s">
        <v>371</v>
      </c>
      <c r="C891" s="93" t="s">
        <v>97</v>
      </c>
      <c r="D891" s="1" t="s">
        <v>47</v>
      </c>
    </row>
    <row r="892" spans="1:4">
      <c r="A892" s="80"/>
      <c r="B892" s="105" t="s">
        <v>370</v>
      </c>
      <c r="C892" s="93" t="s">
        <v>97</v>
      </c>
      <c r="D892" s="1" t="s">
        <v>47</v>
      </c>
    </row>
    <row r="893" spans="1:4">
      <c r="A893" s="80"/>
      <c r="B893" s="2" t="s">
        <v>383</v>
      </c>
      <c r="C893" s="84" t="s">
        <v>171</v>
      </c>
      <c r="D893" s="1" t="s">
        <v>5</v>
      </c>
    </row>
    <row r="894" spans="1:4">
      <c r="A894" s="85"/>
      <c r="B894" s="2" t="s">
        <v>384</v>
      </c>
      <c r="C894" s="84" t="s">
        <v>171</v>
      </c>
      <c r="D894" s="1" t="s">
        <v>5</v>
      </c>
    </row>
    <row r="896" spans="1:4">
      <c r="A896" s="88">
        <v>46023</v>
      </c>
      <c r="B896" s="98" t="s">
        <v>50</v>
      </c>
      <c r="C896" s="93" t="s">
        <v>106</v>
      </c>
      <c r="D896" s="1" t="s">
        <v>47</v>
      </c>
    </row>
    <row r="897" spans="1:4">
      <c r="A897" s="88"/>
      <c r="B897" s="98" t="s">
        <v>144</v>
      </c>
      <c r="C897" s="93" t="s">
        <v>134</v>
      </c>
      <c r="D897" s="1" t="s">
        <v>47</v>
      </c>
    </row>
    <row r="898" spans="1:4">
      <c r="A898" s="88"/>
      <c r="B898" s="105" t="s">
        <v>259</v>
      </c>
      <c r="C898" s="78" t="s">
        <v>97</v>
      </c>
      <c r="D898" s="1" t="s">
        <v>47</v>
      </c>
    </row>
    <row r="899" spans="1:4">
      <c r="A899" s="88"/>
      <c r="B899" s="2" t="s">
        <v>271</v>
      </c>
      <c r="C899" s="93" t="s">
        <v>275</v>
      </c>
      <c r="D899" s="1" t="s">
        <v>47</v>
      </c>
    </row>
    <row r="900" spans="1:4">
      <c r="A900" s="88"/>
      <c r="B900" s="2" t="s">
        <v>279</v>
      </c>
      <c r="C900" s="93" t="s">
        <v>286</v>
      </c>
      <c r="D900" s="1" t="s">
        <v>47</v>
      </c>
    </row>
    <row r="901" spans="1:4">
      <c r="A901" s="88"/>
      <c r="B901" s="2" t="s">
        <v>287</v>
      </c>
      <c r="C901" s="93" t="s">
        <v>292</v>
      </c>
      <c r="D901" s="1" t="s">
        <v>47</v>
      </c>
    </row>
    <row r="902" spans="1:4">
      <c r="A902" s="88"/>
      <c r="B902" s="2" t="s">
        <v>303</v>
      </c>
      <c r="C902" s="93" t="s">
        <v>308</v>
      </c>
      <c r="D902" s="1" t="s">
        <v>47</v>
      </c>
    </row>
    <row r="903" spans="1:4">
      <c r="A903" s="88"/>
      <c r="B903" s="105" t="s">
        <v>343</v>
      </c>
      <c r="C903" s="93" t="s">
        <v>365</v>
      </c>
      <c r="D903" s="1" t="s">
        <v>47</v>
      </c>
    </row>
    <row r="904" spans="1:4">
      <c r="A904" s="88"/>
      <c r="B904" s="105" t="s">
        <v>371</v>
      </c>
      <c r="C904" s="93" t="s">
        <v>97</v>
      </c>
      <c r="D904" s="1" t="s">
        <v>47</v>
      </c>
    </row>
    <row r="905" spans="1:4">
      <c r="A905" s="88"/>
      <c r="B905" s="105" t="s">
        <v>370</v>
      </c>
      <c r="C905" s="93" t="s">
        <v>97</v>
      </c>
      <c r="D905" s="1" t="s">
        <v>47</v>
      </c>
    </row>
    <row r="907" spans="1:4">
      <c r="A907" s="86">
        <v>46024</v>
      </c>
      <c r="B907" s="98" t="s">
        <v>50</v>
      </c>
      <c r="C907" s="93" t="s">
        <v>106</v>
      </c>
      <c r="D907" s="1" t="s">
        <v>47</v>
      </c>
    </row>
    <row r="908" spans="1:4">
      <c r="A908" s="80"/>
      <c r="B908" s="98" t="s">
        <v>144</v>
      </c>
      <c r="C908" s="93" t="s">
        <v>134</v>
      </c>
      <c r="D908" s="1" t="s">
        <v>47</v>
      </c>
    </row>
    <row r="909" spans="1:4">
      <c r="A909" s="80"/>
      <c r="B909" s="105" t="s">
        <v>259</v>
      </c>
      <c r="C909" s="78" t="s">
        <v>97</v>
      </c>
      <c r="D909" s="1" t="s">
        <v>47</v>
      </c>
    </row>
    <row r="910" spans="1:4">
      <c r="A910" s="80"/>
      <c r="B910" s="2" t="s">
        <v>271</v>
      </c>
      <c r="C910" s="93" t="s">
        <v>275</v>
      </c>
      <c r="D910" s="1" t="s">
        <v>47</v>
      </c>
    </row>
    <row r="911" spans="1:4">
      <c r="A911" s="80"/>
      <c r="B911" s="2" t="s">
        <v>287</v>
      </c>
      <c r="C911" s="93" t="s">
        <v>292</v>
      </c>
      <c r="D911" s="1" t="s">
        <v>47</v>
      </c>
    </row>
    <row r="912" spans="1:4">
      <c r="A912" s="80"/>
      <c r="B912" s="2" t="s">
        <v>303</v>
      </c>
      <c r="C912" s="93" t="s">
        <v>308</v>
      </c>
      <c r="D912" s="1" t="s">
        <v>47</v>
      </c>
    </row>
    <row r="913" spans="1:4">
      <c r="A913" s="80"/>
      <c r="B913" s="105" t="s">
        <v>343</v>
      </c>
      <c r="C913" s="93" t="s">
        <v>365</v>
      </c>
      <c r="D913" s="1" t="s">
        <v>47</v>
      </c>
    </row>
    <row r="914" spans="1:4">
      <c r="A914" s="80"/>
      <c r="B914" s="105" t="s">
        <v>371</v>
      </c>
      <c r="C914" s="84" t="s">
        <v>99</v>
      </c>
      <c r="D914" s="1" t="s">
        <v>5</v>
      </c>
    </row>
    <row r="915" spans="1:4">
      <c r="A915" s="80"/>
      <c r="B915" s="105" t="s">
        <v>370</v>
      </c>
      <c r="C915" s="84" t="s">
        <v>99</v>
      </c>
      <c r="D915" s="1" t="s">
        <v>5</v>
      </c>
    </row>
    <row r="916" spans="1:4">
      <c r="A916" s="80"/>
      <c r="B916" s="2" t="s">
        <v>385</v>
      </c>
      <c r="C916" s="93" t="s">
        <v>97</v>
      </c>
      <c r="D916" s="1" t="s">
        <v>47</v>
      </c>
    </row>
    <row r="917" spans="1:4">
      <c r="A917" s="80"/>
      <c r="B917" s="2" t="s">
        <v>386</v>
      </c>
      <c r="C917" s="93" t="s">
        <v>97</v>
      </c>
      <c r="D917" s="1" t="s">
        <v>47</v>
      </c>
    </row>
    <row r="918" spans="1:4">
      <c r="A918" s="80"/>
      <c r="B918" s="106" t="s">
        <v>387</v>
      </c>
      <c r="C918" s="93" t="s">
        <v>388</v>
      </c>
      <c r="D918" s="1" t="s">
        <v>47</v>
      </c>
    </row>
    <row r="919" spans="1:4">
      <c r="A919" s="80"/>
      <c r="B919" s="105" t="s">
        <v>389</v>
      </c>
      <c r="C919" s="93" t="s">
        <v>97</v>
      </c>
      <c r="D919" s="1" t="s">
        <v>47</v>
      </c>
    </row>
    <row r="920" spans="1:4">
      <c r="A920" s="80"/>
      <c r="B920" s="105" t="s">
        <v>390</v>
      </c>
      <c r="C920" s="93" t="s">
        <v>97</v>
      </c>
      <c r="D920" s="1" t="s">
        <v>47</v>
      </c>
    </row>
    <row r="921" spans="1:4">
      <c r="A921" s="80"/>
      <c r="B921" s="105" t="s">
        <v>391</v>
      </c>
      <c r="C921" s="84" t="s">
        <v>171</v>
      </c>
      <c r="D921" s="1" t="s">
        <v>5</v>
      </c>
    </row>
    <row r="922" spans="1:4">
      <c r="A922" s="80"/>
      <c r="B922" s="105" t="s">
        <v>392</v>
      </c>
      <c r="C922" s="93" t="s">
        <v>393</v>
      </c>
      <c r="D922" s="1" t="s">
        <v>47</v>
      </c>
    </row>
    <row r="923" spans="1:4">
      <c r="A923" s="80"/>
      <c r="B923" s="105" t="s">
        <v>394</v>
      </c>
      <c r="C923" s="93" t="s">
        <v>97</v>
      </c>
      <c r="D923" s="1" t="s">
        <v>47</v>
      </c>
    </row>
    <row r="924" spans="1:4">
      <c r="A924" s="80"/>
      <c r="B924" s="105" t="s">
        <v>324</v>
      </c>
      <c r="C924" s="84" t="s">
        <v>171</v>
      </c>
      <c r="D924" s="1" t="s">
        <v>5</v>
      </c>
    </row>
    <row r="925" spans="1:4">
      <c r="A925" s="80"/>
      <c r="B925" s="2" t="s">
        <v>395</v>
      </c>
      <c r="C925" s="93" t="s">
        <v>97</v>
      </c>
      <c r="D925" s="1" t="s">
        <v>47</v>
      </c>
    </row>
    <row r="926" spans="1:4">
      <c r="A926" s="85"/>
      <c r="B926" s="2" t="s">
        <v>396</v>
      </c>
      <c r="C926" s="93" t="s">
        <v>97</v>
      </c>
      <c r="D926" s="1" t="s">
        <v>47</v>
      </c>
    </row>
    <row r="928" spans="1:4">
      <c r="A928" s="86">
        <v>46025</v>
      </c>
      <c r="B928" s="98" t="s">
        <v>50</v>
      </c>
      <c r="C928" s="93" t="s">
        <v>106</v>
      </c>
      <c r="D928" s="1" t="s">
        <v>47</v>
      </c>
    </row>
    <row r="929" spans="1:4">
      <c r="A929" s="80"/>
      <c r="B929" s="98" t="s">
        <v>144</v>
      </c>
      <c r="C929" s="93" t="s">
        <v>134</v>
      </c>
      <c r="D929" s="1" t="s">
        <v>47</v>
      </c>
    </row>
    <row r="930" spans="1:4">
      <c r="A930" s="80"/>
      <c r="B930" s="105" t="s">
        <v>259</v>
      </c>
      <c r="C930" s="78" t="s">
        <v>97</v>
      </c>
      <c r="D930" s="1" t="s">
        <v>47</v>
      </c>
    </row>
    <row r="931" spans="1:4">
      <c r="A931" s="80"/>
      <c r="B931" s="2" t="s">
        <v>271</v>
      </c>
      <c r="C931" s="93" t="s">
        <v>275</v>
      </c>
      <c r="D931" s="1" t="s">
        <v>47</v>
      </c>
    </row>
    <row r="932" spans="1:4">
      <c r="A932" s="80"/>
      <c r="B932" s="2" t="s">
        <v>287</v>
      </c>
      <c r="C932" s="93" t="s">
        <v>292</v>
      </c>
      <c r="D932" s="1" t="s">
        <v>47</v>
      </c>
    </row>
    <row r="933" spans="1:4">
      <c r="A933" s="80"/>
      <c r="B933" s="2" t="s">
        <v>303</v>
      </c>
      <c r="C933" s="93" t="s">
        <v>308</v>
      </c>
      <c r="D933" s="1" t="s">
        <v>47</v>
      </c>
    </row>
    <row r="934" spans="1:4">
      <c r="A934" s="80"/>
      <c r="B934" s="105" t="s">
        <v>343</v>
      </c>
      <c r="C934" s="93" t="s">
        <v>365</v>
      </c>
      <c r="D934" s="1" t="s">
        <v>47</v>
      </c>
    </row>
    <row r="935" spans="1:4">
      <c r="A935" s="80"/>
      <c r="B935" s="2" t="s">
        <v>385</v>
      </c>
      <c r="C935" s="93" t="s">
        <v>97</v>
      </c>
      <c r="D935" s="1" t="s">
        <v>47</v>
      </c>
    </row>
    <row r="936" spans="1:4">
      <c r="A936" s="80"/>
      <c r="B936" s="2" t="s">
        <v>386</v>
      </c>
      <c r="C936" s="93" t="s">
        <v>97</v>
      </c>
      <c r="D936" s="1" t="s">
        <v>47</v>
      </c>
    </row>
    <row r="937" spans="1:4">
      <c r="A937" s="80"/>
      <c r="B937" s="106" t="s">
        <v>397</v>
      </c>
      <c r="C937" s="93" t="s">
        <v>388</v>
      </c>
      <c r="D937" s="1" t="s">
        <v>47</v>
      </c>
    </row>
    <row r="938" spans="1:4">
      <c r="A938" s="80"/>
      <c r="B938" s="105" t="s">
        <v>389</v>
      </c>
      <c r="C938" s="84" t="s">
        <v>171</v>
      </c>
      <c r="D938" s="1" t="s">
        <v>5</v>
      </c>
    </row>
    <row r="939" spans="1:4">
      <c r="A939" s="80"/>
      <c r="B939" s="105" t="s">
        <v>390</v>
      </c>
      <c r="C939" s="93" t="s">
        <v>97</v>
      </c>
      <c r="D939" s="1" t="s">
        <v>47</v>
      </c>
    </row>
    <row r="940" spans="1:4">
      <c r="A940" s="80"/>
      <c r="B940" s="105" t="s">
        <v>392</v>
      </c>
      <c r="C940" s="93" t="s">
        <v>393</v>
      </c>
      <c r="D940" s="1" t="s">
        <v>47</v>
      </c>
    </row>
    <row r="941" spans="1:4">
      <c r="A941" s="80"/>
      <c r="B941" s="105" t="s">
        <v>394</v>
      </c>
      <c r="C941" s="93" t="s">
        <v>97</v>
      </c>
      <c r="D941" s="1" t="s">
        <v>47</v>
      </c>
    </row>
    <row r="942" spans="1:4">
      <c r="A942" s="80"/>
      <c r="B942" s="2" t="s">
        <v>395</v>
      </c>
      <c r="C942" s="93" t="s">
        <v>97</v>
      </c>
      <c r="D942" s="1" t="s">
        <v>47</v>
      </c>
    </row>
    <row r="943" spans="1:4">
      <c r="A943" s="80"/>
      <c r="B943" s="105" t="s">
        <v>396</v>
      </c>
      <c r="C943" s="93" t="s">
        <v>97</v>
      </c>
      <c r="D943" s="1" t="s">
        <v>47</v>
      </c>
    </row>
    <row r="944" spans="1:4">
      <c r="A944" s="85"/>
      <c r="B944" s="105" t="s">
        <v>398</v>
      </c>
      <c r="C944" s="93" t="s">
        <v>97</v>
      </c>
      <c r="D944" s="1" t="s">
        <v>47</v>
      </c>
    </row>
    <row r="946" spans="1:4">
      <c r="A946" s="86">
        <v>46027</v>
      </c>
      <c r="B946" s="98" t="s">
        <v>50</v>
      </c>
      <c r="C946" s="93" t="s">
        <v>106</v>
      </c>
      <c r="D946" s="1" t="s">
        <v>47</v>
      </c>
    </row>
    <row r="947" spans="1:4">
      <c r="A947" s="80"/>
      <c r="B947" s="98" t="s">
        <v>144</v>
      </c>
      <c r="C947" s="93" t="s">
        <v>134</v>
      </c>
      <c r="D947" s="1" t="s">
        <v>47</v>
      </c>
    </row>
    <row r="948" spans="1:4">
      <c r="A948" s="80"/>
      <c r="B948" s="105" t="s">
        <v>259</v>
      </c>
      <c r="C948" s="78" t="s">
        <v>97</v>
      </c>
      <c r="D948" s="1" t="s">
        <v>47</v>
      </c>
    </row>
    <row r="949" spans="1:4">
      <c r="A949" s="80"/>
      <c r="B949" s="2" t="s">
        <v>271</v>
      </c>
      <c r="C949" s="93" t="s">
        <v>275</v>
      </c>
      <c r="D949" s="1" t="s">
        <v>47</v>
      </c>
    </row>
    <row r="950" spans="1:4">
      <c r="A950" s="80"/>
      <c r="B950" s="2" t="s">
        <v>287</v>
      </c>
      <c r="C950" s="93" t="s">
        <v>292</v>
      </c>
      <c r="D950" s="1" t="s">
        <v>47</v>
      </c>
    </row>
    <row r="951" spans="1:4">
      <c r="A951" s="80"/>
      <c r="B951" s="2" t="s">
        <v>303</v>
      </c>
      <c r="C951" s="93" t="s">
        <v>308</v>
      </c>
      <c r="D951" s="1" t="s">
        <v>47</v>
      </c>
    </row>
    <row r="952" spans="1:4">
      <c r="A952" s="80"/>
      <c r="B952" s="105" t="s">
        <v>343</v>
      </c>
      <c r="C952" s="93" t="s">
        <v>365</v>
      </c>
      <c r="D952" s="1" t="s">
        <v>47</v>
      </c>
    </row>
    <row r="953" spans="1:4">
      <c r="A953" s="80"/>
      <c r="B953" s="2" t="s">
        <v>385</v>
      </c>
      <c r="C953" s="93" t="s">
        <v>97</v>
      </c>
      <c r="D953" s="1" t="s">
        <v>47</v>
      </c>
    </row>
    <row r="954" spans="1:4">
      <c r="A954" s="80"/>
      <c r="B954" s="2" t="s">
        <v>386</v>
      </c>
      <c r="C954" s="93" t="s">
        <v>97</v>
      </c>
      <c r="D954" s="1" t="s">
        <v>47</v>
      </c>
    </row>
    <row r="955" spans="1:4">
      <c r="A955" s="80"/>
      <c r="B955" s="106" t="s">
        <v>397</v>
      </c>
      <c r="C955" s="93" t="s">
        <v>388</v>
      </c>
      <c r="D955" s="1" t="s">
        <v>47</v>
      </c>
    </row>
    <row r="956" spans="1:4">
      <c r="A956" s="80"/>
      <c r="B956" s="105" t="s">
        <v>390</v>
      </c>
      <c r="C956" s="93" t="s">
        <v>97</v>
      </c>
      <c r="D956" s="1" t="s">
        <v>47</v>
      </c>
    </row>
    <row r="957" spans="1:4">
      <c r="A957" s="80"/>
      <c r="B957" s="105" t="s">
        <v>392</v>
      </c>
      <c r="C957" s="93" t="s">
        <v>393</v>
      </c>
      <c r="D957" s="1" t="s">
        <v>47</v>
      </c>
    </row>
    <row r="958" spans="1:4">
      <c r="A958" s="80"/>
      <c r="B958" s="105" t="s">
        <v>394</v>
      </c>
      <c r="C958" s="93" t="s">
        <v>97</v>
      </c>
      <c r="D958" s="1" t="s">
        <v>47</v>
      </c>
    </row>
    <row r="959" spans="1:4">
      <c r="A959" s="80"/>
      <c r="B959" s="2" t="s">
        <v>395</v>
      </c>
      <c r="C959" s="93" t="s">
        <v>97</v>
      </c>
      <c r="D959" s="1" t="s">
        <v>47</v>
      </c>
    </row>
    <row r="960" spans="1:4">
      <c r="A960" s="80"/>
      <c r="B960" s="105" t="s">
        <v>396</v>
      </c>
      <c r="C960" s="93" t="s">
        <v>97</v>
      </c>
      <c r="D960" s="1" t="s">
        <v>47</v>
      </c>
    </row>
    <row r="961" spans="1:4">
      <c r="A961" s="85"/>
      <c r="B961" s="105" t="s">
        <v>398</v>
      </c>
      <c r="C961" s="93" t="s">
        <v>97</v>
      </c>
      <c r="D961" s="1" t="s">
        <v>47</v>
      </c>
    </row>
    <row r="963" spans="1:4">
      <c r="A963" s="88">
        <v>46028</v>
      </c>
      <c r="B963" s="98" t="s">
        <v>50</v>
      </c>
      <c r="C963" s="93" t="s">
        <v>106</v>
      </c>
      <c r="D963" s="1" t="s">
        <v>47</v>
      </c>
    </row>
    <row r="964" spans="1:4">
      <c r="A964" s="88"/>
      <c r="B964" s="98" t="s">
        <v>144</v>
      </c>
      <c r="C964" s="93" t="s">
        <v>134</v>
      </c>
      <c r="D964" s="1" t="s">
        <v>47</v>
      </c>
    </row>
    <row r="965" spans="1:4">
      <c r="A965" s="88"/>
      <c r="B965" s="105" t="s">
        <v>259</v>
      </c>
      <c r="C965" s="78" t="s">
        <v>97</v>
      </c>
      <c r="D965" s="1" t="s">
        <v>47</v>
      </c>
    </row>
    <row r="966" spans="1:4">
      <c r="A966" s="88"/>
      <c r="B966" s="2" t="s">
        <v>271</v>
      </c>
      <c r="C966" s="93" t="s">
        <v>275</v>
      </c>
      <c r="D966" s="1" t="s">
        <v>47</v>
      </c>
    </row>
    <row r="967" spans="1:4">
      <c r="A967" s="88"/>
      <c r="B967" s="2" t="s">
        <v>287</v>
      </c>
      <c r="C967" s="93" t="s">
        <v>292</v>
      </c>
      <c r="D967" s="1" t="s">
        <v>47</v>
      </c>
    </row>
    <row r="968" spans="1:4">
      <c r="A968" s="88"/>
      <c r="B968" s="2" t="s">
        <v>303</v>
      </c>
      <c r="C968" s="93" t="s">
        <v>308</v>
      </c>
      <c r="D968" s="1" t="s">
        <v>47</v>
      </c>
    </row>
    <row r="969" spans="1:4">
      <c r="A969" s="88"/>
      <c r="B969" s="105" t="s">
        <v>343</v>
      </c>
      <c r="C969" s="93" t="s">
        <v>365</v>
      </c>
      <c r="D969" s="1" t="s">
        <v>47</v>
      </c>
    </row>
    <row r="970" spans="1:4">
      <c r="A970" s="88"/>
      <c r="B970" s="2" t="s">
        <v>385</v>
      </c>
      <c r="C970" s="93" t="s">
        <v>97</v>
      </c>
      <c r="D970" s="1" t="s">
        <v>47</v>
      </c>
    </row>
    <row r="971" spans="1:4">
      <c r="A971" s="88"/>
      <c r="B971" s="2" t="s">
        <v>399</v>
      </c>
      <c r="C971" s="93" t="s">
        <v>97</v>
      </c>
      <c r="D971" s="1" t="s">
        <v>47</v>
      </c>
    </row>
    <row r="972" spans="1:4">
      <c r="A972" s="88"/>
      <c r="B972" s="106" t="s">
        <v>397</v>
      </c>
      <c r="C972" s="93" t="s">
        <v>388</v>
      </c>
      <c r="D972" s="1" t="s">
        <v>47</v>
      </c>
    </row>
    <row r="973" spans="1:4">
      <c r="A973" s="88"/>
      <c r="B973" s="105" t="s">
        <v>390</v>
      </c>
      <c r="C973" s="84" t="s">
        <v>99</v>
      </c>
      <c r="D973" s="1" t="s">
        <v>5</v>
      </c>
    </row>
    <row r="974" spans="1:4">
      <c r="A974" s="88"/>
      <c r="B974" s="105" t="s">
        <v>392</v>
      </c>
      <c r="C974" s="84" t="s">
        <v>99</v>
      </c>
      <c r="D974" s="1" t="s">
        <v>5</v>
      </c>
    </row>
    <row r="975" spans="1:4">
      <c r="A975" s="88"/>
      <c r="B975" s="105" t="s">
        <v>394</v>
      </c>
      <c r="C975" s="93" t="s">
        <v>97</v>
      </c>
      <c r="D975" s="1" t="s">
        <v>47</v>
      </c>
    </row>
    <row r="976" spans="1:4">
      <c r="A976" s="88"/>
      <c r="B976" s="2" t="s">
        <v>395</v>
      </c>
      <c r="C976" s="93" t="s">
        <v>97</v>
      </c>
      <c r="D976" s="1" t="s">
        <v>47</v>
      </c>
    </row>
    <row r="977" spans="1:4">
      <c r="A977" s="88"/>
      <c r="B977" s="105" t="s">
        <v>396</v>
      </c>
      <c r="C977" s="84" t="s">
        <v>99</v>
      </c>
      <c r="D977" s="1" t="s">
        <v>5</v>
      </c>
    </row>
    <row r="978" spans="1:4">
      <c r="A978" s="88"/>
      <c r="B978" s="105" t="s">
        <v>398</v>
      </c>
      <c r="C978" s="84" t="s">
        <v>99</v>
      </c>
      <c r="D978" s="1" t="s">
        <v>5</v>
      </c>
    </row>
    <row r="979" spans="1:4">
      <c r="A979" s="88"/>
      <c r="B979" s="2" t="s">
        <v>400</v>
      </c>
      <c r="C979" s="93" t="s">
        <v>97</v>
      </c>
      <c r="D979" s="1" t="s">
        <v>47</v>
      </c>
    </row>
    <row r="980" spans="1:4">
      <c r="A980" s="88"/>
      <c r="B980" s="2" t="s">
        <v>401</v>
      </c>
      <c r="C980" s="93" t="s">
        <v>97</v>
      </c>
      <c r="D980" s="1" t="s">
        <v>47</v>
      </c>
    </row>
    <row r="982" spans="1:4">
      <c r="A982" s="88">
        <v>46029</v>
      </c>
      <c r="B982" s="98" t="s">
        <v>50</v>
      </c>
      <c r="C982" s="93" t="s">
        <v>106</v>
      </c>
      <c r="D982" s="1" t="s">
        <v>47</v>
      </c>
    </row>
    <row r="983" spans="1:4">
      <c r="A983" s="88"/>
      <c r="B983" s="98" t="s">
        <v>144</v>
      </c>
      <c r="C983" s="93" t="s">
        <v>134</v>
      </c>
      <c r="D983" s="1" t="s">
        <v>47</v>
      </c>
    </row>
    <row r="984" spans="1:4">
      <c r="A984" s="88"/>
      <c r="B984" s="105" t="s">
        <v>259</v>
      </c>
      <c r="C984" s="78" t="s">
        <v>97</v>
      </c>
      <c r="D984" s="1" t="s">
        <v>47</v>
      </c>
    </row>
    <row r="985" spans="1:4">
      <c r="A985" s="88"/>
      <c r="B985" s="2" t="s">
        <v>271</v>
      </c>
      <c r="C985" s="93" t="s">
        <v>275</v>
      </c>
      <c r="D985" s="1" t="s">
        <v>47</v>
      </c>
    </row>
    <row r="986" spans="1:4">
      <c r="A986" s="88"/>
      <c r="B986" s="2" t="s">
        <v>287</v>
      </c>
      <c r="C986" s="93" t="s">
        <v>292</v>
      </c>
      <c r="D986" s="1" t="s">
        <v>47</v>
      </c>
    </row>
    <row r="987" spans="1:4">
      <c r="A987" s="88"/>
      <c r="B987" s="2" t="s">
        <v>303</v>
      </c>
      <c r="C987" s="93" t="s">
        <v>308</v>
      </c>
      <c r="D987" s="1" t="s">
        <v>47</v>
      </c>
    </row>
    <row r="988" spans="1:4">
      <c r="A988" s="88"/>
      <c r="B988" s="105" t="s">
        <v>343</v>
      </c>
      <c r="C988" s="93" t="s">
        <v>365</v>
      </c>
      <c r="D988" s="1" t="s">
        <v>47</v>
      </c>
    </row>
    <row r="989" spans="1:4">
      <c r="A989" s="88"/>
      <c r="B989" s="2" t="s">
        <v>385</v>
      </c>
      <c r="C989" s="93" t="s">
        <v>97</v>
      </c>
      <c r="D989" s="1" t="s">
        <v>47</v>
      </c>
    </row>
    <row r="990" spans="1:4">
      <c r="A990" s="88"/>
      <c r="B990" s="2" t="s">
        <v>399</v>
      </c>
      <c r="C990" s="93" t="s">
        <v>97</v>
      </c>
      <c r="D990" s="1" t="s">
        <v>47</v>
      </c>
    </row>
    <row r="991" spans="1:4">
      <c r="A991" s="88"/>
      <c r="B991" s="106" t="s">
        <v>397</v>
      </c>
      <c r="C991" s="93" t="s">
        <v>388</v>
      </c>
      <c r="D991" s="1" t="s">
        <v>47</v>
      </c>
    </row>
    <row r="992" spans="1:4">
      <c r="A992" s="88"/>
      <c r="B992" s="105" t="s">
        <v>394</v>
      </c>
      <c r="C992" s="93" t="s">
        <v>97</v>
      </c>
      <c r="D992" s="1" t="s">
        <v>47</v>
      </c>
    </row>
    <row r="993" spans="1:4">
      <c r="A993" s="88"/>
      <c r="B993" s="2" t="s">
        <v>395</v>
      </c>
      <c r="C993" s="93" t="s">
        <v>97</v>
      </c>
      <c r="D993" s="1" t="s">
        <v>47</v>
      </c>
    </row>
    <row r="994" spans="1:4">
      <c r="A994" s="88"/>
      <c r="B994" s="2" t="s">
        <v>400</v>
      </c>
      <c r="C994" s="93" t="s">
        <v>97</v>
      </c>
      <c r="D994" s="1" t="s">
        <v>47</v>
      </c>
    </row>
    <row r="995" spans="1:4">
      <c r="A995" s="88"/>
      <c r="B995" s="2" t="s">
        <v>401</v>
      </c>
      <c r="C995" s="93" t="s">
        <v>75</v>
      </c>
      <c r="D995" s="1" t="s">
        <v>47</v>
      </c>
    </row>
    <row r="997" spans="1:4">
      <c r="A997" s="86">
        <v>46030</v>
      </c>
      <c r="B997" s="98" t="s">
        <v>50</v>
      </c>
      <c r="C997" s="93" t="s">
        <v>106</v>
      </c>
      <c r="D997" s="1" t="s">
        <v>47</v>
      </c>
    </row>
    <row r="998" spans="1:4">
      <c r="A998" s="80"/>
      <c r="B998" s="98" t="s">
        <v>144</v>
      </c>
      <c r="C998" s="93" t="s">
        <v>134</v>
      </c>
      <c r="D998" s="1" t="s">
        <v>47</v>
      </c>
    </row>
    <row r="999" spans="1:4">
      <c r="A999" s="80"/>
      <c r="B999" s="105" t="s">
        <v>259</v>
      </c>
      <c r="C999" s="78" t="s">
        <v>97</v>
      </c>
      <c r="D999" s="1" t="s">
        <v>47</v>
      </c>
    </row>
    <row r="1000" spans="1:4">
      <c r="A1000" s="80"/>
      <c r="B1000" s="2" t="s">
        <v>271</v>
      </c>
      <c r="C1000" s="93" t="s">
        <v>275</v>
      </c>
      <c r="D1000" s="1" t="s">
        <v>47</v>
      </c>
    </row>
    <row r="1001" spans="1:4">
      <c r="A1001" s="80"/>
      <c r="B1001" s="2" t="s">
        <v>287</v>
      </c>
      <c r="C1001" s="93" t="s">
        <v>292</v>
      </c>
      <c r="D1001" s="1" t="s">
        <v>47</v>
      </c>
    </row>
    <row r="1002" spans="1:4">
      <c r="A1002" s="80"/>
      <c r="B1002" s="2" t="s">
        <v>303</v>
      </c>
      <c r="C1002" s="93" t="s">
        <v>308</v>
      </c>
      <c r="D1002" s="1" t="s">
        <v>47</v>
      </c>
    </row>
    <row r="1003" spans="1:4">
      <c r="A1003" s="80"/>
      <c r="B1003" s="105" t="s">
        <v>343</v>
      </c>
      <c r="C1003" s="93" t="s">
        <v>365</v>
      </c>
      <c r="D1003" s="1" t="s">
        <v>47</v>
      </c>
    </row>
    <row r="1004" spans="1:4">
      <c r="A1004" s="80"/>
      <c r="B1004" s="2" t="s">
        <v>385</v>
      </c>
      <c r="C1004" s="84" t="s">
        <v>402</v>
      </c>
      <c r="D1004" s="1" t="s">
        <v>5</v>
      </c>
    </row>
    <row r="1005" spans="1:4">
      <c r="A1005" s="80"/>
      <c r="B1005" s="2" t="s">
        <v>399</v>
      </c>
      <c r="C1005" s="93" t="s">
        <v>97</v>
      </c>
      <c r="D1005" s="1" t="s">
        <v>47</v>
      </c>
    </row>
    <row r="1006" spans="1:4">
      <c r="A1006" s="80"/>
      <c r="B1006" s="106" t="s">
        <v>397</v>
      </c>
      <c r="C1006" s="93" t="s">
        <v>388</v>
      </c>
      <c r="D1006" s="1" t="s">
        <v>47</v>
      </c>
    </row>
    <row r="1007" spans="1:4">
      <c r="A1007" s="80"/>
      <c r="B1007" s="105" t="s">
        <v>394</v>
      </c>
      <c r="C1007" s="93" t="s">
        <v>97</v>
      </c>
      <c r="D1007" s="1" t="s">
        <v>47</v>
      </c>
    </row>
    <row r="1008" spans="1:4">
      <c r="A1008" s="80"/>
      <c r="B1008" s="2" t="s">
        <v>395</v>
      </c>
      <c r="C1008" s="93" t="s">
        <v>97</v>
      </c>
      <c r="D1008" s="1" t="s">
        <v>47</v>
      </c>
    </row>
    <row r="1009" spans="1:4">
      <c r="A1009" s="80"/>
      <c r="B1009" s="2" t="s">
        <v>400</v>
      </c>
      <c r="C1009" s="93" t="s">
        <v>97</v>
      </c>
      <c r="D1009" s="1" t="s">
        <v>47</v>
      </c>
    </row>
    <row r="1010" spans="1:4">
      <c r="A1010" s="80"/>
      <c r="B1010" s="2" t="s">
        <v>401</v>
      </c>
      <c r="C1010" s="93" t="s">
        <v>403</v>
      </c>
      <c r="D1010" s="1" t="s">
        <v>47</v>
      </c>
    </row>
    <row r="1011" spans="1:4">
      <c r="A1011" s="80"/>
      <c r="B1011" s="2" t="s">
        <v>391</v>
      </c>
      <c r="C1011" s="84" t="s">
        <v>171</v>
      </c>
      <c r="D1011" s="1" t="s">
        <v>5</v>
      </c>
    </row>
    <row r="1012" spans="1:4">
      <c r="A1012" s="85"/>
      <c r="B1012" s="2" t="s">
        <v>404</v>
      </c>
      <c r="C1012" s="93" t="s">
        <v>97</v>
      </c>
      <c r="D1012" s="1" t="s">
        <v>47</v>
      </c>
    </row>
    <row r="1014" spans="1:4">
      <c r="A1014" s="86">
        <v>46031</v>
      </c>
      <c r="B1014" s="98" t="s">
        <v>50</v>
      </c>
      <c r="C1014" s="93" t="s">
        <v>106</v>
      </c>
      <c r="D1014" s="1" t="s">
        <v>47</v>
      </c>
    </row>
    <row r="1015" spans="1:4">
      <c r="A1015" s="80"/>
      <c r="B1015" s="98" t="s">
        <v>144</v>
      </c>
      <c r="C1015" s="93" t="s">
        <v>134</v>
      </c>
      <c r="D1015" s="1" t="s">
        <v>47</v>
      </c>
    </row>
    <row r="1016" spans="1:4">
      <c r="A1016" s="80"/>
      <c r="B1016" s="105" t="s">
        <v>259</v>
      </c>
      <c r="C1016" s="78" t="s">
        <v>97</v>
      </c>
      <c r="D1016" s="1" t="s">
        <v>47</v>
      </c>
    </row>
    <row r="1017" spans="1:4">
      <c r="A1017" s="80"/>
      <c r="B1017" s="2" t="s">
        <v>271</v>
      </c>
      <c r="C1017" s="93" t="s">
        <v>275</v>
      </c>
      <c r="D1017" s="1" t="s">
        <v>47</v>
      </c>
    </row>
    <row r="1018" spans="1:4">
      <c r="A1018" s="80"/>
      <c r="B1018" s="2" t="s">
        <v>287</v>
      </c>
      <c r="C1018" s="93" t="s">
        <v>292</v>
      </c>
      <c r="D1018" s="1" t="s">
        <v>47</v>
      </c>
    </row>
    <row r="1019" spans="1:4">
      <c r="A1019" s="80"/>
      <c r="B1019" s="2" t="s">
        <v>303</v>
      </c>
      <c r="C1019" s="93" t="s">
        <v>308</v>
      </c>
      <c r="D1019" s="1" t="s">
        <v>47</v>
      </c>
    </row>
    <row r="1020" spans="1:4">
      <c r="A1020" s="80"/>
      <c r="B1020" s="105" t="s">
        <v>343</v>
      </c>
      <c r="C1020" s="93" t="s">
        <v>365</v>
      </c>
      <c r="D1020" s="1" t="s">
        <v>47</v>
      </c>
    </row>
    <row r="1021" spans="1:4">
      <c r="A1021" s="80"/>
      <c r="B1021" s="2" t="s">
        <v>399</v>
      </c>
      <c r="C1021" s="93" t="s">
        <v>97</v>
      </c>
      <c r="D1021" s="1" t="s">
        <v>47</v>
      </c>
    </row>
    <row r="1022" spans="1:4">
      <c r="A1022" s="80"/>
      <c r="B1022" s="106" t="s">
        <v>397</v>
      </c>
      <c r="C1022" s="93" t="s">
        <v>388</v>
      </c>
      <c r="D1022" s="1" t="s">
        <v>47</v>
      </c>
    </row>
    <row r="1023" spans="1:4">
      <c r="A1023" s="80"/>
      <c r="B1023" s="105" t="s">
        <v>394</v>
      </c>
      <c r="C1023" s="93" t="s">
        <v>97</v>
      </c>
      <c r="D1023" s="1" t="s">
        <v>47</v>
      </c>
    </row>
    <row r="1024" spans="1:4">
      <c r="A1024" s="80"/>
      <c r="B1024" s="2" t="s">
        <v>395</v>
      </c>
      <c r="C1024" s="93" t="s">
        <v>405</v>
      </c>
      <c r="D1024" s="1" t="s">
        <v>47</v>
      </c>
    </row>
    <row r="1025" spans="1:4">
      <c r="A1025" s="80"/>
      <c r="B1025" s="2" t="s">
        <v>400</v>
      </c>
      <c r="C1025" s="93" t="s">
        <v>97</v>
      </c>
      <c r="D1025" s="1" t="s">
        <v>47</v>
      </c>
    </row>
    <row r="1026" spans="1:4">
      <c r="A1026" s="80"/>
      <c r="B1026" s="2" t="s">
        <v>401</v>
      </c>
      <c r="C1026" s="93" t="s">
        <v>403</v>
      </c>
      <c r="D1026" s="1" t="s">
        <v>47</v>
      </c>
    </row>
    <row r="1027" spans="1:4">
      <c r="A1027" s="80"/>
      <c r="B1027" s="2" t="s">
        <v>406</v>
      </c>
      <c r="C1027" s="84" t="s">
        <v>171</v>
      </c>
      <c r="D1027" s="1" t="s">
        <v>5</v>
      </c>
    </row>
    <row r="1028" spans="1:4">
      <c r="A1028" s="80"/>
      <c r="B1028" s="2" t="s">
        <v>407</v>
      </c>
      <c r="C1028" s="84" t="s">
        <v>171</v>
      </c>
      <c r="D1028" s="1" t="s">
        <v>5</v>
      </c>
    </row>
    <row r="1029" spans="1:4">
      <c r="A1029" s="80"/>
      <c r="B1029" s="2" t="s">
        <v>408</v>
      </c>
      <c r="C1029" s="93" t="s">
        <v>97</v>
      </c>
      <c r="D1029" s="1" t="s">
        <v>47</v>
      </c>
    </row>
    <row r="1030" spans="1:4">
      <c r="A1030" s="80"/>
      <c r="B1030" s="2" t="s">
        <v>409</v>
      </c>
      <c r="C1030" s="84" t="s">
        <v>171</v>
      </c>
      <c r="D1030" s="1" t="s">
        <v>5</v>
      </c>
    </row>
    <row r="1031" spans="1:4">
      <c r="A1031" s="80"/>
      <c r="B1031" s="2" t="s">
        <v>410</v>
      </c>
      <c r="C1031" s="93" t="s">
        <v>97</v>
      </c>
      <c r="D1031" s="1" t="s">
        <v>47</v>
      </c>
    </row>
    <row r="1032" spans="1:4">
      <c r="A1032" s="85"/>
      <c r="B1032" s="2" t="s">
        <v>411</v>
      </c>
      <c r="C1032" s="93" t="s">
        <v>97</v>
      </c>
      <c r="D1032" s="1" t="s">
        <v>47</v>
      </c>
    </row>
    <row r="1034" spans="1:4">
      <c r="A1034" s="86">
        <v>46032</v>
      </c>
      <c r="B1034" s="107" t="s">
        <v>50</v>
      </c>
      <c r="C1034" s="93" t="s">
        <v>106</v>
      </c>
      <c r="D1034" s="1" t="s">
        <v>47</v>
      </c>
    </row>
    <row r="1035" spans="1:4">
      <c r="A1035" s="80"/>
      <c r="B1035" s="107" t="s">
        <v>144</v>
      </c>
      <c r="C1035" s="93" t="s">
        <v>134</v>
      </c>
      <c r="D1035" s="1" t="s">
        <v>47</v>
      </c>
    </row>
    <row r="1036" spans="1:4">
      <c r="A1036" s="80"/>
      <c r="B1036" s="105" t="s">
        <v>259</v>
      </c>
      <c r="C1036" s="78" t="s">
        <v>97</v>
      </c>
      <c r="D1036" s="1" t="s">
        <v>47</v>
      </c>
    </row>
    <row r="1037" spans="1:4">
      <c r="A1037" s="80"/>
      <c r="B1037" s="2" t="s">
        <v>287</v>
      </c>
      <c r="C1037" s="93" t="s">
        <v>292</v>
      </c>
      <c r="D1037" s="1" t="s">
        <v>47</v>
      </c>
    </row>
    <row r="1038" spans="1:4">
      <c r="A1038" s="80"/>
      <c r="B1038" s="2" t="s">
        <v>303</v>
      </c>
      <c r="C1038" s="93" t="s">
        <v>308</v>
      </c>
      <c r="D1038" s="1" t="s">
        <v>47</v>
      </c>
    </row>
    <row r="1039" spans="1:4">
      <c r="A1039" s="80"/>
      <c r="B1039" s="105" t="s">
        <v>343</v>
      </c>
      <c r="C1039" s="84" t="s">
        <v>412</v>
      </c>
      <c r="D1039" s="1" t="s">
        <v>5</v>
      </c>
    </row>
    <row r="1040" spans="1:4">
      <c r="A1040" s="80"/>
      <c r="B1040" s="2" t="s">
        <v>399</v>
      </c>
      <c r="C1040" s="93" t="s">
        <v>413</v>
      </c>
      <c r="D1040" s="1" t="s">
        <v>47</v>
      </c>
    </row>
    <row r="1041" spans="1:4">
      <c r="A1041" s="80"/>
      <c r="B1041" s="106" t="s">
        <v>397</v>
      </c>
      <c r="C1041" s="93" t="s">
        <v>388</v>
      </c>
      <c r="D1041" s="1" t="s">
        <v>47</v>
      </c>
    </row>
    <row r="1042" spans="1:4">
      <c r="A1042" s="80"/>
      <c r="B1042" s="105" t="s">
        <v>394</v>
      </c>
      <c r="C1042" s="93" t="s">
        <v>414</v>
      </c>
      <c r="D1042" s="1" t="s">
        <v>47</v>
      </c>
    </row>
    <row r="1043" spans="1:4">
      <c r="A1043" s="80"/>
      <c r="B1043" s="2" t="s">
        <v>395</v>
      </c>
      <c r="C1043" s="93" t="s">
        <v>405</v>
      </c>
      <c r="D1043" s="1" t="s">
        <v>47</v>
      </c>
    </row>
    <row r="1044" spans="1:4">
      <c r="A1044" s="80"/>
      <c r="B1044" s="2" t="s">
        <v>400</v>
      </c>
      <c r="C1044" s="84" t="s">
        <v>97</v>
      </c>
      <c r="D1044" s="1" t="s">
        <v>5</v>
      </c>
    </row>
    <row r="1045" spans="1:4">
      <c r="A1045" s="80"/>
      <c r="B1045" s="2" t="s">
        <v>401</v>
      </c>
      <c r="C1045" s="84" t="s">
        <v>415</v>
      </c>
      <c r="D1045" s="1" t="s">
        <v>5</v>
      </c>
    </row>
    <row r="1046" spans="1:4">
      <c r="A1046" s="80"/>
      <c r="B1046" s="107" t="s">
        <v>408</v>
      </c>
      <c r="C1046" s="93" t="s">
        <v>97</v>
      </c>
      <c r="D1046" s="1" t="s">
        <v>47</v>
      </c>
    </row>
    <row r="1047" spans="1:4">
      <c r="A1047" s="80"/>
      <c r="B1047" s="2" t="s">
        <v>410</v>
      </c>
      <c r="C1047" s="93" t="s">
        <v>97</v>
      </c>
      <c r="D1047" s="1" t="s">
        <v>47</v>
      </c>
    </row>
    <row r="1048" spans="1:4">
      <c r="A1048" s="80"/>
      <c r="B1048" s="2" t="s">
        <v>411</v>
      </c>
      <c r="C1048" s="84" t="s">
        <v>171</v>
      </c>
      <c r="D1048" s="1" t="s">
        <v>5</v>
      </c>
    </row>
    <row r="1049" spans="1:4">
      <c r="A1049" s="80"/>
      <c r="B1049" s="107" t="s">
        <v>416</v>
      </c>
      <c r="C1049" s="93" t="s">
        <v>97</v>
      </c>
      <c r="D1049" s="1" t="s">
        <v>47</v>
      </c>
    </row>
    <row r="1050" spans="1:4">
      <c r="A1050" s="80"/>
      <c r="B1050" s="107" t="s">
        <v>417</v>
      </c>
      <c r="C1050" s="93" t="s">
        <v>97</v>
      </c>
      <c r="D1050" s="1" t="s">
        <v>47</v>
      </c>
    </row>
    <row r="1051" spans="1:4">
      <c r="A1051" s="80"/>
      <c r="B1051" s="2" t="s">
        <v>418</v>
      </c>
      <c r="C1051" s="93" t="s">
        <v>97</v>
      </c>
      <c r="D1051" s="1" t="s">
        <v>47</v>
      </c>
    </row>
    <row r="1052" spans="1:4">
      <c r="A1052" s="80"/>
      <c r="B1052" s="107" t="s">
        <v>419</v>
      </c>
      <c r="C1052" s="93" t="s">
        <v>97</v>
      </c>
      <c r="D1052" s="1" t="s">
        <v>47</v>
      </c>
    </row>
    <row r="1053" spans="1:4">
      <c r="A1053" s="80"/>
      <c r="B1053" s="93" t="s">
        <v>420</v>
      </c>
      <c r="C1053" s="93" t="s">
        <v>97</v>
      </c>
      <c r="D1053" s="1" t="s">
        <v>47</v>
      </c>
    </row>
    <row r="1054" spans="1:4">
      <c r="A1054" s="80"/>
      <c r="B1054" s="107" t="s">
        <v>421</v>
      </c>
      <c r="C1054" s="93" t="s">
        <v>97</v>
      </c>
      <c r="D1054" s="1" t="s">
        <v>47</v>
      </c>
    </row>
    <row r="1055" spans="1:4">
      <c r="A1055" s="80"/>
      <c r="B1055" s="2" t="s">
        <v>422</v>
      </c>
      <c r="C1055" s="93" t="s">
        <v>423</v>
      </c>
      <c r="D1055" s="1" t="s">
        <v>47</v>
      </c>
    </row>
    <row r="1056" spans="1:4">
      <c r="A1056" s="80"/>
      <c r="B1056" s="2" t="s">
        <v>424</v>
      </c>
      <c r="C1056" s="93" t="s">
        <v>97</v>
      </c>
      <c r="D1056" s="1" t="s">
        <v>47</v>
      </c>
    </row>
    <row r="1057" spans="1:4">
      <c r="A1057" s="85"/>
      <c r="B1057" s="2" t="s">
        <v>425</v>
      </c>
      <c r="C1057" s="93" t="s">
        <v>97</v>
      </c>
      <c r="D1057" s="1" t="s">
        <v>47</v>
      </c>
    </row>
    <row r="1059" spans="1:4">
      <c r="A1059" s="86">
        <v>46033</v>
      </c>
      <c r="B1059" s="107" t="s">
        <v>50</v>
      </c>
      <c r="C1059" s="84" t="s">
        <v>426</v>
      </c>
      <c r="D1059" s="1" t="s">
        <v>5</v>
      </c>
    </row>
    <row r="1060" spans="1:4">
      <c r="A1060" s="80"/>
      <c r="B1060" s="107" t="s">
        <v>144</v>
      </c>
      <c r="C1060" s="93" t="s">
        <v>134</v>
      </c>
      <c r="D1060" s="1" t="s">
        <v>47</v>
      </c>
    </row>
    <row r="1061" spans="1:4">
      <c r="A1061" s="80"/>
      <c r="B1061" s="105" t="s">
        <v>259</v>
      </c>
      <c r="C1061" s="78" t="s">
        <v>97</v>
      </c>
      <c r="D1061" s="1" t="s">
        <v>47</v>
      </c>
    </row>
    <row r="1062" spans="1:4">
      <c r="A1062" s="80"/>
      <c r="B1062" s="2" t="s">
        <v>287</v>
      </c>
      <c r="C1062" s="93" t="s">
        <v>292</v>
      </c>
      <c r="D1062" s="1" t="s">
        <v>47</v>
      </c>
    </row>
    <row r="1063" spans="1:4">
      <c r="A1063" s="80"/>
      <c r="B1063" s="2" t="s">
        <v>303</v>
      </c>
      <c r="C1063" s="93" t="s">
        <v>308</v>
      </c>
      <c r="D1063" s="1" t="s">
        <v>47</v>
      </c>
    </row>
    <row r="1064" spans="1:4">
      <c r="A1064" s="80"/>
      <c r="B1064" s="2" t="s">
        <v>399</v>
      </c>
      <c r="C1064" s="93" t="s">
        <v>413</v>
      </c>
      <c r="D1064" s="1" t="s">
        <v>47</v>
      </c>
    </row>
    <row r="1065" spans="1:4">
      <c r="A1065" s="80"/>
      <c r="B1065" s="106" t="s">
        <v>397</v>
      </c>
      <c r="C1065" s="93" t="s">
        <v>388</v>
      </c>
      <c r="D1065" s="1" t="s">
        <v>47</v>
      </c>
    </row>
    <row r="1066" spans="1:4">
      <c r="A1066" s="80"/>
      <c r="B1066" s="105" t="s">
        <v>394</v>
      </c>
      <c r="C1066" s="93" t="s">
        <v>414</v>
      </c>
      <c r="D1066" s="1" t="s">
        <v>47</v>
      </c>
    </row>
    <row r="1067" spans="1:4">
      <c r="A1067" s="80"/>
      <c r="B1067" s="2" t="s">
        <v>395</v>
      </c>
      <c r="C1067" s="93" t="s">
        <v>405</v>
      </c>
      <c r="D1067" s="1" t="s">
        <v>47</v>
      </c>
    </row>
    <row r="1068" spans="1:4">
      <c r="A1068" s="80"/>
      <c r="B1068" s="107" t="s">
        <v>408</v>
      </c>
      <c r="C1068" s="93" t="s">
        <v>97</v>
      </c>
      <c r="D1068" s="1" t="s">
        <v>47</v>
      </c>
    </row>
    <row r="1069" spans="1:4">
      <c r="A1069" s="80"/>
      <c r="B1069" s="2" t="s">
        <v>410</v>
      </c>
      <c r="C1069" s="93" t="s">
        <v>97</v>
      </c>
      <c r="D1069" s="1" t="s">
        <v>47</v>
      </c>
    </row>
    <row r="1070" spans="1:4">
      <c r="A1070" s="80"/>
      <c r="B1070" s="107" t="s">
        <v>416</v>
      </c>
      <c r="C1070" s="84" t="s">
        <v>171</v>
      </c>
      <c r="D1070" s="1" t="s">
        <v>5</v>
      </c>
    </row>
    <row r="1071" spans="1:4">
      <c r="A1071" s="80"/>
      <c r="B1071" s="107" t="s">
        <v>417</v>
      </c>
      <c r="C1071" s="93" t="s">
        <v>97</v>
      </c>
      <c r="D1071" s="1" t="s">
        <v>47</v>
      </c>
    </row>
    <row r="1072" spans="1:4">
      <c r="A1072" s="80"/>
      <c r="B1072" s="2" t="s">
        <v>418</v>
      </c>
      <c r="C1072" s="93" t="s">
        <v>97</v>
      </c>
      <c r="D1072" s="1" t="s">
        <v>47</v>
      </c>
    </row>
    <row r="1073" spans="1:4">
      <c r="A1073" s="80"/>
      <c r="B1073" s="107" t="s">
        <v>419</v>
      </c>
      <c r="C1073" s="93" t="s">
        <v>97</v>
      </c>
      <c r="D1073" s="1" t="s">
        <v>47</v>
      </c>
    </row>
    <row r="1074" spans="1:4">
      <c r="A1074" s="80"/>
      <c r="B1074" s="93" t="s">
        <v>420</v>
      </c>
      <c r="C1074" s="93" t="s">
        <v>97</v>
      </c>
      <c r="D1074" s="1" t="s">
        <v>47</v>
      </c>
    </row>
    <row r="1075" spans="1:4">
      <c r="A1075" s="80"/>
      <c r="B1075" s="107" t="s">
        <v>421</v>
      </c>
      <c r="C1075" s="93" t="s">
        <v>171</v>
      </c>
      <c r="D1075" s="1" t="s">
        <v>47</v>
      </c>
    </row>
    <row r="1076" spans="1:4">
      <c r="A1076" s="80"/>
      <c r="B1076" s="2" t="s">
        <v>422</v>
      </c>
      <c r="C1076" s="84" t="s">
        <v>171</v>
      </c>
      <c r="D1076" s="1" t="s">
        <v>5</v>
      </c>
    </row>
    <row r="1077" spans="1:4">
      <c r="A1077" s="80"/>
      <c r="B1077" s="2" t="s">
        <v>424</v>
      </c>
      <c r="C1077" s="93" t="s">
        <v>97</v>
      </c>
      <c r="D1077" s="1" t="s">
        <v>47</v>
      </c>
    </row>
    <row r="1078" spans="1:4">
      <c r="A1078" s="85"/>
      <c r="B1078" s="2" t="s">
        <v>425</v>
      </c>
      <c r="C1078" s="93" t="s">
        <v>97</v>
      </c>
      <c r="D1078" s="1" t="s">
        <v>47</v>
      </c>
    </row>
    <row r="1080" spans="1:4">
      <c r="A1080" s="86">
        <v>46034</v>
      </c>
      <c r="B1080" s="107" t="s">
        <v>144</v>
      </c>
      <c r="C1080" s="93" t="s">
        <v>134</v>
      </c>
      <c r="D1080" s="1" t="s">
        <v>47</v>
      </c>
    </row>
    <row r="1081" spans="1:4">
      <c r="A1081" s="80"/>
      <c r="B1081" s="105" t="s">
        <v>259</v>
      </c>
      <c r="C1081" s="78" t="s">
        <v>97</v>
      </c>
      <c r="D1081" s="1" t="s">
        <v>47</v>
      </c>
    </row>
    <row r="1082" spans="1:4">
      <c r="A1082" s="80"/>
      <c r="B1082" s="2" t="s">
        <v>287</v>
      </c>
      <c r="C1082" s="93" t="s">
        <v>292</v>
      </c>
      <c r="D1082" s="1" t="s">
        <v>47</v>
      </c>
    </row>
    <row r="1083" spans="1:4">
      <c r="A1083" s="80"/>
      <c r="B1083" s="2" t="s">
        <v>303</v>
      </c>
      <c r="C1083" s="93" t="s">
        <v>308</v>
      </c>
      <c r="D1083" s="1" t="s">
        <v>47</v>
      </c>
    </row>
    <row r="1084" spans="1:4">
      <c r="A1084" s="80"/>
      <c r="B1084" s="2" t="s">
        <v>399</v>
      </c>
      <c r="C1084" s="93" t="s">
        <v>413</v>
      </c>
      <c r="D1084" s="1" t="s">
        <v>47</v>
      </c>
    </row>
    <row r="1085" spans="1:4">
      <c r="A1085" s="80"/>
      <c r="B1085" s="106" t="s">
        <v>397</v>
      </c>
      <c r="C1085" s="93" t="s">
        <v>388</v>
      </c>
      <c r="D1085" s="1" t="s">
        <v>47</v>
      </c>
    </row>
    <row r="1086" spans="1:4">
      <c r="A1086" s="80"/>
      <c r="B1086" s="105" t="s">
        <v>394</v>
      </c>
      <c r="C1086" s="93" t="s">
        <v>427</v>
      </c>
      <c r="D1086" s="1" t="s">
        <v>47</v>
      </c>
    </row>
    <row r="1087" spans="1:4">
      <c r="A1087" s="80"/>
      <c r="B1087" s="2" t="s">
        <v>395</v>
      </c>
      <c r="C1087" s="93" t="s">
        <v>405</v>
      </c>
      <c r="D1087" s="1" t="s">
        <v>47</v>
      </c>
    </row>
    <row r="1088" spans="1:4">
      <c r="A1088" s="80"/>
      <c r="B1088" s="107" t="s">
        <v>408</v>
      </c>
      <c r="C1088" s="84" t="s">
        <v>428</v>
      </c>
      <c r="D1088" s="1" t="s">
        <v>5</v>
      </c>
    </row>
    <row r="1089" spans="1:4">
      <c r="A1089" s="80"/>
      <c r="B1089" s="2" t="s">
        <v>410</v>
      </c>
      <c r="C1089" s="93" t="s">
        <v>97</v>
      </c>
      <c r="D1089" s="1" t="s">
        <v>47</v>
      </c>
    </row>
    <row r="1090" spans="1:4">
      <c r="A1090" s="80"/>
      <c r="B1090" s="107" t="s">
        <v>417</v>
      </c>
      <c r="C1090" s="84" t="s">
        <v>171</v>
      </c>
      <c r="D1090" s="1" t="s">
        <v>5</v>
      </c>
    </row>
    <row r="1091" spans="1:4">
      <c r="A1091" s="80"/>
      <c r="B1091" s="2" t="s">
        <v>418</v>
      </c>
      <c r="C1091" s="84" t="s">
        <v>171</v>
      </c>
      <c r="D1091" s="1" t="s">
        <v>5</v>
      </c>
    </row>
    <row r="1092" spans="1:4">
      <c r="A1092" s="80"/>
      <c r="B1092" s="107" t="s">
        <v>419</v>
      </c>
      <c r="C1092" s="84" t="s">
        <v>171</v>
      </c>
      <c r="D1092" s="1" t="s">
        <v>5</v>
      </c>
    </row>
    <row r="1093" spans="1:4">
      <c r="A1093" s="80"/>
      <c r="B1093" s="93" t="s">
        <v>420</v>
      </c>
      <c r="C1093" s="84" t="s">
        <v>171</v>
      </c>
      <c r="D1093" s="1" t="s">
        <v>5</v>
      </c>
    </row>
    <row r="1094" spans="1:4">
      <c r="A1094" s="80"/>
      <c r="B1094" s="107" t="s">
        <v>421</v>
      </c>
      <c r="C1094" s="84" t="s">
        <v>171</v>
      </c>
      <c r="D1094" s="1" t="s">
        <v>5</v>
      </c>
    </row>
    <row r="1095" spans="1:4">
      <c r="A1095" s="80"/>
      <c r="B1095" s="2" t="s">
        <v>424</v>
      </c>
      <c r="C1095" s="93" t="s">
        <v>97</v>
      </c>
      <c r="D1095" s="1" t="s">
        <v>47</v>
      </c>
    </row>
    <row r="1096" spans="1:4">
      <c r="A1096" s="80"/>
      <c r="B1096" s="2" t="s">
        <v>425</v>
      </c>
      <c r="C1096" s="93" t="s">
        <v>97</v>
      </c>
      <c r="D1096" s="1" t="s">
        <v>47</v>
      </c>
    </row>
    <row r="1097" spans="1:4">
      <c r="A1097" s="85"/>
      <c r="B1097" s="2" t="s">
        <v>324</v>
      </c>
      <c r="C1097" s="84" t="s">
        <v>171</v>
      </c>
      <c r="D1097" s="1" t="s">
        <v>5</v>
      </c>
    </row>
    <row r="1099" spans="1:4">
      <c r="A1099" s="88">
        <v>46035</v>
      </c>
      <c r="B1099" s="107" t="s">
        <v>144</v>
      </c>
      <c r="C1099" s="93" t="s">
        <v>134</v>
      </c>
      <c r="D1099" s="1" t="s">
        <v>47</v>
      </c>
    </row>
    <row r="1100" spans="1:4">
      <c r="A1100" s="88"/>
      <c r="B1100" s="105" t="s">
        <v>259</v>
      </c>
      <c r="C1100" s="78" t="s">
        <v>97</v>
      </c>
      <c r="D1100" s="1" t="s">
        <v>47</v>
      </c>
    </row>
    <row r="1101" spans="1:4">
      <c r="A1101" s="88"/>
      <c r="B1101" s="2" t="s">
        <v>287</v>
      </c>
      <c r="C1101" s="93" t="s">
        <v>292</v>
      </c>
      <c r="D1101" s="1" t="s">
        <v>47</v>
      </c>
    </row>
    <row r="1102" spans="1:4">
      <c r="A1102" s="88"/>
      <c r="B1102" s="2" t="s">
        <v>303</v>
      </c>
      <c r="C1102" s="93" t="s">
        <v>308</v>
      </c>
      <c r="D1102" s="1" t="s">
        <v>47</v>
      </c>
    </row>
    <row r="1103" spans="1:4">
      <c r="A1103" s="88"/>
      <c r="B1103" s="2" t="s">
        <v>399</v>
      </c>
      <c r="C1103" s="93" t="s">
        <v>413</v>
      </c>
      <c r="D1103" s="1" t="s">
        <v>47</v>
      </c>
    </row>
    <row r="1104" spans="1:4">
      <c r="A1104" s="88"/>
      <c r="B1104" s="106" t="s">
        <v>397</v>
      </c>
      <c r="C1104" s="93" t="s">
        <v>388</v>
      </c>
      <c r="D1104" s="1" t="s">
        <v>47</v>
      </c>
    </row>
    <row r="1105" spans="1:4">
      <c r="A1105" s="88"/>
      <c r="B1105" s="105" t="s">
        <v>394</v>
      </c>
      <c r="C1105" s="93" t="s">
        <v>429</v>
      </c>
      <c r="D1105" s="1" t="s">
        <v>47</v>
      </c>
    </row>
    <row r="1106" spans="1:4">
      <c r="A1106" s="88"/>
      <c r="B1106" s="2" t="s">
        <v>395</v>
      </c>
      <c r="C1106" s="93" t="s">
        <v>405</v>
      </c>
      <c r="D1106" s="1" t="s">
        <v>47</v>
      </c>
    </row>
    <row r="1107" spans="1:4">
      <c r="A1107" s="88"/>
      <c r="B1107" s="2" t="s">
        <v>410</v>
      </c>
      <c r="C1107" s="93" t="s">
        <v>97</v>
      </c>
      <c r="D1107" s="1" t="s">
        <v>47</v>
      </c>
    </row>
    <row r="1108" spans="1:4">
      <c r="A1108" s="88"/>
      <c r="B1108" s="2" t="s">
        <v>424</v>
      </c>
      <c r="C1108" s="93" t="s">
        <v>97</v>
      </c>
      <c r="D1108" s="1" t="s">
        <v>47</v>
      </c>
    </row>
    <row r="1109" spans="1:4">
      <c r="A1109" s="88"/>
      <c r="B1109" s="2" t="s">
        <v>425</v>
      </c>
      <c r="C1109" s="93" t="s">
        <v>97</v>
      </c>
      <c r="D1109" s="1" t="s">
        <v>47</v>
      </c>
    </row>
    <row r="1111" spans="1:4">
      <c r="A1111" s="86">
        <v>46036</v>
      </c>
      <c r="B1111" s="107" t="s">
        <v>144</v>
      </c>
      <c r="C1111" s="93" t="s">
        <v>134</v>
      </c>
      <c r="D1111" s="1" t="s">
        <v>47</v>
      </c>
    </row>
    <row r="1112" spans="1:4">
      <c r="A1112" s="80"/>
      <c r="B1112" s="105" t="s">
        <v>259</v>
      </c>
      <c r="C1112" s="78" t="s">
        <v>97</v>
      </c>
      <c r="D1112" s="1" t="s">
        <v>47</v>
      </c>
    </row>
    <row r="1113" spans="1:4">
      <c r="A1113" s="80"/>
      <c r="B1113" s="2" t="s">
        <v>287</v>
      </c>
      <c r="C1113" s="93" t="s">
        <v>292</v>
      </c>
      <c r="D1113" s="1" t="s">
        <v>47</v>
      </c>
    </row>
    <row r="1114" spans="1:4">
      <c r="A1114" s="80"/>
      <c r="B1114" s="2" t="s">
        <v>303</v>
      </c>
      <c r="C1114" s="93" t="s">
        <v>308</v>
      </c>
      <c r="D1114" s="1" t="s">
        <v>47</v>
      </c>
    </row>
    <row r="1115" spans="1:4">
      <c r="A1115" s="80"/>
      <c r="B1115" s="2" t="s">
        <v>399</v>
      </c>
      <c r="C1115" s="84" t="s">
        <v>171</v>
      </c>
      <c r="D1115" s="1" t="s">
        <v>5</v>
      </c>
    </row>
    <row r="1116" spans="1:4">
      <c r="A1116" s="80"/>
      <c r="B1116" s="106" t="s">
        <v>397</v>
      </c>
      <c r="C1116" s="93" t="s">
        <v>388</v>
      </c>
      <c r="D1116" s="1" t="s">
        <v>47</v>
      </c>
    </row>
    <row r="1117" spans="1:4">
      <c r="A1117" s="80"/>
      <c r="B1117" s="105" t="s">
        <v>394</v>
      </c>
      <c r="C1117" s="93" t="s">
        <v>429</v>
      </c>
      <c r="D1117" s="1" t="s">
        <v>47</v>
      </c>
    </row>
    <row r="1118" spans="1:4">
      <c r="A1118" s="80"/>
      <c r="B1118" s="2" t="s">
        <v>395</v>
      </c>
      <c r="C1118" s="93" t="s">
        <v>405</v>
      </c>
      <c r="D1118" s="1" t="s">
        <v>47</v>
      </c>
    </row>
    <row r="1119" spans="1:4">
      <c r="A1119" s="80"/>
      <c r="B1119" s="2" t="s">
        <v>410</v>
      </c>
      <c r="C1119" s="93" t="s">
        <v>97</v>
      </c>
      <c r="D1119" s="1" t="s">
        <v>47</v>
      </c>
    </row>
    <row r="1120" spans="1:4">
      <c r="A1120" s="80"/>
      <c r="B1120" s="2" t="s">
        <v>424</v>
      </c>
      <c r="C1120" s="93" t="s">
        <v>97</v>
      </c>
      <c r="D1120" s="1" t="s">
        <v>47</v>
      </c>
    </row>
    <row r="1121" spans="1:4">
      <c r="A1121" s="80"/>
      <c r="B1121" s="2" t="s">
        <v>425</v>
      </c>
      <c r="C1121" s="93" t="s">
        <v>97</v>
      </c>
      <c r="D1121" s="1" t="s">
        <v>47</v>
      </c>
    </row>
    <row r="1122" spans="1:4">
      <c r="A1122" s="80"/>
      <c r="B1122" s="2" t="s">
        <v>391</v>
      </c>
      <c r="C1122" s="84" t="s">
        <v>171</v>
      </c>
      <c r="D1122" s="1" t="s">
        <v>5</v>
      </c>
    </row>
    <row r="1123" spans="1:4">
      <c r="A1123" s="85"/>
      <c r="B1123" s="2" t="s">
        <v>430</v>
      </c>
      <c r="C1123" s="93" t="s">
        <v>97</v>
      </c>
      <c r="D1123" s="1" t="s">
        <v>47</v>
      </c>
    </row>
    <row r="1125" spans="1:4">
      <c r="A1125" s="86">
        <v>46037</v>
      </c>
      <c r="B1125" s="107" t="s">
        <v>144</v>
      </c>
      <c r="C1125" s="93" t="s">
        <v>134</v>
      </c>
      <c r="D1125" s="1" t="s">
        <v>47</v>
      </c>
    </row>
    <row r="1126" spans="1:4">
      <c r="A1126" s="80"/>
      <c r="B1126" s="105" t="s">
        <v>259</v>
      </c>
      <c r="C1126" s="78" t="s">
        <v>97</v>
      </c>
      <c r="D1126" s="1" t="s">
        <v>47</v>
      </c>
    </row>
    <row r="1127" spans="1:4">
      <c r="A1127" s="80"/>
      <c r="B1127" s="2" t="s">
        <v>287</v>
      </c>
      <c r="C1127" s="93" t="s">
        <v>292</v>
      </c>
      <c r="D1127" s="1" t="s">
        <v>47</v>
      </c>
    </row>
    <row r="1128" spans="1:4">
      <c r="A1128" s="80"/>
      <c r="B1128" s="2" t="s">
        <v>303</v>
      </c>
      <c r="C1128" s="93" t="s">
        <v>308</v>
      </c>
      <c r="D1128" s="1" t="s">
        <v>47</v>
      </c>
    </row>
    <row r="1129" spans="1:4">
      <c r="A1129" s="80"/>
      <c r="B1129" s="106" t="s">
        <v>397</v>
      </c>
      <c r="C1129" s="93" t="s">
        <v>388</v>
      </c>
      <c r="D1129" s="1" t="s">
        <v>47</v>
      </c>
    </row>
    <row r="1130" spans="1:4">
      <c r="A1130" s="80"/>
      <c r="B1130" s="105" t="s">
        <v>394</v>
      </c>
      <c r="C1130" s="93" t="s">
        <v>429</v>
      </c>
      <c r="D1130" s="1" t="s">
        <v>47</v>
      </c>
    </row>
    <row r="1131" spans="1:4">
      <c r="A1131" s="80"/>
      <c r="B1131" s="2" t="s">
        <v>395</v>
      </c>
      <c r="C1131" s="93" t="s">
        <v>405</v>
      </c>
      <c r="D1131" s="1" t="s">
        <v>47</v>
      </c>
    </row>
    <row r="1132" spans="1:4">
      <c r="A1132" s="80"/>
      <c r="B1132" s="2" t="s">
        <v>410</v>
      </c>
      <c r="C1132" s="93" t="s">
        <v>97</v>
      </c>
      <c r="D1132" s="1" t="s">
        <v>47</v>
      </c>
    </row>
    <row r="1133" spans="1:4">
      <c r="A1133" s="80"/>
      <c r="B1133" s="2" t="s">
        <v>424</v>
      </c>
      <c r="C1133" s="93" t="s">
        <v>97</v>
      </c>
      <c r="D1133" s="1" t="s">
        <v>47</v>
      </c>
    </row>
    <row r="1134" spans="1:4">
      <c r="A1134" s="80"/>
      <c r="B1134" s="2" t="s">
        <v>425</v>
      </c>
      <c r="C1134" s="84" t="s">
        <v>171</v>
      </c>
      <c r="D1134" s="1" t="s">
        <v>5</v>
      </c>
    </row>
    <row r="1135" spans="1:4">
      <c r="A1135" s="80"/>
      <c r="B1135" s="2" t="s">
        <v>430</v>
      </c>
      <c r="C1135" s="84" t="s">
        <v>171</v>
      </c>
      <c r="D1135" s="1" t="s">
        <v>5</v>
      </c>
    </row>
    <row r="1136" spans="1:4">
      <c r="A1136" s="80"/>
      <c r="B1136" s="2" t="s">
        <v>431</v>
      </c>
      <c r="C1136" s="84" t="s">
        <v>171</v>
      </c>
      <c r="D1136" s="1" t="s">
        <v>5</v>
      </c>
    </row>
    <row r="1137" spans="1:4">
      <c r="A1137" s="85"/>
      <c r="B1137" s="2" t="s">
        <v>432</v>
      </c>
      <c r="C1137" s="84" t="s">
        <v>171</v>
      </c>
      <c r="D1137" s="1" t="s">
        <v>5</v>
      </c>
    </row>
    <row r="1139" spans="1:4">
      <c r="A1139" s="88">
        <v>46038</v>
      </c>
      <c r="B1139" s="107" t="s">
        <v>144</v>
      </c>
      <c r="C1139" s="93" t="s">
        <v>134</v>
      </c>
      <c r="D1139" s="1" t="s">
        <v>47</v>
      </c>
    </row>
    <row r="1140" spans="1:4">
      <c r="A1140" s="88"/>
      <c r="B1140" s="105" t="s">
        <v>259</v>
      </c>
      <c r="C1140" s="78" t="s">
        <v>97</v>
      </c>
      <c r="D1140" s="1" t="s">
        <v>47</v>
      </c>
    </row>
    <row r="1141" spans="1:4">
      <c r="A1141" s="88"/>
      <c r="B1141" s="2" t="s">
        <v>287</v>
      </c>
      <c r="C1141" s="93" t="s">
        <v>292</v>
      </c>
      <c r="D1141" s="1" t="s">
        <v>47</v>
      </c>
    </row>
    <row r="1142" spans="1:4">
      <c r="A1142" s="88"/>
      <c r="B1142" s="2" t="s">
        <v>303</v>
      </c>
      <c r="C1142" s="93" t="s">
        <v>308</v>
      </c>
      <c r="D1142" s="1" t="s">
        <v>47</v>
      </c>
    </row>
    <row r="1143" spans="1:4">
      <c r="A1143" s="88"/>
      <c r="B1143" s="106" t="s">
        <v>397</v>
      </c>
      <c r="C1143" s="93" t="s">
        <v>388</v>
      </c>
      <c r="D1143" s="1" t="s">
        <v>47</v>
      </c>
    </row>
    <row r="1144" spans="1:4">
      <c r="A1144" s="88"/>
      <c r="B1144" s="105" t="s">
        <v>394</v>
      </c>
      <c r="C1144" s="93" t="s">
        <v>429</v>
      </c>
      <c r="D1144" s="1" t="s">
        <v>47</v>
      </c>
    </row>
    <row r="1145" spans="1:4">
      <c r="A1145" s="88"/>
      <c r="B1145" s="2" t="s">
        <v>395</v>
      </c>
      <c r="C1145" s="93" t="s">
        <v>405</v>
      </c>
      <c r="D1145" s="1" t="s">
        <v>47</v>
      </c>
    </row>
    <row r="1146" spans="1:4">
      <c r="A1146" s="88"/>
      <c r="B1146" s="2" t="s">
        <v>410</v>
      </c>
      <c r="C1146" s="93" t="s">
        <v>97</v>
      </c>
      <c r="D1146" s="1" t="s">
        <v>47</v>
      </c>
    </row>
    <row r="1147" spans="1:4">
      <c r="A1147" s="88"/>
      <c r="B1147" s="2" t="s">
        <v>424</v>
      </c>
      <c r="C1147" s="93" t="s">
        <v>433</v>
      </c>
      <c r="D1147" s="1" t="s">
        <v>47</v>
      </c>
    </row>
    <row r="1149" spans="1:4">
      <c r="A1149" s="86">
        <v>46039</v>
      </c>
      <c r="B1149" s="107" t="s">
        <v>144</v>
      </c>
      <c r="C1149" s="93" t="s">
        <v>134</v>
      </c>
      <c r="D1149" s="1" t="s">
        <v>47</v>
      </c>
    </row>
    <row r="1150" spans="1:4">
      <c r="A1150" s="80"/>
      <c r="B1150" s="105" t="s">
        <v>259</v>
      </c>
      <c r="C1150" s="78" t="s">
        <v>97</v>
      </c>
      <c r="D1150" s="1" t="s">
        <v>47</v>
      </c>
    </row>
    <row r="1151" spans="1:4">
      <c r="A1151" s="80"/>
      <c r="B1151" s="2" t="s">
        <v>287</v>
      </c>
      <c r="C1151" s="93" t="s">
        <v>292</v>
      </c>
      <c r="D1151" s="1" t="s">
        <v>47</v>
      </c>
    </row>
    <row r="1152" spans="1:4">
      <c r="A1152" s="80"/>
      <c r="B1152" s="2" t="s">
        <v>303</v>
      </c>
      <c r="C1152" s="93" t="s">
        <v>308</v>
      </c>
      <c r="D1152" s="1" t="s">
        <v>47</v>
      </c>
    </row>
    <row r="1153" spans="1:4">
      <c r="A1153" s="80"/>
      <c r="B1153" s="106" t="s">
        <v>397</v>
      </c>
      <c r="C1153" s="93" t="s">
        <v>388</v>
      </c>
      <c r="D1153" s="1" t="s">
        <v>47</v>
      </c>
    </row>
    <row r="1154" spans="1:4">
      <c r="A1154" s="80"/>
      <c r="B1154" s="105" t="s">
        <v>394</v>
      </c>
      <c r="C1154" s="84" t="s">
        <v>171</v>
      </c>
      <c r="D1154" s="1" t="s">
        <v>5</v>
      </c>
    </row>
    <row r="1155" spans="1:4">
      <c r="A1155" s="80"/>
      <c r="B1155" s="2" t="s">
        <v>395</v>
      </c>
      <c r="C1155" s="93" t="s">
        <v>405</v>
      </c>
      <c r="D1155" s="1" t="s">
        <v>47</v>
      </c>
    </row>
    <row r="1156" spans="1:4">
      <c r="A1156" s="80"/>
      <c r="B1156" s="2" t="s">
        <v>410</v>
      </c>
      <c r="C1156" s="93" t="s">
        <v>97</v>
      </c>
      <c r="D1156" s="1" t="s">
        <v>47</v>
      </c>
    </row>
    <row r="1157" spans="1:4">
      <c r="A1157" s="80"/>
      <c r="B1157" s="2" t="s">
        <v>424</v>
      </c>
      <c r="C1157" s="84" t="s">
        <v>171</v>
      </c>
      <c r="D1157" s="1" t="s">
        <v>5</v>
      </c>
    </row>
    <row r="1158" spans="1:4">
      <c r="A1158" s="80"/>
      <c r="B1158" s="2" t="s">
        <v>434</v>
      </c>
      <c r="C1158" s="93" t="s">
        <v>97</v>
      </c>
      <c r="D1158" s="1" t="s">
        <v>47</v>
      </c>
    </row>
    <row r="1159" spans="1:4">
      <c r="A1159" s="80"/>
      <c r="B1159" s="2" t="s">
        <v>435</v>
      </c>
      <c r="C1159" s="93" t="s">
        <v>97</v>
      </c>
      <c r="D1159" s="1" t="s">
        <v>47</v>
      </c>
    </row>
    <row r="1160" spans="1:4">
      <c r="A1160" s="85"/>
      <c r="B1160" s="2" t="s">
        <v>436</v>
      </c>
      <c r="C1160" s="93" t="s">
        <v>97</v>
      </c>
      <c r="D1160" s="1" t="s">
        <v>47</v>
      </c>
    </row>
    <row r="1162" spans="1:4">
      <c r="A1162" s="86">
        <v>46040</v>
      </c>
      <c r="B1162" s="107" t="s">
        <v>144</v>
      </c>
      <c r="C1162" s="93" t="s">
        <v>134</v>
      </c>
      <c r="D1162" s="1" t="s">
        <v>47</v>
      </c>
    </row>
    <row r="1163" spans="1:4">
      <c r="A1163" s="80"/>
      <c r="B1163" s="105" t="s">
        <v>259</v>
      </c>
      <c r="C1163" s="78" t="s">
        <v>97</v>
      </c>
      <c r="D1163" s="1" t="s">
        <v>47</v>
      </c>
    </row>
    <row r="1164" spans="1:4">
      <c r="A1164" s="80"/>
      <c r="B1164" s="2" t="s">
        <v>287</v>
      </c>
      <c r="C1164" s="93" t="s">
        <v>292</v>
      </c>
      <c r="D1164" s="1" t="s">
        <v>47</v>
      </c>
    </row>
    <row r="1165" spans="1:4">
      <c r="A1165" s="80"/>
      <c r="B1165" s="2" t="s">
        <v>303</v>
      </c>
      <c r="C1165" s="93" t="s">
        <v>308</v>
      </c>
      <c r="D1165" s="1" t="s">
        <v>47</v>
      </c>
    </row>
    <row r="1166" spans="1:4">
      <c r="A1166" s="80"/>
      <c r="B1166" s="106" t="s">
        <v>397</v>
      </c>
      <c r="C1166" s="93" t="s">
        <v>388</v>
      </c>
      <c r="D1166" s="1" t="s">
        <v>47</v>
      </c>
    </row>
    <row r="1167" spans="1:4">
      <c r="A1167" s="80"/>
      <c r="B1167" s="2" t="s">
        <v>395</v>
      </c>
      <c r="C1167" s="93" t="s">
        <v>405</v>
      </c>
      <c r="D1167" s="1" t="s">
        <v>47</v>
      </c>
    </row>
    <row r="1168" spans="1:4">
      <c r="A1168" s="80"/>
      <c r="B1168" s="2" t="s">
        <v>410</v>
      </c>
      <c r="C1168" s="93" t="s">
        <v>97</v>
      </c>
      <c r="D1168" s="1" t="s">
        <v>47</v>
      </c>
    </row>
    <row r="1169" spans="1:4">
      <c r="A1169" s="80"/>
      <c r="B1169" s="2" t="s">
        <v>424</v>
      </c>
      <c r="C1169" s="84" t="s">
        <v>171</v>
      </c>
      <c r="D1169" s="1" t="s">
        <v>5</v>
      </c>
    </row>
    <row r="1170" spans="1:4">
      <c r="A1170" s="80"/>
      <c r="B1170" s="2" t="s">
        <v>434</v>
      </c>
      <c r="C1170" s="93" t="s">
        <v>97</v>
      </c>
      <c r="D1170" s="1" t="s">
        <v>47</v>
      </c>
    </row>
    <row r="1171" spans="1:4">
      <c r="A1171" s="80"/>
      <c r="B1171" s="2" t="s">
        <v>435</v>
      </c>
      <c r="C1171" s="84" t="s">
        <v>171</v>
      </c>
      <c r="D1171" s="1" t="s">
        <v>5</v>
      </c>
    </row>
    <row r="1172" spans="1:4">
      <c r="A1172" s="85"/>
      <c r="B1172" s="2" t="s">
        <v>436</v>
      </c>
      <c r="C1172" s="93" t="s">
        <v>97</v>
      </c>
      <c r="D1172" s="1" t="s">
        <v>47</v>
      </c>
    </row>
    <row r="1174" spans="1:4">
      <c r="A1174" s="86">
        <v>46041</v>
      </c>
      <c r="B1174" s="107" t="s">
        <v>144</v>
      </c>
      <c r="C1174" s="93" t="s">
        <v>134</v>
      </c>
      <c r="D1174" s="1" t="s">
        <v>47</v>
      </c>
    </row>
    <row r="1175" spans="1:4">
      <c r="A1175" s="80"/>
      <c r="B1175" s="105" t="s">
        <v>259</v>
      </c>
      <c r="C1175" s="78" t="s">
        <v>97</v>
      </c>
      <c r="D1175" s="1" t="s">
        <v>47</v>
      </c>
    </row>
    <row r="1176" spans="1:4">
      <c r="A1176" s="80"/>
      <c r="B1176" s="2" t="s">
        <v>287</v>
      </c>
      <c r="C1176" s="93" t="s">
        <v>292</v>
      </c>
      <c r="D1176" s="1" t="s">
        <v>47</v>
      </c>
    </row>
    <row r="1177" spans="1:4">
      <c r="A1177" s="80"/>
      <c r="B1177" s="2" t="s">
        <v>303</v>
      </c>
      <c r="C1177" s="93" t="s">
        <v>308</v>
      </c>
      <c r="D1177" s="1" t="s">
        <v>47</v>
      </c>
    </row>
    <row r="1178" spans="1:4">
      <c r="A1178" s="80"/>
      <c r="B1178" s="106" t="s">
        <v>397</v>
      </c>
      <c r="C1178" s="93" t="s">
        <v>388</v>
      </c>
      <c r="D1178" s="1" t="s">
        <v>47</v>
      </c>
    </row>
    <row r="1179" spans="1:4">
      <c r="A1179" s="80"/>
      <c r="B1179" s="2" t="s">
        <v>395</v>
      </c>
      <c r="C1179" s="93" t="s">
        <v>405</v>
      </c>
      <c r="D1179" s="1" t="s">
        <v>47</v>
      </c>
    </row>
    <row r="1180" spans="1:4">
      <c r="A1180" s="80"/>
      <c r="B1180" s="2" t="s">
        <v>410</v>
      </c>
      <c r="C1180" s="93" t="s">
        <v>97</v>
      </c>
      <c r="D1180" s="1" t="s">
        <v>47</v>
      </c>
    </row>
    <row r="1181" spans="1:4">
      <c r="A1181" s="80"/>
      <c r="B1181" s="2" t="s">
        <v>434</v>
      </c>
      <c r="C1181" s="93" t="s">
        <v>97</v>
      </c>
      <c r="D1181" s="1" t="s">
        <v>47</v>
      </c>
    </row>
    <row r="1182" spans="1:4">
      <c r="A1182" s="80"/>
      <c r="B1182" s="2" t="s">
        <v>436</v>
      </c>
      <c r="C1182" s="93" t="s">
        <v>97</v>
      </c>
      <c r="D1182" s="1" t="s">
        <v>47</v>
      </c>
    </row>
    <row r="1183" spans="1:4">
      <c r="A1183" s="85"/>
      <c r="B1183" s="2" t="s">
        <v>437</v>
      </c>
      <c r="C1183" s="84" t="s">
        <v>171</v>
      </c>
      <c r="D1183" s="1" t="s">
        <v>5</v>
      </c>
    </row>
    <row r="1185" spans="1:4">
      <c r="A1185" s="86">
        <v>46042</v>
      </c>
      <c r="B1185" s="107" t="s">
        <v>144</v>
      </c>
      <c r="C1185" s="93" t="s">
        <v>134</v>
      </c>
      <c r="D1185" s="1" t="s">
        <v>47</v>
      </c>
    </row>
    <row r="1186" spans="1:4">
      <c r="A1186" s="80"/>
      <c r="B1186" s="105" t="s">
        <v>259</v>
      </c>
      <c r="C1186" s="78" t="s">
        <v>97</v>
      </c>
      <c r="D1186" s="1" t="s">
        <v>47</v>
      </c>
    </row>
    <row r="1187" spans="1:4">
      <c r="A1187" s="80"/>
      <c r="B1187" s="2" t="s">
        <v>287</v>
      </c>
      <c r="C1187" s="93" t="s">
        <v>292</v>
      </c>
      <c r="D1187" s="1" t="s">
        <v>47</v>
      </c>
    </row>
    <row r="1188" spans="1:4">
      <c r="A1188" s="80"/>
      <c r="B1188" s="2" t="s">
        <v>303</v>
      </c>
      <c r="C1188" s="93" t="s">
        <v>308</v>
      </c>
      <c r="D1188" s="1" t="s">
        <v>47</v>
      </c>
    </row>
    <row r="1189" spans="1:4">
      <c r="A1189" s="80"/>
      <c r="B1189" s="106" t="s">
        <v>438</v>
      </c>
      <c r="C1189" s="93" t="s">
        <v>388</v>
      </c>
      <c r="D1189" s="1" t="s">
        <v>47</v>
      </c>
    </row>
    <row r="1190" spans="1:4">
      <c r="A1190" s="80"/>
      <c r="B1190" s="2" t="s">
        <v>395</v>
      </c>
      <c r="C1190" s="93" t="s">
        <v>405</v>
      </c>
      <c r="D1190" s="1" t="s">
        <v>47</v>
      </c>
    </row>
    <row r="1191" spans="1:4">
      <c r="A1191" s="80"/>
      <c r="B1191" s="2" t="s">
        <v>410</v>
      </c>
      <c r="C1191" s="93" t="s">
        <v>97</v>
      </c>
      <c r="D1191" s="1" t="s">
        <v>47</v>
      </c>
    </row>
    <row r="1192" spans="1:4">
      <c r="A1192" s="80"/>
      <c r="B1192" s="2" t="s">
        <v>434</v>
      </c>
      <c r="C1192" s="93" t="s">
        <v>97</v>
      </c>
      <c r="D1192" s="1" t="s">
        <v>47</v>
      </c>
    </row>
    <row r="1193" spans="1:4">
      <c r="A1193" s="80"/>
      <c r="B1193" s="2" t="s">
        <v>439</v>
      </c>
      <c r="C1193" s="93" t="s">
        <v>97</v>
      </c>
      <c r="D1193" s="1" t="s">
        <v>47</v>
      </c>
    </row>
    <row r="1194" spans="1:4">
      <c r="A1194" s="80"/>
      <c r="B1194" s="2" t="s">
        <v>440</v>
      </c>
      <c r="C1194" s="93" t="s">
        <v>97</v>
      </c>
      <c r="D1194" s="1" t="s">
        <v>47</v>
      </c>
    </row>
    <row r="1195" spans="1:4">
      <c r="A1195" s="80"/>
      <c r="B1195" s="2" t="s">
        <v>441</v>
      </c>
      <c r="C1195" s="93" t="s">
        <v>97</v>
      </c>
      <c r="D1195" s="1" t="s">
        <v>47</v>
      </c>
    </row>
    <row r="1196" spans="1:4">
      <c r="A1196" s="85"/>
      <c r="B1196" s="2" t="s">
        <v>442</v>
      </c>
      <c r="C1196" s="93" t="s">
        <v>97</v>
      </c>
      <c r="D1196" s="1" t="s">
        <v>47</v>
      </c>
    </row>
    <row r="1198" spans="1:4">
      <c r="A1198" s="86">
        <v>46043</v>
      </c>
      <c r="B1198" s="107" t="s">
        <v>144</v>
      </c>
      <c r="C1198" s="93" t="s">
        <v>134</v>
      </c>
      <c r="D1198" s="1" t="s">
        <v>47</v>
      </c>
    </row>
    <row r="1199" spans="1:4">
      <c r="A1199" s="80"/>
      <c r="B1199" s="105" t="s">
        <v>259</v>
      </c>
      <c r="C1199" s="78" t="s">
        <v>97</v>
      </c>
      <c r="D1199" s="1" t="s">
        <v>47</v>
      </c>
    </row>
    <row r="1200" spans="1:4">
      <c r="A1200" s="80"/>
      <c r="B1200" s="2" t="s">
        <v>287</v>
      </c>
      <c r="C1200" s="93" t="s">
        <v>292</v>
      </c>
      <c r="D1200" s="1" t="s">
        <v>47</v>
      </c>
    </row>
    <row r="1201" spans="1:4">
      <c r="A1201" s="80"/>
      <c r="B1201" s="2" t="s">
        <v>303</v>
      </c>
      <c r="C1201" s="93" t="s">
        <v>308</v>
      </c>
      <c r="D1201" s="1" t="s">
        <v>47</v>
      </c>
    </row>
    <row r="1202" spans="1:4">
      <c r="A1202" s="80"/>
      <c r="B1202" s="106" t="s">
        <v>438</v>
      </c>
      <c r="C1202" s="78" t="s">
        <v>443</v>
      </c>
      <c r="D1202" s="1" t="s">
        <v>47</v>
      </c>
    </row>
    <row r="1203" spans="1:4">
      <c r="A1203" s="80"/>
      <c r="B1203" s="2" t="s">
        <v>395</v>
      </c>
      <c r="C1203" s="93" t="s">
        <v>405</v>
      </c>
      <c r="D1203" s="1" t="s">
        <v>47</v>
      </c>
    </row>
    <row r="1204" spans="1:4">
      <c r="A1204" s="80"/>
      <c r="B1204" s="2" t="s">
        <v>410</v>
      </c>
      <c r="C1204" s="93" t="s">
        <v>97</v>
      </c>
      <c r="D1204" s="1" t="s">
        <v>47</v>
      </c>
    </row>
    <row r="1205" spans="1:4">
      <c r="A1205" s="80"/>
      <c r="B1205" s="2" t="s">
        <v>434</v>
      </c>
      <c r="C1205" s="93" t="s">
        <v>97</v>
      </c>
      <c r="D1205" s="1" t="s">
        <v>47</v>
      </c>
    </row>
    <row r="1206" spans="1:4">
      <c r="A1206" s="80"/>
      <c r="B1206" s="2" t="s">
        <v>439</v>
      </c>
      <c r="C1206" s="93" t="s">
        <v>97</v>
      </c>
      <c r="D1206" s="1" t="s">
        <v>47</v>
      </c>
    </row>
    <row r="1207" spans="1:4">
      <c r="A1207" s="80"/>
      <c r="B1207" s="2" t="s">
        <v>440</v>
      </c>
      <c r="C1207" s="93" t="s">
        <v>97</v>
      </c>
      <c r="D1207" s="1" t="s">
        <v>47</v>
      </c>
    </row>
    <row r="1208" spans="1:4">
      <c r="A1208" s="80"/>
      <c r="B1208" s="2" t="s">
        <v>444</v>
      </c>
      <c r="C1208" s="93" t="s">
        <v>97</v>
      </c>
      <c r="D1208" s="1" t="s">
        <v>47</v>
      </c>
    </row>
    <row r="1209" spans="1:4">
      <c r="A1209" s="80"/>
      <c r="B1209" s="2" t="s">
        <v>442</v>
      </c>
      <c r="C1209" s="84" t="s">
        <v>171</v>
      </c>
      <c r="D1209" s="1" t="s">
        <v>5</v>
      </c>
    </row>
    <row r="1210" spans="1:4">
      <c r="A1210" s="80"/>
      <c r="B1210" s="2" t="s">
        <v>445</v>
      </c>
      <c r="C1210" s="93" t="s">
        <v>97</v>
      </c>
      <c r="D1210" s="1" t="s">
        <v>47</v>
      </c>
    </row>
    <row r="1211" spans="1:4">
      <c r="A1211" s="80"/>
      <c r="B1211" s="2" t="s">
        <v>446</v>
      </c>
      <c r="C1211" s="93" t="s">
        <v>97</v>
      </c>
      <c r="D1211" s="1" t="s">
        <v>47</v>
      </c>
    </row>
    <row r="1212" spans="1:4">
      <c r="A1212" s="80"/>
      <c r="B1212" s="2" t="s">
        <v>447</v>
      </c>
      <c r="C1212" s="93" t="s">
        <v>97</v>
      </c>
      <c r="D1212" s="1" t="s">
        <v>47</v>
      </c>
    </row>
    <row r="1213" spans="1:4">
      <c r="A1213" s="80"/>
      <c r="B1213" s="2" t="s">
        <v>448</v>
      </c>
      <c r="C1213" s="93" t="s">
        <v>97</v>
      </c>
      <c r="D1213" s="1" t="s">
        <v>47</v>
      </c>
    </row>
    <row r="1214" spans="1:4">
      <c r="A1214" s="80"/>
      <c r="B1214" s="2" t="s">
        <v>449</v>
      </c>
      <c r="C1214" s="78" t="s">
        <v>413</v>
      </c>
      <c r="D1214" s="1" t="s">
        <v>47</v>
      </c>
    </row>
    <row r="1215" spans="1:4">
      <c r="A1215" s="80"/>
      <c r="B1215" s="2" t="s">
        <v>324</v>
      </c>
      <c r="C1215" s="93" t="s">
        <v>97</v>
      </c>
      <c r="D1215" s="1" t="s">
        <v>47</v>
      </c>
    </row>
    <row r="1216" spans="1:4">
      <c r="A1216" s="80"/>
      <c r="B1216" s="2" t="s">
        <v>450</v>
      </c>
      <c r="C1216" s="93" t="s">
        <v>97</v>
      </c>
      <c r="D1216" s="1" t="s">
        <v>47</v>
      </c>
    </row>
    <row r="1217" spans="1:4">
      <c r="A1217" s="85"/>
      <c r="B1217" s="2" t="s">
        <v>451</v>
      </c>
      <c r="C1217" s="93" t="s">
        <v>97</v>
      </c>
      <c r="D1217" s="1" t="s">
        <v>47</v>
      </c>
    </row>
    <row r="1219" spans="1:4">
      <c r="A1219" s="86">
        <v>46044</v>
      </c>
      <c r="B1219" s="107" t="s">
        <v>144</v>
      </c>
      <c r="C1219" s="93" t="s">
        <v>134</v>
      </c>
      <c r="D1219" s="1" t="s">
        <v>47</v>
      </c>
    </row>
    <row r="1220" spans="1:4">
      <c r="A1220" s="80"/>
      <c r="B1220" s="105" t="s">
        <v>259</v>
      </c>
      <c r="C1220" s="78" t="s">
        <v>97</v>
      </c>
      <c r="D1220" s="1" t="s">
        <v>47</v>
      </c>
    </row>
    <row r="1221" spans="1:4">
      <c r="A1221" s="80"/>
      <c r="B1221" s="2" t="s">
        <v>287</v>
      </c>
      <c r="C1221" s="93" t="s">
        <v>292</v>
      </c>
      <c r="D1221" s="1" t="s">
        <v>47</v>
      </c>
    </row>
    <row r="1222" spans="1:4">
      <c r="A1222" s="80"/>
      <c r="B1222" s="2" t="s">
        <v>303</v>
      </c>
      <c r="C1222" s="93" t="s">
        <v>308</v>
      </c>
      <c r="D1222" s="1" t="s">
        <v>47</v>
      </c>
    </row>
    <row r="1223" spans="1:4">
      <c r="A1223" s="80"/>
      <c r="B1223" s="106" t="s">
        <v>438</v>
      </c>
      <c r="C1223" s="78" t="s">
        <v>443</v>
      </c>
      <c r="D1223" s="1" t="s">
        <v>47</v>
      </c>
    </row>
    <row r="1224" spans="1:4">
      <c r="A1224" s="80"/>
      <c r="B1224" s="2" t="s">
        <v>395</v>
      </c>
      <c r="C1224" s="93" t="s">
        <v>405</v>
      </c>
      <c r="D1224" s="1" t="s">
        <v>47</v>
      </c>
    </row>
    <row r="1225" spans="1:4">
      <c r="A1225" s="80"/>
      <c r="B1225" s="2" t="s">
        <v>410</v>
      </c>
      <c r="C1225" s="93" t="s">
        <v>97</v>
      </c>
      <c r="D1225" s="1" t="s">
        <v>47</v>
      </c>
    </row>
    <row r="1226" spans="1:4">
      <c r="A1226" s="80"/>
      <c r="B1226" s="2" t="s">
        <v>434</v>
      </c>
      <c r="C1226" s="93" t="s">
        <v>97</v>
      </c>
      <c r="D1226" s="1" t="s">
        <v>47</v>
      </c>
    </row>
    <row r="1227" spans="1:4">
      <c r="A1227" s="80"/>
      <c r="B1227" s="2" t="s">
        <v>439</v>
      </c>
      <c r="C1227" s="93" t="s">
        <v>97</v>
      </c>
      <c r="D1227" s="1" t="s">
        <v>47</v>
      </c>
    </row>
    <row r="1228" spans="1:4">
      <c r="A1228" s="80"/>
      <c r="B1228" s="2" t="s">
        <v>440</v>
      </c>
      <c r="C1228" s="93" t="s">
        <v>97</v>
      </c>
      <c r="D1228" s="1" t="s">
        <v>47</v>
      </c>
    </row>
    <row r="1229" spans="1:4">
      <c r="A1229" s="80"/>
      <c r="B1229" s="2" t="s">
        <v>444</v>
      </c>
      <c r="C1229" s="93" t="s">
        <v>97</v>
      </c>
      <c r="D1229" s="1" t="s">
        <v>47</v>
      </c>
    </row>
    <row r="1230" spans="1:4">
      <c r="A1230" s="80"/>
      <c r="B1230" s="2" t="s">
        <v>442</v>
      </c>
      <c r="C1230" s="84" t="s">
        <v>171</v>
      </c>
      <c r="D1230" s="1" t="s">
        <v>5</v>
      </c>
    </row>
    <row r="1231" spans="1:4">
      <c r="A1231" s="80"/>
      <c r="B1231" s="2" t="s">
        <v>445</v>
      </c>
      <c r="C1231" s="93" t="s">
        <v>97</v>
      </c>
      <c r="D1231" s="1" t="s">
        <v>47</v>
      </c>
    </row>
    <row r="1232" spans="1:4">
      <c r="A1232" s="80"/>
      <c r="B1232" s="2" t="s">
        <v>446</v>
      </c>
      <c r="C1232" s="93" t="s">
        <v>97</v>
      </c>
      <c r="D1232" s="1" t="s">
        <v>47</v>
      </c>
    </row>
    <row r="1233" spans="1:4">
      <c r="A1233" s="80"/>
      <c r="B1233" s="2" t="s">
        <v>447</v>
      </c>
      <c r="C1233" s="93" t="s">
        <v>97</v>
      </c>
      <c r="D1233" s="1" t="s">
        <v>47</v>
      </c>
    </row>
    <row r="1234" spans="1:4">
      <c r="A1234" s="80"/>
      <c r="B1234" s="2" t="s">
        <v>448</v>
      </c>
      <c r="C1234" s="93" t="s">
        <v>97</v>
      </c>
      <c r="D1234" s="1" t="s">
        <v>47</v>
      </c>
    </row>
    <row r="1235" spans="1:4">
      <c r="A1235" s="80"/>
      <c r="B1235" s="2" t="s">
        <v>449</v>
      </c>
      <c r="C1235" s="78" t="s">
        <v>413</v>
      </c>
      <c r="D1235" s="1" t="s">
        <v>47</v>
      </c>
    </row>
    <row r="1236" spans="1:4">
      <c r="A1236" s="80"/>
      <c r="B1236" s="2" t="s">
        <v>324</v>
      </c>
      <c r="C1236" s="93" t="s">
        <v>97</v>
      </c>
      <c r="D1236" s="1" t="s">
        <v>47</v>
      </c>
    </row>
    <row r="1237" spans="1:4">
      <c r="A1237" s="80"/>
      <c r="B1237" s="2" t="s">
        <v>450</v>
      </c>
      <c r="C1237" s="93" t="s">
        <v>97</v>
      </c>
      <c r="D1237" s="1" t="s">
        <v>47</v>
      </c>
    </row>
    <row r="1238" spans="1:4">
      <c r="A1238" s="85"/>
      <c r="B1238" s="2" t="s">
        <v>451</v>
      </c>
      <c r="C1238" s="93" t="s">
        <v>97</v>
      </c>
      <c r="D1238" s="1" t="s">
        <v>47</v>
      </c>
    </row>
    <row r="1240" spans="1:4">
      <c r="A1240" s="86">
        <v>46045</v>
      </c>
      <c r="B1240" s="107" t="s">
        <v>144</v>
      </c>
      <c r="C1240" s="93" t="s">
        <v>134</v>
      </c>
      <c r="D1240" s="1" t="s">
        <v>47</v>
      </c>
    </row>
    <row r="1241" spans="1:4">
      <c r="A1241" s="80"/>
      <c r="B1241" s="105" t="s">
        <v>259</v>
      </c>
      <c r="C1241" s="78" t="s">
        <v>97</v>
      </c>
      <c r="D1241" s="1" t="s">
        <v>47</v>
      </c>
    </row>
    <row r="1242" spans="1:4">
      <c r="A1242" s="80"/>
      <c r="B1242" s="2" t="s">
        <v>287</v>
      </c>
      <c r="C1242" s="93" t="s">
        <v>292</v>
      </c>
      <c r="D1242" s="1" t="s">
        <v>47</v>
      </c>
    </row>
    <row r="1243" spans="1:4">
      <c r="A1243" s="80"/>
      <c r="B1243" s="2" t="s">
        <v>303</v>
      </c>
      <c r="C1243" s="93" t="s">
        <v>308</v>
      </c>
      <c r="D1243" s="1" t="s">
        <v>47</v>
      </c>
    </row>
    <row r="1244" spans="1:4">
      <c r="A1244" s="80"/>
      <c r="B1244" s="106" t="s">
        <v>438</v>
      </c>
      <c r="C1244" s="78" t="s">
        <v>443</v>
      </c>
      <c r="D1244" s="1" t="s">
        <v>47</v>
      </c>
    </row>
    <row r="1245" spans="1:4">
      <c r="A1245" s="80"/>
      <c r="B1245" s="2" t="s">
        <v>395</v>
      </c>
      <c r="C1245" s="93" t="s">
        <v>405</v>
      </c>
      <c r="D1245" s="1" t="s">
        <v>47</v>
      </c>
    </row>
    <row r="1246" spans="1:4">
      <c r="A1246" s="80"/>
      <c r="B1246" s="2" t="s">
        <v>410</v>
      </c>
      <c r="C1246" s="93" t="s">
        <v>97</v>
      </c>
      <c r="D1246" s="1" t="s">
        <v>47</v>
      </c>
    </row>
    <row r="1247" spans="1:4">
      <c r="A1247" s="80"/>
      <c r="B1247" s="2" t="s">
        <v>434</v>
      </c>
      <c r="C1247" s="93" t="s">
        <v>97</v>
      </c>
      <c r="D1247" s="1" t="s">
        <v>47</v>
      </c>
    </row>
    <row r="1248" spans="1:4">
      <c r="A1248" s="80"/>
      <c r="B1248" s="2" t="s">
        <v>439</v>
      </c>
      <c r="C1248" s="93" t="s">
        <v>97</v>
      </c>
      <c r="D1248" s="1" t="s">
        <v>47</v>
      </c>
    </row>
    <row r="1249" spans="1:4">
      <c r="A1249" s="80"/>
      <c r="B1249" s="2" t="s">
        <v>440</v>
      </c>
      <c r="C1249" s="93" t="s">
        <v>97</v>
      </c>
      <c r="D1249" s="1" t="s">
        <v>47</v>
      </c>
    </row>
    <row r="1250" spans="1:4">
      <c r="A1250" s="80"/>
      <c r="B1250" s="2" t="s">
        <v>444</v>
      </c>
      <c r="C1250" s="93" t="s">
        <v>97</v>
      </c>
      <c r="D1250" s="1" t="s">
        <v>47</v>
      </c>
    </row>
    <row r="1251" spans="1:4">
      <c r="A1251" s="80"/>
      <c r="B1251" s="2" t="s">
        <v>445</v>
      </c>
      <c r="C1251" s="84" t="s">
        <v>171</v>
      </c>
      <c r="D1251" s="1" t="s">
        <v>5</v>
      </c>
    </row>
    <row r="1252" spans="1:4">
      <c r="A1252" s="80"/>
      <c r="B1252" s="2" t="s">
        <v>446</v>
      </c>
      <c r="C1252" s="84" t="s">
        <v>171</v>
      </c>
      <c r="D1252" s="1" t="s">
        <v>5</v>
      </c>
    </row>
    <row r="1253" spans="1:4">
      <c r="A1253" s="80"/>
      <c r="B1253" s="2" t="s">
        <v>447</v>
      </c>
      <c r="C1253" s="93" t="s">
        <v>97</v>
      </c>
      <c r="D1253" s="1" t="s">
        <v>47</v>
      </c>
    </row>
    <row r="1254" spans="1:4">
      <c r="A1254" s="80"/>
      <c r="B1254" s="2" t="s">
        <v>448</v>
      </c>
      <c r="C1254" s="93" t="s">
        <v>97</v>
      </c>
      <c r="D1254" s="1" t="s">
        <v>47</v>
      </c>
    </row>
    <row r="1255" spans="1:4">
      <c r="A1255" s="80"/>
      <c r="B1255" s="2" t="s">
        <v>449</v>
      </c>
      <c r="C1255" s="78" t="s">
        <v>413</v>
      </c>
      <c r="D1255" s="1" t="s">
        <v>47</v>
      </c>
    </row>
    <row r="1256" spans="1:4">
      <c r="A1256" s="80"/>
      <c r="B1256" s="2" t="s">
        <v>324</v>
      </c>
      <c r="C1256" s="84" t="s">
        <v>171</v>
      </c>
      <c r="D1256" s="1" t="s">
        <v>5</v>
      </c>
    </row>
    <row r="1257" spans="1:4">
      <c r="A1257" s="80"/>
      <c r="B1257" s="2" t="s">
        <v>450</v>
      </c>
      <c r="C1257" s="93" t="s">
        <v>452</v>
      </c>
      <c r="D1257" s="1" t="s">
        <v>47</v>
      </c>
    </row>
    <row r="1258" spans="1:4">
      <c r="A1258" s="85"/>
      <c r="B1258" s="2" t="s">
        <v>451</v>
      </c>
      <c r="C1258" s="84" t="s">
        <v>171</v>
      </c>
      <c r="D1258" s="1" t="s">
        <v>5</v>
      </c>
    </row>
    <row r="1260" spans="1:4">
      <c r="A1260" s="86">
        <v>46046</v>
      </c>
      <c r="B1260" s="107" t="s">
        <v>144</v>
      </c>
      <c r="C1260" s="93" t="s">
        <v>134</v>
      </c>
      <c r="D1260" s="1" t="s">
        <v>47</v>
      </c>
    </row>
    <row r="1261" spans="1:4">
      <c r="A1261" s="80"/>
      <c r="B1261" s="105" t="s">
        <v>259</v>
      </c>
      <c r="C1261" s="78" t="s">
        <v>97</v>
      </c>
      <c r="D1261" s="1" t="s">
        <v>47</v>
      </c>
    </row>
    <row r="1262" spans="1:4">
      <c r="A1262" s="80"/>
      <c r="B1262" s="2" t="s">
        <v>287</v>
      </c>
      <c r="C1262" s="93" t="s">
        <v>292</v>
      </c>
      <c r="D1262" s="1" t="s">
        <v>47</v>
      </c>
    </row>
    <row r="1263" spans="1:4">
      <c r="A1263" s="80"/>
      <c r="B1263" s="2" t="s">
        <v>303</v>
      </c>
      <c r="C1263" s="93" t="s">
        <v>308</v>
      </c>
      <c r="D1263" s="1" t="s">
        <v>47</v>
      </c>
    </row>
    <row r="1264" spans="1:4">
      <c r="A1264" s="80"/>
      <c r="B1264" s="106" t="s">
        <v>438</v>
      </c>
      <c r="C1264" s="78" t="s">
        <v>443</v>
      </c>
      <c r="D1264" s="1" t="s">
        <v>47</v>
      </c>
    </row>
    <row r="1265" spans="1:4">
      <c r="A1265" s="80"/>
      <c r="B1265" s="2" t="s">
        <v>395</v>
      </c>
      <c r="C1265" s="93" t="s">
        <v>405</v>
      </c>
      <c r="D1265" s="1" t="s">
        <v>47</v>
      </c>
    </row>
    <row r="1266" spans="1:4">
      <c r="A1266" s="80"/>
      <c r="B1266" s="2" t="s">
        <v>410</v>
      </c>
      <c r="C1266" s="93" t="s">
        <v>97</v>
      </c>
      <c r="D1266" s="1" t="s">
        <v>47</v>
      </c>
    </row>
    <row r="1267" spans="1:4">
      <c r="A1267" s="80"/>
      <c r="B1267" s="2" t="s">
        <v>434</v>
      </c>
      <c r="C1267" s="93" t="s">
        <v>97</v>
      </c>
      <c r="D1267" s="1" t="s">
        <v>47</v>
      </c>
    </row>
    <row r="1268" spans="1:4">
      <c r="A1268" s="80"/>
      <c r="B1268" s="2" t="s">
        <v>439</v>
      </c>
      <c r="C1268" s="93" t="s">
        <v>97</v>
      </c>
      <c r="D1268" s="1" t="s">
        <v>47</v>
      </c>
    </row>
    <row r="1269" spans="1:4">
      <c r="A1269" s="80"/>
      <c r="B1269" s="2" t="s">
        <v>440</v>
      </c>
      <c r="C1269" s="93" t="s">
        <v>97</v>
      </c>
      <c r="D1269" s="1" t="s">
        <v>47</v>
      </c>
    </row>
    <row r="1270" spans="1:4">
      <c r="A1270" s="80"/>
      <c r="B1270" s="2" t="s">
        <v>444</v>
      </c>
      <c r="C1270" s="108" t="s">
        <v>97</v>
      </c>
      <c r="D1270" s="1" t="s">
        <v>47</v>
      </c>
    </row>
    <row r="1271" spans="1:4">
      <c r="A1271" s="80"/>
      <c r="B1271" s="2" t="s">
        <v>447</v>
      </c>
      <c r="C1271" s="108" t="s">
        <v>97</v>
      </c>
      <c r="D1271" s="1" t="s">
        <v>47</v>
      </c>
    </row>
    <row r="1272" spans="1:4">
      <c r="A1272" s="80"/>
      <c r="B1272" s="2" t="s">
        <v>448</v>
      </c>
      <c r="C1272" s="93" t="s">
        <v>97</v>
      </c>
      <c r="D1272" s="1" t="s">
        <v>47</v>
      </c>
    </row>
    <row r="1273" spans="1:4">
      <c r="A1273" s="80"/>
      <c r="B1273" s="2" t="s">
        <v>449</v>
      </c>
      <c r="C1273" s="78" t="s">
        <v>413</v>
      </c>
      <c r="D1273" s="1" t="s">
        <v>47</v>
      </c>
    </row>
    <row r="1274" spans="1:4">
      <c r="A1274" s="80"/>
      <c r="B1274" s="2" t="s">
        <v>450</v>
      </c>
      <c r="C1274" s="93" t="s">
        <v>452</v>
      </c>
      <c r="D1274" s="1" t="s">
        <v>47</v>
      </c>
    </row>
    <row r="1275" spans="1:4">
      <c r="A1275" s="80"/>
      <c r="B1275" s="2" t="s">
        <v>453</v>
      </c>
      <c r="C1275" s="93" t="s">
        <v>171</v>
      </c>
      <c r="D1275" s="1" t="s">
        <v>47</v>
      </c>
    </row>
    <row r="1276" spans="1:4">
      <c r="A1276" s="80"/>
      <c r="B1276" s="2" t="s">
        <v>391</v>
      </c>
      <c r="C1276" s="84" t="s">
        <v>171</v>
      </c>
      <c r="D1276" s="1" t="s">
        <v>5</v>
      </c>
    </row>
    <row r="1277" spans="1:4">
      <c r="A1277" s="80"/>
      <c r="B1277" s="2" t="s">
        <v>454</v>
      </c>
      <c r="C1277" s="108" t="s">
        <v>97</v>
      </c>
      <c r="D1277" s="1" t="s">
        <v>47</v>
      </c>
    </row>
    <row r="1278" spans="1:4">
      <c r="A1278" s="80"/>
      <c r="B1278" s="2" t="s">
        <v>455</v>
      </c>
      <c r="C1278" s="108" t="s">
        <v>97</v>
      </c>
      <c r="D1278" s="1" t="s">
        <v>47</v>
      </c>
    </row>
    <row r="1279" spans="1:4">
      <c r="A1279" s="80"/>
      <c r="B1279" s="2" t="s">
        <v>456</v>
      </c>
      <c r="C1279" s="108" t="s">
        <v>97</v>
      </c>
      <c r="D1279" s="1" t="s">
        <v>47</v>
      </c>
    </row>
    <row r="1280" spans="1:4">
      <c r="A1280" s="85"/>
      <c r="B1280" s="2" t="s">
        <v>457</v>
      </c>
      <c r="C1280" s="93" t="s">
        <v>97</v>
      </c>
      <c r="D1280" s="1" t="s">
        <v>47</v>
      </c>
    </row>
    <row r="1282" spans="1:4">
      <c r="A1282" s="86">
        <v>46047</v>
      </c>
      <c r="B1282" s="107" t="s">
        <v>144</v>
      </c>
      <c r="C1282" s="93" t="s">
        <v>134</v>
      </c>
      <c r="D1282" s="1" t="s">
        <v>47</v>
      </c>
    </row>
    <row r="1283" spans="1:4">
      <c r="A1283" s="80"/>
      <c r="B1283" s="105" t="s">
        <v>259</v>
      </c>
      <c r="C1283" s="78" t="s">
        <v>97</v>
      </c>
      <c r="D1283" s="1" t="s">
        <v>47</v>
      </c>
    </row>
    <row r="1284" spans="1:4">
      <c r="A1284" s="80"/>
      <c r="B1284" s="2" t="s">
        <v>287</v>
      </c>
      <c r="C1284" s="93" t="s">
        <v>292</v>
      </c>
      <c r="D1284" s="1" t="s">
        <v>47</v>
      </c>
    </row>
    <row r="1285" spans="1:4">
      <c r="A1285" s="80"/>
      <c r="B1285" s="2" t="s">
        <v>303</v>
      </c>
      <c r="C1285" s="93" t="s">
        <v>308</v>
      </c>
      <c r="D1285" s="1" t="s">
        <v>47</v>
      </c>
    </row>
    <row r="1286" spans="1:4">
      <c r="A1286" s="80"/>
      <c r="B1286" s="106" t="s">
        <v>458</v>
      </c>
      <c r="C1286" s="78" t="s">
        <v>443</v>
      </c>
      <c r="D1286" s="1" t="s">
        <v>47</v>
      </c>
    </row>
    <row r="1287" spans="1:4">
      <c r="A1287" s="80"/>
      <c r="B1287" s="2" t="s">
        <v>395</v>
      </c>
      <c r="C1287" s="93" t="s">
        <v>405</v>
      </c>
      <c r="D1287" s="1" t="s">
        <v>47</v>
      </c>
    </row>
    <row r="1288" spans="1:4">
      <c r="A1288" s="80"/>
      <c r="B1288" s="2" t="s">
        <v>410</v>
      </c>
      <c r="C1288" s="93" t="s">
        <v>97</v>
      </c>
      <c r="D1288" s="1" t="s">
        <v>47</v>
      </c>
    </row>
    <row r="1289" spans="1:4">
      <c r="A1289" s="80"/>
      <c r="B1289" s="2" t="s">
        <v>434</v>
      </c>
      <c r="C1289" s="93" t="s">
        <v>97</v>
      </c>
      <c r="D1289" s="1" t="s">
        <v>47</v>
      </c>
    </row>
    <row r="1290" spans="1:4">
      <c r="A1290" s="80"/>
      <c r="B1290" s="2" t="s">
        <v>439</v>
      </c>
      <c r="C1290" s="93" t="s">
        <v>97</v>
      </c>
      <c r="D1290" s="1" t="s">
        <v>47</v>
      </c>
    </row>
    <row r="1291" spans="1:4">
      <c r="A1291" s="80"/>
      <c r="B1291" s="2" t="s">
        <v>440</v>
      </c>
      <c r="C1291" s="84" t="s">
        <v>171</v>
      </c>
      <c r="D1291" s="1" t="s">
        <v>5</v>
      </c>
    </row>
    <row r="1292" spans="1:4">
      <c r="A1292" s="80"/>
      <c r="B1292" s="2" t="s">
        <v>444</v>
      </c>
      <c r="C1292" s="84" t="s">
        <v>171</v>
      </c>
      <c r="D1292" s="1" t="s">
        <v>5</v>
      </c>
    </row>
    <row r="1293" spans="1:4">
      <c r="A1293" s="80"/>
      <c r="B1293" s="2" t="s">
        <v>447</v>
      </c>
      <c r="C1293" s="108" t="s">
        <v>97</v>
      </c>
      <c r="D1293" s="1" t="s">
        <v>47</v>
      </c>
    </row>
    <row r="1294" spans="1:4">
      <c r="A1294" s="80"/>
      <c r="B1294" s="2" t="s">
        <v>448</v>
      </c>
      <c r="C1294" s="93" t="s">
        <v>97</v>
      </c>
      <c r="D1294" s="1" t="s">
        <v>47</v>
      </c>
    </row>
    <row r="1295" spans="1:4">
      <c r="A1295" s="80"/>
      <c r="B1295" s="2" t="s">
        <v>449</v>
      </c>
      <c r="C1295" s="78" t="s">
        <v>413</v>
      </c>
      <c r="D1295" s="1" t="s">
        <v>47</v>
      </c>
    </row>
    <row r="1296" spans="1:4">
      <c r="A1296" s="80"/>
      <c r="B1296" s="2" t="s">
        <v>450</v>
      </c>
      <c r="C1296" s="93" t="s">
        <v>452</v>
      </c>
      <c r="D1296" s="1" t="s">
        <v>47</v>
      </c>
    </row>
    <row r="1297" spans="1:4">
      <c r="A1297" s="80"/>
      <c r="B1297" s="2" t="s">
        <v>453</v>
      </c>
      <c r="C1297" s="84" t="s">
        <v>171</v>
      </c>
      <c r="D1297" s="1" t="s">
        <v>5</v>
      </c>
    </row>
    <row r="1298" spans="1:4">
      <c r="A1298" s="80"/>
      <c r="B1298" s="2" t="s">
        <v>454</v>
      </c>
      <c r="C1298" s="84" t="s">
        <v>171</v>
      </c>
      <c r="D1298" s="1" t="s">
        <v>5</v>
      </c>
    </row>
    <row r="1299" spans="1:4">
      <c r="A1299" s="80"/>
      <c r="B1299" s="2" t="s">
        <v>459</v>
      </c>
      <c r="C1299" s="108" t="s">
        <v>97</v>
      </c>
      <c r="D1299" s="1" t="s">
        <v>47</v>
      </c>
    </row>
    <row r="1300" spans="1:4">
      <c r="A1300" s="80"/>
      <c r="B1300" s="2" t="s">
        <v>456</v>
      </c>
      <c r="C1300" s="108" t="s">
        <v>97</v>
      </c>
      <c r="D1300" s="1" t="s">
        <v>47</v>
      </c>
    </row>
    <row r="1301" spans="1:4">
      <c r="A1301" s="85"/>
      <c r="B1301" s="2" t="s">
        <v>457</v>
      </c>
      <c r="C1301" s="93" t="s">
        <v>97</v>
      </c>
      <c r="D1301" s="1" t="s">
        <v>47</v>
      </c>
    </row>
    <row r="1303" spans="1:4">
      <c r="A1303" s="86">
        <v>46049</v>
      </c>
      <c r="B1303" s="105" t="s">
        <v>144</v>
      </c>
      <c r="C1303" s="93" t="s">
        <v>134</v>
      </c>
      <c r="D1303" s="1" t="s">
        <v>47</v>
      </c>
    </row>
    <row r="1304" spans="1:4">
      <c r="A1304" s="80"/>
      <c r="B1304" s="105" t="s">
        <v>259</v>
      </c>
      <c r="C1304" s="78" t="s">
        <v>97</v>
      </c>
      <c r="D1304" s="1" t="s">
        <v>47</v>
      </c>
    </row>
    <row r="1305" spans="1:4">
      <c r="A1305" s="80"/>
      <c r="B1305" s="2" t="s">
        <v>287</v>
      </c>
      <c r="C1305" s="93" t="s">
        <v>292</v>
      </c>
      <c r="D1305" s="1" t="s">
        <v>47</v>
      </c>
    </row>
    <row r="1306" spans="1:4">
      <c r="A1306" s="80"/>
      <c r="B1306" s="106" t="s">
        <v>303</v>
      </c>
      <c r="C1306" s="93" t="s">
        <v>308</v>
      </c>
      <c r="D1306" s="1" t="s">
        <v>47</v>
      </c>
    </row>
    <row r="1307" spans="1:4">
      <c r="A1307" s="80"/>
      <c r="B1307" s="106" t="s">
        <v>458</v>
      </c>
      <c r="C1307" s="78" t="s">
        <v>443</v>
      </c>
      <c r="D1307" s="1" t="s">
        <v>47</v>
      </c>
    </row>
    <row r="1308" spans="1:4">
      <c r="A1308" s="80"/>
      <c r="B1308" s="106" t="s">
        <v>395</v>
      </c>
      <c r="C1308" s="93" t="s">
        <v>405</v>
      </c>
      <c r="D1308" s="1" t="s">
        <v>47</v>
      </c>
    </row>
    <row r="1309" spans="1:4">
      <c r="A1309" s="80"/>
      <c r="B1309" s="106" t="s">
        <v>410</v>
      </c>
      <c r="C1309" s="92" t="s">
        <v>460</v>
      </c>
      <c r="D1309" s="1" t="s">
        <v>5</v>
      </c>
    </row>
    <row r="1310" spans="1:4">
      <c r="A1310" s="80"/>
      <c r="B1310" s="106" t="s">
        <v>434</v>
      </c>
      <c r="C1310" s="93" t="s">
        <v>97</v>
      </c>
      <c r="D1310" s="1" t="s">
        <v>47</v>
      </c>
    </row>
    <row r="1311" spans="1:4">
      <c r="A1311" s="80"/>
      <c r="B1311" s="106" t="s">
        <v>439</v>
      </c>
      <c r="C1311" s="84" t="s">
        <v>461</v>
      </c>
      <c r="D1311" s="1" t="s">
        <v>5</v>
      </c>
    </row>
    <row r="1312" spans="1:4">
      <c r="A1312" s="80"/>
      <c r="B1312" s="106" t="s">
        <v>462</v>
      </c>
      <c r="C1312" s="84" t="s">
        <v>171</v>
      </c>
      <c r="D1312" s="1" t="s">
        <v>5</v>
      </c>
    </row>
    <row r="1313" spans="1:4">
      <c r="A1313" s="80"/>
      <c r="B1313" s="106" t="s">
        <v>448</v>
      </c>
      <c r="C1313" s="84" t="s">
        <v>171</v>
      </c>
      <c r="D1313" s="1" t="s">
        <v>5</v>
      </c>
    </row>
    <row r="1314" spans="1:4">
      <c r="A1314" s="80"/>
      <c r="B1314" s="106" t="s">
        <v>449</v>
      </c>
      <c r="C1314" s="84" t="s">
        <v>171</v>
      </c>
      <c r="D1314" s="1" t="s">
        <v>47</v>
      </c>
    </row>
    <row r="1315" spans="1:4">
      <c r="A1315" s="80"/>
      <c r="B1315" s="106" t="s">
        <v>450</v>
      </c>
      <c r="C1315" s="93" t="s">
        <v>463</v>
      </c>
      <c r="D1315" s="1" t="s">
        <v>47</v>
      </c>
    </row>
    <row r="1316" spans="1:4">
      <c r="A1316" s="80"/>
      <c r="B1316" s="106" t="s">
        <v>459</v>
      </c>
      <c r="C1316" s="84" t="s">
        <v>171</v>
      </c>
      <c r="D1316" s="1" t="s">
        <v>5</v>
      </c>
    </row>
    <row r="1317" spans="1:4">
      <c r="A1317" s="80"/>
      <c r="B1317" s="106" t="s">
        <v>456</v>
      </c>
      <c r="C1317" s="84" t="s">
        <v>171</v>
      </c>
      <c r="D1317" s="1" t="s">
        <v>5</v>
      </c>
    </row>
    <row r="1318" spans="1:4">
      <c r="A1318" s="80"/>
      <c r="B1318" s="106" t="s">
        <v>457</v>
      </c>
      <c r="C1318" s="84" t="s">
        <v>171</v>
      </c>
      <c r="D1318" s="1" t="s">
        <v>5</v>
      </c>
    </row>
    <row r="1319" spans="1:4">
      <c r="A1319" s="80"/>
      <c r="B1319" s="106" t="s">
        <v>464</v>
      </c>
      <c r="C1319" s="93" t="s">
        <v>97</v>
      </c>
      <c r="D1319" s="1" t="s">
        <v>47</v>
      </c>
    </row>
    <row r="1320" spans="1:4">
      <c r="A1320" s="80"/>
      <c r="B1320" s="106" t="s">
        <v>465</v>
      </c>
      <c r="C1320" s="93" t="s">
        <v>97</v>
      </c>
      <c r="D1320" s="1" t="s">
        <v>47</v>
      </c>
    </row>
    <row r="1321" spans="1:4">
      <c r="A1321" s="80"/>
      <c r="B1321" s="106" t="s">
        <v>466</v>
      </c>
      <c r="C1321" s="93" t="s">
        <v>97</v>
      </c>
      <c r="D1321" s="1" t="s">
        <v>47</v>
      </c>
    </row>
    <row r="1322" spans="1:4">
      <c r="A1322" s="85"/>
      <c r="B1322" s="106" t="s">
        <v>467</v>
      </c>
      <c r="C1322" s="93" t="s">
        <v>468</v>
      </c>
      <c r="D1322" s="1" t="s">
        <v>47</v>
      </c>
    </row>
    <row r="1323" spans="2:2">
      <c r="B1323" s="109"/>
    </row>
    <row r="1324" spans="1:4">
      <c r="A1324" s="88">
        <v>46050</v>
      </c>
      <c r="B1324" s="106" t="s">
        <v>144</v>
      </c>
      <c r="C1324" s="93" t="s">
        <v>134</v>
      </c>
      <c r="D1324" s="1" t="s">
        <v>47</v>
      </c>
    </row>
    <row r="1325" spans="1:4">
      <c r="A1325" s="88"/>
      <c r="B1325" s="106" t="s">
        <v>259</v>
      </c>
      <c r="C1325" s="78" t="s">
        <v>97</v>
      </c>
      <c r="D1325" s="1" t="s">
        <v>47</v>
      </c>
    </row>
    <row r="1326" spans="1:4">
      <c r="A1326" s="88"/>
      <c r="B1326" s="106" t="s">
        <v>287</v>
      </c>
      <c r="C1326" s="93" t="s">
        <v>292</v>
      </c>
      <c r="D1326" s="1" t="s">
        <v>47</v>
      </c>
    </row>
    <row r="1327" spans="1:4">
      <c r="A1327" s="88"/>
      <c r="B1327" s="106" t="s">
        <v>303</v>
      </c>
      <c r="C1327" s="93" t="s">
        <v>308</v>
      </c>
      <c r="D1327" s="1" t="s">
        <v>47</v>
      </c>
    </row>
    <row r="1328" spans="1:4">
      <c r="A1328" s="88"/>
      <c r="B1328" s="106" t="s">
        <v>458</v>
      </c>
      <c r="C1328" s="78" t="s">
        <v>443</v>
      </c>
      <c r="D1328" s="1" t="s">
        <v>47</v>
      </c>
    </row>
    <row r="1329" spans="1:4">
      <c r="A1329" s="88"/>
      <c r="B1329" s="106" t="s">
        <v>395</v>
      </c>
      <c r="C1329" s="93" t="s">
        <v>405</v>
      </c>
      <c r="D1329" s="1" t="s">
        <v>47</v>
      </c>
    </row>
    <row r="1330" spans="1:4">
      <c r="A1330" s="88"/>
      <c r="B1330" s="106" t="s">
        <v>434</v>
      </c>
      <c r="C1330" s="93" t="s">
        <v>97</v>
      </c>
      <c r="D1330" s="1" t="s">
        <v>47</v>
      </c>
    </row>
    <row r="1331" spans="1:4">
      <c r="A1331" s="88"/>
      <c r="B1331" s="106" t="s">
        <v>450</v>
      </c>
      <c r="C1331" s="93" t="s">
        <v>463</v>
      </c>
      <c r="D1331" s="1" t="s">
        <v>47</v>
      </c>
    </row>
    <row r="1332" spans="1:4">
      <c r="A1332" s="88"/>
      <c r="B1332" s="106" t="s">
        <v>464</v>
      </c>
      <c r="C1332" s="93" t="s">
        <v>97</v>
      </c>
      <c r="D1332" s="1" t="s">
        <v>47</v>
      </c>
    </row>
    <row r="1333" spans="1:4">
      <c r="A1333" s="88"/>
      <c r="B1333" s="106" t="s">
        <v>465</v>
      </c>
      <c r="C1333" s="84" t="s">
        <v>171</v>
      </c>
      <c r="D1333" s="1" t="s">
        <v>47</v>
      </c>
    </row>
    <row r="1334" spans="1:4">
      <c r="A1334" s="88"/>
      <c r="B1334" s="106" t="s">
        <v>466</v>
      </c>
      <c r="C1334" s="93" t="s">
        <v>97</v>
      </c>
      <c r="D1334" s="1" t="s">
        <v>47</v>
      </c>
    </row>
    <row r="1335" spans="1:4">
      <c r="A1335" s="88"/>
      <c r="B1335" s="106" t="s">
        <v>467</v>
      </c>
      <c r="C1335" s="93" t="s">
        <v>468</v>
      </c>
      <c r="D1335" s="1" t="s">
        <v>47</v>
      </c>
    </row>
    <row r="1336" spans="1:4">
      <c r="A1336" s="88"/>
      <c r="B1336" s="2" t="s">
        <v>469</v>
      </c>
      <c r="C1336" s="93" t="s">
        <v>97</v>
      </c>
      <c r="D1336" s="1" t="s">
        <v>47</v>
      </c>
    </row>
    <row r="1338" spans="1:4">
      <c r="A1338" s="86">
        <v>46052</v>
      </c>
      <c r="B1338" s="106" t="s">
        <v>144</v>
      </c>
      <c r="C1338" s="93" t="s">
        <v>134</v>
      </c>
      <c r="D1338" s="1" t="s">
        <v>47</v>
      </c>
    </row>
    <row r="1339" spans="1:4">
      <c r="A1339" s="80"/>
      <c r="B1339" s="106" t="s">
        <v>259</v>
      </c>
      <c r="C1339" s="78" t="s">
        <v>97</v>
      </c>
      <c r="D1339" s="1" t="s">
        <v>47</v>
      </c>
    </row>
    <row r="1340" spans="1:4">
      <c r="A1340" s="80"/>
      <c r="B1340" s="106" t="s">
        <v>287</v>
      </c>
      <c r="C1340" s="93" t="s">
        <v>292</v>
      </c>
      <c r="D1340" s="1" t="s">
        <v>47</v>
      </c>
    </row>
    <row r="1341" spans="1:4">
      <c r="A1341" s="80"/>
      <c r="B1341" s="106" t="s">
        <v>303</v>
      </c>
      <c r="C1341" s="93" t="s">
        <v>308</v>
      </c>
      <c r="D1341" s="1" t="s">
        <v>47</v>
      </c>
    </row>
    <row r="1342" spans="1:4">
      <c r="A1342" s="80"/>
      <c r="B1342" s="106" t="s">
        <v>458</v>
      </c>
      <c r="C1342" s="78" t="s">
        <v>443</v>
      </c>
      <c r="D1342" s="1" t="s">
        <v>47</v>
      </c>
    </row>
    <row r="1343" spans="1:4">
      <c r="A1343" s="80"/>
      <c r="B1343" s="106" t="s">
        <v>395</v>
      </c>
      <c r="C1343" s="93" t="s">
        <v>405</v>
      </c>
      <c r="D1343" s="1" t="s">
        <v>47</v>
      </c>
    </row>
    <row r="1344" spans="1:4">
      <c r="A1344" s="80"/>
      <c r="B1344" s="106" t="s">
        <v>434</v>
      </c>
      <c r="C1344" s="93" t="s">
        <v>97</v>
      </c>
      <c r="D1344" s="1" t="s">
        <v>47</v>
      </c>
    </row>
    <row r="1345" spans="1:4">
      <c r="A1345" s="80"/>
      <c r="B1345" s="106" t="s">
        <v>450</v>
      </c>
      <c r="C1345" s="93" t="s">
        <v>463</v>
      </c>
      <c r="D1345" s="1" t="s">
        <v>47</v>
      </c>
    </row>
    <row r="1346" spans="1:4">
      <c r="A1346" s="80"/>
      <c r="B1346" s="106" t="s">
        <v>464</v>
      </c>
      <c r="C1346" s="93" t="s">
        <v>470</v>
      </c>
      <c r="D1346" s="1" t="s">
        <v>47</v>
      </c>
    </row>
    <row r="1347" spans="1:4">
      <c r="A1347" s="80"/>
      <c r="B1347" s="106" t="s">
        <v>466</v>
      </c>
      <c r="C1347" s="93" t="s">
        <v>97</v>
      </c>
      <c r="D1347" s="1" t="s">
        <v>47</v>
      </c>
    </row>
    <row r="1348" spans="1:4">
      <c r="A1348" s="80"/>
      <c r="B1348" s="106" t="s">
        <v>467</v>
      </c>
      <c r="C1348" s="93" t="s">
        <v>468</v>
      </c>
      <c r="D1348" s="1" t="s">
        <v>47</v>
      </c>
    </row>
    <row r="1349" spans="1:4">
      <c r="A1349" s="80"/>
      <c r="B1349" s="2" t="s">
        <v>469</v>
      </c>
      <c r="C1349" s="93" t="s">
        <v>97</v>
      </c>
      <c r="D1349" s="1" t="s">
        <v>47</v>
      </c>
    </row>
    <row r="1350" spans="1:4">
      <c r="A1350" s="85"/>
      <c r="B1350" s="2" t="s">
        <v>471</v>
      </c>
      <c r="C1350" s="93" t="s">
        <v>97</v>
      </c>
      <c r="D1350" s="1" t="s">
        <v>47</v>
      </c>
    </row>
    <row r="1352" spans="1:4">
      <c r="A1352" s="86">
        <v>46053</v>
      </c>
      <c r="B1352" s="106" t="s">
        <v>144</v>
      </c>
      <c r="C1352" s="93" t="s">
        <v>134</v>
      </c>
      <c r="D1352" s="1" t="s">
        <v>47</v>
      </c>
    </row>
    <row r="1353" spans="1:4">
      <c r="A1353" s="80"/>
      <c r="B1353" s="106" t="s">
        <v>259</v>
      </c>
      <c r="C1353" s="78" t="s">
        <v>97</v>
      </c>
      <c r="D1353" s="1" t="s">
        <v>47</v>
      </c>
    </row>
    <row r="1354" spans="1:4">
      <c r="A1354" s="80"/>
      <c r="B1354" s="106" t="s">
        <v>287</v>
      </c>
      <c r="C1354" s="93" t="s">
        <v>292</v>
      </c>
      <c r="D1354" s="1" t="s">
        <v>47</v>
      </c>
    </row>
    <row r="1355" spans="1:4">
      <c r="A1355" s="80"/>
      <c r="B1355" s="106" t="s">
        <v>303</v>
      </c>
      <c r="C1355" s="93" t="s">
        <v>308</v>
      </c>
      <c r="D1355" s="1" t="s">
        <v>47</v>
      </c>
    </row>
    <row r="1356" spans="1:4">
      <c r="A1356" s="80"/>
      <c r="B1356" s="106" t="s">
        <v>458</v>
      </c>
      <c r="C1356" s="78" t="s">
        <v>443</v>
      </c>
      <c r="D1356" s="1" t="s">
        <v>47</v>
      </c>
    </row>
    <row r="1357" spans="1:4">
      <c r="A1357" s="80"/>
      <c r="B1357" s="106" t="s">
        <v>395</v>
      </c>
      <c r="C1357" s="93" t="s">
        <v>405</v>
      </c>
      <c r="D1357" s="1" t="s">
        <v>47</v>
      </c>
    </row>
    <row r="1358" spans="1:4">
      <c r="A1358" s="80"/>
      <c r="B1358" s="106" t="s">
        <v>434</v>
      </c>
      <c r="C1358" s="93" t="s">
        <v>97</v>
      </c>
      <c r="D1358" s="1" t="s">
        <v>47</v>
      </c>
    </row>
    <row r="1359" spans="1:4">
      <c r="A1359" s="80"/>
      <c r="B1359" s="106" t="s">
        <v>450</v>
      </c>
      <c r="C1359" s="93" t="s">
        <v>463</v>
      </c>
      <c r="D1359" s="1" t="s">
        <v>47</v>
      </c>
    </row>
    <row r="1360" spans="1:4">
      <c r="A1360" s="80"/>
      <c r="B1360" s="106" t="s">
        <v>464</v>
      </c>
      <c r="C1360" s="93" t="s">
        <v>470</v>
      </c>
      <c r="D1360" s="1" t="s">
        <v>47</v>
      </c>
    </row>
    <row r="1361" spans="1:4">
      <c r="A1361" s="80"/>
      <c r="B1361" s="106" t="s">
        <v>466</v>
      </c>
      <c r="C1361" s="93" t="s">
        <v>97</v>
      </c>
      <c r="D1361" s="1" t="s">
        <v>47</v>
      </c>
    </row>
    <row r="1362" spans="1:4">
      <c r="A1362" s="80"/>
      <c r="B1362" s="106" t="s">
        <v>467</v>
      </c>
      <c r="C1362" s="93" t="s">
        <v>472</v>
      </c>
      <c r="D1362" s="1" t="s">
        <v>47</v>
      </c>
    </row>
    <row r="1363" spans="1:4">
      <c r="A1363" s="80"/>
      <c r="B1363" s="2" t="s">
        <v>469</v>
      </c>
      <c r="C1363" s="84" t="s">
        <v>473</v>
      </c>
      <c r="D1363" s="1" t="s">
        <v>5</v>
      </c>
    </row>
    <row r="1364" spans="1:4">
      <c r="A1364" s="80"/>
      <c r="B1364" s="2" t="s">
        <v>471</v>
      </c>
      <c r="C1364" s="84" t="s">
        <v>171</v>
      </c>
      <c r="D1364" s="1" t="s">
        <v>5</v>
      </c>
    </row>
    <row r="1365" spans="1:4">
      <c r="A1365" s="85"/>
      <c r="B1365" s="2" t="s">
        <v>474</v>
      </c>
      <c r="C1365" s="84" t="s">
        <v>171</v>
      </c>
      <c r="D1365" s="1" t="s">
        <v>5</v>
      </c>
    </row>
    <row r="1367" spans="1:4">
      <c r="A1367" s="86">
        <v>46023</v>
      </c>
      <c r="B1367" s="106" t="s">
        <v>144</v>
      </c>
      <c r="C1367" s="93" t="s">
        <v>134</v>
      </c>
      <c r="D1367" s="1" t="s">
        <v>47</v>
      </c>
    </row>
    <row r="1368" spans="1:4">
      <c r="A1368" s="80"/>
      <c r="B1368" s="106" t="s">
        <v>259</v>
      </c>
      <c r="C1368" s="78" t="s">
        <v>97</v>
      </c>
      <c r="D1368" s="1" t="s">
        <v>47</v>
      </c>
    </row>
    <row r="1369" spans="1:4">
      <c r="A1369" s="80"/>
      <c r="B1369" s="106" t="s">
        <v>287</v>
      </c>
      <c r="C1369" s="93" t="s">
        <v>292</v>
      </c>
      <c r="D1369" s="1" t="s">
        <v>47</v>
      </c>
    </row>
    <row r="1370" spans="1:4">
      <c r="A1370" s="80"/>
      <c r="B1370" s="106" t="s">
        <v>303</v>
      </c>
      <c r="C1370" s="93" t="s">
        <v>308</v>
      </c>
      <c r="D1370" s="1" t="s">
        <v>47</v>
      </c>
    </row>
    <row r="1371" spans="1:4">
      <c r="A1371" s="80"/>
      <c r="B1371" s="106" t="s">
        <v>458</v>
      </c>
      <c r="C1371" s="78" t="s">
        <v>443</v>
      </c>
      <c r="D1371" s="1" t="s">
        <v>47</v>
      </c>
    </row>
    <row r="1372" spans="1:4">
      <c r="A1372" s="80"/>
      <c r="B1372" s="106" t="s">
        <v>395</v>
      </c>
      <c r="C1372" s="93" t="s">
        <v>405</v>
      </c>
      <c r="D1372" s="1" t="s">
        <v>47</v>
      </c>
    </row>
    <row r="1373" spans="1:4">
      <c r="A1373" s="80"/>
      <c r="B1373" s="106" t="s">
        <v>434</v>
      </c>
      <c r="C1373" s="93" t="s">
        <v>97</v>
      </c>
      <c r="D1373" s="1" t="s">
        <v>47</v>
      </c>
    </row>
    <row r="1374" spans="1:4">
      <c r="A1374" s="80"/>
      <c r="B1374" s="106" t="s">
        <v>450</v>
      </c>
      <c r="C1374" s="93" t="s">
        <v>463</v>
      </c>
      <c r="D1374" s="1" t="s">
        <v>47</v>
      </c>
    </row>
    <row r="1375" spans="1:4">
      <c r="A1375" s="80"/>
      <c r="B1375" s="106" t="s">
        <v>464</v>
      </c>
      <c r="C1375" s="93" t="s">
        <v>470</v>
      </c>
      <c r="D1375" s="1" t="s">
        <v>47</v>
      </c>
    </row>
    <row r="1376" spans="1:4">
      <c r="A1376" s="80"/>
      <c r="B1376" s="106" t="s">
        <v>466</v>
      </c>
      <c r="C1376" s="93" t="s">
        <v>97</v>
      </c>
      <c r="D1376" s="1" t="s">
        <v>47</v>
      </c>
    </row>
    <row r="1377" spans="1:4">
      <c r="A1377" s="80"/>
      <c r="B1377" s="106" t="s">
        <v>467</v>
      </c>
      <c r="C1377" s="93" t="s">
        <v>472</v>
      </c>
      <c r="D1377" s="1" t="s">
        <v>47</v>
      </c>
    </row>
    <row r="1378" spans="1:4">
      <c r="A1378" s="80"/>
      <c r="B1378" s="2" t="s">
        <v>475</v>
      </c>
      <c r="C1378" s="93" t="s">
        <v>97</v>
      </c>
      <c r="D1378" s="1" t="s">
        <v>47</v>
      </c>
    </row>
    <row r="1379" spans="1:4">
      <c r="A1379" s="80"/>
      <c r="B1379" s="2" t="s">
        <v>476</v>
      </c>
      <c r="C1379" s="93" t="s">
        <v>97</v>
      </c>
      <c r="D1379" s="1" t="s">
        <v>47</v>
      </c>
    </row>
    <row r="1380" spans="1:4">
      <c r="A1380" s="85"/>
      <c r="B1380" s="2" t="s">
        <v>477</v>
      </c>
      <c r="C1380" s="84" t="s">
        <v>171</v>
      </c>
      <c r="D1380" s="1" t="s">
        <v>47</v>
      </c>
    </row>
    <row r="1382" spans="1:4">
      <c r="A1382" s="88">
        <v>46025</v>
      </c>
      <c r="B1382" s="106" t="s">
        <v>144</v>
      </c>
      <c r="C1382" s="84" t="s">
        <v>478</v>
      </c>
      <c r="D1382" s="1" t="s">
        <v>5</v>
      </c>
    </row>
    <row r="1383" spans="1:4">
      <c r="A1383" s="88"/>
      <c r="B1383" s="106" t="s">
        <v>259</v>
      </c>
      <c r="C1383" s="78" t="s">
        <v>97</v>
      </c>
      <c r="D1383" s="1" t="s">
        <v>47</v>
      </c>
    </row>
    <row r="1384" spans="1:4">
      <c r="A1384" s="88"/>
      <c r="B1384" s="106" t="s">
        <v>287</v>
      </c>
      <c r="C1384" s="93" t="s">
        <v>292</v>
      </c>
      <c r="D1384" s="1" t="s">
        <v>47</v>
      </c>
    </row>
    <row r="1385" spans="1:4">
      <c r="A1385" s="88"/>
      <c r="B1385" s="106" t="s">
        <v>303</v>
      </c>
      <c r="C1385" s="93" t="s">
        <v>308</v>
      </c>
      <c r="D1385" s="1" t="s">
        <v>47</v>
      </c>
    </row>
    <row r="1386" spans="1:4">
      <c r="A1386" s="88"/>
      <c r="B1386" s="106" t="s">
        <v>458</v>
      </c>
      <c r="C1386" s="84" t="s">
        <v>171</v>
      </c>
      <c r="D1386" s="1" t="s">
        <v>5</v>
      </c>
    </row>
    <row r="1387" spans="1:4">
      <c r="A1387" s="88"/>
      <c r="B1387" s="106" t="s">
        <v>395</v>
      </c>
      <c r="C1387" s="84" t="s">
        <v>479</v>
      </c>
      <c r="D1387" s="1" t="s">
        <v>5</v>
      </c>
    </row>
    <row r="1388" spans="1:4">
      <c r="A1388" s="88"/>
      <c r="B1388" s="106" t="s">
        <v>434</v>
      </c>
      <c r="C1388" s="93" t="s">
        <v>97</v>
      </c>
      <c r="D1388" s="1" t="s">
        <v>47</v>
      </c>
    </row>
    <row r="1389" spans="1:4">
      <c r="A1389" s="88"/>
      <c r="B1389" s="106" t="s">
        <v>450</v>
      </c>
      <c r="C1389" s="93" t="s">
        <v>463</v>
      </c>
      <c r="D1389" s="1" t="s">
        <v>47</v>
      </c>
    </row>
    <row r="1390" spans="1:4">
      <c r="A1390" s="88"/>
      <c r="B1390" s="106" t="s">
        <v>464</v>
      </c>
      <c r="C1390" s="93" t="s">
        <v>470</v>
      </c>
      <c r="D1390" s="1" t="s">
        <v>47</v>
      </c>
    </row>
    <row r="1391" spans="1:4">
      <c r="A1391" s="88"/>
      <c r="B1391" s="106" t="s">
        <v>466</v>
      </c>
      <c r="C1391" s="93" t="s">
        <v>480</v>
      </c>
      <c r="D1391" s="1" t="s">
        <v>47</v>
      </c>
    </row>
    <row r="1392" spans="1:4">
      <c r="A1392" s="88"/>
      <c r="B1392" s="106" t="s">
        <v>467</v>
      </c>
      <c r="C1392" s="93" t="s">
        <v>472</v>
      </c>
      <c r="D1392" s="1" t="s">
        <v>47</v>
      </c>
    </row>
    <row r="1393" spans="1:4">
      <c r="A1393" s="88"/>
      <c r="B1393" s="2" t="s">
        <v>475</v>
      </c>
      <c r="C1393" s="110" t="s">
        <v>171</v>
      </c>
      <c r="D1393" s="1" t="s">
        <v>5</v>
      </c>
    </row>
    <row r="1394" spans="1:4">
      <c r="A1394" s="88"/>
      <c r="B1394" s="2" t="s">
        <v>476</v>
      </c>
      <c r="C1394" s="84" t="s">
        <v>481</v>
      </c>
      <c r="D1394" s="1" t="s">
        <v>5</v>
      </c>
    </row>
    <row r="1395" spans="1:4">
      <c r="A1395" s="88"/>
      <c r="B1395" s="2" t="s">
        <v>482</v>
      </c>
      <c r="C1395" s="93" t="s">
        <v>97</v>
      </c>
      <c r="D1395" s="1" t="s">
        <v>47</v>
      </c>
    </row>
    <row r="1396" spans="1:4">
      <c r="A1396" s="88"/>
      <c r="B1396" s="2" t="s">
        <v>483</v>
      </c>
      <c r="C1396" s="84" t="s">
        <v>481</v>
      </c>
      <c r="D1396" s="1" t="s">
        <v>5</v>
      </c>
    </row>
    <row r="1397" spans="1:4">
      <c r="A1397" s="88"/>
      <c r="B1397" s="2" t="s">
        <v>484</v>
      </c>
      <c r="C1397" s="93" t="s">
        <v>97</v>
      </c>
      <c r="D1397" s="1" t="s">
        <v>47</v>
      </c>
    </row>
    <row r="1398" spans="1:4">
      <c r="A1398" s="88"/>
      <c r="B1398" s="2" t="s">
        <v>485</v>
      </c>
      <c r="C1398" s="93" t="s">
        <v>97</v>
      </c>
      <c r="D1398" s="1" t="s">
        <v>47</v>
      </c>
    </row>
    <row r="1399" spans="1:4">
      <c r="A1399" s="88"/>
      <c r="B1399" s="2" t="s">
        <v>486</v>
      </c>
      <c r="C1399" s="93" t="s">
        <v>97</v>
      </c>
      <c r="D1399" s="1" t="s">
        <v>47</v>
      </c>
    </row>
    <row r="1401" spans="1:4">
      <c r="A1401" s="88">
        <v>46026</v>
      </c>
      <c r="B1401" s="106" t="s">
        <v>259</v>
      </c>
      <c r="C1401" s="78" t="s">
        <v>97</v>
      </c>
      <c r="D1401" s="1" t="s">
        <v>47</v>
      </c>
    </row>
    <row r="1402" spans="1:4">
      <c r="A1402" s="88"/>
      <c r="B1402" s="106" t="s">
        <v>287</v>
      </c>
      <c r="C1402" s="93" t="s">
        <v>292</v>
      </c>
      <c r="D1402" s="1" t="s">
        <v>47</v>
      </c>
    </row>
    <row r="1403" spans="1:4">
      <c r="A1403" s="88"/>
      <c r="B1403" s="106" t="s">
        <v>303</v>
      </c>
      <c r="C1403" s="93" t="s">
        <v>308</v>
      </c>
      <c r="D1403" s="1" t="s">
        <v>47</v>
      </c>
    </row>
    <row r="1404" spans="1:4">
      <c r="A1404" s="88"/>
      <c r="B1404" s="106" t="s">
        <v>434</v>
      </c>
      <c r="C1404" s="93" t="s">
        <v>97</v>
      </c>
      <c r="D1404" s="1" t="s">
        <v>47</v>
      </c>
    </row>
    <row r="1405" spans="1:4">
      <c r="A1405" s="88"/>
      <c r="B1405" s="106" t="s">
        <v>450</v>
      </c>
      <c r="C1405" s="93" t="s">
        <v>463</v>
      </c>
      <c r="D1405" s="1" t="s">
        <v>47</v>
      </c>
    </row>
    <row r="1406" spans="1:4">
      <c r="A1406" s="88"/>
      <c r="B1406" s="106" t="s">
        <v>464</v>
      </c>
      <c r="C1406" s="84" t="s">
        <v>171</v>
      </c>
      <c r="D1406" s="1" t="s">
        <v>5</v>
      </c>
    </row>
    <row r="1407" spans="1:4">
      <c r="A1407" s="88"/>
      <c r="B1407" s="106" t="s">
        <v>466</v>
      </c>
      <c r="C1407" s="93" t="s">
        <v>480</v>
      </c>
      <c r="D1407" s="1" t="s">
        <v>47</v>
      </c>
    </row>
    <row r="1408" spans="1:4">
      <c r="A1408" s="88"/>
      <c r="B1408" s="106" t="s">
        <v>467</v>
      </c>
      <c r="C1408" s="93" t="s">
        <v>472</v>
      </c>
      <c r="D1408" s="1" t="s">
        <v>47</v>
      </c>
    </row>
    <row r="1409" spans="1:4">
      <c r="A1409" s="88"/>
      <c r="B1409" s="2" t="s">
        <v>482</v>
      </c>
      <c r="C1409" s="93" t="s">
        <v>97</v>
      </c>
      <c r="D1409" s="1" t="s">
        <v>47</v>
      </c>
    </row>
    <row r="1410" spans="1:4">
      <c r="A1410" s="88"/>
      <c r="B1410" s="2" t="s">
        <v>484</v>
      </c>
      <c r="C1410" s="93" t="s">
        <v>97</v>
      </c>
      <c r="D1410" s="1" t="s">
        <v>47</v>
      </c>
    </row>
    <row r="1411" spans="1:4">
      <c r="A1411" s="88"/>
      <c r="B1411" s="2" t="s">
        <v>485</v>
      </c>
      <c r="C1411" s="93" t="s">
        <v>97</v>
      </c>
      <c r="D1411" s="1" t="s">
        <v>47</v>
      </c>
    </row>
    <row r="1412" spans="1:4">
      <c r="A1412" s="88"/>
      <c r="B1412" s="2" t="s">
        <v>486</v>
      </c>
      <c r="C1412" s="93" t="s">
        <v>97</v>
      </c>
      <c r="D1412" s="1" t="s">
        <v>47</v>
      </c>
    </row>
    <row r="1414" spans="1:4">
      <c r="A1414" s="86">
        <v>46058</v>
      </c>
      <c r="B1414" s="106" t="s">
        <v>259</v>
      </c>
      <c r="C1414" s="78" t="s">
        <v>97</v>
      </c>
      <c r="D1414" s="1" t="s">
        <v>47</v>
      </c>
    </row>
    <row r="1415" spans="1:4">
      <c r="A1415" s="80"/>
      <c r="B1415" s="106" t="s">
        <v>287</v>
      </c>
      <c r="C1415" s="93" t="s">
        <v>292</v>
      </c>
      <c r="D1415" s="1" t="s">
        <v>47</v>
      </c>
    </row>
    <row r="1416" spans="1:4">
      <c r="A1416" s="80"/>
      <c r="B1416" s="106" t="s">
        <v>303</v>
      </c>
      <c r="C1416" s="93" t="s">
        <v>308</v>
      </c>
      <c r="D1416" s="1" t="s">
        <v>47</v>
      </c>
    </row>
    <row r="1417" spans="1:4">
      <c r="A1417" s="80"/>
      <c r="B1417" s="106" t="s">
        <v>434</v>
      </c>
      <c r="C1417" s="93" t="s">
        <v>97</v>
      </c>
      <c r="D1417" s="1" t="s">
        <v>47</v>
      </c>
    </row>
    <row r="1418" spans="1:4">
      <c r="A1418" s="80"/>
      <c r="B1418" s="106" t="s">
        <v>450</v>
      </c>
      <c r="C1418" s="93" t="s">
        <v>463</v>
      </c>
      <c r="D1418" s="1" t="s">
        <v>47</v>
      </c>
    </row>
    <row r="1419" spans="1:4">
      <c r="A1419" s="80"/>
      <c r="B1419" s="106" t="s">
        <v>466</v>
      </c>
      <c r="C1419" s="84" t="s">
        <v>171</v>
      </c>
      <c r="D1419" s="1" t="s">
        <v>5</v>
      </c>
    </row>
    <row r="1420" spans="1:4">
      <c r="A1420" s="80"/>
      <c r="B1420" s="106" t="s">
        <v>467</v>
      </c>
      <c r="C1420" s="93" t="s">
        <v>472</v>
      </c>
      <c r="D1420" s="1" t="s">
        <v>47</v>
      </c>
    </row>
    <row r="1421" spans="1:4">
      <c r="A1421" s="80"/>
      <c r="B1421" s="2" t="s">
        <v>482</v>
      </c>
      <c r="C1421" s="93" t="s">
        <v>97</v>
      </c>
      <c r="D1421" s="1" t="s">
        <v>47</v>
      </c>
    </row>
    <row r="1422" spans="1:4">
      <c r="A1422" s="80"/>
      <c r="B1422" s="2" t="s">
        <v>484</v>
      </c>
      <c r="C1422" s="93" t="s">
        <v>97</v>
      </c>
      <c r="D1422" s="1" t="s">
        <v>47</v>
      </c>
    </row>
    <row r="1423" spans="1:4">
      <c r="A1423" s="80"/>
      <c r="B1423" s="2" t="s">
        <v>485</v>
      </c>
      <c r="C1423" s="93" t="s">
        <v>97</v>
      </c>
      <c r="D1423" s="1" t="s">
        <v>47</v>
      </c>
    </row>
    <row r="1424" spans="1:4">
      <c r="A1424" s="80"/>
      <c r="B1424" s="2" t="s">
        <v>486</v>
      </c>
      <c r="C1424" s="93" t="s">
        <v>97</v>
      </c>
      <c r="D1424" s="1" t="s">
        <v>47</v>
      </c>
    </row>
    <row r="1425" spans="1:4">
      <c r="A1425" s="80"/>
      <c r="B1425" s="2" t="s">
        <v>487</v>
      </c>
      <c r="C1425" s="93" t="s">
        <v>97</v>
      </c>
      <c r="D1425" s="1" t="s">
        <v>47</v>
      </c>
    </row>
    <row r="1426" spans="1:4">
      <c r="A1426" s="80"/>
      <c r="B1426" s="2" t="s">
        <v>488</v>
      </c>
      <c r="C1426" s="93" t="s">
        <v>97</v>
      </c>
      <c r="D1426" s="1" t="s">
        <v>47</v>
      </c>
    </row>
    <row r="1427" spans="1:4">
      <c r="A1427" s="80"/>
      <c r="B1427" s="2" t="s">
        <v>489</v>
      </c>
      <c r="C1427" s="93" t="s">
        <v>97</v>
      </c>
      <c r="D1427" s="1" t="s">
        <v>47</v>
      </c>
    </row>
    <row r="1428" spans="1:4">
      <c r="A1428" s="85"/>
      <c r="B1428" s="2" t="s">
        <v>490</v>
      </c>
      <c r="C1428" s="93" t="s">
        <v>97</v>
      </c>
      <c r="D1428" s="1" t="s">
        <v>47</v>
      </c>
    </row>
    <row r="1430" spans="1:4">
      <c r="A1430" s="86">
        <v>46059</v>
      </c>
      <c r="B1430" s="106" t="s">
        <v>259</v>
      </c>
      <c r="C1430" s="78" t="s">
        <v>97</v>
      </c>
      <c r="D1430" s="1" t="s">
        <v>47</v>
      </c>
    </row>
    <row r="1431" spans="1:4">
      <c r="A1431" s="80"/>
      <c r="B1431" s="106" t="s">
        <v>287</v>
      </c>
      <c r="C1431" s="93" t="s">
        <v>292</v>
      </c>
      <c r="D1431" s="1" t="s">
        <v>47</v>
      </c>
    </row>
    <row r="1432" spans="1:4">
      <c r="A1432" s="80"/>
      <c r="B1432" s="106" t="s">
        <v>303</v>
      </c>
      <c r="C1432" s="93" t="s">
        <v>308</v>
      </c>
      <c r="D1432" s="1" t="s">
        <v>47</v>
      </c>
    </row>
    <row r="1433" spans="1:4">
      <c r="A1433" s="80"/>
      <c r="B1433" s="106" t="s">
        <v>434</v>
      </c>
      <c r="C1433" s="93" t="s">
        <v>97</v>
      </c>
      <c r="D1433" s="1" t="s">
        <v>47</v>
      </c>
    </row>
    <row r="1434" spans="1:4">
      <c r="A1434" s="80"/>
      <c r="B1434" s="106" t="s">
        <v>450</v>
      </c>
      <c r="C1434" s="93" t="s">
        <v>463</v>
      </c>
      <c r="D1434" s="1" t="s">
        <v>47</v>
      </c>
    </row>
    <row r="1435" spans="1:4">
      <c r="A1435" s="80"/>
      <c r="B1435" s="106" t="s">
        <v>467</v>
      </c>
      <c r="C1435" s="93" t="s">
        <v>472</v>
      </c>
      <c r="D1435" s="1" t="s">
        <v>47</v>
      </c>
    </row>
    <row r="1436" spans="1:4">
      <c r="A1436" s="80"/>
      <c r="B1436" s="2" t="s">
        <v>482</v>
      </c>
      <c r="C1436" s="93" t="s">
        <v>97</v>
      </c>
      <c r="D1436" s="1" t="s">
        <v>47</v>
      </c>
    </row>
    <row r="1437" spans="1:4">
      <c r="A1437" s="80"/>
      <c r="B1437" s="2" t="s">
        <v>484</v>
      </c>
      <c r="C1437" s="93" t="s">
        <v>97</v>
      </c>
      <c r="D1437" s="1" t="s">
        <v>47</v>
      </c>
    </row>
    <row r="1438" spans="1:4">
      <c r="A1438" s="80"/>
      <c r="B1438" s="2" t="s">
        <v>485</v>
      </c>
      <c r="C1438" s="93" t="s">
        <v>97</v>
      </c>
      <c r="D1438" s="1" t="s">
        <v>47</v>
      </c>
    </row>
    <row r="1439" spans="1:4">
      <c r="A1439" s="80"/>
      <c r="B1439" s="2" t="s">
        <v>486</v>
      </c>
      <c r="C1439" s="93" t="s">
        <v>97</v>
      </c>
      <c r="D1439" s="1" t="s">
        <v>47</v>
      </c>
    </row>
    <row r="1440" spans="1:4">
      <c r="A1440" s="80"/>
      <c r="B1440" s="2" t="s">
        <v>487</v>
      </c>
      <c r="C1440" s="93" t="s">
        <v>97</v>
      </c>
      <c r="D1440" s="1" t="s">
        <v>47</v>
      </c>
    </row>
    <row r="1441" spans="1:4">
      <c r="A1441" s="80"/>
      <c r="B1441" s="2" t="s">
        <v>488</v>
      </c>
      <c r="C1441" s="93" t="s">
        <v>99</v>
      </c>
      <c r="D1441" s="1" t="s">
        <v>47</v>
      </c>
    </row>
    <row r="1442" spans="1:4">
      <c r="A1442" s="80"/>
      <c r="B1442" s="2" t="s">
        <v>489</v>
      </c>
      <c r="C1442" s="93" t="s">
        <v>99</v>
      </c>
      <c r="D1442" s="1" t="s">
        <v>47</v>
      </c>
    </row>
    <row r="1443" spans="1:4">
      <c r="A1443" s="85"/>
      <c r="B1443" s="2" t="s">
        <v>490</v>
      </c>
      <c r="C1443" s="93" t="s">
        <v>97</v>
      </c>
      <c r="D1443" s="1" t="s">
        <v>47</v>
      </c>
    </row>
  </sheetData>
  <mergeCells count="91">
    <mergeCell ref="A2:A15"/>
    <mergeCell ref="A17:A21"/>
    <mergeCell ref="A23:A30"/>
    <mergeCell ref="A34:A44"/>
    <mergeCell ref="A50:A54"/>
    <mergeCell ref="A55:A58"/>
    <mergeCell ref="A60:A70"/>
    <mergeCell ref="A72:A82"/>
    <mergeCell ref="A84:A89"/>
    <mergeCell ref="A91:A96"/>
    <mergeCell ref="A98:A106"/>
    <mergeCell ref="A108:A122"/>
    <mergeCell ref="A124:A134"/>
    <mergeCell ref="A136:A146"/>
    <mergeCell ref="A148:A159"/>
    <mergeCell ref="A161:A173"/>
    <mergeCell ref="A175:A194"/>
    <mergeCell ref="A196:A215"/>
    <mergeCell ref="A217:A234"/>
    <mergeCell ref="A236:A250"/>
    <mergeCell ref="A252:A265"/>
    <mergeCell ref="A267:A285"/>
    <mergeCell ref="A287:A306"/>
    <mergeCell ref="A308:A322"/>
    <mergeCell ref="A324:A338"/>
    <mergeCell ref="A340:A356"/>
    <mergeCell ref="A358:A370"/>
    <mergeCell ref="A372:A382"/>
    <mergeCell ref="A384:A396"/>
    <mergeCell ref="A398:A410"/>
    <mergeCell ref="A412:A426"/>
    <mergeCell ref="A428:A446"/>
    <mergeCell ref="A448:A470"/>
    <mergeCell ref="A472:A491"/>
    <mergeCell ref="A493:A513"/>
    <mergeCell ref="A515:A535"/>
    <mergeCell ref="A537:A554"/>
    <mergeCell ref="A556:A571"/>
    <mergeCell ref="A573:A587"/>
    <mergeCell ref="A589:A600"/>
    <mergeCell ref="A602:A615"/>
    <mergeCell ref="A617:A630"/>
    <mergeCell ref="A632:A649"/>
    <mergeCell ref="A651:A665"/>
    <mergeCell ref="A667:A680"/>
    <mergeCell ref="A682:A696"/>
    <mergeCell ref="A698:A713"/>
    <mergeCell ref="A715:A728"/>
    <mergeCell ref="A730:A748"/>
    <mergeCell ref="A750:A770"/>
    <mergeCell ref="A772:A790"/>
    <mergeCell ref="A792:A810"/>
    <mergeCell ref="A812:A829"/>
    <mergeCell ref="A831:A845"/>
    <mergeCell ref="A847:A863"/>
    <mergeCell ref="A865:A878"/>
    <mergeCell ref="A880:A894"/>
    <mergeCell ref="A896:A905"/>
    <mergeCell ref="A907:A926"/>
    <mergeCell ref="A928:A944"/>
    <mergeCell ref="A946:A961"/>
    <mergeCell ref="A963:A980"/>
    <mergeCell ref="A982:A995"/>
    <mergeCell ref="A997:A1012"/>
    <mergeCell ref="A1014:A1032"/>
    <mergeCell ref="A1034:A1057"/>
    <mergeCell ref="A1059:A1078"/>
    <mergeCell ref="A1080:A1097"/>
    <mergeCell ref="A1099:A1109"/>
    <mergeCell ref="A1111:A1123"/>
    <mergeCell ref="A1125:A1137"/>
    <mergeCell ref="A1139:A1147"/>
    <mergeCell ref="A1149:A1160"/>
    <mergeCell ref="A1162:A1172"/>
    <mergeCell ref="A1174:A1183"/>
    <mergeCell ref="A1185:A1196"/>
    <mergeCell ref="A1198:A1217"/>
    <mergeCell ref="A1219:A1238"/>
    <mergeCell ref="A1240:A1258"/>
    <mergeCell ref="A1260:A1280"/>
    <mergeCell ref="A1282:A1301"/>
    <mergeCell ref="A1303:A1322"/>
    <mergeCell ref="A1324:A1336"/>
    <mergeCell ref="A1338:A1350"/>
    <mergeCell ref="A1352:A1365"/>
    <mergeCell ref="A1367:A1380"/>
    <mergeCell ref="A1382:A1399"/>
    <mergeCell ref="A1401:A1412"/>
    <mergeCell ref="A1414:A1428"/>
    <mergeCell ref="A1430:A1443"/>
    <mergeCell ref="D24:D25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9"/>
  <sheetViews>
    <sheetView zoomScale="92" zoomScaleNormal="92" workbookViewId="0">
      <pane ySplit="1" topLeftCell="A2" activePane="bottomLeft" state="frozen"/>
      <selection/>
      <selection pane="bottomLeft" activeCell="C20" sqref="C20"/>
    </sheetView>
  </sheetViews>
  <sheetFormatPr defaultColWidth="14.1640625" defaultRowHeight="17.6"/>
  <cols>
    <col min="1" max="1" width="16.1640625" style="29" customWidth="1"/>
    <col min="2" max="2" width="74.5703125" style="30" customWidth="1"/>
    <col min="3" max="3" width="99.2890625" style="31" customWidth="1"/>
    <col min="4" max="4" width="6.1640625" style="32" customWidth="1"/>
    <col min="5" max="5" width="12.3359375" style="31" customWidth="1"/>
    <col min="6" max="6" width="17.5078125" style="33" customWidth="1"/>
    <col min="7" max="7" width="11.3359375" style="34" customWidth="1"/>
    <col min="8" max="8" width="27.828125" style="31" customWidth="1"/>
    <col min="9" max="9" width="9" style="34" customWidth="1"/>
    <col min="10" max="10" width="27.5078125" style="31" customWidth="1"/>
    <col min="11" max="11" width="12.5078125" style="31" customWidth="1"/>
    <col min="12" max="12" width="27.5078125" style="31" customWidth="1"/>
    <col min="13" max="13" width="14.828125" style="31" customWidth="1"/>
    <col min="14" max="14" width="15.5078125" style="31" customWidth="1"/>
    <col min="15" max="15" width="19.1640625" style="31" customWidth="1"/>
    <col min="16" max="16" width="13.5078125" style="31" customWidth="1"/>
    <col min="17" max="17" width="14.5078125" style="31" customWidth="1"/>
    <col min="18" max="18" width="17.5078125" style="31" customWidth="1"/>
    <col min="19" max="16384" width="14.1640625" style="31"/>
  </cols>
  <sheetData>
    <row r="1" s="27" customFormat="1" spans="1:10">
      <c r="A1" s="35" t="s">
        <v>491</v>
      </c>
      <c r="B1" s="35" t="s">
        <v>492</v>
      </c>
      <c r="C1" s="35" t="s">
        <v>493</v>
      </c>
      <c r="D1" s="35" t="s">
        <v>494</v>
      </c>
      <c r="E1" s="35" t="s">
        <v>495</v>
      </c>
      <c r="F1" s="52" t="s">
        <v>496</v>
      </c>
      <c r="G1" s="35" t="s">
        <v>497</v>
      </c>
      <c r="H1" s="35" t="s">
        <v>498</v>
      </c>
      <c r="I1" s="66"/>
      <c r="J1" s="67" t="s">
        <v>499</v>
      </c>
    </row>
    <row r="2" spans="1:10">
      <c r="A2" s="36">
        <v>45954</v>
      </c>
      <c r="B2" s="37" t="s">
        <v>500</v>
      </c>
      <c r="C2" s="38" t="s">
        <v>501</v>
      </c>
      <c r="D2" s="39">
        <v>16</v>
      </c>
      <c r="E2" s="38">
        <f t="shared" ref="E2:E59" si="0">$J$18*D2</f>
        <v>4840</v>
      </c>
      <c r="F2" s="53">
        <f>SUM(E2)</f>
        <v>4840</v>
      </c>
      <c r="G2" s="38"/>
      <c r="H2" s="54">
        <f>SUM(F2:F59)</f>
        <v>276515.25</v>
      </c>
      <c r="J2" s="68">
        <v>2000</v>
      </c>
    </row>
    <row r="3" spans="1:10">
      <c r="A3" s="40">
        <v>45956</v>
      </c>
      <c r="B3" s="41" t="s">
        <v>502</v>
      </c>
      <c r="C3" s="42" t="s">
        <v>503</v>
      </c>
      <c r="D3" s="43">
        <v>5.7</v>
      </c>
      <c r="E3" s="42">
        <f t="shared" si="0"/>
        <v>1724.25</v>
      </c>
      <c r="F3" s="55">
        <f>SUM(E3:E5)</f>
        <v>4537.5</v>
      </c>
      <c r="G3" s="42"/>
      <c r="H3" s="56"/>
      <c r="J3" s="67" t="s">
        <v>504</v>
      </c>
    </row>
    <row r="4" spans="1:10">
      <c r="A4" s="40"/>
      <c r="B4" s="41" t="s">
        <v>505</v>
      </c>
      <c r="C4" s="42" t="s">
        <v>506</v>
      </c>
      <c r="D4" s="43">
        <v>3.5</v>
      </c>
      <c r="E4" s="42">
        <f t="shared" si="0"/>
        <v>1058.75</v>
      </c>
      <c r="F4" s="55"/>
      <c r="G4" s="42"/>
      <c r="H4" s="56"/>
      <c r="J4" s="68">
        <v>60</v>
      </c>
    </row>
    <row r="5" s="28" customFormat="1" spans="1:10">
      <c r="A5" s="40"/>
      <c r="B5" s="41" t="s">
        <v>507</v>
      </c>
      <c r="C5" s="42" t="s">
        <v>508</v>
      </c>
      <c r="D5" s="43">
        <v>5.8</v>
      </c>
      <c r="E5" s="42">
        <f t="shared" si="0"/>
        <v>1754.5</v>
      </c>
      <c r="F5" s="55"/>
      <c r="G5" s="42"/>
      <c r="H5" s="56"/>
      <c r="I5" s="27"/>
      <c r="J5" s="67" t="s">
        <v>509</v>
      </c>
    </row>
    <row r="6" spans="1:10">
      <c r="A6" s="36">
        <v>45957</v>
      </c>
      <c r="B6" s="37" t="s">
        <v>510</v>
      </c>
      <c r="C6" s="38" t="s">
        <v>511</v>
      </c>
      <c r="D6" s="39">
        <v>23</v>
      </c>
      <c r="E6" s="38">
        <f t="shared" si="0"/>
        <v>6957.5</v>
      </c>
      <c r="F6" s="53">
        <f>SUM(E6)</f>
        <v>6957.5</v>
      </c>
      <c r="G6" s="38"/>
      <c r="H6" s="56"/>
      <c r="I6" s="69"/>
      <c r="J6" s="42">
        <v>15000</v>
      </c>
    </row>
    <row r="7" spans="1:10">
      <c r="A7" s="40">
        <v>45958</v>
      </c>
      <c r="B7" s="41" t="s">
        <v>512</v>
      </c>
      <c r="C7" s="42" t="s">
        <v>513</v>
      </c>
      <c r="D7" s="43">
        <v>23</v>
      </c>
      <c r="E7" s="42">
        <f t="shared" si="0"/>
        <v>6957.5</v>
      </c>
      <c r="F7" s="55">
        <f>SUM(E7:E8)</f>
        <v>8560.75</v>
      </c>
      <c r="G7" s="42"/>
      <c r="H7" s="56"/>
      <c r="I7" s="27"/>
      <c r="J7" s="67" t="s">
        <v>514</v>
      </c>
    </row>
    <row r="8" spans="1:10">
      <c r="A8" s="40"/>
      <c r="B8" s="41" t="s">
        <v>515</v>
      </c>
      <c r="C8" s="42" t="s">
        <v>516</v>
      </c>
      <c r="D8" s="43">
        <v>5.3</v>
      </c>
      <c r="E8" s="42">
        <f t="shared" si="0"/>
        <v>1603.25</v>
      </c>
      <c r="F8" s="55"/>
      <c r="G8" s="42"/>
      <c r="H8" s="56"/>
      <c r="I8" s="69"/>
      <c r="J8" s="42">
        <v>50000</v>
      </c>
    </row>
    <row r="9" spans="1:10">
      <c r="A9" s="36">
        <v>45959</v>
      </c>
      <c r="B9" s="37" t="s">
        <v>517</v>
      </c>
      <c r="C9" s="38" t="s">
        <v>518</v>
      </c>
      <c r="D9" s="39">
        <v>30</v>
      </c>
      <c r="E9" s="38">
        <f t="shared" si="0"/>
        <v>9075</v>
      </c>
      <c r="F9" s="53">
        <f>SUM(E9)</f>
        <v>9075</v>
      </c>
      <c r="G9" s="38"/>
      <c r="H9" s="56"/>
      <c r="I9" s="27"/>
      <c r="J9" s="67" t="s">
        <v>519</v>
      </c>
    </row>
    <row r="10" spans="1:10">
      <c r="A10" s="40">
        <v>45960</v>
      </c>
      <c r="B10" s="41" t="s">
        <v>520</v>
      </c>
      <c r="C10" s="42" t="s">
        <v>521</v>
      </c>
      <c r="D10" s="43">
        <v>30</v>
      </c>
      <c r="E10" s="42">
        <f t="shared" si="0"/>
        <v>9075</v>
      </c>
      <c r="F10" s="55">
        <f>SUM(E10:E15)</f>
        <v>26983</v>
      </c>
      <c r="G10" s="42"/>
      <c r="H10" s="56"/>
      <c r="J10" s="42">
        <v>55000</v>
      </c>
    </row>
    <row r="11" spans="1:10">
      <c r="A11" s="40"/>
      <c r="B11" s="41" t="s">
        <v>522</v>
      </c>
      <c r="C11" s="42" t="s">
        <v>523</v>
      </c>
      <c r="D11" s="43">
        <v>11</v>
      </c>
      <c r="E11" s="42">
        <f t="shared" si="0"/>
        <v>3327.5</v>
      </c>
      <c r="F11" s="55"/>
      <c r="G11" s="42"/>
      <c r="H11" s="56"/>
      <c r="I11" s="27"/>
      <c r="J11" s="70" t="s">
        <v>524</v>
      </c>
    </row>
    <row r="12" spans="1:10">
      <c r="A12" s="40"/>
      <c r="B12" s="41" t="s">
        <v>525</v>
      </c>
      <c r="C12" s="42" t="s">
        <v>526</v>
      </c>
      <c r="D12" s="43">
        <v>12</v>
      </c>
      <c r="E12" s="42">
        <f t="shared" si="0"/>
        <v>3630</v>
      </c>
      <c r="F12" s="55"/>
      <c r="G12" s="42"/>
      <c r="H12" s="56"/>
      <c r="J12" s="42">
        <f>J6/J4</f>
        <v>250</v>
      </c>
    </row>
    <row r="13" spans="1:10">
      <c r="A13" s="40"/>
      <c r="B13" s="41" t="s">
        <v>522</v>
      </c>
      <c r="C13" s="42" t="s">
        <v>527</v>
      </c>
      <c r="D13" s="43">
        <v>11</v>
      </c>
      <c r="E13" s="42">
        <f t="shared" si="0"/>
        <v>3327.5</v>
      </c>
      <c r="F13" s="55"/>
      <c r="G13" s="42"/>
      <c r="H13" s="56"/>
      <c r="I13" s="27"/>
      <c r="J13" s="70" t="s">
        <v>528</v>
      </c>
    </row>
    <row r="14" spans="1:10">
      <c r="A14" s="40"/>
      <c r="B14" s="41" t="s">
        <v>525</v>
      </c>
      <c r="C14" s="42" t="s">
        <v>529</v>
      </c>
      <c r="D14" s="43">
        <v>12</v>
      </c>
      <c r="E14" s="42">
        <f t="shared" si="0"/>
        <v>3630</v>
      </c>
      <c r="F14" s="55"/>
      <c r="G14" s="42"/>
      <c r="H14" s="56"/>
      <c r="J14" s="42">
        <f>J8/J2</f>
        <v>25</v>
      </c>
    </row>
    <row r="15" spans="1:10">
      <c r="A15" s="40"/>
      <c r="B15" s="41" t="s">
        <v>530</v>
      </c>
      <c r="C15" s="42" t="s">
        <v>531</v>
      </c>
      <c r="D15" s="43">
        <v>13.2</v>
      </c>
      <c r="E15" s="42">
        <f t="shared" si="0"/>
        <v>3993</v>
      </c>
      <c r="F15" s="55"/>
      <c r="G15" s="42"/>
      <c r="H15" s="56"/>
      <c r="I15" s="27"/>
      <c r="J15" s="70" t="s">
        <v>532</v>
      </c>
    </row>
    <row r="16" spans="1:10">
      <c r="A16" s="36">
        <v>45961</v>
      </c>
      <c r="B16" s="37" t="s">
        <v>533</v>
      </c>
      <c r="C16" s="38" t="s">
        <v>534</v>
      </c>
      <c r="D16" s="39">
        <v>11.4</v>
      </c>
      <c r="E16" s="38">
        <f t="shared" si="0"/>
        <v>3448.5</v>
      </c>
      <c r="F16" s="53">
        <f>SUM(E16:E17)</f>
        <v>7260</v>
      </c>
      <c r="G16" s="38"/>
      <c r="H16" s="56"/>
      <c r="J16" s="42">
        <f>J10/J2</f>
        <v>27.5</v>
      </c>
    </row>
    <row r="17" spans="1:10">
      <c r="A17" s="36"/>
      <c r="B17" s="37" t="s">
        <v>535</v>
      </c>
      <c r="C17" s="38" t="s">
        <v>536</v>
      </c>
      <c r="D17" s="39">
        <v>12.6</v>
      </c>
      <c r="E17" s="38">
        <f t="shared" si="0"/>
        <v>3811.5</v>
      </c>
      <c r="F17" s="53"/>
      <c r="G17" s="38"/>
      <c r="H17" s="56"/>
      <c r="I17" s="27"/>
      <c r="J17" s="71" t="s">
        <v>537</v>
      </c>
    </row>
    <row r="18" spans="1:10">
      <c r="A18" s="40">
        <v>45964</v>
      </c>
      <c r="B18" s="41" t="s">
        <v>538</v>
      </c>
      <c r="C18" s="42" t="s">
        <v>539</v>
      </c>
      <c r="D18" s="43">
        <v>24</v>
      </c>
      <c r="E18" s="42">
        <f t="shared" si="0"/>
        <v>7260</v>
      </c>
      <c r="F18" s="55">
        <f>SUM(E18:E19)</f>
        <v>11313.5</v>
      </c>
      <c r="G18" s="42"/>
      <c r="H18" s="56"/>
      <c r="J18" s="42">
        <f>SUM(J12,J14,J16)</f>
        <v>302.5</v>
      </c>
    </row>
    <row r="19" spans="1:9">
      <c r="A19" s="40"/>
      <c r="B19" s="41" t="s">
        <v>540</v>
      </c>
      <c r="C19" s="42" t="s">
        <v>541</v>
      </c>
      <c r="D19" s="43">
        <v>13.4</v>
      </c>
      <c r="E19" s="42">
        <f t="shared" si="0"/>
        <v>4053.5</v>
      </c>
      <c r="F19" s="55"/>
      <c r="G19" s="42"/>
      <c r="H19" s="56"/>
      <c r="I19" s="27"/>
    </row>
    <row r="20" spans="1:8">
      <c r="A20" s="44">
        <v>45966</v>
      </c>
      <c r="B20" s="45" t="s">
        <v>542</v>
      </c>
      <c r="C20" s="46" t="s">
        <v>543</v>
      </c>
      <c r="D20" s="47">
        <v>8.2</v>
      </c>
      <c r="E20" s="46">
        <f t="shared" si="0"/>
        <v>2480.5</v>
      </c>
      <c r="F20" s="57">
        <f>SUM(E20:E22)</f>
        <v>17303</v>
      </c>
      <c r="G20" s="46"/>
      <c r="H20" s="56"/>
    </row>
    <row r="21" spans="1:9">
      <c r="A21" s="44"/>
      <c r="B21" s="45" t="s">
        <v>544</v>
      </c>
      <c r="C21" s="46" t="s">
        <v>545</v>
      </c>
      <c r="D21" s="47">
        <v>27</v>
      </c>
      <c r="E21" s="46">
        <f t="shared" si="0"/>
        <v>8167.5</v>
      </c>
      <c r="F21" s="57"/>
      <c r="G21" s="46"/>
      <c r="H21" s="56"/>
      <c r="I21" s="27"/>
    </row>
    <row r="22" spans="1:8">
      <c r="A22" s="44"/>
      <c r="B22" s="45" t="s">
        <v>546</v>
      </c>
      <c r="C22" s="46" t="s">
        <v>547</v>
      </c>
      <c r="D22" s="47">
        <v>22</v>
      </c>
      <c r="E22" s="46">
        <f t="shared" si="0"/>
        <v>6655</v>
      </c>
      <c r="F22" s="57"/>
      <c r="G22" s="58"/>
      <c r="H22" s="56"/>
    </row>
    <row r="23" spans="1:8">
      <c r="A23" s="40">
        <v>45967</v>
      </c>
      <c r="B23" s="42" t="s">
        <v>538</v>
      </c>
      <c r="C23" s="42" t="s">
        <v>548</v>
      </c>
      <c r="D23" s="43">
        <v>24</v>
      </c>
      <c r="E23" s="42">
        <f t="shared" si="0"/>
        <v>7260</v>
      </c>
      <c r="F23" s="55">
        <f>SUM(E23:E24)</f>
        <v>10890</v>
      </c>
      <c r="G23" s="59"/>
      <c r="H23" s="56"/>
    </row>
    <row r="24" spans="1:8">
      <c r="A24" s="40"/>
      <c r="B24" s="41" t="s">
        <v>515</v>
      </c>
      <c r="C24" s="42" t="s">
        <v>549</v>
      </c>
      <c r="D24" s="43">
        <v>12</v>
      </c>
      <c r="E24" s="42">
        <f t="shared" si="0"/>
        <v>3630</v>
      </c>
      <c r="F24" s="55"/>
      <c r="G24" s="59"/>
      <c r="H24" s="56"/>
    </row>
    <row r="25" spans="1:8">
      <c r="A25" s="44">
        <v>45969</v>
      </c>
      <c r="B25" s="45" t="s">
        <v>550</v>
      </c>
      <c r="C25" s="46" t="s">
        <v>551</v>
      </c>
      <c r="D25" s="47">
        <v>12.4</v>
      </c>
      <c r="E25" s="46">
        <f t="shared" si="0"/>
        <v>3751</v>
      </c>
      <c r="F25" s="57">
        <f>SUM(E25)</f>
        <v>3751</v>
      </c>
      <c r="G25" s="58"/>
      <c r="H25" s="56"/>
    </row>
    <row r="26" spans="1:8">
      <c r="A26" s="40">
        <v>45971</v>
      </c>
      <c r="B26" s="41" t="s">
        <v>552</v>
      </c>
      <c r="C26" s="42" t="s">
        <v>553</v>
      </c>
      <c r="D26" s="43">
        <v>15.8</v>
      </c>
      <c r="E26" s="42">
        <f t="shared" si="0"/>
        <v>4779.5</v>
      </c>
      <c r="F26" s="55">
        <f>SUM(E26)</f>
        <v>4779.5</v>
      </c>
      <c r="G26" s="59"/>
      <c r="H26" s="56"/>
    </row>
    <row r="27" spans="1:8">
      <c r="A27" s="44">
        <v>45972</v>
      </c>
      <c r="B27" s="45" t="s">
        <v>535</v>
      </c>
      <c r="C27" s="46" t="s">
        <v>554</v>
      </c>
      <c r="D27" s="47">
        <v>13</v>
      </c>
      <c r="E27" s="46">
        <f t="shared" si="0"/>
        <v>3932.5</v>
      </c>
      <c r="F27" s="57">
        <f>SUM(E27)</f>
        <v>3932.5</v>
      </c>
      <c r="G27" s="58"/>
      <c r="H27" s="56"/>
    </row>
    <row r="28" spans="1:8">
      <c r="A28" s="40">
        <v>45974</v>
      </c>
      <c r="B28" s="41" t="s">
        <v>555</v>
      </c>
      <c r="C28" s="42" t="s">
        <v>556</v>
      </c>
      <c r="D28" s="43">
        <v>15</v>
      </c>
      <c r="E28" s="42">
        <f t="shared" si="0"/>
        <v>4537.5</v>
      </c>
      <c r="F28" s="55">
        <f>SUM(E28:E29)</f>
        <v>10587.5</v>
      </c>
      <c r="G28" s="59"/>
      <c r="H28" s="56"/>
    </row>
    <row r="29" spans="1:8">
      <c r="A29" s="40"/>
      <c r="B29" s="41" t="s">
        <v>557</v>
      </c>
      <c r="C29" s="42" t="s">
        <v>558</v>
      </c>
      <c r="D29" s="43">
        <v>20</v>
      </c>
      <c r="E29" s="42">
        <f t="shared" si="0"/>
        <v>6050</v>
      </c>
      <c r="F29" s="55"/>
      <c r="G29" s="59"/>
      <c r="H29" s="56"/>
    </row>
    <row r="30" spans="1:8">
      <c r="A30" s="44">
        <v>45979</v>
      </c>
      <c r="B30" s="45" t="s">
        <v>559</v>
      </c>
      <c r="C30" s="46" t="s">
        <v>560</v>
      </c>
      <c r="D30" s="47">
        <v>12</v>
      </c>
      <c r="E30" s="46">
        <f t="shared" si="0"/>
        <v>3630</v>
      </c>
      <c r="F30" s="57">
        <f>SUM(E30)</f>
        <v>3630</v>
      </c>
      <c r="G30" s="58"/>
      <c r="H30" s="56"/>
    </row>
    <row r="31" spans="1:8">
      <c r="A31" s="40">
        <v>45980</v>
      </c>
      <c r="B31" s="41" t="s">
        <v>533</v>
      </c>
      <c r="C31" s="42" t="s">
        <v>561</v>
      </c>
      <c r="D31" s="43">
        <v>10.9</v>
      </c>
      <c r="E31" s="42">
        <f t="shared" si="0"/>
        <v>3297.25</v>
      </c>
      <c r="F31" s="55">
        <f>SUM(E31:E32)</f>
        <v>8742.25</v>
      </c>
      <c r="G31" s="59"/>
      <c r="H31" s="56"/>
    </row>
    <row r="32" spans="1:8">
      <c r="A32" s="40"/>
      <c r="B32" s="41" t="s">
        <v>562</v>
      </c>
      <c r="C32" s="42" t="s">
        <v>563</v>
      </c>
      <c r="D32" s="43">
        <v>18</v>
      </c>
      <c r="E32" s="42">
        <f t="shared" si="0"/>
        <v>5445</v>
      </c>
      <c r="F32" s="55"/>
      <c r="G32" s="59"/>
      <c r="H32" s="56"/>
    </row>
    <row r="33" spans="1:8">
      <c r="A33" s="44">
        <v>45982</v>
      </c>
      <c r="B33" s="45" t="s">
        <v>564</v>
      </c>
      <c r="C33" s="46" t="s">
        <v>565</v>
      </c>
      <c r="D33" s="47">
        <v>3.6</v>
      </c>
      <c r="E33" s="46">
        <f t="shared" si="0"/>
        <v>1089</v>
      </c>
      <c r="F33" s="57">
        <f>SUM(E33:E37)</f>
        <v>18573.5</v>
      </c>
      <c r="G33" s="58"/>
      <c r="H33" s="56"/>
    </row>
    <row r="34" spans="1:8">
      <c r="A34" s="44"/>
      <c r="B34" s="45" t="s">
        <v>566</v>
      </c>
      <c r="C34" s="46" t="s">
        <v>567</v>
      </c>
      <c r="D34" s="47">
        <v>16</v>
      </c>
      <c r="E34" s="46">
        <f t="shared" si="0"/>
        <v>4840</v>
      </c>
      <c r="F34" s="57"/>
      <c r="G34" s="58"/>
      <c r="H34" s="56"/>
    </row>
    <row r="35" spans="1:8">
      <c r="A35" s="44"/>
      <c r="B35" s="45" t="s">
        <v>568</v>
      </c>
      <c r="C35" s="46" t="s">
        <v>569</v>
      </c>
      <c r="D35" s="47">
        <v>13.4</v>
      </c>
      <c r="E35" s="46">
        <f t="shared" si="0"/>
        <v>4053.5</v>
      </c>
      <c r="F35" s="57"/>
      <c r="G35" s="58"/>
      <c r="H35" s="56"/>
    </row>
    <row r="36" spans="1:8">
      <c r="A36" s="44"/>
      <c r="B36" s="45" t="s">
        <v>559</v>
      </c>
      <c r="C36" s="46" t="s">
        <v>570</v>
      </c>
      <c r="D36" s="47">
        <v>12</v>
      </c>
      <c r="E36" s="46">
        <f t="shared" si="0"/>
        <v>3630</v>
      </c>
      <c r="F36" s="57"/>
      <c r="G36" s="58"/>
      <c r="H36" s="56"/>
    </row>
    <row r="37" spans="1:8">
      <c r="A37" s="44"/>
      <c r="B37" s="45" t="s">
        <v>571</v>
      </c>
      <c r="C37" s="46" t="s">
        <v>572</v>
      </c>
      <c r="D37" s="47">
        <v>16.4</v>
      </c>
      <c r="E37" s="46">
        <f t="shared" si="0"/>
        <v>4961</v>
      </c>
      <c r="F37" s="57"/>
      <c r="G37" s="58"/>
      <c r="H37" s="56"/>
    </row>
    <row r="38" spans="1:8">
      <c r="A38" s="40">
        <v>45983</v>
      </c>
      <c r="B38" s="41" t="s">
        <v>573</v>
      </c>
      <c r="C38" s="42" t="s">
        <v>574</v>
      </c>
      <c r="D38" s="43">
        <v>14</v>
      </c>
      <c r="E38" s="42">
        <f t="shared" si="0"/>
        <v>4235</v>
      </c>
      <c r="F38" s="55">
        <f>SUM(E38)</f>
        <v>4235</v>
      </c>
      <c r="G38" s="59"/>
      <c r="H38" s="56"/>
    </row>
    <row r="39" spans="1:8">
      <c r="A39" s="44">
        <v>45987</v>
      </c>
      <c r="B39" s="45" t="s">
        <v>575</v>
      </c>
      <c r="C39" s="46" t="s">
        <v>576</v>
      </c>
      <c r="D39" s="47">
        <v>16</v>
      </c>
      <c r="E39" s="46">
        <f t="shared" si="0"/>
        <v>4840</v>
      </c>
      <c r="F39" s="57">
        <f>SUM(E39:E40)</f>
        <v>8591</v>
      </c>
      <c r="G39" s="58"/>
      <c r="H39" s="56"/>
    </row>
    <row r="40" spans="1:8">
      <c r="A40" s="44"/>
      <c r="B40" s="45" t="s">
        <v>577</v>
      </c>
      <c r="C40" s="46" t="s">
        <v>578</v>
      </c>
      <c r="D40" s="47">
        <v>12.4</v>
      </c>
      <c r="E40" s="46">
        <f t="shared" si="0"/>
        <v>3751</v>
      </c>
      <c r="F40" s="57"/>
      <c r="G40" s="58"/>
      <c r="H40" s="56"/>
    </row>
    <row r="41" spans="1:8">
      <c r="A41" s="40">
        <v>45988</v>
      </c>
      <c r="B41" s="41" t="s">
        <v>579</v>
      </c>
      <c r="C41" s="42" t="s">
        <v>580</v>
      </c>
      <c r="D41" s="43">
        <v>22</v>
      </c>
      <c r="E41" s="42">
        <f t="shared" si="0"/>
        <v>6655</v>
      </c>
      <c r="F41" s="55">
        <f>SUM(E41:E42)</f>
        <v>10648</v>
      </c>
      <c r="G41" s="59"/>
      <c r="H41" s="56"/>
    </row>
    <row r="42" spans="1:8">
      <c r="A42" s="40"/>
      <c r="B42" s="41" t="s">
        <v>581</v>
      </c>
      <c r="C42" s="42" t="s">
        <v>582</v>
      </c>
      <c r="D42" s="43">
        <v>13.2</v>
      </c>
      <c r="E42" s="42">
        <f t="shared" si="0"/>
        <v>3993</v>
      </c>
      <c r="F42" s="55"/>
      <c r="G42" s="59"/>
      <c r="H42" s="56"/>
    </row>
    <row r="43" spans="1:8">
      <c r="A43" s="44">
        <v>45990</v>
      </c>
      <c r="B43" s="45" t="s">
        <v>583</v>
      </c>
      <c r="C43" s="46" t="s">
        <v>584</v>
      </c>
      <c r="D43" s="47">
        <v>15.2</v>
      </c>
      <c r="E43" s="46">
        <f t="shared" si="0"/>
        <v>4598</v>
      </c>
      <c r="F43" s="57">
        <f>SUM(E43)</f>
        <v>4598</v>
      </c>
      <c r="G43" s="58"/>
      <c r="H43" s="56"/>
    </row>
    <row r="44" spans="1:8">
      <c r="A44" s="40">
        <v>45992</v>
      </c>
      <c r="B44" s="41" t="s">
        <v>585</v>
      </c>
      <c r="C44" s="42" t="s">
        <v>586</v>
      </c>
      <c r="D44" s="43">
        <v>2.8</v>
      </c>
      <c r="E44" s="42">
        <f t="shared" si="0"/>
        <v>847</v>
      </c>
      <c r="F44" s="55">
        <f>SUM(E44:E45)</f>
        <v>5687</v>
      </c>
      <c r="G44" s="59"/>
      <c r="H44" s="56"/>
    </row>
    <row r="45" spans="1:8">
      <c r="A45" s="40"/>
      <c r="B45" s="41" t="s">
        <v>587</v>
      </c>
      <c r="C45" s="42" t="s">
        <v>588</v>
      </c>
      <c r="D45" s="43">
        <v>16</v>
      </c>
      <c r="E45" s="42">
        <f t="shared" si="0"/>
        <v>4840</v>
      </c>
      <c r="F45" s="55"/>
      <c r="G45" s="59"/>
      <c r="H45" s="56"/>
    </row>
    <row r="46" spans="1:8">
      <c r="A46" s="36">
        <v>45995</v>
      </c>
      <c r="B46" s="2" t="s">
        <v>589</v>
      </c>
      <c r="C46" s="38" t="s">
        <v>590</v>
      </c>
      <c r="D46" s="39">
        <v>68</v>
      </c>
      <c r="E46" s="46">
        <f t="shared" si="0"/>
        <v>20570</v>
      </c>
      <c r="F46" s="53">
        <f>SUM(E46)</f>
        <v>20570</v>
      </c>
      <c r="G46" s="60"/>
      <c r="H46" s="56"/>
    </row>
    <row r="47" spans="1:8">
      <c r="A47" s="40">
        <v>45996</v>
      </c>
      <c r="B47" s="41" t="s">
        <v>591</v>
      </c>
      <c r="C47" s="42" t="s">
        <v>592</v>
      </c>
      <c r="D47" s="43">
        <v>25</v>
      </c>
      <c r="E47" s="42">
        <f t="shared" si="0"/>
        <v>7562.5</v>
      </c>
      <c r="F47" s="55">
        <f>SUM(E47:E48)</f>
        <v>14822.5</v>
      </c>
      <c r="G47" s="59"/>
      <c r="H47" s="56"/>
    </row>
    <row r="48" spans="1:8">
      <c r="A48" s="40"/>
      <c r="B48" s="41" t="s">
        <v>593</v>
      </c>
      <c r="C48" s="42" t="s">
        <v>594</v>
      </c>
      <c r="D48" s="43">
        <v>24</v>
      </c>
      <c r="E48" s="42">
        <f t="shared" si="0"/>
        <v>7260</v>
      </c>
      <c r="F48" s="55"/>
      <c r="G48" s="59"/>
      <c r="H48" s="56"/>
    </row>
    <row r="49" spans="1:8">
      <c r="A49" s="36">
        <v>45997</v>
      </c>
      <c r="B49" s="37" t="s">
        <v>593</v>
      </c>
      <c r="C49" s="38" t="s">
        <v>595</v>
      </c>
      <c r="D49" s="39">
        <v>12</v>
      </c>
      <c r="E49" s="46">
        <f t="shared" si="0"/>
        <v>3630</v>
      </c>
      <c r="F49" s="53">
        <f>SUM(E49)</f>
        <v>3630</v>
      </c>
      <c r="G49" s="60"/>
      <c r="H49" s="56"/>
    </row>
    <row r="50" spans="1:8">
      <c r="A50" s="40">
        <v>45999</v>
      </c>
      <c r="B50" s="41" t="s">
        <v>596</v>
      </c>
      <c r="C50" s="42" t="s">
        <v>597</v>
      </c>
      <c r="D50" s="43">
        <v>9.9</v>
      </c>
      <c r="E50" s="42">
        <f t="shared" si="0"/>
        <v>2994.75</v>
      </c>
      <c r="F50" s="55">
        <f>SUM(E50:E51)</f>
        <v>6866.75</v>
      </c>
      <c r="G50" s="59"/>
      <c r="H50" s="56"/>
    </row>
    <row r="51" spans="1:8">
      <c r="A51" s="40"/>
      <c r="B51" s="41" t="s">
        <v>568</v>
      </c>
      <c r="C51" s="42" t="s">
        <v>598</v>
      </c>
      <c r="D51" s="43">
        <v>12.8</v>
      </c>
      <c r="E51" s="42">
        <f t="shared" si="0"/>
        <v>3872</v>
      </c>
      <c r="F51" s="55"/>
      <c r="G51" s="59"/>
      <c r="H51" s="56"/>
    </row>
    <row r="52" spans="1:8">
      <c r="A52" s="36">
        <v>46000</v>
      </c>
      <c r="B52" s="37" t="s">
        <v>599</v>
      </c>
      <c r="C52" s="38" t="s">
        <v>600</v>
      </c>
      <c r="D52" s="39">
        <v>24</v>
      </c>
      <c r="E52" s="46">
        <f t="shared" si="0"/>
        <v>7260</v>
      </c>
      <c r="F52" s="53">
        <f>SUM(E52:E54)</f>
        <v>15004</v>
      </c>
      <c r="G52" s="60"/>
      <c r="H52" s="56"/>
    </row>
    <row r="53" spans="1:8">
      <c r="A53" s="36"/>
      <c r="B53" s="37" t="s">
        <v>601</v>
      </c>
      <c r="C53" s="38" t="s">
        <v>602</v>
      </c>
      <c r="D53" s="39">
        <v>12.2</v>
      </c>
      <c r="E53" s="46">
        <f t="shared" si="0"/>
        <v>3690.5</v>
      </c>
      <c r="F53" s="53"/>
      <c r="G53" s="60"/>
      <c r="H53" s="56"/>
    </row>
    <row r="54" spans="1:8">
      <c r="A54" s="36"/>
      <c r="B54" s="37" t="s">
        <v>568</v>
      </c>
      <c r="C54" s="38" t="s">
        <v>603</v>
      </c>
      <c r="D54" s="39">
        <v>13.4</v>
      </c>
      <c r="E54" s="46">
        <f t="shared" si="0"/>
        <v>4053.5</v>
      </c>
      <c r="F54" s="53"/>
      <c r="G54" s="60"/>
      <c r="H54" s="56"/>
    </row>
    <row r="55" spans="1:8">
      <c r="A55" s="40">
        <v>46001</v>
      </c>
      <c r="B55" s="41" t="s">
        <v>583</v>
      </c>
      <c r="C55" s="42" t="s">
        <v>604</v>
      </c>
      <c r="D55" s="43">
        <v>15.2</v>
      </c>
      <c r="E55" s="42">
        <f t="shared" si="0"/>
        <v>4598</v>
      </c>
      <c r="F55" s="55">
        <f>SUM(E55:E56)</f>
        <v>8228</v>
      </c>
      <c r="G55" s="59"/>
      <c r="H55" s="56"/>
    </row>
    <row r="56" spans="1:8">
      <c r="A56" s="36">
        <v>46002</v>
      </c>
      <c r="B56" s="37" t="s">
        <v>593</v>
      </c>
      <c r="C56" s="38" t="s">
        <v>605</v>
      </c>
      <c r="D56" s="39">
        <v>12</v>
      </c>
      <c r="E56" s="42">
        <f t="shared" si="0"/>
        <v>3630</v>
      </c>
      <c r="F56" s="55"/>
      <c r="G56" s="60"/>
      <c r="H56" s="56"/>
    </row>
    <row r="57" spans="1:8">
      <c r="A57" s="48">
        <v>46010</v>
      </c>
      <c r="B57" s="49" t="s">
        <v>606</v>
      </c>
      <c r="C57" s="50" t="s">
        <v>607</v>
      </c>
      <c r="D57" s="51">
        <v>3.4</v>
      </c>
      <c r="E57" s="61">
        <f t="shared" si="0"/>
        <v>1028.5</v>
      </c>
      <c r="F57" s="62">
        <f>SUM(E57)</f>
        <v>1028.5</v>
      </c>
      <c r="G57" s="63"/>
      <c r="H57" s="56"/>
    </row>
    <row r="58" spans="1:8">
      <c r="A58" s="36">
        <v>46016</v>
      </c>
      <c r="B58" s="37" t="s">
        <v>608</v>
      </c>
      <c r="C58" s="38" t="s">
        <v>609</v>
      </c>
      <c r="D58" s="39">
        <v>14</v>
      </c>
      <c r="E58" s="61">
        <f t="shared" si="0"/>
        <v>4235</v>
      </c>
      <c r="F58" s="62">
        <f>SUM(E58:E59)</f>
        <v>10890</v>
      </c>
      <c r="G58" s="60"/>
      <c r="H58" s="56"/>
    </row>
    <row r="59" spans="1:8">
      <c r="A59" s="36">
        <v>46016</v>
      </c>
      <c r="B59" s="37" t="s">
        <v>522</v>
      </c>
      <c r="C59" s="38" t="s">
        <v>610</v>
      </c>
      <c r="D59" s="39">
        <v>22</v>
      </c>
      <c r="E59" s="42">
        <f t="shared" si="0"/>
        <v>6655</v>
      </c>
      <c r="F59" s="64"/>
      <c r="G59" s="60"/>
      <c r="H59" s="65"/>
    </row>
  </sheetData>
  <mergeCells count="35">
    <mergeCell ref="A3:A5"/>
    <mergeCell ref="A7:A8"/>
    <mergeCell ref="A10:A15"/>
    <mergeCell ref="A16:A17"/>
    <mergeCell ref="A18:A19"/>
    <mergeCell ref="A20:A22"/>
    <mergeCell ref="A23:A24"/>
    <mergeCell ref="A28:A29"/>
    <mergeCell ref="A31:A32"/>
    <mergeCell ref="A33:A37"/>
    <mergeCell ref="A39:A40"/>
    <mergeCell ref="A41:A42"/>
    <mergeCell ref="A44:A45"/>
    <mergeCell ref="A47:A48"/>
    <mergeCell ref="A50:A51"/>
    <mergeCell ref="A52:A54"/>
    <mergeCell ref="F3:F5"/>
    <mergeCell ref="F7:F8"/>
    <mergeCell ref="F10:F15"/>
    <mergeCell ref="F16:F17"/>
    <mergeCell ref="F18:F19"/>
    <mergeCell ref="F20:F22"/>
    <mergeCell ref="F23:F24"/>
    <mergeCell ref="F28:F29"/>
    <mergeCell ref="F31:F32"/>
    <mergeCell ref="F33:F37"/>
    <mergeCell ref="F39:F40"/>
    <mergeCell ref="F41:F42"/>
    <mergeCell ref="F44:F45"/>
    <mergeCell ref="F47:F48"/>
    <mergeCell ref="F50:F51"/>
    <mergeCell ref="F52:F54"/>
    <mergeCell ref="F55:F56"/>
    <mergeCell ref="F58:F59"/>
    <mergeCell ref="H2:H5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zoomScale="85" zoomScaleNormal="85" workbookViewId="0">
      <selection activeCell="G3" sqref="G3"/>
    </sheetView>
  </sheetViews>
  <sheetFormatPr defaultColWidth="9.1640625" defaultRowHeight="20.4"/>
  <cols>
    <col min="1" max="1" width="15.6640625" style="4" customWidth="1"/>
    <col min="2" max="2" width="11.828125" style="5" customWidth="1"/>
    <col min="3" max="3" width="33" style="6" customWidth="1"/>
    <col min="4" max="4" width="7.5078125" style="6" customWidth="1"/>
    <col min="5" max="5" width="10" style="5" customWidth="1"/>
    <col min="6" max="6" width="39.3359375" style="5" customWidth="1"/>
    <col min="7" max="9" width="17.6640625" style="7" customWidth="1"/>
    <col min="10" max="10" width="25.5078125" style="8" customWidth="1"/>
    <col min="11" max="16384" width="9.1640625" style="5"/>
  </cols>
  <sheetData>
    <row r="1" s="3" customFormat="1" ht="16" customHeight="1" spans="1:10">
      <c r="A1" s="9" t="s">
        <v>0</v>
      </c>
      <c r="B1" s="10" t="s">
        <v>611</v>
      </c>
      <c r="C1" s="11" t="s">
        <v>612</v>
      </c>
      <c r="D1" s="11" t="s">
        <v>613</v>
      </c>
      <c r="E1" s="10" t="s">
        <v>614</v>
      </c>
      <c r="F1" s="10" t="s">
        <v>615</v>
      </c>
      <c r="G1" s="21" t="s">
        <v>616</v>
      </c>
      <c r="H1" s="21" t="s">
        <v>617</v>
      </c>
      <c r="I1" s="21" t="s">
        <v>618</v>
      </c>
      <c r="J1" s="10" t="s">
        <v>619</v>
      </c>
    </row>
    <row r="2" ht="126.7" customHeight="1" spans="1:10">
      <c r="A2" s="12">
        <v>45967</v>
      </c>
      <c r="B2" s="13" t="s">
        <v>620</v>
      </c>
      <c r="C2" s="14" t="s">
        <v>621</v>
      </c>
      <c r="D2" s="15">
        <v>3</v>
      </c>
      <c r="E2" s="22" t="s">
        <v>622</v>
      </c>
      <c r="F2" s="22"/>
      <c r="G2" s="23">
        <v>282000</v>
      </c>
      <c r="H2" s="23">
        <f>SUM(D2*G2)</f>
        <v>846000</v>
      </c>
      <c r="I2" s="23">
        <f>SUM(H2)</f>
        <v>846000</v>
      </c>
      <c r="J2" s="22" t="s">
        <v>623</v>
      </c>
    </row>
    <row r="3" ht="43" customHeight="1" spans="1:10">
      <c r="A3" s="12"/>
      <c r="B3" s="13"/>
      <c r="C3" s="16"/>
      <c r="D3" s="17"/>
      <c r="E3" s="22"/>
      <c r="F3" s="22"/>
      <c r="G3" s="24"/>
      <c r="H3" s="23"/>
      <c r="I3" s="23"/>
      <c r="J3" s="22"/>
    </row>
    <row r="4" ht="43" customHeight="1" spans="1:10">
      <c r="A4" s="12"/>
      <c r="B4" s="13"/>
      <c r="C4" s="16"/>
      <c r="D4" s="17"/>
      <c r="E4" s="22"/>
      <c r="F4" s="22"/>
      <c r="G4" s="24"/>
      <c r="H4" s="23"/>
      <c r="I4" s="23"/>
      <c r="J4" s="22"/>
    </row>
    <row r="5" ht="43" customHeight="1" spans="1:10">
      <c r="A5" s="12"/>
      <c r="B5" s="13"/>
      <c r="C5" s="16"/>
      <c r="D5" s="17"/>
      <c r="E5" s="22"/>
      <c r="F5" s="22"/>
      <c r="G5" s="24"/>
      <c r="H5" s="23"/>
      <c r="I5" s="23"/>
      <c r="J5" s="22"/>
    </row>
    <row r="6" ht="43" customHeight="1" spans="1:10">
      <c r="A6" s="12"/>
      <c r="B6" s="13"/>
      <c r="C6" s="18"/>
      <c r="D6" s="17"/>
      <c r="E6" s="25"/>
      <c r="F6" s="25"/>
      <c r="G6" s="23"/>
      <c r="H6" s="23"/>
      <c r="I6" s="23"/>
      <c r="J6" s="22"/>
    </row>
    <row r="7" ht="43" customHeight="1" spans="1:10">
      <c r="A7" s="12"/>
      <c r="B7" s="13"/>
      <c r="C7" s="18"/>
      <c r="D7" s="17"/>
      <c r="E7" s="25"/>
      <c r="F7" s="25"/>
      <c r="G7" s="23"/>
      <c r="H7" s="23"/>
      <c r="I7" s="23"/>
      <c r="J7" s="22"/>
    </row>
    <row r="8" ht="43" customHeight="1" spans="1:10">
      <c r="A8" s="12"/>
      <c r="B8" s="13"/>
      <c r="C8" s="16"/>
      <c r="D8" s="17"/>
      <c r="E8" s="25"/>
      <c r="F8" s="25"/>
      <c r="G8" s="24"/>
      <c r="H8" s="23"/>
      <c r="I8" s="23"/>
      <c r="J8" s="22"/>
    </row>
    <row r="9" ht="64" customHeight="1" spans="1:10">
      <c r="A9" s="12"/>
      <c r="B9" s="13"/>
      <c r="C9" s="16"/>
      <c r="D9" s="17"/>
      <c r="E9" s="22"/>
      <c r="F9" s="22"/>
      <c r="G9" s="24"/>
      <c r="H9" s="24"/>
      <c r="I9" s="23"/>
      <c r="J9" s="22"/>
    </row>
    <row r="10" ht="64" customHeight="1" spans="1:10">
      <c r="A10" s="12"/>
      <c r="B10" s="13"/>
      <c r="C10" s="16"/>
      <c r="D10" s="17"/>
      <c r="E10" s="22"/>
      <c r="F10" s="22"/>
      <c r="G10" s="24"/>
      <c r="H10" s="24"/>
      <c r="I10" s="23"/>
      <c r="J10" s="22"/>
    </row>
    <row r="11" ht="64" customHeight="1" spans="1:10">
      <c r="A11" s="12"/>
      <c r="B11" s="13"/>
      <c r="C11" s="16"/>
      <c r="D11" s="17"/>
      <c r="E11" s="22"/>
      <c r="F11" s="22"/>
      <c r="G11" s="24"/>
      <c r="H11" s="24"/>
      <c r="I11" s="23"/>
      <c r="J11" s="22"/>
    </row>
    <row r="12" ht="64" customHeight="1" spans="1:10">
      <c r="A12" s="12"/>
      <c r="B12" s="13"/>
      <c r="C12" s="16"/>
      <c r="D12" s="17"/>
      <c r="E12" s="22"/>
      <c r="F12" s="22"/>
      <c r="G12" s="24"/>
      <c r="H12" s="24"/>
      <c r="I12" s="23"/>
      <c r="J12" s="22"/>
    </row>
    <row r="13" ht="15" customHeight="1" spans="1:10">
      <c r="A13" s="19"/>
      <c r="B13" s="20"/>
      <c r="C13" s="20"/>
      <c r="D13" s="20"/>
      <c r="E13" s="26"/>
      <c r="F13" s="26">
        <f>SUM(I2:I11)</f>
        <v>846000</v>
      </c>
      <c r="G13" s="24"/>
      <c r="H13" s="24"/>
      <c r="I13" s="24"/>
      <c r="J13" s="22"/>
    </row>
  </sheetData>
  <mergeCells count="18">
    <mergeCell ref="A13:C13"/>
    <mergeCell ref="F13:I13"/>
    <mergeCell ref="A3:A5"/>
    <mergeCell ref="A6:A8"/>
    <mergeCell ref="A9:A10"/>
    <mergeCell ref="A11:A12"/>
    <mergeCell ref="B3:B5"/>
    <mergeCell ref="B6:B8"/>
    <mergeCell ref="B9:B10"/>
    <mergeCell ref="B11:B12"/>
    <mergeCell ref="F3:F5"/>
    <mergeCell ref="F6:F8"/>
    <mergeCell ref="F9:F10"/>
    <mergeCell ref="F11:F12"/>
    <mergeCell ref="I3:I5"/>
    <mergeCell ref="I6:I8"/>
    <mergeCell ref="I9:I10"/>
    <mergeCell ref="I11:I12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10"/>
  <sheetViews>
    <sheetView zoomScale="154" zoomScaleNormal="154" workbookViewId="0">
      <selection activeCell="H26" sqref="H26"/>
    </sheetView>
  </sheetViews>
  <sheetFormatPr defaultColWidth="9" defaultRowHeight="16.8" outlineLevelCol="2"/>
  <sheetData>
    <row r="1" spans="2:3">
      <c r="B1" s="1" t="s">
        <v>624</v>
      </c>
      <c r="C1" s="1"/>
    </row>
    <row r="2" spans="2:3">
      <c r="B2" s="1" t="s">
        <v>625</v>
      </c>
      <c r="C2" s="1" t="s">
        <v>626</v>
      </c>
    </row>
    <row r="3" spans="2:3">
      <c r="B3" s="2" t="s">
        <v>627</v>
      </c>
      <c r="C3" s="2">
        <v>6699</v>
      </c>
    </row>
    <row r="4" spans="2:3">
      <c r="B4" s="2" t="s">
        <v>628</v>
      </c>
      <c r="C4" s="2">
        <v>2323</v>
      </c>
    </row>
    <row r="5" spans="2:3">
      <c r="B5" s="2" t="s">
        <v>629</v>
      </c>
      <c r="C5" s="2">
        <v>8899</v>
      </c>
    </row>
    <row r="6" spans="2:3">
      <c r="B6" s="2" t="s">
        <v>630</v>
      </c>
      <c r="C6" s="2">
        <v>5656</v>
      </c>
    </row>
    <row r="7" spans="2:3">
      <c r="B7" s="2" t="s">
        <v>631</v>
      </c>
      <c r="C7" s="2">
        <v>7744</v>
      </c>
    </row>
    <row r="8" spans="2:3">
      <c r="B8" s="2" t="s">
        <v>632</v>
      </c>
      <c r="C8" s="2">
        <v>4545</v>
      </c>
    </row>
    <row r="9" spans="2:3">
      <c r="B9" s="2" t="s">
        <v>633</v>
      </c>
      <c r="C9" s="2">
        <v>2525</v>
      </c>
    </row>
    <row r="10" spans="2:3">
      <c r="B10" s="2" t="s">
        <v>634</v>
      </c>
      <c r="C10" s="2">
        <v>3636</v>
      </c>
    </row>
  </sheetData>
  <mergeCells count="1">
    <mergeCell ref="B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Daily Acitivies &amp; Checklists</vt:lpstr>
      <vt:lpstr>Gasoline&amp;Petroleum Costs</vt:lpstr>
      <vt:lpstr>Puchasing cash &amp; transfer costs</vt:lpstr>
      <vt:lpstr>Staff 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andika putra</cp:lastModifiedBy>
  <dcterms:created xsi:type="dcterms:W3CDTF">2025-01-28T20:20:00Z</dcterms:created>
  <dcterms:modified xsi:type="dcterms:W3CDTF">2026-02-06T17:38:05Z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57EAE7E26B1A440488D9CD0BD7F40677_13</vt:lpwstr>
  </property>
  <property fmtid="{D5CDD505-2E9C-101B-9397-08002B2CF9AE}" pid="3" name="KSOProductBuildVer">
    <vt:lpwstr>1033-12.1.23155.23155</vt:lpwstr>
  </property>
  <property fmtid="{D5CDD505-2E9C-101B-9397-08002B2CF9AE}" pid="4" name="KSOReadingLayout">
    <vt:bool>false</vt:bool>
  </property>
</Properties>
</file>