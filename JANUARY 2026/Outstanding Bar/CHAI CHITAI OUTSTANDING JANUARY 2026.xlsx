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CHAI CHITAI (Tea Leaf,etc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<sst xmlns="http://schemas.openxmlformats.org/spreadsheetml/2006/main" count="15" uniqueCount="15">
  <si>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</si>
  <si>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</si>
  <si>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</si>
  <si>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</si>
  <si>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</si>
  <si>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</si>
  <si>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</si>
  <si>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</si>
  <si>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00012</t>
  </si>
  <si>
    <t>RED GABA</t>
  </si>
  <si>
    <t>MANGO OOLONG</t>
  </si>
  <si>
    <t>MILK OOLONG</t>
  </si>
  <si>
    <t>CHAMOMILE</t>
  </si>
  <si>
    <t>YUE GUANG BAI CHA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</si>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</sst>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/>
    </xf>
    <xf numFmtId="0" fontId="0" fillId="3" borderId="3" xfId="0" applyNumberForma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/>
    </xf>
    <xf numFmtId="0" fontId="0" fillId="3" borderId="4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76" fontId="0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/>
    </xf>
    <xf numFmtId="178" fontId="0" fillId="3" borderId="2" xfId="0" applyNumberFormat="1" applyFont="1" applyFill="1" applyBorder="1" applyAlignment="1">
      <alignment horizontal="center" vertical="center"/>
    </xf>
    <xf numFmtId="178" fontId="0" fillId="3" borderId="10" xfId="0" applyNumberFormat="1" applyFont="1" applyFill="1" applyBorder="1" applyAlignment="1">
      <alignment horizontal="center" vertical="center"/>
    </xf>
    <xf numFmtId="177" fontId="6" fillId="3" borderId="5" xfId="0" applyNumberFormat="1" applyFont="1" applyFill="1" applyBorder="1" applyAlignment="1">
      <alignment vertical="center"/>
    </xf>
    <xf numFmtId="177" fontId="6" fillId="3" borderId="4" xfId="0" applyNumberFormat="1" applyFont="1" applyFill="1" applyBorder="1" applyAlignment="1">
      <alignment vertical="center"/>
    </xf>
    <xf numFmtId="177" fontId="5" fillId="3" borderId="4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8" fontId="6" fillId="3" borderId="5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3" borderId="2" xfId="0" applyNumberForma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24130</xdr:colOff>
      <xdr:row>1</xdr:row>
      <xdr:rowOff>162560</xdr:rowOff>
    </xdr:from>
    <xdr:to>
      <xdr:col>4</xdr:col>
      <xdr:colOff>3693160</xdr:colOff>
      <xdr:row>5</xdr:row>
      <xdr:rowOff>614680</xdr:rowOff>
    </xdr:to>
    <xdr:pic>
      <xdr:nvPicPr>
        <xdr:cNvPr id="2" name="ID_5AFF722DADDA4AE89BC7F84C9D08767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20285" y="365760"/>
          <a:ext cx="3669030" cy="350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90" zoomScaleNormal="90" workbookViewId="0">
      <selection activeCell="H7" sqref="H7"/>
    </sheetView>
  </sheetViews>
  <sheetFormatPr defaultColWidth="9.140625" defaultRowHeight="16.8" outlineLevelCol="7"/>
  <cols>
    <col min="1" max="1" width="13.3984375" customWidth="1"/>
    <col min="2" max="2" width="11.1640625" customWidth="1"/>
    <col min="3" max="3" width="18.5703125" customWidth="1"/>
    <col min="4" max="4" width="15.875" customWidth="1"/>
    <col min="5" max="5" width="45.5078125" customWidth="1"/>
    <col min="6" max="8" width="17.9609375" customWidth="1"/>
  </cols>
  <sheetData>
    <row r="1" ht="16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60" customHeight="1" spans="1:8">
      <c r="A2" s="3">
        <v>46039</v>
      </c>
      <c r="B2" s="42" t="s">
        <v>8</v>
      </c>
      <c r="C2" s="5" t="s">
        <v>9</v>
      </c>
      <c r="D2" s="6">
        <v>0.3</v>
      </c>
      <c r="E2" s="23"/>
      <c r="F2" s="24">
        <v>9660000</v>
      </c>
      <c r="G2" s="24">
        <f t="shared" ref="G2:G6" si="0">F2*D2</f>
        <v>2898000</v>
      </c>
      <c r="H2" s="25">
        <f>SUM(G2:G6)</f>
        <v>5628000</v>
      </c>
    </row>
    <row r="3" ht="60" customHeight="1" spans="1:8">
      <c r="A3" s="7"/>
      <c r="B3" s="8"/>
      <c r="C3" s="5" t="s">
        <v>10</v>
      </c>
      <c r="D3" s="6">
        <v>0.3</v>
      </c>
      <c r="E3" s="26"/>
      <c r="F3" s="24">
        <v>2660000</v>
      </c>
      <c r="G3" s="24">
        <f t="shared" si="0"/>
        <v>798000</v>
      </c>
      <c r="H3" s="27"/>
    </row>
    <row r="4" ht="60" customHeight="1" spans="1:8">
      <c r="A4" s="7"/>
      <c r="B4" s="8"/>
      <c r="C4" s="5" t="s">
        <v>11</v>
      </c>
      <c r="D4" s="6">
        <v>10</v>
      </c>
      <c r="E4" s="26"/>
      <c r="F4" s="24">
        <v>29400</v>
      </c>
      <c r="G4" s="24">
        <f t="shared" si="0"/>
        <v>294000</v>
      </c>
      <c r="H4" s="27"/>
    </row>
    <row r="5" ht="60" customHeight="1" spans="1:8">
      <c r="A5" s="7"/>
      <c r="B5" s="8"/>
      <c r="C5" s="9" t="s">
        <v>12</v>
      </c>
      <c r="D5" s="6">
        <v>0.3</v>
      </c>
      <c r="E5" s="26"/>
      <c r="F5" s="24">
        <v>1540000</v>
      </c>
      <c r="G5" s="24">
        <f t="shared" si="0"/>
        <v>462000</v>
      </c>
      <c r="H5" s="27"/>
    </row>
    <row r="6" ht="60" customHeight="1" spans="1:8">
      <c r="A6" s="10"/>
      <c r="B6" s="10"/>
      <c r="C6" s="9" t="s">
        <v>13</v>
      </c>
      <c r="D6" s="6">
        <v>0.3</v>
      </c>
      <c r="E6" s="28"/>
      <c r="F6" s="24">
        <v>3920000</v>
      </c>
      <c r="G6" s="24">
        <f t="shared" si="0"/>
        <v>1176000</v>
      </c>
      <c r="H6" s="29"/>
    </row>
    <row r="7" ht="19" customHeight="1" spans="1:8">
      <c r="A7" s="11"/>
      <c r="B7" s="11"/>
      <c r="C7" s="11"/>
      <c r="D7" s="12"/>
      <c r="E7" s="30"/>
      <c r="F7" s="31"/>
      <c r="G7" s="31"/>
      <c r="H7" s="31"/>
    </row>
    <row r="8" ht="19" customHeight="1" spans="1:8">
      <c r="A8" s="13"/>
      <c r="B8" s="13"/>
      <c r="C8" s="13"/>
      <c r="D8" s="12"/>
      <c r="E8" s="30"/>
      <c r="F8" s="31"/>
      <c r="G8" s="32"/>
      <c r="H8" s="32"/>
    </row>
    <row r="9" ht="84" customHeight="1" spans="1:8">
      <c r="A9" s="14"/>
      <c r="B9" s="15"/>
      <c r="C9" s="9"/>
      <c r="D9" s="6"/>
      <c r="E9" s="26"/>
      <c r="F9" s="24"/>
      <c r="G9" s="33"/>
      <c r="H9" s="33"/>
    </row>
    <row r="10" ht="84" customHeight="1" spans="1:8">
      <c r="A10" s="14"/>
      <c r="B10" s="15"/>
      <c r="C10" s="16"/>
      <c r="D10" s="6"/>
      <c r="E10" s="28"/>
      <c r="F10" s="24"/>
      <c r="G10" s="34"/>
      <c r="H10" s="34"/>
    </row>
    <row r="11" ht="19" customHeight="1" spans="1:8">
      <c r="A11" s="17"/>
      <c r="B11" s="17"/>
      <c r="C11" s="17"/>
      <c r="D11" s="12"/>
      <c r="E11" s="28"/>
      <c r="F11" s="31"/>
      <c r="G11" s="31"/>
      <c r="H11" s="31"/>
    </row>
    <row r="12" ht="19" customHeight="1" spans="1:8">
      <c r="A12" s="18"/>
      <c r="B12" s="18"/>
      <c r="C12" s="18"/>
      <c r="D12" s="19"/>
      <c r="E12" s="35"/>
      <c r="F12" s="36"/>
      <c r="G12" s="37"/>
      <c r="H12" s="38"/>
    </row>
    <row r="13" ht="27" customHeight="1" spans="1:8">
      <c r="A13" s="20" t="s">
        <v>14</v>
      </c>
      <c r="B13" s="21"/>
      <c r="C13" s="21"/>
      <c r="D13" s="22"/>
      <c r="E13" s="39">
        <f>SUM(H2:H12)</f>
        <v>5628000</v>
      </c>
      <c r="F13" s="40"/>
      <c r="G13" s="40"/>
      <c r="H13" s="41"/>
    </row>
  </sheetData>
  <mergeCells count="12">
    <mergeCell ref="A11:C11"/>
    <mergeCell ref="A12:C12"/>
    <mergeCell ref="A13:D13"/>
    <mergeCell ref="E13:H13"/>
    <mergeCell ref="A2:A5"/>
    <mergeCell ref="A9:A10"/>
    <mergeCell ref="B2:B5"/>
    <mergeCell ref="B9:B10"/>
    <mergeCell ref="E2:E6"/>
    <mergeCell ref="E9:E10"/>
    <mergeCell ref="H2:H6"/>
    <mergeCell ref="H9:H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CHAI CHITAI (Tea Leaf,etc)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2026-01-31T19:31:49Z</dcterms:created>
  <dcterms:modified xsi:type="dcterms:W3CDTF">2026-01-31T19:32:05Z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3BFE48CDE06A5E1925E87D695278B46B_41</vt:lpwstr>
  </property>
  <property fmtid="{D5CDD505-2E9C-101B-9397-08002B2CF9AE}" pid="3" name="KSOProductBuildVer">
    <vt:lpwstr>1033-12.1.23155.23155</vt:lpwstr>
  </property>
</Properties>
</file>