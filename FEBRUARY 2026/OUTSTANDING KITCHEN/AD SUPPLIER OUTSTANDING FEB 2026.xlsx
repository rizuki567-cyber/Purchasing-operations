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AD supplier (Grocerie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<sst xmlns="http://schemas.openxmlformats.org/spreadsheetml/2006/main" count="32" uniqueCount="27">
  <si>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DATE</t>
  </si>
  <si>
    <t>INVOICE NO.</t>
  </si>
  <si>
    <t>ITEM</t>
  </si>
  <si>
    <t>QYT</t>
  </si>
  <si>
    <t>PRICE</t>
  </si>
  <si>
    <t>SUBTOTAL</t>
  </si>
  <si>
    <t>TOTAL</t>
  </si>
  <si>
    <t>BILLS</t>
  </si>
  <si>
    <t>ADS-212672</t>
  </si>
  <si>
    <t>MOZARELLA CHEESE</t>
  </si>
  <si>
    <t>CANNED PEELED TOMATOES (MERKO)</t>
  </si>
  <si>
    <t>PARMESAN CHEESE GRATED</t>
  </si>
  <si>
    <t>ADS-212808</t>
  </si>
  <si>
    <t>BORGES EXTRA VIRGIN OIL 5L</t>
  </si>
  <si>
    <t>ADS-215506</t>
  </si>
  <si>
    <t>ADS-215543</t>
  </si>
  <si>
    <t>OIL RB BIB (Rose Brand)</t>
  </si>
  <si>
    <t>ADS-218552</t>
  </si>
  <si>
    <t>CHEESE SLICE YELLOW (ANCHOR)</t>
  </si>
  <si>
    <t>ADS-218555</t>
  </si>
  <si>
    <t>ADS-219976</t>
  </si>
  <si>
    <t>ADS-220627</t>
  </si>
  <si>
    <t>LA FONTE PASTA SPAGHETTI</t>
  </si>
  <si>
    <t>LA FONTE PASTA FETTUCINE</t>
  </si>
  <si>
    <t>LA FONTE PASTA PENNEZITI RIGATI</t>
  </si>
  <si>
    <t>ADS-222046</t>
  </si>
  <si>
    <t>SOVIA OIL 18 L BIB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</si>
</sst>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177" fontId="1" fillId="2" borderId="1" xfId="0" applyNumberFormat="1" applyFont="1" applyFill="1" applyBorder="1">
      <alignment vertical="center"/>
    </xf>
    <xf numFmtId="177" fontId="1" fillId="0" borderId="1" xfId="0" applyNumberFormat="1" applyFont="1" applyBorder="1">
      <alignment vertical="center"/>
    </xf>
    <xf numFmtId="177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19367</xdr:colOff>
      <xdr:row>1</xdr:row>
      <xdr:rowOff>26352</xdr:rowOff>
    </xdr:from>
    <xdr:to>
      <xdr:col>7</xdr:col>
      <xdr:colOff>2373947</xdr:colOff>
      <xdr:row>3</xdr:row>
      <xdr:rowOff>484822</xdr:rowOff>
    </xdr:to>
    <xdr:pic>
      <xdr:nvPicPr>
        <xdr:cNvPr id="2" name="ID_636AC24CC7954B4FADE29D289651AFD4" descr="PHOTO-2026-02-03-23-58-07"/>
        <xdr:cNvPicPr>
          <a:picLocks noChangeAspect="1"/>
        </xdr:cNvPicPr>
      </xdr:nvPicPr>
      <xdr:blipFill>
        <a:blip r:embed="rId1"/>
        <a:srcRect t="6357" r="2988"/>
        <a:stretch>
          <a:fillRect/>
        </a:stretch>
      </xdr:blipFill>
      <xdr:spPr>
        <a:xfrm rot="16200000">
          <a:off x="10127615" y="-167005"/>
          <a:ext cx="1449070" cy="2353945"/>
        </a:xfrm>
        <a:prstGeom prst="rect">
          <a:avLst/>
        </a:prstGeom>
      </xdr:spPr>
    </xdr:pic>
    <xdr:clientData/>
  </xdr:twoCellAnchor>
  <xdr:twoCellAnchor editAs="oneCell">
    <xdr:from>
      <xdr:col>7</xdr:col>
      <xdr:colOff>28257</xdr:colOff>
      <xdr:row>4</xdr:row>
      <xdr:rowOff>18732</xdr:rowOff>
    </xdr:from>
    <xdr:to>
      <xdr:col>7</xdr:col>
      <xdr:colOff>2365692</xdr:colOff>
      <xdr:row>4</xdr:row>
      <xdr:rowOff>1408112</xdr:rowOff>
    </xdr:to>
    <xdr:pic>
      <xdr:nvPicPr>
        <xdr:cNvPr id="3" name="ID_4CDFAB597ABE46C7BAED4C1965C98541" descr="PHOTO-2026-02-03-23-58-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0157460" y="1289050"/>
          <a:ext cx="1389380" cy="2337435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5</xdr:row>
      <xdr:rowOff>22225</xdr:rowOff>
    </xdr:from>
    <xdr:to>
      <xdr:col>7</xdr:col>
      <xdr:colOff>2359025</xdr:colOff>
      <xdr:row>5</xdr:row>
      <xdr:rowOff>1356360</xdr:rowOff>
    </xdr:to>
    <xdr:pic>
      <xdr:nvPicPr>
        <xdr:cNvPr id="4" name="ID_5F3D02B348164A1C915465852A0785D5" descr="PHOTO-2026-02-10-18-37-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10183495" y="2689860"/>
          <a:ext cx="1334135" cy="2328545"/>
        </a:xfrm>
        <a:prstGeom prst="rect">
          <a:avLst/>
        </a:prstGeom>
      </xdr:spPr>
    </xdr:pic>
    <xdr:clientData/>
  </xdr:twoCellAnchor>
  <xdr:twoCellAnchor editAs="oneCell">
    <xdr:from>
      <xdr:col>7</xdr:col>
      <xdr:colOff>30162</xdr:colOff>
      <xdr:row>6</xdr:row>
      <xdr:rowOff>21272</xdr:rowOff>
    </xdr:from>
    <xdr:to>
      <xdr:col>7</xdr:col>
      <xdr:colOff>2359342</xdr:colOff>
      <xdr:row>6</xdr:row>
      <xdr:rowOff>1355407</xdr:rowOff>
    </xdr:to>
    <xdr:pic>
      <xdr:nvPicPr>
        <xdr:cNvPr id="5" name="ID_6386F60E4AEC4EC3AFEA249BC4062CE2" descr="PHOTO-2026-02-10-18-38-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10182860" y="4057015"/>
          <a:ext cx="1334135" cy="2329180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</xdr:colOff>
      <xdr:row>7</xdr:row>
      <xdr:rowOff>21590</xdr:rowOff>
    </xdr:from>
    <xdr:to>
      <xdr:col>7</xdr:col>
      <xdr:colOff>2348230</xdr:colOff>
      <xdr:row>8</xdr:row>
      <xdr:rowOff>669925</xdr:rowOff>
    </xdr:to>
    <xdr:pic>
      <xdr:nvPicPr>
        <xdr:cNvPr id="6" name="ID_78F73135B2FD451DB88B524AAEEB9253" descr="PHOTO-2026-02-18-20-15-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7720" y="5923915"/>
          <a:ext cx="2306320" cy="1321435"/>
        </a:xfrm>
        <a:prstGeom prst="rect">
          <a:avLst/>
        </a:prstGeom>
      </xdr:spPr>
    </xdr:pic>
    <xdr:clientData/>
  </xdr:twoCellAnchor>
  <xdr:twoCellAnchor editAs="oneCell">
    <xdr:from>
      <xdr:col>7</xdr:col>
      <xdr:colOff>31115</xdr:colOff>
      <xdr:row>9</xdr:row>
      <xdr:rowOff>21590</xdr:rowOff>
    </xdr:from>
    <xdr:to>
      <xdr:col>7</xdr:col>
      <xdr:colOff>2359025</xdr:colOff>
      <xdr:row>9</xdr:row>
      <xdr:rowOff>1356995</xdr:rowOff>
    </xdr:to>
    <xdr:pic>
      <xdr:nvPicPr>
        <xdr:cNvPr id="7" name="ID_4ED73609D506421893662A520AC54B17" descr="PHOTO-2026-02-18-20-16-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86925" y="7270115"/>
          <a:ext cx="2327910" cy="1335405"/>
        </a:xfrm>
        <a:prstGeom prst="rect">
          <a:avLst/>
        </a:prstGeom>
      </xdr:spPr>
    </xdr:pic>
    <xdr:clientData/>
  </xdr:twoCellAnchor>
  <xdr:twoCellAnchor editAs="oneCell">
    <xdr:from>
      <xdr:col>7</xdr:col>
      <xdr:colOff>29845</xdr:colOff>
      <xdr:row>10</xdr:row>
      <xdr:rowOff>22225</xdr:rowOff>
    </xdr:from>
    <xdr:to>
      <xdr:col>7</xdr:col>
      <xdr:colOff>2359025</xdr:colOff>
      <xdr:row>10</xdr:row>
      <xdr:rowOff>1356995</xdr:rowOff>
    </xdr:to>
    <xdr:pic>
      <xdr:nvPicPr>
        <xdr:cNvPr id="8" name="ID_E2CDEC82C82F428896369A9185BDCB02" descr="PHOTO-2026-02-24-18-39-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85655" y="8640445"/>
          <a:ext cx="2329180" cy="1334770"/>
        </a:xfrm>
        <a:prstGeom prst="rect">
          <a:avLst/>
        </a:prstGeom>
      </xdr:spPr>
    </xdr:pic>
    <xdr:clientData/>
  </xdr:twoCellAnchor>
  <xdr:twoCellAnchor editAs="oneCell">
    <xdr:from>
      <xdr:col>7</xdr:col>
      <xdr:colOff>21590</xdr:colOff>
      <xdr:row>11</xdr:row>
      <xdr:rowOff>41910</xdr:rowOff>
    </xdr:from>
    <xdr:to>
      <xdr:col>7</xdr:col>
      <xdr:colOff>2367280</xdr:colOff>
      <xdr:row>14</xdr:row>
      <xdr:rowOff>326390</xdr:rowOff>
    </xdr:to>
    <xdr:pic>
      <xdr:nvPicPr>
        <xdr:cNvPr id="9" name="ID_A70C43B218474080B83A66C880027ED0" descr="PHOTO-2026-02-24-18-39-4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77400" y="10028555"/>
          <a:ext cx="2345690" cy="1351280"/>
        </a:xfrm>
        <a:prstGeom prst="rect">
          <a:avLst/>
        </a:prstGeom>
      </xdr:spPr>
    </xdr:pic>
    <xdr:clientData/>
  </xdr:twoCellAnchor>
  <xdr:twoCellAnchor editAs="oneCell">
    <xdr:from>
      <xdr:col>7</xdr:col>
      <xdr:colOff>21590</xdr:colOff>
      <xdr:row>15</xdr:row>
      <xdr:rowOff>22225</xdr:rowOff>
    </xdr:from>
    <xdr:to>
      <xdr:col>7</xdr:col>
      <xdr:colOff>2366645</xdr:colOff>
      <xdr:row>15</xdr:row>
      <xdr:rowOff>1433195</xdr:rowOff>
    </xdr:to>
    <xdr:pic>
      <xdr:nvPicPr>
        <xdr:cNvPr id="10" name="ID_8103FA87AE8545EC9DA47F8A26CA41AE" descr="PHOTO-2026-03-01-04-07-38"/>
        <xdr:cNvPicPr>
          <a:picLocks noChangeAspect="1"/>
        </xdr:cNvPicPr>
      </xdr:nvPicPr>
      <xdr:blipFill>
        <a:blip r:embed="rId9"/>
        <a:srcRect l="2778" r="1862"/>
        <a:stretch>
          <a:fillRect/>
        </a:stretch>
      </xdr:blipFill>
      <xdr:spPr>
        <a:xfrm>
          <a:off x="9677400" y="11431270"/>
          <a:ext cx="2345055" cy="1410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="111" zoomScaleNormal="111" topLeftCell="C1" workbookViewId="0">
      <pane ySplit="1" topLeftCell="A11" activePane="bottomLeft" state="frozen"/>
      <selection/>
      <selection pane="bottomLeft" activeCell="D36" sqref="D36"/>
    </sheetView>
  </sheetViews>
  <sheetFormatPr defaultColWidth="9.140625" defaultRowHeight="17.6"/>
  <cols>
    <col min="1" max="1" width="12.6875" style="3" customWidth="1"/>
    <col min="2" max="2" width="16" style="4" customWidth="1"/>
    <col min="3" max="3" width="38.25" style="5" customWidth="1"/>
    <col min="4" max="4" width="9.140625" style="4"/>
    <col min="5" max="5" width="13.3828125" style="2" customWidth="1"/>
    <col min="6" max="6" width="13.625" style="2" customWidth="1"/>
    <col min="7" max="7" width="15.7109375" style="2" customWidth="1"/>
    <col min="8" max="8" width="29.25" style="2" customWidth="1"/>
    <col min="9" max="9" width="14.9375" style="2"/>
    <col min="10" max="16384" width="9.140625" style="2"/>
  </cols>
  <sheetData>
    <row r="1" s="1" customFormat="1" ht="20.4" spans="1:8">
      <c r="A1" s="6" t="s">
        <v>0</v>
      </c>
      <c r="B1" s="7" t="s">
        <v>1</v>
      </c>
      <c r="C1" s="7" t="s">
        <v>2</v>
      </c>
      <c r="D1" s="8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="2" customFormat="1" ht="39" customHeight="1" spans="1:8">
      <c r="A2" s="9">
        <v>46055</v>
      </c>
      <c r="B2" s="10" t="s">
        <v>8</v>
      </c>
      <c r="C2" s="11" t="s">
        <v>9</v>
      </c>
      <c r="D2" s="12">
        <v>4.6</v>
      </c>
      <c r="E2" s="24">
        <v>120000</v>
      </c>
      <c r="F2" s="24">
        <f t="shared" ref="F2:F16" si="0">E2*D2</f>
        <v>552000</v>
      </c>
      <c r="G2" s="25">
        <f>SUM(F2:F4)</f>
        <v>2982000</v>
      </c>
      <c r="H2" s="26"/>
    </row>
    <row r="3" s="2" customFormat="1" ht="39" customHeight="1" spans="1:8">
      <c r="A3" s="13"/>
      <c r="B3" s="14"/>
      <c r="C3" s="11" t="s">
        <v>10</v>
      </c>
      <c r="D3" s="12">
        <v>18</v>
      </c>
      <c r="E3" s="24">
        <v>100000</v>
      </c>
      <c r="F3" s="24">
        <f t="shared" si="0"/>
        <v>1800000</v>
      </c>
      <c r="G3" s="27"/>
      <c r="H3" s="28"/>
    </row>
    <row r="4" s="2" customFormat="1" ht="39" customHeight="1" spans="1:8">
      <c r="A4" s="15"/>
      <c r="B4" s="16"/>
      <c r="C4" s="11" t="s">
        <v>11</v>
      </c>
      <c r="D4" s="12">
        <v>3</v>
      </c>
      <c r="E4" s="24">
        <v>210000</v>
      </c>
      <c r="F4" s="24">
        <f t="shared" si="0"/>
        <v>630000</v>
      </c>
      <c r="G4" s="29"/>
      <c r="H4" s="30"/>
    </row>
    <row r="5" s="2" customFormat="1" ht="111.8" customHeight="1" spans="1:9">
      <c r="A5" s="17">
        <v>46055</v>
      </c>
      <c r="B5" s="12" t="s">
        <v>12</v>
      </c>
      <c r="C5" s="11" t="s">
        <v>13</v>
      </c>
      <c r="D5" s="12">
        <v>1</v>
      </c>
      <c r="E5" s="24">
        <v>1300000</v>
      </c>
      <c r="F5" s="24">
        <f t="shared" si="0"/>
        <v>1300000</v>
      </c>
      <c r="G5" s="31">
        <f t="shared" ref="G5:G7" si="1">SUM(F5)</f>
        <v>1300000</v>
      </c>
      <c r="H5" s="32"/>
      <c r="I5" s="39"/>
    </row>
    <row r="6" s="2" customFormat="1" ht="107.8" customHeight="1" spans="1:8">
      <c r="A6" s="17">
        <v>46063</v>
      </c>
      <c r="B6" s="12" t="s">
        <v>14</v>
      </c>
      <c r="C6" s="11" t="s">
        <v>10</v>
      </c>
      <c r="D6" s="12">
        <v>18</v>
      </c>
      <c r="E6" s="24">
        <v>100000</v>
      </c>
      <c r="F6" s="24">
        <f t="shared" si="0"/>
        <v>1800000</v>
      </c>
      <c r="G6" s="31">
        <f t="shared" si="1"/>
        <v>1800000</v>
      </c>
      <c r="H6" s="32"/>
    </row>
    <row r="7" s="2" customFormat="1" ht="107.75" customHeight="1" spans="1:8">
      <c r="A7" s="17">
        <v>46063</v>
      </c>
      <c r="B7" s="12" t="s">
        <v>15</v>
      </c>
      <c r="C7" s="11" t="s">
        <v>16</v>
      </c>
      <c r="D7" s="12">
        <v>3</v>
      </c>
      <c r="E7" s="24">
        <v>380000</v>
      </c>
      <c r="F7" s="24">
        <f t="shared" si="0"/>
        <v>1140000</v>
      </c>
      <c r="G7" s="31">
        <f t="shared" si="1"/>
        <v>1140000</v>
      </c>
      <c r="H7" s="32"/>
    </row>
    <row r="8" s="2" customFormat="1" ht="53" customHeight="1" spans="1:8">
      <c r="A8" s="9">
        <v>46071</v>
      </c>
      <c r="B8" s="10" t="s">
        <v>17</v>
      </c>
      <c r="C8" s="11" t="s">
        <v>18</v>
      </c>
      <c r="D8" s="12">
        <v>2</v>
      </c>
      <c r="E8" s="24">
        <v>180000</v>
      </c>
      <c r="F8" s="24">
        <f t="shared" si="0"/>
        <v>360000</v>
      </c>
      <c r="G8" s="25">
        <f>SUM(F8:F9)</f>
        <v>912000</v>
      </c>
      <c r="H8" s="26"/>
    </row>
    <row r="9" s="2" customFormat="1" ht="53" customHeight="1" spans="1:8">
      <c r="A9" s="15"/>
      <c r="B9" s="16"/>
      <c r="C9" s="11" t="s">
        <v>9</v>
      </c>
      <c r="D9" s="12">
        <v>4.6</v>
      </c>
      <c r="E9" s="24">
        <v>120000</v>
      </c>
      <c r="F9" s="24">
        <f t="shared" si="0"/>
        <v>552000</v>
      </c>
      <c r="G9" s="29"/>
      <c r="H9" s="30"/>
    </row>
    <row r="10" s="2" customFormat="1" ht="107.85" customHeight="1" spans="1:8">
      <c r="A10" s="17">
        <v>46071</v>
      </c>
      <c r="B10" s="12" t="s">
        <v>19</v>
      </c>
      <c r="C10" s="11" t="s">
        <v>13</v>
      </c>
      <c r="D10" s="12">
        <v>1</v>
      </c>
      <c r="E10" s="24">
        <v>1300000</v>
      </c>
      <c r="F10" s="24">
        <f t="shared" si="0"/>
        <v>1300000</v>
      </c>
      <c r="G10" s="31">
        <f>SUM(F10)</f>
        <v>1300000</v>
      </c>
      <c r="H10" s="32"/>
    </row>
    <row r="11" s="2" customFormat="1" ht="107.75" customHeight="1" spans="1:8">
      <c r="A11" s="17">
        <v>46076</v>
      </c>
      <c r="B11" s="12" t="s">
        <v>20</v>
      </c>
      <c r="C11" s="11" t="s">
        <v>9</v>
      </c>
      <c r="D11" s="12">
        <v>4.6</v>
      </c>
      <c r="E11" s="24">
        <v>120000</v>
      </c>
      <c r="F11" s="24">
        <f t="shared" si="0"/>
        <v>552000</v>
      </c>
      <c r="G11" s="31">
        <f>SUM(F11)</f>
        <v>552000</v>
      </c>
      <c r="H11" s="32"/>
    </row>
    <row r="12" s="2" customFormat="1" ht="28" customHeight="1" spans="1:8">
      <c r="A12" s="9">
        <v>46077</v>
      </c>
      <c r="B12" s="10" t="s">
        <v>21</v>
      </c>
      <c r="C12" s="11" t="s">
        <v>22</v>
      </c>
      <c r="D12" s="12">
        <v>5</v>
      </c>
      <c r="E12" s="24">
        <v>35000</v>
      </c>
      <c r="F12" s="24">
        <f t="shared" si="0"/>
        <v>175000</v>
      </c>
      <c r="G12" s="25">
        <f>SUM(F12:F15)</f>
        <v>1027000</v>
      </c>
      <c r="H12" s="26"/>
    </row>
    <row r="13" s="2" customFormat="1" ht="28" customHeight="1" spans="1:8">
      <c r="A13" s="13"/>
      <c r="B13" s="14"/>
      <c r="C13" s="11" t="s">
        <v>23</v>
      </c>
      <c r="D13" s="12">
        <v>5</v>
      </c>
      <c r="E13" s="24">
        <v>30000</v>
      </c>
      <c r="F13" s="24">
        <f t="shared" si="0"/>
        <v>150000</v>
      </c>
      <c r="G13" s="27"/>
      <c r="H13" s="28"/>
    </row>
    <row r="14" s="2" customFormat="1" ht="28" customHeight="1" spans="1:8">
      <c r="A14" s="13"/>
      <c r="B14" s="14"/>
      <c r="C14" s="11" t="s">
        <v>24</v>
      </c>
      <c r="D14" s="12">
        <v>5</v>
      </c>
      <c r="E14" s="24">
        <v>30000</v>
      </c>
      <c r="F14" s="24">
        <f t="shared" si="0"/>
        <v>150000</v>
      </c>
      <c r="G14" s="27"/>
      <c r="H14" s="28"/>
    </row>
    <row r="15" s="2" customFormat="1" ht="28" customHeight="1" spans="1:8">
      <c r="A15" s="15"/>
      <c r="B15" s="16"/>
      <c r="C15" s="11" t="s">
        <v>9</v>
      </c>
      <c r="D15" s="12">
        <v>4.6</v>
      </c>
      <c r="E15" s="24">
        <v>120000</v>
      </c>
      <c r="F15" s="24">
        <f t="shared" si="0"/>
        <v>552000</v>
      </c>
      <c r="G15" s="29"/>
      <c r="H15" s="30"/>
    </row>
    <row r="16" s="2" customFormat="1" ht="113.05" customHeight="1" spans="1:8">
      <c r="A16" s="17">
        <v>46081</v>
      </c>
      <c r="B16" s="12" t="s">
        <v>25</v>
      </c>
      <c r="C16" s="11" t="s">
        <v>26</v>
      </c>
      <c r="D16" s="12">
        <v>3</v>
      </c>
      <c r="E16" s="24">
        <v>360000</v>
      </c>
      <c r="F16" s="24">
        <f t="shared" si="0"/>
        <v>1080000</v>
      </c>
      <c r="G16" s="31">
        <f>SUM(F16)</f>
        <v>1080000</v>
      </c>
      <c r="H16" s="32"/>
    </row>
    <row r="17" s="2" customFormat="1" spans="1:8">
      <c r="A17" s="17"/>
      <c r="B17" s="12"/>
      <c r="C17" s="11"/>
      <c r="D17" s="12"/>
      <c r="E17" s="24"/>
      <c r="F17" s="24"/>
      <c r="G17" s="31"/>
      <c r="H17" s="32"/>
    </row>
    <row r="18" s="2" customFormat="1" spans="1:8">
      <c r="A18" s="17"/>
      <c r="B18" s="12"/>
      <c r="C18" s="11"/>
      <c r="D18" s="12"/>
      <c r="E18" s="24"/>
      <c r="F18" s="24"/>
      <c r="G18" s="31"/>
      <c r="H18" s="32"/>
    </row>
    <row r="19" s="2" customFormat="1" spans="1:8">
      <c r="A19" s="18"/>
      <c r="B19" s="19"/>
      <c r="C19" s="20"/>
      <c r="D19" s="19"/>
      <c r="E19" s="33"/>
      <c r="F19" s="33"/>
      <c r="G19" s="34"/>
      <c r="H19" s="35"/>
    </row>
    <row r="20" s="2" customFormat="1" spans="1:8">
      <c r="A20" s="18"/>
      <c r="B20" s="19"/>
      <c r="C20" s="20"/>
      <c r="D20" s="19"/>
      <c r="E20" s="33"/>
      <c r="F20" s="33"/>
      <c r="G20" s="34"/>
      <c r="H20" s="35"/>
    </row>
    <row r="21" s="2" customFormat="1" spans="1:9">
      <c r="A21" s="21"/>
      <c r="B21" s="12"/>
      <c r="C21" s="22"/>
      <c r="D21" s="12"/>
      <c r="E21" s="36"/>
      <c r="F21" s="36"/>
      <c r="G21" s="37">
        <f>SUM(G2:G20)</f>
        <v>12093000</v>
      </c>
      <c r="H21" s="38"/>
      <c r="I21" s="39"/>
    </row>
    <row r="22" s="2" customFormat="1" spans="1:8">
      <c r="A22" s="3"/>
      <c r="B22" s="4"/>
      <c r="C22" s="5"/>
      <c r="D22" s="4"/>
      <c r="G22" s="4"/>
      <c r="H22" s="4"/>
    </row>
    <row r="24" s="2" customFormat="1" spans="1:7">
      <c r="A24" s="3"/>
      <c r="B24" s="4"/>
      <c r="C24" s="5"/>
      <c r="D24" s="4"/>
      <c r="G24" s="39"/>
    </row>
  </sheetData>
  <mergeCells count="12">
    <mergeCell ref="A2:A4"/>
    <mergeCell ref="A8:A9"/>
    <mergeCell ref="A12:A15"/>
    <mergeCell ref="B2:B4"/>
    <mergeCell ref="B8:B9"/>
    <mergeCell ref="B12:B15"/>
    <mergeCell ref="G2:G4"/>
    <mergeCell ref="G8:G9"/>
    <mergeCell ref="G12:G15"/>
    <mergeCell ref="H2:H4"/>
    <mergeCell ref="H8:H9"/>
    <mergeCell ref="H12:H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 supplier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2026-03-01T04:10:40Z</dcterms:created>
  <dcterms:modified xsi:type="dcterms:W3CDTF">2026-03-01T04:11:00Z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9C001E5C0540AAF3C04BA369762E6F11_41</vt:lpwstr>
  </property>
  <property fmtid="{D5CDD505-2E9C-101B-9397-08002B2CF9AE}" pid="3" name="KSOProductBuildVer">
    <vt:lpwstr>1033-12.1.23155.23155</vt:lpwstr>
  </property>
</Properties>
</file>