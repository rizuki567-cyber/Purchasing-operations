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CHAI CHITAI (Tea Leaf,etc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<sst xmlns="http://schemas.openxmlformats.org/spreadsheetml/2006/main" count="19" uniqueCount="18">
  <si>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</si>
  <si>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</si>
  <si>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</si>
  <si>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</si>
  <si>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</si>
  <si>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</si>
  <si>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</si>
  <si>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</si>
  <si>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DISCOUNT</t>
  </si>
  <si>
    <t>TAX</t>
  </si>
  <si>
    <t>#1</t>
  </si>
  <si>
    <t>MILK OOLONG</t>
  </si>
  <si>
    <t>MANGO OOLONG</t>
  </si>
  <si>
    <t>TIE GUAN YIN</t>
  </si>
  <si>
    <t>CHAMOMILE</t>
  </si>
  <si>
    <t>#2</t>
  </si>
  <si>
    <t>RED GABA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</si>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</sst>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Rp-421]#,##0.00;[Red][$Rp-421]#,##0.00"/>
    <numFmt numFmtId="177" formatCode="[$-409]d\-mmm\-yyyy;@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7" fontId="0" fillId="3" borderId="3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vertical="center"/>
    </xf>
    <xf numFmtId="176" fontId="0" fillId="3" borderId="2" xfId="0" applyNumberForma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176" fontId="0" fillId="3" borderId="10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vertical="center"/>
    </xf>
    <xf numFmtId="176" fontId="5" fillId="3" borderId="2" xfId="0" applyNumberFormat="1" applyFont="1" applyFill="1" applyBorder="1" applyAlignment="1">
      <alignment vertical="center"/>
    </xf>
    <xf numFmtId="176" fontId="0" fillId="3" borderId="2" xfId="0" applyNumberFormat="1" applyFont="1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178" fontId="6" fillId="3" borderId="5" xfId="0" applyNumberFormat="1" applyFont="1" applyFill="1" applyBorder="1" applyAlignment="1">
      <alignment vertical="center"/>
    </xf>
    <xf numFmtId="176" fontId="6" fillId="3" borderId="4" xfId="0" applyNumberFormat="1" applyFont="1" applyFill="1" applyBorder="1" applyAlignment="1">
      <alignment vertical="center"/>
    </xf>
    <xf numFmtId="176" fontId="5" fillId="3" borderId="4" xfId="0" applyNumberFormat="1" applyFont="1" applyFill="1" applyBorder="1" applyAlignment="1">
      <alignment vertical="center"/>
    </xf>
    <xf numFmtId="179" fontId="6" fillId="3" borderId="5" xfId="0" applyNumberFormat="1" applyFont="1" applyFill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vertical="center"/>
    </xf>
    <xf numFmtId="176" fontId="6" fillId="3" borderId="6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24130</xdr:colOff>
      <xdr:row>1</xdr:row>
      <xdr:rowOff>67310</xdr:rowOff>
    </xdr:from>
    <xdr:to>
      <xdr:col>4</xdr:col>
      <xdr:colOff>3693160</xdr:colOff>
      <xdr:row>4</xdr:row>
      <xdr:rowOff>756920</xdr:rowOff>
    </xdr:to>
    <xdr:pic>
      <xdr:nvPicPr>
        <xdr:cNvPr id="2" name="ID_BF6CC3CD91544791ADB985CF5CA328E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20285" y="270510"/>
          <a:ext cx="3669030" cy="312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95885</xdr:colOff>
      <xdr:row>7</xdr:row>
      <xdr:rowOff>24130</xdr:rowOff>
    </xdr:from>
    <xdr:to>
      <xdr:col>4</xdr:col>
      <xdr:colOff>3620770</xdr:colOff>
      <xdr:row>7</xdr:row>
      <xdr:rowOff>2505710</xdr:rowOff>
    </xdr:to>
    <xdr:pic>
      <xdr:nvPicPr>
        <xdr:cNvPr id="3" name="ID_E92B78E5544D4317B79802DC48EE37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92040" y="3961130"/>
          <a:ext cx="3524885" cy="2481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90" zoomScaleNormal="90" topLeftCell="F1" workbookViewId="0">
      <selection activeCell="K8" sqref="K8"/>
    </sheetView>
  </sheetViews>
  <sheetFormatPr defaultColWidth="9.140625" defaultRowHeight="16.8"/>
  <cols>
    <col min="1" max="1" width="13.3984375" customWidth="1"/>
    <col min="2" max="2" width="11.1640625" customWidth="1"/>
    <col min="3" max="3" width="18.5703125" customWidth="1"/>
    <col min="4" max="4" width="15.875" customWidth="1"/>
    <col min="5" max="5" width="45.5078125" customWidth="1"/>
    <col min="6" max="6" width="17.9609375" style="1" customWidth="1"/>
    <col min="7" max="11" width="17.9609375" style="2" customWidth="1"/>
  </cols>
  <sheetData>
    <row r="1" ht="16" customHeight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7</v>
      </c>
    </row>
    <row r="2" ht="64" customHeight="1" spans="1:11">
      <c r="A2" s="5">
        <v>46069</v>
      </c>
      <c r="B2" s="6" t="s">
        <v>10</v>
      </c>
      <c r="C2" s="7" t="s">
        <v>11</v>
      </c>
      <c r="D2" s="8">
        <v>2</v>
      </c>
      <c r="E2" s="23"/>
      <c r="F2" s="24">
        <v>280000</v>
      </c>
      <c r="G2" s="25">
        <f>F2*D2</f>
        <v>560000</v>
      </c>
      <c r="H2" s="26">
        <f>SUM(G2:G5)</f>
        <v>2700000</v>
      </c>
      <c r="I2" s="26">
        <f>H2*30%</f>
        <v>810000</v>
      </c>
      <c r="J2" s="26">
        <f>(H2-I2)*0%</f>
        <v>0</v>
      </c>
      <c r="K2" s="25">
        <f>H2-I2</f>
        <v>1890000</v>
      </c>
    </row>
    <row r="3" ht="64" customHeight="1" spans="1:11">
      <c r="A3" s="9"/>
      <c r="B3" s="10"/>
      <c r="C3" s="7" t="s">
        <v>12</v>
      </c>
      <c r="D3" s="8">
        <v>6</v>
      </c>
      <c r="E3" s="27"/>
      <c r="F3" s="24">
        <v>190000</v>
      </c>
      <c r="G3" s="25">
        <f t="shared" ref="G3:G8" si="0">F3*D3</f>
        <v>1140000</v>
      </c>
      <c r="H3" s="28"/>
      <c r="I3" s="28"/>
      <c r="J3" s="28"/>
      <c r="K3" s="25"/>
    </row>
    <row r="4" ht="64" customHeight="1" spans="1:11">
      <c r="A4" s="9"/>
      <c r="B4" s="10"/>
      <c r="C4" s="7" t="s">
        <v>13</v>
      </c>
      <c r="D4" s="8">
        <v>2</v>
      </c>
      <c r="E4" s="27"/>
      <c r="F4" s="24">
        <v>280000</v>
      </c>
      <c r="G4" s="25">
        <f t="shared" si="0"/>
        <v>560000</v>
      </c>
      <c r="H4" s="28"/>
      <c r="I4" s="28"/>
      <c r="J4" s="28"/>
      <c r="K4" s="25"/>
    </row>
    <row r="5" ht="64" customHeight="1" spans="1:11">
      <c r="A5" s="9"/>
      <c r="B5" s="10"/>
      <c r="C5" s="11" t="s">
        <v>14</v>
      </c>
      <c r="D5" s="8">
        <v>4</v>
      </c>
      <c r="E5" s="29"/>
      <c r="F5" s="24">
        <v>110000</v>
      </c>
      <c r="G5" s="25">
        <f t="shared" si="0"/>
        <v>440000</v>
      </c>
      <c r="H5" s="30"/>
      <c r="I5" s="30"/>
      <c r="J5" s="30"/>
      <c r="K5" s="25"/>
    </row>
    <row r="6" ht="19" customHeight="1" spans="1:11">
      <c r="A6" s="12"/>
      <c r="B6" s="12"/>
      <c r="C6" s="12"/>
      <c r="D6" s="13"/>
      <c r="E6" s="31"/>
      <c r="F6" s="32"/>
      <c r="G6" s="33"/>
      <c r="H6" s="33"/>
      <c r="I6" s="33"/>
      <c r="J6" s="33"/>
      <c r="K6" s="33"/>
    </row>
    <row r="7" ht="19" customHeight="1" spans="1:11">
      <c r="A7" s="14"/>
      <c r="B7" s="14"/>
      <c r="C7" s="14"/>
      <c r="D7" s="13"/>
      <c r="E7" s="31"/>
      <c r="F7" s="32"/>
      <c r="G7" s="34"/>
      <c r="H7" s="34"/>
      <c r="I7" s="34"/>
      <c r="J7" s="34"/>
      <c r="K7" s="34"/>
    </row>
    <row r="8" ht="198.45" customHeight="1" spans="1:11">
      <c r="A8" s="15">
        <v>46080</v>
      </c>
      <c r="B8" s="16" t="s">
        <v>15</v>
      </c>
      <c r="C8" s="11" t="s">
        <v>16</v>
      </c>
      <c r="D8" s="8">
        <v>4</v>
      </c>
      <c r="E8" s="27"/>
      <c r="F8" s="24">
        <v>550000</v>
      </c>
      <c r="G8" s="35">
        <f t="shared" si="0"/>
        <v>2200000</v>
      </c>
      <c r="H8" s="35">
        <f>SUM(G8)</f>
        <v>2200000</v>
      </c>
      <c r="I8" s="35">
        <f>H8*30%</f>
        <v>660000</v>
      </c>
      <c r="J8" s="35">
        <f>(H8-I8)*0%</f>
        <v>0</v>
      </c>
      <c r="K8" s="35">
        <f>H8-I8</f>
        <v>1540000</v>
      </c>
    </row>
    <row r="9" ht="19" customHeight="1" spans="1:11">
      <c r="A9" s="12"/>
      <c r="B9" s="12"/>
      <c r="C9" s="12"/>
      <c r="D9" s="13"/>
      <c r="E9" s="36"/>
      <c r="F9" s="32"/>
      <c r="G9" s="33"/>
      <c r="H9" s="33"/>
      <c r="I9" s="33"/>
      <c r="J9" s="33"/>
      <c r="K9" s="33"/>
    </row>
    <row r="10" ht="19" customHeight="1" spans="1:11">
      <c r="A10" s="14"/>
      <c r="B10" s="14"/>
      <c r="C10" s="14"/>
      <c r="D10" s="17"/>
      <c r="E10" s="37"/>
      <c r="F10" s="38"/>
      <c r="G10" s="39"/>
      <c r="H10" s="39"/>
      <c r="I10" s="39"/>
      <c r="J10" s="39"/>
      <c r="K10" s="42"/>
    </row>
    <row r="11" ht="27" customHeight="1" spans="1:11">
      <c r="A11" s="18" t="s">
        <v>17</v>
      </c>
      <c r="B11" s="19"/>
      <c r="C11" s="19"/>
      <c r="D11" s="20"/>
      <c r="E11" s="40">
        <f>SUM(K2:K10)</f>
        <v>3430000</v>
      </c>
      <c r="F11" s="41"/>
      <c r="G11" s="38"/>
      <c r="H11" s="38"/>
      <c r="I11" s="38"/>
      <c r="J11" s="38"/>
      <c r="K11" s="43"/>
    </row>
  </sheetData>
  <mergeCells count="13">
    <mergeCell ref="A6:C6"/>
    <mergeCell ref="A7:C7"/>
    <mergeCell ref="A9:C9"/>
    <mergeCell ref="A10:C10"/>
    <mergeCell ref="A11:D11"/>
    <mergeCell ref="E11:K11"/>
    <mergeCell ref="A2:A5"/>
    <mergeCell ref="B2:B5"/>
    <mergeCell ref="E2:E5"/>
    <mergeCell ref="H2:H5"/>
    <mergeCell ref="I2:I5"/>
    <mergeCell ref="J2:J5"/>
    <mergeCell ref="K2:K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CHAI CHITAI (Tea Leaf,etc)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2026-03-01T05:48:44Z</dcterms:created>
  <dcterms:modified xsi:type="dcterms:W3CDTF">2026-03-01T05:48:56Z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CD537599666A8C0CBC62A36913FF88E1_41</vt:lpwstr>
  </property>
  <property fmtid="{D5CDD505-2E9C-101B-9397-08002B2CF9AE}" pid="3" name="KSOProductBuildVer">
    <vt:lpwstr>1033-12.1.23155.23155</vt:lpwstr>
  </property>
</Properties>
</file>