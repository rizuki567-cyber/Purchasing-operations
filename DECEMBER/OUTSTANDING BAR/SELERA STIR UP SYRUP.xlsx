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63085A15C36462487EA4D8D9789A550" descr="PHOTO-2025-12-29-15-07-52"/>
        <xdr:cNvPicPr>
          <a:picLocks noChangeAspect="1"/>
        </xdr:cNvPicPr>
      </xdr:nvPicPr>
      <xdr:blipFill>
        <a:blip r:embed="rId1"/>
        <a:srcRect t="7278" r="2314" b="15249"/>
        <a:stretch>
          <a:fillRect/>
        </a:stretch>
      </xdr:blipFill>
      <xdr:spPr>
        <a:xfrm>
          <a:off x="7675245" y="16997045"/>
          <a:ext cx="5460365" cy="7838440"/>
        </a:xfrm>
        <a:prstGeom prst="rect">
          <a:avLst/>
        </a:prstGeom>
      </xdr:spPr>
    </xdr:pic>
  </etc:cellImage>
  <etc:cellImage>
    <xdr:pic>
      <xdr:nvPicPr>
        <xdr:cNvPr id="6" name="ID_418A5AF28D144CFA93A9BDD1060969B9" descr="WhatsApp Image 2025-12-10 at 18.43.27_574a5a46"/>
        <xdr:cNvPicPr>
          <a:picLocks noChangeAspect="1"/>
        </xdr:cNvPicPr>
      </xdr:nvPicPr>
      <xdr:blipFill>
        <a:blip r:embed="rId2"/>
        <a:srcRect l="2751" t="12912" b="9324"/>
        <a:stretch>
          <a:fillRect/>
        </a:stretch>
      </xdr:blipFill>
      <xdr:spPr>
        <a:xfrm>
          <a:off x="6746875" y="11828145"/>
          <a:ext cx="2815590" cy="40024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<sst xmlns="http://schemas.openxmlformats.org/spreadsheetml/2006/main" count="34" uniqueCount="21">
  <si>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</si>
  <si>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</si>
  <si>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</si>
  <si>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</si>
  <si>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</si>
  <si>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</si>
  <si>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</si>
  <si>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</si>
  <si>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SO-2504780</t>
  </si>
  <si>
    <t>MARVELOUS MANGO PET</t>
  </si>
  <si>
    <t>SUB TOTAL</t>
  </si>
  <si>
    <t>PPN (11%)</t>
  </si>
  <si>
    <t>SO-2504895</t>
  </si>
  <si>
    <t>PARADISE PEACH PET</t>
  </si>
  <si>
    <t>KOOL KIWI PET</t>
  </si>
  <si>
    <t>VOILA VANILLA</t>
  </si>
  <si>
    <t>SO-2504950</t>
  </si>
  <si>
    <t>CHEERFUL AMAREENA CHERRY PET</t>
  </si>
  <si>
    <t>LOYAL LYCHEE PET</t>
  </si>
  <si>
    <t>SO-2505255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</si>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</sst>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  <numFmt numFmtId="179" formatCode="[$Rp-421]#,##0.00;[Red][$Rp-421]#,##0.00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vertical="center" wrapText="1"/>
    </xf>
    <xf numFmtId="176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3" fillId="3" borderId="5" xfId="0" applyNumberFormat="1" applyFont="1" applyFill="1" applyBorder="1" applyAlignment="1">
      <alignment horizontal="center" vertical="center"/>
    </xf>
    <xf numFmtId="179" fontId="3" fillId="3" borderId="6" xfId="0" applyNumberFormat="1" applyFont="1" applyFill="1" applyBorder="1" applyAlignment="1">
      <alignment horizontal="center" vertical="center"/>
    </xf>
    <xf numFmtId="179" fontId="3" fillId="3" borderId="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3" fillId="2" borderId="5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179" fontId="3" fillId="2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jpe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26670</xdr:colOff>
      <xdr:row>1</xdr:row>
      <xdr:rowOff>53975</xdr:rowOff>
    </xdr:from>
    <xdr:to>
      <xdr:col>4</xdr:col>
      <xdr:colOff>2987675</xdr:colOff>
      <xdr:row>5</xdr:row>
      <xdr:rowOff>759460</xdr:rowOff>
    </xdr:to>
    <xdr:pic>
      <xdr:nvPicPr>
        <xdr:cNvPr id="2" name="ID_DC5B928B23C440599D703304ADFF8E6B" descr="WhatsApp Image 2025-12-05 at 23.06.53_6477afa7"/>
        <xdr:cNvPicPr>
          <a:picLocks noChangeAspect="1"/>
        </xdr:cNvPicPr>
      </xdr:nvPicPr>
      <xdr:blipFill>
        <a:blip r:embed="rId1"/>
        <a:srcRect t="12571" r="3049" b="14823"/>
        <a:stretch>
          <a:fillRect/>
        </a:stretch>
      </xdr:blipFill>
      <xdr:spPr>
        <a:xfrm>
          <a:off x="5880100" y="485775"/>
          <a:ext cx="2961005" cy="395668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8</xdr:row>
      <xdr:rowOff>36195</xdr:rowOff>
    </xdr:from>
    <xdr:to>
      <xdr:col>4</xdr:col>
      <xdr:colOff>2987675</xdr:colOff>
      <xdr:row>10</xdr:row>
      <xdr:rowOff>1349375</xdr:rowOff>
    </xdr:to>
    <xdr:pic>
      <xdr:nvPicPr>
        <xdr:cNvPr id="3" name="ID_F788ADCFF2B1436BBFD8ABD3E1DC39A2" descr="WhatsApp Image 2025-12-10 at 18.43.57_c24a3706"/>
        <xdr:cNvPicPr>
          <a:picLocks noChangeAspect="1"/>
        </xdr:cNvPicPr>
      </xdr:nvPicPr>
      <xdr:blipFill>
        <a:blip r:embed="rId2"/>
        <a:srcRect t="15695" r="1414" b="7238"/>
        <a:stretch>
          <a:fillRect/>
        </a:stretch>
      </xdr:blipFill>
      <xdr:spPr>
        <a:xfrm>
          <a:off x="5880100" y="5420995"/>
          <a:ext cx="2961005" cy="410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H10" sqref="$A1:$XFD1048576"/>
    </sheetView>
  </sheetViews>
  <sheetFormatPr defaultColWidth="9.140625" defaultRowHeight="23.2" outlineLevelCol="7"/>
  <cols>
    <col min="1" max="1" width="17" style="2" customWidth="1"/>
    <col min="2" max="2" width="18" style="1" customWidth="1"/>
    <col min="3" max="3" width="24.2890625" style="1" customWidth="1"/>
    <col min="4" max="4" width="12.7265625" style="3" customWidth="1"/>
    <col min="5" max="5" width="45.203125" style="1" customWidth="1"/>
    <col min="6" max="7" width="29.0703125" style="1" customWidth="1"/>
    <col min="8" max="8" width="23.1171875" style="1" customWidth="1"/>
    <col min="9" max="12" width="9.140625" style="1"/>
    <col min="13" max="13" width="13.140625" style="1" customWidth="1"/>
    <col min="14" max="16384" width="9.140625" style="1"/>
  </cols>
  <sheetData>
    <row r="1" s="1" customFormat="1" ht="34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8" t="s">
        <v>7</v>
      </c>
    </row>
    <row r="2" s="1" customFormat="1" ht="64" customHeight="1" spans="1:8">
      <c r="A2" s="6">
        <v>45992</v>
      </c>
      <c r="B2" s="6" t="s">
        <v>8</v>
      </c>
      <c r="C2" s="7" t="s">
        <v>9</v>
      </c>
      <c r="D2" s="8">
        <v>5</v>
      </c>
      <c r="E2" s="19"/>
      <c r="F2" s="20">
        <v>100000</v>
      </c>
      <c r="G2" s="20">
        <f>D2*F2</f>
        <v>500000</v>
      </c>
      <c r="H2" s="21">
        <f>SUM(G2:G6)</f>
        <v>500000</v>
      </c>
    </row>
    <row r="3" s="1" customFormat="1" ht="64" customHeight="1" spans="1:8">
      <c r="A3" s="9"/>
      <c r="B3" s="9"/>
      <c r="C3" s="10"/>
      <c r="D3" s="11"/>
      <c r="E3" s="19"/>
      <c r="F3" s="22"/>
      <c r="G3" s="22"/>
      <c r="H3" s="23"/>
    </row>
    <row r="4" s="1" customFormat="1" ht="64" customHeight="1" spans="1:8">
      <c r="A4" s="9"/>
      <c r="B4" s="9"/>
      <c r="C4" s="10"/>
      <c r="D4" s="11"/>
      <c r="E4" s="19"/>
      <c r="F4" s="22"/>
      <c r="G4" s="22"/>
      <c r="H4" s="23"/>
    </row>
    <row r="5" s="1" customFormat="1" ht="64" customHeight="1" spans="1:8">
      <c r="A5" s="9"/>
      <c r="B5" s="9"/>
      <c r="C5" s="10"/>
      <c r="D5" s="11"/>
      <c r="E5" s="19"/>
      <c r="F5" s="22"/>
      <c r="G5" s="22"/>
      <c r="H5" s="23"/>
    </row>
    <row r="6" s="1" customFormat="1" ht="64" customHeight="1" spans="1:8">
      <c r="A6" s="9"/>
      <c r="B6" s="9"/>
      <c r="C6" s="10"/>
      <c r="D6" s="12"/>
      <c r="E6" s="19"/>
      <c r="F6" s="24"/>
      <c r="G6" s="24"/>
      <c r="H6" s="25"/>
    </row>
    <row r="7" s="1" customFormat="1" ht="35" customHeight="1" spans="1:8">
      <c r="A7" s="13" t="s">
        <v>10</v>
      </c>
      <c r="B7" s="13"/>
      <c r="C7" s="13"/>
      <c r="D7" s="14">
        <f>SUM(D2:D6)</f>
        <v>5</v>
      </c>
      <c r="E7" s="26"/>
      <c r="F7" s="27" t="s">
        <v>11</v>
      </c>
      <c r="G7" s="27"/>
      <c r="H7" s="27">
        <f>H2*11%</f>
        <v>55000</v>
      </c>
    </row>
    <row r="8" s="1" customFormat="1" ht="35" customHeight="1" spans="1:8">
      <c r="A8" s="13" t="s">
        <v>7</v>
      </c>
      <c r="B8" s="13"/>
      <c r="C8" s="13"/>
      <c r="D8" s="14"/>
      <c r="E8" s="28">
        <f>SUM(H2:H7)</f>
        <v>555000</v>
      </c>
      <c r="F8" s="29"/>
      <c r="G8" s="29"/>
      <c r="H8" s="30"/>
    </row>
    <row r="9" s="1" customFormat="1" ht="110" customHeight="1" spans="1:8">
      <c r="A9" s="6">
        <v>45999</v>
      </c>
      <c r="B9" s="6" t="s">
        <v>12</v>
      </c>
      <c r="C9" s="15" t="s">
        <v>13</v>
      </c>
      <c r="D9" s="14">
        <v>3</v>
      </c>
      <c r="E9" s="31"/>
      <c r="F9" s="32">
        <v>100000</v>
      </c>
      <c r="G9" s="32">
        <f t="shared" ref="G9:G11" si="0">D9*F9</f>
        <v>300000</v>
      </c>
      <c r="H9" s="21">
        <f>SUM(G9:G11)</f>
        <v>800000</v>
      </c>
    </row>
    <row r="10" s="1" customFormat="1" ht="110" customHeight="1" spans="1:8">
      <c r="A10" s="9"/>
      <c r="B10" s="9"/>
      <c r="C10" s="15" t="s">
        <v>14</v>
      </c>
      <c r="D10" s="14">
        <v>3</v>
      </c>
      <c r="E10" s="33"/>
      <c r="F10" s="32">
        <v>100000</v>
      </c>
      <c r="G10" s="32">
        <f t="shared" si="0"/>
        <v>300000</v>
      </c>
      <c r="H10" s="34"/>
    </row>
    <row r="11" s="1" customFormat="1" ht="110" customHeight="1" spans="1:8">
      <c r="A11" s="16"/>
      <c r="B11" s="16"/>
      <c r="C11" s="15" t="s">
        <v>15</v>
      </c>
      <c r="D11" s="14">
        <v>2</v>
      </c>
      <c r="E11" s="35"/>
      <c r="F11" s="32">
        <v>100000</v>
      </c>
      <c r="G11" s="32">
        <f t="shared" si="0"/>
        <v>200000</v>
      </c>
      <c r="H11" s="36"/>
    </row>
    <row r="12" s="1" customFormat="1" ht="64" customHeight="1" spans="1:8">
      <c r="A12" s="13" t="s">
        <v>10</v>
      </c>
      <c r="B12" s="13"/>
      <c r="C12" s="13"/>
      <c r="D12" s="14">
        <f>SUM(D9:D11)</f>
        <v>8</v>
      </c>
      <c r="E12" s="26"/>
      <c r="F12" s="27" t="s">
        <v>11</v>
      </c>
      <c r="G12" s="27"/>
      <c r="H12" s="27">
        <f>H9*11%</f>
        <v>88000</v>
      </c>
    </row>
    <row r="13" s="1" customFormat="1" ht="64" customHeight="1" spans="1:8">
      <c r="A13" s="13" t="s">
        <v>7</v>
      </c>
      <c r="B13" s="13"/>
      <c r="C13" s="13"/>
      <c r="D13" s="14"/>
      <c r="E13" s="28">
        <f>SUM(H9:H12)</f>
        <v>888000</v>
      </c>
      <c r="F13" s="29"/>
      <c r="G13" s="29"/>
      <c r="H13" s="30"/>
    </row>
    <row r="14" s="1" customFormat="1" ht="80" customHeight="1" spans="1:8">
      <c r="A14" s="17">
        <v>46366</v>
      </c>
      <c r="B14" s="17" t="s">
        <v>16</v>
      </c>
      <c r="C14" s="15" t="s">
        <v>17</v>
      </c>
      <c r="D14" s="14">
        <v>4</v>
      </c>
      <c r="E14" s="19" t="str">
        <f>_xlfn.DISPIMG("ID_418A5AF28D144CFA93A9BDD1060969B9",1)</f>
        <v>=DISPIMG("ID_418A5AF28D144CFA93A9BDD1060969B9",1)</v>
      </c>
      <c r="F14" s="32">
        <v>100000</v>
      </c>
      <c r="G14" s="32">
        <f t="shared" ref="G14:G17" si="1">D14*F14</f>
        <v>400000</v>
      </c>
      <c r="H14" s="37">
        <f>SUM(G14:G17)</f>
        <v>1500000</v>
      </c>
    </row>
    <row r="15" s="1" customFormat="1" ht="80" customHeight="1" spans="1:8">
      <c r="A15" s="17"/>
      <c r="B15" s="17"/>
      <c r="C15" s="15" t="s">
        <v>14</v>
      </c>
      <c r="D15" s="14">
        <v>4</v>
      </c>
      <c r="E15" s="19"/>
      <c r="F15" s="32">
        <v>100000</v>
      </c>
      <c r="G15" s="32">
        <f t="shared" si="1"/>
        <v>400000</v>
      </c>
      <c r="H15" s="38"/>
    </row>
    <row r="16" s="1" customFormat="1" ht="80" customHeight="1" spans="1:8">
      <c r="A16" s="17"/>
      <c r="B16" s="17"/>
      <c r="C16" s="15" t="s">
        <v>18</v>
      </c>
      <c r="D16" s="14">
        <v>4</v>
      </c>
      <c r="E16" s="19"/>
      <c r="F16" s="32">
        <v>100000</v>
      </c>
      <c r="G16" s="32">
        <f t="shared" si="1"/>
        <v>400000</v>
      </c>
      <c r="H16" s="38"/>
    </row>
    <row r="17" s="1" customFormat="1" ht="80" customHeight="1" spans="1:8">
      <c r="A17" s="17"/>
      <c r="B17" s="17"/>
      <c r="C17" s="15" t="s">
        <v>13</v>
      </c>
      <c r="D17" s="14">
        <v>3</v>
      </c>
      <c r="E17" s="19"/>
      <c r="F17" s="32">
        <v>100000</v>
      </c>
      <c r="G17" s="32">
        <f t="shared" si="1"/>
        <v>300000</v>
      </c>
      <c r="H17" s="38"/>
    </row>
    <row r="18" s="1" customFormat="1" ht="64" customHeight="1" spans="1:8">
      <c r="A18" s="13" t="s">
        <v>10</v>
      </c>
      <c r="B18" s="13"/>
      <c r="C18" s="13"/>
      <c r="D18" s="14">
        <f>SUM(D14:D17)</f>
        <v>15</v>
      </c>
      <c r="E18" s="26"/>
      <c r="F18" s="27" t="s">
        <v>11</v>
      </c>
      <c r="G18" s="27"/>
      <c r="H18" s="27">
        <f>H14*11%</f>
        <v>165000</v>
      </c>
    </row>
    <row r="19" s="1" customFormat="1" ht="64" customHeight="1" spans="1:8">
      <c r="A19" s="13" t="s">
        <v>7</v>
      </c>
      <c r="B19" s="13"/>
      <c r="C19" s="13"/>
      <c r="D19" s="14"/>
      <c r="E19" s="28">
        <f>SUM(H14:H18)</f>
        <v>1665000</v>
      </c>
      <c r="F19" s="29"/>
      <c r="G19" s="29"/>
      <c r="H19" s="30"/>
    </row>
    <row r="20" s="1" customFormat="1" ht="64" customHeight="1" spans="1:8">
      <c r="A20" s="6">
        <v>46020</v>
      </c>
      <c r="B20" s="6" t="s">
        <v>19</v>
      </c>
      <c r="C20" s="7" t="s">
        <v>9</v>
      </c>
      <c r="D20" s="8">
        <v>4</v>
      </c>
      <c r="E20" s="19" t="str">
        <f>_xlfn.DISPIMG("ID_D63085A15C36462487EA4D8D9789A550",1)</f>
        <v>=DISPIMG("ID_D63085A15C36462487EA4D8D9789A550",1)</v>
      </c>
      <c r="F20" s="20">
        <v>100000</v>
      </c>
      <c r="G20" s="20">
        <f>D20*F20</f>
        <v>400000</v>
      </c>
      <c r="H20" s="21">
        <f>SUM(G20:G24)</f>
        <v>400000</v>
      </c>
    </row>
    <row r="21" s="1" customFormat="1" ht="64" customHeight="1" spans="1:8">
      <c r="A21" s="9"/>
      <c r="B21" s="9"/>
      <c r="C21" s="10"/>
      <c r="D21" s="11"/>
      <c r="E21" s="19"/>
      <c r="F21" s="22"/>
      <c r="G21" s="22"/>
      <c r="H21" s="23"/>
    </row>
    <row r="22" s="1" customFormat="1" ht="64" customHeight="1" spans="1:8">
      <c r="A22" s="9"/>
      <c r="B22" s="9"/>
      <c r="C22" s="10"/>
      <c r="D22" s="11"/>
      <c r="E22" s="19"/>
      <c r="F22" s="22"/>
      <c r="G22" s="22"/>
      <c r="H22" s="23"/>
    </row>
    <row r="23" s="1" customFormat="1" ht="64" customHeight="1" spans="1:8">
      <c r="A23" s="9"/>
      <c r="B23" s="9"/>
      <c r="C23" s="10"/>
      <c r="D23" s="11"/>
      <c r="E23" s="19"/>
      <c r="F23" s="22"/>
      <c r="G23" s="22"/>
      <c r="H23" s="23"/>
    </row>
    <row r="24" s="1" customFormat="1" ht="64" customHeight="1" spans="1:8">
      <c r="A24" s="9"/>
      <c r="B24" s="9"/>
      <c r="C24" s="10"/>
      <c r="D24" s="12"/>
      <c r="E24" s="19"/>
      <c r="F24" s="24"/>
      <c r="G24" s="24"/>
      <c r="H24" s="25"/>
    </row>
    <row r="25" s="1" customFormat="1" ht="64" customHeight="1" spans="1:8">
      <c r="A25" s="13" t="s">
        <v>10</v>
      </c>
      <c r="B25" s="13"/>
      <c r="C25" s="13"/>
      <c r="D25" s="14">
        <f>SUM(D20:D24)</f>
        <v>4</v>
      </c>
      <c r="E25" s="26"/>
      <c r="F25" s="27" t="s">
        <v>11</v>
      </c>
      <c r="G25" s="27"/>
      <c r="H25" s="27">
        <f>H20*11%</f>
        <v>44000</v>
      </c>
    </row>
    <row r="26" s="1" customFormat="1" ht="64" customHeight="1" spans="1:8">
      <c r="A26" s="13" t="s">
        <v>7</v>
      </c>
      <c r="B26" s="13"/>
      <c r="C26" s="13"/>
      <c r="D26" s="14"/>
      <c r="E26" s="28">
        <f>SUM(H20:H25)</f>
        <v>444000</v>
      </c>
      <c r="F26" s="29"/>
      <c r="G26" s="29"/>
      <c r="H26" s="30"/>
    </row>
    <row r="27" s="1" customFormat="1" ht="64" customHeight="1" spans="1:8">
      <c r="A27" s="13" t="s">
        <v>20</v>
      </c>
      <c r="B27" s="13"/>
      <c r="C27" s="13"/>
      <c r="D27" s="14"/>
      <c r="E27" s="39">
        <f>SUM(E8,E13,E19,E26)</f>
        <v>3552000</v>
      </c>
      <c r="F27" s="40"/>
      <c r="G27" s="40"/>
      <c r="H27" s="41"/>
    </row>
    <row r="28" s="1" customFormat="1" ht="64" customHeight="1" spans="1:4">
      <c r="A28" s="2"/>
      <c r="B28" s="1"/>
      <c r="C28" s="1"/>
      <c r="D28" s="3"/>
    </row>
    <row r="29" s="1" customFormat="1" ht="64" customHeight="1" spans="1:4">
      <c r="A29" s="2"/>
      <c r="B29" s="1"/>
      <c r="C29" s="1"/>
      <c r="D29" s="3"/>
    </row>
    <row r="30" s="1" customFormat="1" ht="64" customHeight="1" spans="1:4">
      <c r="A30" s="2"/>
      <c r="B30" s="1"/>
      <c r="C30" s="1"/>
      <c r="D30" s="3"/>
    </row>
    <row r="31" s="1" customFormat="1" ht="35" customHeight="1" spans="1:4">
      <c r="A31" s="2"/>
      <c r="B31" s="1"/>
      <c r="C31" s="1"/>
      <c r="D31" s="3"/>
    </row>
    <row r="32" s="1" customFormat="1" ht="35" customHeight="1" spans="1:4">
      <c r="A32" s="2"/>
      <c r="B32" s="1"/>
      <c r="C32" s="1"/>
      <c r="D32" s="3"/>
    </row>
    <row r="33" s="1" customFormat="1" ht="160" customHeight="1" spans="1:4">
      <c r="A33" s="2"/>
      <c r="B33" s="1"/>
      <c r="C33" s="1"/>
      <c r="D33" s="3"/>
    </row>
    <row r="34" s="1" customFormat="1" ht="160" customHeight="1" spans="1:4">
      <c r="A34" s="2"/>
      <c r="B34" s="1"/>
      <c r="C34" s="1"/>
      <c r="D34" s="3"/>
    </row>
    <row r="35" s="1" customFormat="1" ht="35" customHeight="1" spans="1:4">
      <c r="A35" s="2"/>
      <c r="B35" s="1"/>
      <c r="C35" s="1"/>
      <c r="D35" s="3"/>
    </row>
    <row r="36" s="1" customFormat="1" ht="35" customHeight="1" spans="1:4">
      <c r="A36" s="2"/>
      <c r="B36" s="1"/>
      <c r="C36" s="1"/>
      <c r="D36" s="3"/>
    </row>
    <row r="37" s="1" customFormat="1" ht="321" customHeight="1" spans="1:4">
      <c r="A37" s="2"/>
      <c r="B37" s="1"/>
      <c r="C37" s="1"/>
      <c r="D37" s="3"/>
    </row>
    <row r="38" s="1" customFormat="1" ht="34" customHeight="1" spans="1:4">
      <c r="A38" s="2"/>
      <c r="B38" s="1"/>
      <c r="C38" s="1"/>
      <c r="D38" s="3"/>
    </row>
    <row r="39" s="1" customFormat="1" ht="34" customHeight="1" spans="1:4">
      <c r="A39" s="2"/>
      <c r="B39" s="1"/>
      <c r="C39" s="1"/>
      <c r="D39" s="3"/>
    </row>
    <row r="40" s="1" customFormat="1" ht="34" customHeight="1" spans="1:4">
      <c r="A40" s="2"/>
      <c r="B40" s="1"/>
      <c r="C40" s="1"/>
      <c r="D40" s="3"/>
    </row>
    <row r="41" s="1" customFormat="1" ht="58" customHeight="1" spans="1:4">
      <c r="A41" s="2"/>
      <c r="B41" s="1"/>
      <c r="C41" s="1"/>
      <c r="D41" s="3"/>
    </row>
    <row r="42" s="1" customFormat="1" ht="58" customHeight="1" spans="1:4">
      <c r="A42" s="2"/>
      <c r="B42" s="1"/>
      <c r="C42" s="1"/>
      <c r="D42" s="3"/>
    </row>
    <row r="43" s="1" customFormat="1" ht="58" customHeight="1" spans="1:4">
      <c r="A43" s="2"/>
      <c r="B43" s="1"/>
      <c r="C43" s="1"/>
      <c r="D43" s="3"/>
    </row>
    <row r="44" s="1" customFormat="1" ht="58" customHeight="1" spans="1:4">
      <c r="A44" s="2"/>
      <c r="B44" s="1"/>
      <c r="C44" s="1"/>
      <c r="D44" s="3"/>
    </row>
    <row r="45" s="1" customFormat="1" ht="58" customHeight="1" spans="1:4">
      <c r="A45" s="2"/>
      <c r="B45" s="1"/>
      <c r="C45" s="1"/>
      <c r="D45" s="3"/>
    </row>
    <row r="46" s="1" customFormat="1" ht="58" customHeight="1" spans="1:4">
      <c r="A46" s="2"/>
      <c r="B46" s="1"/>
      <c r="C46" s="1"/>
      <c r="D46" s="3"/>
    </row>
    <row r="47" s="1" customFormat="1" ht="58" customHeight="1" spans="1:4">
      <c r="A47" s="2"/>
      <c r="B47" s="1"/>
      <c r="C47" s="1"/>
      <c r="D47" s="3"/>
    </row>
    <row r="48" s="1" customFormat="1" ht="58" customHeight="1" spans="1:4">
      <c r="A48" s="2"/>
      <c r="B48" s="1"/>
      <c r="C48" s="1"/>
      <c r="D48" s="3"/>
    </row>
    <row r="49" s="1" customFormat="1" ht="58" customHeight="1" spans="1:4">
      <c r="A49" s="2"/>
      <c r="B49" s="1"/>
      <c r="C49" s="1"/>
      <c r="D49" s="3"/>
    </row>
    <row r="50" s="1" customFormat="1" ht="58" customHeight="1" spans="1:4">
      <c r="A50" s="2"/>
      <c r="B50" s="1"/>
      <c r="C50" s="1"/>
      <c r="D50" s="3"/>
    </row>
    <row r="51" s="1" customFormat="1" spans="1:4">
      <c r="A51" s="2"/>
      <c r="B51" s="1"/>
      <c r="C51" s="1"/>
      <c r="D51" s="3"/>
    </row>
    <row r="52" s="1" customFormat="1" spans="1:4">
      <c r="A52" s="2"/>
      <c r="B52" s="1"/>
      <c r="C52" s="1"/>
      <c r="D52" s="3"/>
    </row>
    <row r="53" s="1" customFormat="1" spans="1:4">
      <c r="A53" s="2"/>
      <c r="B53" s="1"/>
      <c r="C53" s="1"/>
      <c r="D53" s="3"/>
    </row>
    <row r="54" s="1" customFormat="1" spans="1:4">
      <c r="A54" s="2"/>
      <c r="B54" s="1"/>
      <c r="C54" s="1"/>
      <c r="D54" s="3"/>
    </row>
    <row r="55" s="1" customFormat="1" spans="1:4">
      <c r="A55" s="2"/>
      <c r="B55" s="1"/>
      <c r="C55" s="1"/>
      <c r="D55" s="3"/>
    </row>
    <row r="56" s="1" customFormat="1" spans="1:4">
      <c r="A56" s="2"/>
      <c r="B56" s="1"/>
      <c r="C56" s="1"/>
      <c r="D56" s="3"/>
    </row>
    <row r="57" s="1" customFormat="1" spans="1:4">
      <c r="A57" s="2"/>
      <c r="B57" s="1"/>
      <c r="C57" s="1"/>
      <c r="D57" s="3"/>
    </row>
    <row r="58" s="1" customFormat="1" spans="1:4">
      <c r="A58" s="2"/>
      <c r="B58" s="1"/>
      <c r="C58" s="1"/>
      <c r="D58" s="3"/>
    </row>
    <row r="59" s="1" customFormat="1" spans="1:4">
      <c r="A59" s="2"/>
      <c r="B59" s="1"/>
      <c r="C59" s="1"/>
      <c r="D59" s="3"/>
    </row>
    <row r="60" s="1" customFormat="1" spans="1:4">
      <c r="A60" s="2"/>
      <c r="B60" s="1"/>
      <c r="C60" s="1"/>
      <c r="D60" s="3"/>
    </row>
    <row r="61" s="1" customFormat="1" spans="1:4">
      <c r="A61" s="2"/>
      <c r="B61" s="1"/>
      <c r="C61" s="1"/>
      <c r="D61" s="3"/>
    </row>
    <row r="62" s="1" customFormat="1" spans="1:4">
      <c r="A62" s="2"/>
      <c r="B62" s="1"/>
      <c r="C62" s="1"/>
      <c r="D62" s="3"/>
    </row>
    <row r="63" s="1" customFormat="1" spans="1:4">
      <c r="A63" s="2"/>
      <c r="B63" s="1"/>
      <c r="C63" s="1"/>
      <c r="D63" s="3"/>
    </row>
    <row r="64" s="1" customFormat="1" spans="1:4">
      <c r="A64" s="2"/>
      <c r="B64" s="1"/>
      <c r="C64" s="1"/>
      <c r="D64" s="3"/>
    </row>
    <row r="65" s="1" customFormat="1" spans="1:4">
      <c r="A65" s="2"/>
      <c r="B65" s="1"/>
      <c r="C65" s="1"/>
      <c r="D65" s="3"/>
    </row>
    <row r="66" s="1" customFormat="1" spans="1:4">
      <c r="A66" s="2"/>
      <c r="B66" s="1"/>
      <c r="C66" s="1"/>
      <c r="D66" s="3"/>
    </row>
    <row r="67" s="1" customFormat="1" spans="1:4">
      <c r="A67" s="2"/>
      <c r="B67" s="1"/>
      <c r="C67" s="1"/>
      <c r="D67" s="3"/>
    </row>
    <row r="68" s="1" customFormat="1" spans="1:4">
      <c r="A68" s="2"/>
      <c r="B68" s="1"/>
      <c r="C68" s="1"/>
      <c r="D68" s="3"/>
    </row>
    <row r="69" s="1" customFormat="1" spans="1:4">
      <c r="A69" s="2"/>
      <c r="B69" s="1"/>
      <c r="C69" s="1"/>
      <c r="D69" s="3"/>
    </row>
    <row r="70" s="1" customFormat="1" spans="1:4">
      <c r="A70" s="2"/>
      <c r="B70" s="1"/>
      <c r="C70" s="1"/>
      <c r="D70" s="3"/>
    </row>
    <row r="71" s="1" customFormat="1" spans="1:4">
      <c r="A71" s="2"/>
      <c r="B71" s="1"/>
      <c r="C71" s="1"/>
      <c r="D71" s="3"/>
    </row>
    <row r="72" s="1" customFormat="1" spans="1:4">
      <c r="A72" s="2"/>
      <c r="B72" s="1"/>
      <c r="C72" s="1"/>
      <c r="D72" s="3"/>
    </row>
    <row r="73" s="1" customFormat="1" spans="1:4">
      <c r="A73" s="2"/>
      <c r="B73" s="1"/>
      <c r="C73" s="1"/>
      <c r="D73" s="3"/>
    </row>
    <row r="74" s="1" customFormat="1" spans="1:4">
      <c r="A74" s="2"/>
      <c r="B74" s="1"/>
      <c r="C74" s="1"/>
      <c r="D74" s="3"/>
    </row>
    <row r="75" s="1" customFormat="1" spans="1:4">
      <c r="A75" s="2"/>
      <c r="B75" s="1"/>
      <c r="C75" s="1"/>
      <c r="D75" s="3"/>
    </row>
    <row r="76" s="1" customFormat="1" spans="1:4">
      <c r="A76" s="2"/>
      <c r="B76" s="1"/>
      <c r="C76" s="1"/>
      <c r="D76" s="3"/>
    </row>
    <row r="77" s="1" customFormat="1" spans="1:4">
      <c r="A77" s="2"/>
      <c r="B77" s="1"/>
      <c r="C77" s="1"/>
      <c r="D77" s="3"/>
    </row>
    <row r="78" s="1" customFormat="1" spans="1:4">
      <c r="A78" s="2"/>
      <c r="B78" s="1"/>
      <c r="C78" s="1"/>
      <c r="D78" s="3"/>
    </row>
    <row r="79" s="1" customFormat="1" spans="1:4">
      <c r="A79" s="2"/>
      <c r="B79" s="1"/>
      <c r="C79" s="1"/>
      <c r="D79" s="3"/>
    </row>
    <row r="80" s="1" customFormat="1" spans="1:4">
      <c r="A80" s="2"/>
      <c r="B80" s="1"/>
      <c r="C80" s="1"/>
      <c r="D80" s="3"/>
    </row>
    <row r="81" s="1" customFormat="1" spans="1:4">
      <c r="A81" s="2"/>
      <c r="B81" s="1"/>
      <c r="C81" s="1"/>
      <c r="D81" s="3"/>
    </row>
    <row r="82" s="1" customFormat="1" spans="1:4">
      <c r="A82" s="2"/>
      <c r="B82" s="1"/>
      <c r="C82" s="1"/>
      <c r="D82" s="3"/>
    </row>
    <row r="83" s="1" customFormat="1" spans="1:4">
      <c r="A83" s="2"/>
      <c r="B83" s="1"/>
      <c r="C83" s="1"/>
      <c r="D83" s="3"/>
    </row>
    <row r="84" s="1" customFormat="1" spans="1:4">
      <c r="A84" s="2"/>
      <c r="B84" s="1"/>
      <c r="C84" s="1"/>
      <c r="D84" s="3"/>
    </row>
    <row r="85" s="1" customFormat="1" spans="1:4">
      <c r="A85" s="2"/>
      <c r="B85" s="1"/>
      <c r="C85" s="1"/>
      <c r="D85" s="3"/>
    </row>
    <row r="86" s="1" customFormat="1" spans="1:4">
      <c r="A86" s="2"/>
      <c r="B86" s="1"/>
      <c r="C86" s="1"/>
      <c r="D86" s="3"/>
    </row>
    <row r="87" s="1" customFormat="1" spans="1:4">
      <c r="A87" s="2"/>
      <c r="B87" s="1"/>
      <c r="C87" s="1"/>
      <c r="D87" s="3"/>
    </row>
    <row r="88" s="1" customFormat="1" spans="1:4">
      <c r="A88" s="2"/>
      <c r="B88" s="1"/>
      <c r="C88" s="1"/>
      <c r="D88" s="3"/>
    </row>
    <row r="89" s="1" customFormat="1" spans="1:4">
      <c r="A89" s="2"/>
      <c r="B89" s="1"/>
      <c r="C89" s="1"/>
      <c r="D89" s="3"/>
    </row>
    <row r="90" s="1" customFormat="1" spans="1:4">
      <c r="A90" s="2"/>
      <c r="B90" s="1"/>
      <c r="C90" s="1"/>
      <c r="D90" s="3"/>
    </row>
    <row r="91" s="1" customFormat="1" spans="1:4">
      <c r="A91" s="2"/>
      <c r="B91" s="1"/>
      <c r="C91" s="1"/>
      <c r="D91" s="3"/>
    </row>
    <row r="92" s="1" customFormat="1" spans="1:4">
      <c r="A92" s="2"/>
      <c r="B92" s="1"/>
      <c r="C92" s="1"/>
      <c r="D92" s="3"/>
    </row>
    <row r="93" s="1" customFormat="1" spans="1:4">
      <c r="A93" s="2"/>
      <c r="B93" s="1"/>
      <c r="C93" s="1"/>
      <c r="D93" s="3"/>
    </row>
    <row r="94" s="1" customFormat="1" spans="1:4">
      <c r="A94" s="2"/>
      <c r="B94" s="1"/>
      <c r="C94" s="1"/>
      <c r="D94" s="3"/>
    </row>
    <row r="95" s="1" customFormat="1" spans="1:4">
      <c r="A95" s="2"/>
      <c r="B95" s="1"/>
      <c r="C95" s="1"/>
      <c r="D95" s="3"/>
    </row>
    <row r="96" s="1" customFormat="1" spans="1:4">
      <c r="A96" s="2"/>
      <c r="B96" s="1"/>
      <c r="C96" s="1"/>
      <c r="D96" s="3"/>
    </row>
    <row r="97" s="1" customFormat="1" spans="1:4">
      <c r="A97" s="2"/>
      <c r="B97" s="1"/>
      <c r="C97" s="1"/>
      <c r="D97" s="3"/>
    </row>
    <row r="98" s="1" customFormat="1" spans="1:4">
      <c r="A98" s="2"/>
      <c r="B98" s="1"/>
      <c r="C98" s="1"/>
      <c r="D98" s="3"/>
    </row>
    <row r="99" s="1" customFormat="1" spans="1:4">
      <c r="A99" s="2"/>
      <c r="B99" s="1"/>
      <c r="C99" s="1"/>
      <c r="D99" s="3"/>
    </row>
    <row r="100" s="1" customFormat="1" spans="1:4">
      <c r="A100" s="2"/>
      <c r="B100" s="1"/>
      <c r="C100" s="1"/>
      <c r="D100" s="3"/>
    </row>
    <row r="101" s="1" customFormat="1" spans="1:4">
      <c r="A101" s="2"/>
      <c r="B101" s="1"/>
      <c r="C101" s="1"/>
      <c r="D101" s="3"/>
    </row>
    <row r="102" s="1" customFormat="1" spans="1:4">
      <c r="A102" s="2"/>
      <c r="B102" s="1"/>
      <c r="C102" s="1"/>
      <c r="D102" s="3"/>
    </row>
    <row r="103" s="1" customFormat="1" spans="1:4">
      <c r="A103" s="2"/>
      <c r="B103" s="1"/>
      <c r="C103" s="1"/>
      <c r="D103" s="3"/>
    </row>
    <row r="104" s="1" customFormat="1" spans="1:4">
      <c r="A104" s="2"/>
      <c r="B104" s="1"/>
      <c r="C104" s="1"/>
      <c r="D104" s="3"/>
    </row>
    <row r="105" s="1" customFormat="1" spans="1:4">
      <c r="A105" s="2"/>
      <c r="B105" s="1"/>
      <c r="C105" s="1"/>
      <c r="D105" s="3"/>
    </row>
    <row r="106" s="1" customFormat="1" spans="1:4">
      <c r="A106" s="2"/>
      <c r="B106" s="1"/>
      <c r="C106" s="1"/>
      <c r="D106" s="3"/>
    </row>
    <row r="107" s="1" customFormat="1" spans="1:4">
      <c r="A107" s="2"/>
      <c r="B107" s="1"/>
      <c r="C107" s="1"/>
      <c r="D107" s="3"/>
    </row>
    <row r="108" s="1" customFormat="1" spans="1:4">
      <c r="A108" s="2"/>
      <c r="B108" s="1"/>
      <c r="C108" s="1"/>
      <c r="D108" s="3"/>
    </row>
    <row r="109" s="1" customFormat="1" spans="1:4">
      <c r="A109" s="2"/>
      <c r="B109" s="1"/>
      <c r="C109" s="1"/>
      <c r="D109" s="3"/>
    </row>
    <row r="110" s="1" customFormat="1" spans="1:4">
      <c r="A110" s="2"/>
      <c r="B110" s="1"/>
      <c r="C110" s="1"/>
      <c r="D110" s="3"/>
    </row>
    <row r="111" s="1" customFormat="1" spans="1:4">
      <c r="A111" s="2"/>
      <c r="B111" s="1"/>
      <c r="C111" s="1"/>
      <c r="D111" s="3"/>
    </row>
    <row r="112" s="1" customFormat="1" spans="1:4">
      <c r="A112" s="2"/>
      <c r="B112" s="1"/>
      <c r="C112" s="1"/>
      <c r="D112" s="3"/>
    </row>
    <row r="113" s="1" customFormat="1" spans="1:4">
      <c r="A113" s="2"/>
      <c r="B113" s="1"/>
      <c r="C113" s="1"/>
      <c r="D113" s="3"/>
    </row>
    <row r="114" s="1" customFormat="1" spans="1:4">
      <c r="A114" s="2"/>
      <c r="B114" s="1"/>
      <c r="C114" s="1"/>
      <c r="D114" s="3"/>
    </row>
    <row r="115" s="1" customFormat="1" spans="1:4">
      <c r="A115" s="2"/>
      <c r="B115" s="1"/>
      <c r="C115" s="1"/>
      <c r="D115" s="3"/>
    </row>
    <row r="116" s="1" customFormat="1" spans="1:4">
      <c r="A116" s="2"/>
      <c r="B116" s="1"/>
      <c r="C116" s="1"/>
      <c r="D116" s="3"/>
    </row>
    <row r="117" s="1" customFormat="1" spans="1:4">
      <c r="A117" s="2"/>
      <c r="B117" s="1"/>
      <c r="C117" s="1"/>
      <c r="D117" s="3"/>
    </row>
    <row r="118" s="1" customFormat="1" spans="1:4">
      <c r="A118" s="2"/>
      <c r="B118" s="1"/>
      <c r="C118" s="1"/>
      <c r="D118" s="3"/>
    </row>
    <row r="119" s="1" customFormat="1" spans="1:4">
      <c r="A119" s="2"/>
      <c r="B119" s="1"/>
      <c r="C119" s="1"/>
      <c r="D119" s="3"/>
    </row>
    <row r="120" s="1" customFormat="1" spans="1:4">
      <c r="A120" s="2"/>
      <c r="B120" s="1"/>
      <c r="C120" s="1"/>
      <c r="D120" s="3"/>
    </row>
    <row r="121" s="1" customFormat="1" spans="1:4">
      <c r="A121" s="2"/>
      <c r="B121" s="1"/>
      <c r="C121" s="1"/>
      <c r="D121" s="3"/>
    </row>
    <row r="122" s="1" customFormat="1" spans="1:4">
      <c r="A122" s="2"/>
      <c r="B122" s="1"/>
      <c r="C122" s="1"/>
      <c r="D122" s="3"/>
    </row>
    <row r="123" s="1" customFormat="1" spans="1:4">
      <c r="A123" s="2"/>
      <c r="B123" s="1"/>
      <c r="C123" s="1"/>
      <c r="D123" s="3"/>
    </row>
    <row r="124" s="1" customFormat="1" spans="1:4">
      <c r="A124" s="2"/>
      <c r="B124" s="1"/>
      <c r="C124" s="1"/>
      <c r="D124" s="3"/>
    </row>
    <row r="125" s="1" customFormat="1" spans="1:4">
      <c r="A125" s="2"/>
      <c r="B125" s="1"/>
      <c r="C125" s="1"/>
      <c r="D125" s="3"/>
    </row>
    <row r="126" s="1" customFormat="1" spans="1:4">
      <c r="A126" s="2"/>
      <c r="B126" s="1"/>
      <c r="C126" s="1"/>
      <c r="D126" s="3"/>
    </row>
    <row r="127" s="1" customFormat="1" spans="1:4">
      <c r="A127" s="2"/>
      <c r="B127" s="1"/>
      <c r="C127" s="1"/>
      <c r="D127" s="3"/>
    </row>
    <row r="128" s="1" customFormat="1" spans="1:4">
      <c r="A128" s="2"/>
      <c r="B128" s="1"/>
      <c r="C128" s="1"/>
      <c r="D128" s="3"/>
    </row>
    <row r="129" s="1" customFormat="1" spans="1:4">
      <c r="A129" s="2"/>
      <c r="B129" s="1"/>
      <c r="C129" s="1"/>
      <c r="D129" s="3"/>
    </row>
    <row r="130" s="1" customFormat="1" spans="1:4">
      <c r="A130" s="2"/>
      <c r="B130" s="1"/>
      <c r="C130" s="1"/>
      <c r="D130" s="3"/>
    </row>
    <row r="131" s="1" customFormat="1" spans="1:4">
      <c r="A131" s="2"/>
      <c r="B131" s="1"/>
      <c r="C131" s="1"/>
      <c r="D131" s="3"/>
    </row>
    <row r="132" s="1" customFormat="1" spans="1:4">
      <c r="A132" s="2"/>
      <c r="B132" s="1"/>
      <c r="C132" s="1"/>
      <c r="D132" s="3"/>
    </row>
    <row r="133" s="1" customFormat="1" spans="1:4">
      <c r="A133" s="2"/>
      <c r="B133" s="1"/>
      <c r="C133" s="1"/>
      <c r="D133" s="3"/>
    </row>
    <row r="134" s="1" customFormat="1" spans="1:4">
      <c r="A134" s="2"/>
      <c r="B134" s="1"/>
      <c r="C134" s="1"/>
      <c r="D134" s="3"/>
    </row>
    <row r="135" s="1" customFormat="1" spans="1:4">
      <c r="A135" s="2"/>
      <c r="B135" s="1"/>
      <c r="C135" s="1"/>
      <c r="D135" s="3"/>
    </row>
    <row r="136" s="1" customFormat="1" spans="1:4">
      <c r="A136" s="2"/>
      <c r="B136" s="1"/>
      <c r="C136" s="1"/>
      <c r="D136" s="3"/>
    </row>
    <row r="137" s="1" customFormat="1" spans="1:4">
      <c r="A137" s="2"/>
      <c r="B137" s="1"/>
      <c r="C137" s="1"/>
      <c r="D137" s="3"/>
    </row>
    <row r="138" s="1" customFormat="1" spans="1:4">
      <c r="A138" s="2"/>
      <c r="B138" s="1"/>
      <c r="C138" s="1"/>
      <c r="D138" s="3"/>
    </row>
    <row r="139" s="1" customFormat="1" spans="1:4">
      <c r="A139" s="2"/>
      <c r="B139" s="1"/>
      <c r="C139" s="1"/>
      <c r="D139" s="3"/>
    </row>
    <row r="140" s="1" customFormat="1" spans="1:4">
      <c r="A140" s="2"/>
      <c r="B140" s="1"/>
      <c r="C140" s="1"/>
      <c r="D140" s="3"/>
    </row>
    <row r="141" s="1" customFormat="1" spans="1:4">
      <c r="A141" s="2"/>
      <c r="B141" s="1"/>
      <c r="C141" s="1"/>
      <c r="D141" s="3"/>
    </row>
    <row r="142" s="1" customFormat="1" spans="1:4">
      <c r="A142" s="2"/>
      <c r="B142" s="1"/>
      <c r="C142" s="1"/>
      <c r="D142" s="3"/>
    </row>
    <row r="143" s="1" customFormat="1" spans="1:4">
      <c r="A143" s="2"/>
      <c r="B143" s="1"/>
      <c r="C143" s="1"/>
      <c r="D143" s="3"/>
    </row>
    <row r="144" s="1" customFormat="1" spans="1:4">
      <c r="A144" s="2"/>
      <c r="B144" s="1"/>
      <c r="C144" s="1"/>
      <c r="D144" s="3"/>
    </row>
    <row r="145" s="1" customFormat="1" spans="1:4">
      <c r="A145" s="2"/>
      <c r="B145" s="1"/>
      <c r="C145" s="1"/>
      <c r="D145" s="3"/>
    </row>
    <row r="146" s="1" customFormat="1" spans="1:4">
      <c r="A146" s="2"/>
      <c r="B146" s="1"/>
      <c r="C146" s="1"/>
      <c r="D146" s="3"/>
    </row>
    <row r="147" s="1" customFormat="1" spans="1:4">
      <c r="A147" s="2"/>
      <c r="B147" s="1"/>
      <c r="C147" s="1"/>
      <c r="D147" s="3"/>
    </row>
    <row r="148" s="1" customFormat="1" spans="1:4">
      <c r="A148" s="2"/>
      <c r="B148" s="1"/>
      <c r="C148" s="1"/>
      <c r="D148" s="3"/>
    </row>
    <row r="149" s="1" customFormat="1" spans="1:4">
      <c r="A149" s="2"/>
      <c r="B149" s="1"/>
      <c r="C149" s="1"/>
      <c r="D149" s="3"/>
    </row>
    <row r="150" s="1" customFormat="1" spans="1:4">
      <c r="A150" s="2"/>
      <c r="B150" s="1"/>
      <c r="C150" s="1"/>
      <c r="D150" s="3"/>
    </row>
    <row r="151" s="1" customFormat="1" spans="1:4">
      <c r="A151" s="2"/>
      <c r="B151" s="1"/>
      <c r="C151" s="1"/>
      <c r="D151" s="3"/>
    </row>
    <row r="152" s="1" customFormat="1" spans="1:4">
      <c r="A152" s="2"/>
      <c r="B152" s="1"/>
      <c r="C152" s="1"/>
      <c r="D152" s="3"/>
    </row>
    <row r="153" s="1" customFormat="1" spans="1:4">
      <c r="A153" s="2"/>
      <c r="B153" s="1"/>
      <c r="C153" s="1"/>
      <c r="D153" s="3"/>
    </row>
    <row r="154" s="1" customFormat="1" spans="1:4">
      <c r="A154" s="2"/>
      <c r="B154" s="1"/>
      <c r="C154" s="1"/>
      <c r="D154" s="3"/>
    </row>
    <row r="155" s="1" customFormat="1" spans="1:4">
      <c r="A155" s="2"/>
      <c r="B155" s="1"/>
      <c r="C155" s="1"/>
      <c r="D155" s="3"/>
    </row>
    <row r="156" s="1" customFormat="1" spans="1:4">
      <c r="A156" s="2"/>
      <c r="B156" s="1"/>
      <c r="C156" s="1"/>
      <c r="D156" s="3"/>
    </row>
    <row r="157" s="1" customFormat="1" spans="1:4">
      <c r="A157" s="2"/>
      <c r="B157" s="1"/>
      <c r="C157" s="1"/>
      <c r="D157" s="3"/>
    </row>
    <row r="158" s="1" customFormat="1" spans="1:4">
      <c r="A158" s="2"/>
      <c r="B158" s="1"/>
      <c r="C158" s="1"/>
      <c r="D158" s="3"/>
    </row>
    <row r="159" s="1" customFormat="1" spans="1:4">
      <c r="A159" s="2"/>
      <c r="B159" s="1"/>
      <c r="C159" s="1"/>
      <c r="D159" s="3"/>
    </row>
    <row r="160" s="1" customFormat="1" spans="1:4">
      <c r="A160" s="2"/>
      <c r="B160" s="1"/>
      <c r="C160" s="1"/>
      <c r="D160" s="3"/>
    </row>
    <row r="161" s="1" customFormat="1" spans="1:4">
      <c r="A161" s="2"/>
      <c r="B161" s="1"/>
      <c r="C161" s="1"/>
      <c r="D161" s="3"/>
    </row>
    <row r="162" s="1" customFormat="1" spans="1:4">
      <c r="A162" s="2"/>
      <c r="B162" s="1"/>
      <c r="C162" s="1"/>
      <c r="D162" s="3"/>
    </row>
    <row r="163" s="1" customFormat="1" spans="1:4">
      <c r="A163" s="2"/>
      <c r="B163" s="1"/>
      <c r="C163" s="1"/>
      <c r="D163" s="3"/>
    </row>
    <row r="164" s="1" customFormat="1" spans="1:4">
      <c r="A164" s="2"/>
      <c r="B164" s="1"/>
      <c r="C164" s="1"/>
      <c r="D164" s="3"/>
    </row>
    <row r="165" s="1" customFormat="1" spans="1:4">
      <c r="A165" s="2"/>
      <c r="B165" s="1"/>
      <c r="C165" s="1"/>
      <c r="D165" s="3"/>
    </row>
    <row r="166" s="1" customFormat="1" spans="1:4">
      <c r="A166" s="2"/>
      <c r="B166" s="1"/>
      <c r="C166" s="1"/>
      <c r="D166" s="3"/>
    </row>
    <row r="167" s="1" customFormat="1" spans="1:4">
      <c r="A167" s="2"/>
      <c r="B167" s="1"/>
      <c r="C167" s="1"/>
      <c r="D167" s="3"/>
    </row>
    <row r="168" s="1" customFormat="1" spans="1:4">
      <c r="A168" s="2"/>
      <c r="B168" s="1"/>
      <c r="C168" s="1"/>
      <c r="D168" s="3"/>
    </row>
    <row r="169" s="1" customFormat="1" spans="1:4">
      <c r="A169" s="2"/>
      <c r="B169" s="1"/>
      <c r="C169" s="1"/>
      <c r="D169" s="3"/>
    </row>
    <row r="170" s="1" customFormat="1" spans="1:4">
      <c r="A170" s="2"/>
      <c r="B170" s="1"/>
      <c r="C170" s="1"/>
      <c r="D170" s="3"/>
    </row>
    <row r="171" s="1" customFormat="1" spans="1:4">
      <c r="A171" s="2"/>
      <c r="B171" s="1"/>
      <c r="C171" s="1"/>
      <c r="D171" s="3"/>
    </row>
    <row r="172" s="1" customFormat="1" spans="1:4">
      <c r="A172" s="2"/>
      <c r="B172" s="1"/>
      <c r="C172" s="1"/>
      <c r="D172" s="3"/>
    </row>
    <row r="173" s="1" customFormat="1" spans="1:4">
      <c r="A173" s="2"/>
      <c r="B173" s="1"/>
      <c r="C173" s="1"/>
      <c r="D173" s="3"/>
    </row>
    <row r="174" s="1" customFormat="1" spans="1:4">
      <c r="A174" s="2"/>
      <c r="B174" s="1"/>
      <c r="C174" s="1"/>
      <c r="D174" s="3"/>
    </row>
  </sheetData>
  <mergeCells count="42">
    <mergeCell ref="A7:C7"/>
    <mergeCell ref="F7:G7"/>
    <mergeCell ref="A8:C8"/>
    <mergeCell ref="E8:H8"/>
    <mergeCell ref="A12:C12"/>
    <mergeCell ref="F12:G12"/>
    <mergeCell ref="A13:C13"/>
    <mergeCell ref="E13:H13"/>
    <mergeCell ref="A18:C18"/>
    <mergeCell ref="F18:G18"/>
    <mergeCell ref="A19:C19"/>
    <mergeCell ref="E19:H19"/>
    <mergeCell ref="A25:C25"/>
    <mergeCell ref="F25:G25"/>
    <mergeCell ref="A26:C26"/>
    <mergeCell ref="E26:H26"/>
    <mergeCell ref="A27:C27"/>
    <mergeCell ref="E27:H27"/>
    <mergeCell ref="A2:A6"/>
    <mergeCell ref="A9:A11"/>
    <mergeCell ref="A14:A17"/>
    <mergeCell ref="A20:A24"/>
    <mergeCell ref="B2:B6"/>
    <mergeCell ref="B9:B11"/>
    <mergeCell ref="B14:B17"/>
    <mergeCell ref="B20:B24"/>
    <mergeCell ref="C2:C6"/>
    <mergeCell ref="C20:C24"/>
    <mergeCell ref="D2:D6"/>
    <mergeCell ref="D20:D24"/>
    <mergeCell ref="E2:E6"/>
    <mergeCell ref="E9:E11"/>
    <mergeCell ref="E14:E17"/>
    <mergeCell ref="E20:E24"/>
    <mergeCell ref="F2:F6"/>
    <mergeCell ref="F20:F24"/>
    <mergeCell ref="G2:G6"/>
    <mergeCell ref="G20:G24"/>
    <mergeCell ref="H2:H6"/>
    <mergeCell ref="H9:H11"/>
    <mergeCell ref="H14:H17"/>
    <mergeCell ref="H20:H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