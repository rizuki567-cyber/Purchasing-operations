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activeTab="2"/>
  </bookViews>
  <sheets>
    <sheet name="Anugrah (Bag, Cup, Box)" sheetId="1" r:id="rId1"/>
    <sheet name="UD Abdi Jaya (Bag, Cup, Box)" sheetId="2" r:id="rId2"/>
    <sheet name="PT. SUPARMA JAYA TBK (Tissue)" sheetId="3" r:id="rId3"/>
    <sheet name="Vickel Laundry" sheetId="5" r:id="rId4"/>
    <sheet name="Dishy Soap" sheetId="6" r:id="rId5"/>
    <sheet name="TOTAL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31806598E3BE46E18B6412FBA460C9ED" descr="PHOTO-2026-01-06-00-43-33"/>
        <xdr:cNvPicPr>
          <a:picLocks noChangeAspect="1"/>
        </xdr:cNvPicPr>
      </xdr:nvPicPr>
      <xdr:blipFill>
        <a:blip r:embed="rId1"/>
        <a:srcRect l="1066" t="8123" r="5377" b="14876"/>
        <a:stretch>
          <a:fillRect/>
        </a:stretch>
      </xdr:blipFill>
      <xdr:spPr>
        <a:xfrm>
          <a:off x="8643620" y="1784985"/>
          <a:ext cx="5292725" cy="7767320"/>
        </a:xfrm>
        <a:prstGeom prst="rect">
          <a:avLst/>
        </a:prstGeom>
      </xdr:spPr>
    </xdr:pic>
  </etc:cellImage>
  <etc:cellImage>
    <xdr:pic>
      <xdr:nvPicPr>
        <xdr:cNvPr id="3" name="ID_4148B145FB8D4C0AA5B41BE69295E076" descr="PHOTO-2026-01-06-18-10-09"/>
        <xdr:cNvPicPr>
          <a:picLocks noChangeAspect="1"/>
        </xdr:cNvPicPr>
      </xdr:nvPicPr>
      <xdr:blipFill>
        <a:blip r:embed="rId2"/>
        <a:srcRect l="2053" t="8978" r="4285" b="18807"/>
        <a:stretch>
          <a:fillRect/>
        </a:stretch>
      </xdr:blipFill>
      <xdr:spPr>
        <a:xfrm>
          <a:off x="6587490" y="1823720"/>
          <a:ext cx="5295265" cy="752856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<sst xmlns="http://schemas.openxmlformats.org/spreadsheetml/2006/main" count="60" uniqueCount="28">
  <si>
    <t>DATE</t>
  </si>
  <si>
    <t>INV NO.</t>
  </si>
  <si>
    <t>DESCRIPTIONS</t>
  </si>
  <si>
    <t>AMOUNT</t>
  </si>
  <si>
    <t>BILLS</t>
  </si>
  <si>
    <t>PRICE</t>
  </si>
  <si>
    <t>SUBTOTAL</t>
  </si>
  <si>
    <t>TOTAL</t>
  </si>
  <si>
    <t>DISHWASHING SPONGE</t>
  </si>
  <si>
    <t>DISHWASHING WIRE</t>
  </si>
  <si>
    <t>TRASH BAG</t>
  </si>
  <si>
    <t>GRAND TOTAL</t>
  </si>
  <si>
    <t>SO05LC2601000210/00</t>
  </si>
  <si>
    <t>SEE-U HTM DE/ ECONO RED / 20 PK FSC MIX 85% / SUHT-046NN</t>
  </si>
  <si>
    <t>SALES PRICE</t>
  </si>
  <si>
    <t>PPN</t>
  </si>
  <si>
    <t>PPh 22</t>
  </si>
  <si>
    <t>STATUS</t>
  </si>
  <si>
    <t>DESCRIPTION</t>
  </si>
  <si>
    <t>QTY</t>
  </si>
  <si>
    <t>NO</t>
  </si>
  <si>
    <t>SUPLAYER</t>
  </si>
  <si>
    <t>QYR</t>
  </si>
  <si>
    <t>Anugrah</t>
  </si>
  <si>
    <t>UD Abdi Jaya</t>
  </si>
  <si>
    <t>PT. SUPARMA JAYA TBK</t>
  </si>
  <si>
    <t>Vickel Laundry</t>
  </si>
  <si>
    <t>Dishy Soap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</si>
</sst>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dd\-mmm"/>
    <numFmt numFmtId="183" formatCode="_ [$IDR]\ * #,##0_ ;_ [$IDR]\ * \-#,##0_ ;_ [$IDR]\ * &quot;-&quot;_ ;_ @_ "/>
    <numFmt numFmtId="184" formatCode="_ * #,##0_ ;_ * \-#,##0_ ;_ * &quot;-&quot;??_ ;_ @_ "/>
    <numFmt numFmtId="185" formatCode="_-&quot;Rp&quot;* #,##0.00_-;\-&quot;Rp&quot;* #,##0.00_-;_-&quot;Rp&quot;* &quot;-&quot;??.00_-;_-@_-"/>
  </numFmts>
  <fonts count="33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6"/>
      <color theme="1"/>
      <name val="Garamond"/>
      <charset val="134"/>
    </font>
    <font>
      <b/>
      <sz val="11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i/>
      <sz val="14"/>
      <color theme="1"/>
      <name val="Calibri"/>
      <charset val="134"/>
      <scheme val="minor"/>
    </font>
    <font>
      <b/>
      <sz val="14"/>
      <color theme="1"/>
      <name val="Garamond"/>
      <charset val="134"/>
    </font>
    <font>
      <sz val="14"/>
      <color theme="1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6" borderId="1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7" borderId="17" applyNumberFormat="0" applyAlignment="0" applyProtection="0">
      <alignment vertical="center"/>
    </xf>
    <xf numFmtId="0" fontId="23" fillId="8" borderId="18" applyNumberFormat="0" applyAlignment="0" applyProtection="0">
      <alignment vertical="center"/>
    </xf>
    <xf numFmtId="0" fontId="24" fillId="8" borderId="17" applyNumberFormat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0" borderId="21" applyNumberFormat="0" applyFill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</cellStyleXfs>
  <cellXfs count="1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top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vertical="top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top"/>
    </xf>
    <xf numFmtId="180" fontId="0" fillId="3" borderId="1" xfId="0" applyNumberFormat="1" applyFill="1" applyBorder="1" applyAlignment="1">
      <alignment horizontal="left" vertical="center"/>
    </xf>
    <xf numFmtId="180" fontId="0" fillId="3" borderId="1" xfId="0" applyNumberFormat="1" applyFill="1" applyBorder="1"/>
    <xf numFmtId="180" fontId="0" fillId="2" borderId="1" xfId="0" applyNumberFormat="1" applyFill="1" applyBorder="1"/>
    <xf numFmtId="0" fontId="1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181" fontId="0" fillId="0" borderId="0" xfId="0" applyNumberFormat="1" applyFill="1" applyAlignment="1">
      <alignment vertical="center"/>
    </xf>
    <xf numFmtId="181" fontId="1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81" fontId="2" fillId="3" borderId="1" xfId="0" applyNumberFormat="1" applyFont="1" applyFill="1" applyBorder="1" applyAlignment="1">
      <alignment horizontal="center" vertical="center"/>
    </xf>
    <xf numFmtId="180" fontId="2" fillId="3" borderId="2" xfId="0" applyNumberFormat="1" applyFont="1" applyFill="1" applyBorder="1" applyAlignment="1">
      <alignment horizontal="center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0" fontId="2" fillId="3" borderId="3" xfId="0" applyNumberFormat="1" applyFont="1" applyFill="1" applyBorder="1" applyAlignment="1">
      <alignment horizontal="center" vertical="center"/>
    </xf>
    <xf numFmtId="181" fontId="3" fillId="3" borderId="1" xfId="0" applyNumberFormat="1" applyFont="1" applyFill="1" applyBorder="1" applyAlignment="1">
      <alignment horizontal="center" vertical="center"/>
    </xf>
    <xf numFmtId="0" fontId="3" fillId="3" borderId="4" xfId="0" applyNumberFormat="1" applyFont="1" applyFill="1" applyBorder="1" applyAlignment="1">
      <alignment horizontal="center" vertical="center"/>
    </xf>
    <xf numFmtId="0" fontId="3" fillId="3" borderId="5" xfId="0" applyNumberFormat="1" applyFont="1" applyFill="1" applyBorder="1" applyAlignment="1">
      <alignment horizontal="center" vertical="center"/>
    </xf>
    <xf numFmtId="0" fontId="3" fillId="3" borderId="6" xfId="0" applyNumberFormat="1" applyFont="1" applyFill="1" applyBorder="1" applyAlignment="1">
      <alignment horizontal="center" vertical="center"/>
    </xf>
    <xf numFmtId="0" fontId="3" fillId="3" borderId="1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left" vertical="center"/>
    </xf>
    <xf numFmtId="180" fontId="2" fillId="3" borderId="7" xfId="0" applyNumberFormat="1" applyFont="1" applyFill="1" applyBorder="1" applyAlignment="1">
      <alignment horizontal="center" vertical="center"/>
    </xf>
    <xf numFmtId="180" fontId="2" fillId="3" borderId="1" xfId="0" applyNumberFormat="1" applyFont="1" applyFill="1" applyBorder="1" applyAlignment="1">
      <alignment horizontal="center" vertical="center"/>
    </xf>
    <xf numFmtId="0" fontId="3" fillId="3" borderId="8" xfId="0" applyNumberFormat="1" applyFont="1" applyFill="1" applyBorder="1" applyAlignment="1">
      <alignment horizontal="center" vertical="center"/>
    </xf>
    <xf numFmtId="180" fontId="2" fillId="3" borderId="3" xfId="0" applyNumberFormat="1" applyFont="1" applyFill="1" applyBorder="1" applyAlignment="1">
      <alignment horizontal="center" vertical="center"/>
    </xf>
    <xf numFmtId="180" fontId="3" fillId="3" borderId="8" xfId="0" applyNumberFormat="1" applyFont="1" applyFill="1" applyBorder="1" applyAlignment="1">
      <alignment horizontal="center" vertical="center"/>
    </xf>
    <xf numFmtId="180" fontId="3" fillId="3" borderId="9" xfId="0" applyNumberFormat="1" applyFont="1" applyFill="1" applyBorder="1" applyAlignment="1">
      <alignment horizontal="center" vertical="center"/>
    </xf>
    <xf numFmtId="180" fontId="3" fillId="3" borderId="10" xfId="0" applyNumberFormat="1" applyFont="1" applyFill="1" applyBorder="1" applyAlignment="1">
      <alignment horizontal="center" vertical="center"/>
    </xf>
    <xf numFmtId="180" fontId="3" fillId="3" borderId="10" xfId="0" applyNumberFormat="1" applyFont="1" applyFill="1" applyBorder="1" applyAlignment="1">
      <alignment vertical="center"/>
    </xf>
    <xf numFmtId="180" fontId="3" fillId="3" borderId="1" xfId="0" applyNumberFormat="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NumberFormat="1" applyFont="1" applyFill="1" applyBorder="1" applyAlignment="1">
      <alignment horizontal="center" vertical="center"/>
    </xf>
    <xf numFmtId="182" fontId="0" fillId="3" borderId="1" xfId="0" applyNumberFormat="1" applyFill="1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183" fontId="0" fillId="0" borderId="1" xfId="0" applyNumberFormat="1" applyFill="1" applyBorder="1" applyAlignment="1">
      <alignment vertical="center"/>
    </xf>
    <xf numFmtId="183" fontId="0" fillId="0" borderId="2" xfId="0" applyNumberFormat="1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2" xfId="0" applyNumberFormat="1" applyFill="1" applyBorder="1" applyAlignment="1">
      <alignment horizontal="center" vertical="center"/>
    </xf>
    <xf numFmtId="180" fontId="0" fillId="0" borderId="7" xfId="0" applyNumberFormat="1" applyFill="1" applyBorder="1" applyAlignment="1">
      <alignment horizontal="center" vertical="center"/>
    </xf>
    <xf numFmtId="180" fontId="0" fillId="0" borderId="1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81" fontId="0" fillId="3" borderId="1" xfId="0" applyNumberFormat="1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 wrapText="1"/>
    </xf>
    <xf numFmtId="0" fontId="0" fillId="0" borderId="8" xfId="0" applyNumberFormat="1" applyFill="1" applyBorder="1" applyAlignment="1">
      <alignment horizontal="center" vertical="center"/>
    </xf>
    <xf numFmtId="180" fontId="0" fillId="3" borderId="10" xfId="0" applyNumberFormat="1" applyFill="1" applyBorder="1" applyAlignment="1">
      <alignment horizontal="center" vertical="center" wrapText="1"/>
    </xf>
    <xf numFmtId="0" fontId="0" fillId="0" borderId="10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82" fontId="0" fillId="3" borderId="8" xfId="0" applyNumberFormat="1" applyFill="1" applyBorder="1" applyAlignment="1">
      <alignment horizontal="center" vertical="center"/>
    </xf>
    <xf numFmtId="180" fontId="0" fillId="3" borderId="1" xfId="0" applyNumberFormat="1" applyFill="1" applyBorder="1" applyAlignment="1">
      <alignment horizontal="left" vertical="center" wrapText="1"/>
    </xf>
    <xf numFmtId="0" fontId="0" fillId="0" borderId="1" xfId="0" applyNumberFormat="1" applyFill="1" applyBorder="1" applyAlignment="1">
      <alignment horizontal="center" vertical="center"/>
    </xf>
    <xf numFmtId="182" fontId="0" fillId="3" borderId="10" xfId="0" applyNumberFormat="1" applyFill="1" applyBorder="1" applyAlignment="1">
      <alignment horizontal="center" vertical="center"/>
    </xf>
    <xf numFmtId="0" fontId="0" fillId="3" borderId="0" xfId="0" applyFill="1" applyBorder="1" applyAlignment="1"/>
    <xf numFmtId="0" fontId="0" fillId="3" borderId="9" xfId="0" applyFill="1" applyBorder="1" applyAlignment="1"/>
    <xf numFmtId="0" fontId="0" fillId="3" borderId="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10" xfId="0" applyFill="1" applyBorder="1" applyAlignment="1"/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11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183" fontId="0" fillId="0" borderId="8" xfId="0" applyNumberFormat="1" applyFill="1" applyBorder="1" applyAlignment="1">
      <alignment horizontal="center" vertical="center"/>
    </xf>
    <xf numFmtId="184" fontId="0" fillId="0" borderId="1" xfId="1" applyNumberFormat="1" applyFill="1" applyBorder="1" applyAlignment="1">
      <alignment horizontal="center" vertical="center"/>
    </xf>
    <xf numFmtId="183" fontId="0" fillId="0" borderId="10" xfId="0" applyNumberFormat="1" applyFill="1" applyBorder="1" applyAlignment="1">
      <alignment horizontal="center" vertical="center"/>
    </xf>
    <xf numFmtId="185" fontId="0" fillId="0" borderId="1" xfId="0" applyNumberFormat="1" applyBorder="1" applyAlignment="1">
      <alignment horizontal="center"/>
    </xf>
    <xf numFmtId="180" fontId="0" fillId="0" borderId="1" xfId="0" applyNumberFormat="1" applyBorder="1" applyAlignment="1"/>
    <xf numFmtId="0" fontId="0" fillId="0" borderId="8" xfId="0" applyFill="1" applyBorder="1" applyAlignment="1">
      <alignment horizontal="center" vertical="center"/>
    </xf>
    <xf numFmtId="184" fontId="0" fillId="0" borderId="1" xfId="1" applyNumberFormat="1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/>
    </xf>
    <xf numFmtId="180" fontId="0" fillId="0" borderId="7" xfId="0" applyNumberFormat="1" applyBorder="1" applyAlignment="1"/>
    <xf numFmtId="180" fontId="8" fillId="5" borderId="7" xfId="0" applyNumberFormat="1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9" fillId="0" borderId="0" xfId="0" applyFont="1" applyFill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/>
    <xf numFmtId="0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81" fontId="9" fillId="3" borderId="1" xfId="0" applyNumberFormat="1" applyFont="1" applyFill="1" applyBorder="1" applyAlignment="1">
      <alignment horizontal="center" vertical="center"/>
    </xf>
    <xf numFmtId="0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80" fontId="9" fillId="3" borderId="1" xfId="0" applyNumberFormat="1" applyFont="1" applyFill="1" applyBorder="1" applyAlignment="1">
      <alignment horizontal="center" vertical="center" wrapText="1"/>
    </xf>
    <xf numFmtId="181" fontId="9" fillId="3" borderId="8" xfId="0" applyNumberFormat="1" applyFont="1" applyFill="1" applyBorder="1" applyAlignment="1">
      <alignment horizontal="center" vertical="center"/>
    </xf>
    <xf numFmtId="0" fontId="9" fillId="3" borderId="8" xfId="0" applyNumberFormat="1" applyFont="1" applyFill="1" applyBorder="1" applyAlignment="1">
      <alignment horizontal="center" vertical="center"/>
    </xf>
    <xf numFmtId="181" fontId="9" fillId="3" borderId="9" xfId="0" applyNumberFormat="1" applyFont="1" applyFill="1" applyBorder="1" applyAlignment="1">
      <alignment horizontal="center" vertical="center"/>
    </xf>
    <xf numFmtId="0" fontId="9" fillId="3" borderId="9" xfId="0" applyNumberFormat="1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181" fontId="9" fillId="3" borderId="10" xfId="0" applyNumberFormat="1" applyFont="1" applyFill="1" applyBorder="1" applyAlignment="1">
      <alignment horizontal="center" vertical="center"/>
    </xf>
    <xf numFmtId="0" fontId="9" fillId="3" borderId="10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horizontal="center" vertical="center"/>
    </xf>
    <xf numFmtId="183" fontId="9" fillId="3" borderId="1" xfId="0" applyNumberFormat="1" applyFont="1" applyFill="1" applyBorder="1" applyAlignment="1">
      <alignment vertical="center"/>
    </xf>
    <xf numFmtId="183" fontId="9" fillId="3" borderId="8" xfId="0" applyNumberFormat="1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183" fontId="9" fillId="3" borderId="9" xfId="0" applyNumberFormat="1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183" fontId="9" fillId="3" borderId="10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80" fontId="11" fillId="0" borderId="1" xfId="0" applyNumberFormat="1" applyFont="1" applyFill="1" applyBorder="1" applyAlignment="1">
      <alignment vertical="center"/>
    </xf>
    <xf numFmtId="0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180" fontId="9" fillId="3" borderId="4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9" fillId="4" borderId="7" xfId="0" applyNumberFormat="1" applyFont="1" applyFill="1" applyBorder="1" applyAlignment="1">
      <alignment horizontal="center" vertical="center"/>
    </xf>
    <xf numFmtId="0" fontId="9" fillId="4" borderId="11" xfId="0" applyNumberFormat="1" applyFont="1" applyFill="1" applyBorder="1" applyAlignment="1">
      <alignment horizontal="center" vertical="center"/>
    </xf>
    <xf numFmtId="0" fontId="9" fillId="4" borderId="2" xfId="0" applyNumberFormat="1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3" borderId="8" xfId="0" applyNumberFormat="1" applyFont="1" applyFill="1" applyBorder="1" applyAlignment="1">
      <alignment vertical="center"/>
    </xf>
    <xf numFmtId="180" fontId="9" fillId="3" borderId="1" xfId="0" applyNumberFormat="1" applyFont="1" applyFill="1" applyBorder="1" applyAlignment="1">
      <alignment vertical="center"/>
    </xf>
    <xf numFmtId="180" fontId="9" fillId="4" borderId="1" xfId="0" applyNumberFormat="1" applyFont="1" applyFill="1" applyBorder="1" applyAlignment="1">
      <alignment vertical="center"/>
    </xf>
    <xf numFmtId="183" fontId="9" fillId="4" borderId="1" xfId="0" applyNumberFormat="1" applyFont="1" applyFill="1" applyBorder="1" applyAlignment="1">
      <alignment horizontal="center" vertical="center"/>
    </xf>
    <xf numFmtId="180" fontId="11" fillId="4" borderId="1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www.wps.cn/officeDocument/2020/cellImage" Target="cellimag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"/>
  <sheetViews>
    <sheetView zoomScale="70" zoomScaleNormal="70" workbookViewId="0">
      <selection activeCell="K6" sqref="K6"/>
    </sheetView>
  </sheetViews>
  <sheetFormatPr defaultColWidth="9.140625" defaultRowHeight="20.4"/>
  <cols>
    <col min="1" max="1" width="17.4296875" style="89"/>
    <col min="2" max="2" width="13.4296875" style="89" customWidth="1"/>
    <col min="3" max="3" width="36" style="89" customWidth="1"/>
    <col min="4" max="4" width="21.2890625" style="88" customWidth="1"/>
    <col min="5" max="5" width="33.2890625" style="89" customWidth="1"/>
    <col min="6" max="6" width="17.2890625" style="89" customWidth="1"/>
    <col min="7" max="8" width="20.859375" style="89" customWidth="1"/>
    <col min="9" max="9" width="12.859375" style="89"/>
    <col min="10" max="10" width="15" style="89"/>
    <col min="11" max="16384" width="18.0390625" style="89"/>
  </cols>
  <sheetData>
    <row r="1" s="87" customFormat="1" ht="16" customHeight="1" spans="1:8">
      <c r="A1" s="114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5" t="s">
        <v>6</v>
      </c>
      <c r="H1" s="115" t="s">
        <v>7</v>
      </c>
    </row>
    <row r="2" s="87" customFormat="1" ht="60" customHeight="1" spans="1:10">
      <c r="A2" s="96">
        <v>46027</v>
      </c>
      <c r="B2" s="93">
        <v>2963</v>
      </c>
      <c r="C2" s="116" t="s">
        <v>8</v>
      </c>
      <c r="D2" s="117">
        <v>24</v>
      </c>
      <c r="E2" s="104" t="str">
        <f>_xlfn.DISPIMG("ID_31806598E3BE46E18B6412FBA460C9ED",1)</f>
        <v>=DISPIMG("ID_31806598E3BE46E18B6412FBA460C9ED",1)</v>
      </c>
      <c r="F2" s="105">
        <v>4833.33</v>
      </c>
      <c r="G2" s="107">
        <f t="shared" ref="G2:G9" si="0">SUM(D2*F2)</f>
        <v>115999.92</v>
      </c>
      <c r="H2" s="107">
        <f>SUM(G2:G4)</f>
        <v>266999.88</v>
      </c>
      <c r="J2" s="87">
        <f>116000/24</f>
        <v>4833.33333333333</v>
      </c>
    </row>
    <row r="3" s="87" customFormat="1" ht="60" customHeight="1" spans="1:10">
      <c r="A3" s="98"/>
      <c r="B3" s="93"/>
      <c r="C3" s="116" t="s">
        <v>9</v>
      </c>
      <c r="D3" s="117">
        <v>12</v>
      </c>
      <c r="E3" s="108"/>
      <c r="F3" s="105">
        <v>3833.33</v>
      </c>
      <c r="G3" s="107">
        <f t="shared" si="0"/>
        <v>45999.96</v>
      </c>
      <c r="H3" s="109"/>
      <c r="J3" s="87">
        <f>46000/12</f>
        <v>3833.33333333333</v>
      </c>
    </row>
    <row r="4" s="87" customFormat="1" ht="60" customHeight="1" spans="1:10">
      <c r="A4" s="98"/>
      <c r="B4" s="93"/>
      <c r="C4" s="116" t="s">
        <v>10</v>
      </c>
      <c r="D4" s="117">
        <v>100</v>
      </c>
      <c r="E4" s="108"/>
      <c r="F4" s="105">
        <v>1050</v>
      </c>
      <c r="G4" s="107">
        <f t="shared" si="0"/>
        <v>105000</v>
      </c>
      <c r="H4" s="109"/>
      <c r="J4" s="87">
        <f>105000/100</f>
        <v>1050</v>
      </c>
    </row>
    <row r="5" s="87" customFormat="1" ht="64.3" customHeight="1" spans="1:8">
      <c r="A5" s="96"/>
      <c r="B5" s="97"/>
      <c r="C5" s="95"/>
      <c r="D5" s="117"/>
      <c r="E5" s="104"/>
      <c r="F5" s="107"/>
      <c r="G5" s="107">
        <f t="shared" si="0"/>
        <v>0</v>
      </c>
      <c r="H5" s="107">
        <f>SUM(G5:G8)</f>
        <v>0</v>
      </c>
    </row>
    <row r="6" s="87" customFormat="1" ht="64.3" customHeight="1" spans="1:8">
      <c r="A6" s="98"/>
      <c r="B6" s="99"/>
      <c r="C6" s="93"/>
      <c r="D6" s="93"/>
      <c r="E6" s="108"/>
      <c r="F6" s="122"/>
      <c r="G6" s="107">
        <f t="shared" si="0"/>
        <v>0</v>
      </c>
      <c r="H6" s="109"/>
    </row>
    <row r="7" s="87" customFormat="1" ht="64.3" customHeight="1" spans="1:8">
      <c r="A7" s="98"/>
      <c r="B7" s="99"/>
      <c r="C7" s="93"/>
      <c r="D7" s="93"/>
      <c r="E7" s="108"/>
      <c r="F7" s="122"/>
      <c r="G7" s="107">
        <f t="shared" si="0"/>
        <v>0</v>
      </c>
      <c r="H7" s="109"/>
    </row>
    <row r="8" s="87" customFormat="1" ht="64.3" customHeight="1" spans="1:8">
      <c r="A8" s="98"/>
      <c r="B8" s="99"/>
      <c r="C8" s="97"/>
      <c r="D8" s="97"/>
      <c r="E8" s="108"/>
      <c r="F8" s="122"/>
      <c r="G8" s="107">
        <f t="shared" si="0"/>
        <v>0</v>
      </c>
      <c r="H8" s="109"/>
    </row>
    <row r="9" s="87" customFormat="1" ht="258" customHeight="1" spans="1:8">
      <c r="A9" s="92"/>
      <c r="B9" s="93"/>
      <c r="C9" s="93"/>
      <c r="D9" s="93"/>
      <c r="E9" s="112"/>
      <c r="F9" s="123"/>
      <c r="G9" s="105">
        <f t="shared" si="0"/>
        <v>0</v>
      </c>
      <c r="H9" s="105">
        <f>SUM(G9)</f>
        <v>0</v>
      </c>
    </row>
    <row r="10" s="87" customFormat="1" ht="18" customHeight="1" spans="1:8">
      <c r="A10" s="118" t="s">
        <v>11</v>
      </c>
      <c r="B10" s="119"/>
      <c r="C10" s="120"/>
      <c r="D10" s="121"/>
      <c r="E10" s="124"/>
      <c r="F10" s="124"/>
      <c r="G10" s="125"/>
      <c r="H10" s="126">
        <f>SUM(H2:H9)</f>
        <v>266999.88</v>
      </c>
    </row>
  </sheetData>
  <mergeCells count="9">
    <mergeCell ref="A10:C10"/>
    <mergeCell ref="A2:A4"/>
    <mergeCell ref="A5:A8"/>
    <mergeCell ref="B2:B4"/>
    <mergeCell ref="B5:B8"/>
    <mergeCell ref="E2:E4"/>
    <mergeCell ref="E5:E8"/>
    <mergeCell ref="H2:H4"/>
    <mergeCell ref="H5:H8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zoomScale="40" zoomScaleNormal="40" workbookViewId="0">
      <pane ySplit="1" topLeftCell="A2" activePane="bottomLeft" state="frozen"/>
      <selection/>
      <selection pane="bottomLeft" activeCell="H8" sqref="H8"/>
    </sheetView>
  </sheetViews>
  <sheetFormatPr defaultColWidth="9.140625" defaultRowHeight="20.4" outlineLevelRow="7" outlineLevelCol="7"/>
  <cols>
    <col min="1" max="1" width="19.859375" style="88"/>
    <col min="2" max="2" width="18.859375" style="88" customWidth="1"/>
    <col min="3" max="3" width="43.0390625" style="88" customWidth="1"/>
    <col min="4" max="4" width="14.4296875" style="88" customWidth="1"/>
    <col min="5" max="5" width="58.9609375" style="89" customWidth="1"/>
    <col min="6" max="6" width="19.5234375" style="89" customWidth="1"/>
    <col min="7" max="8" width="20.859375" style="89" customWidth="1"/>
    <col min="9" max="9" width="12.859375" style="89"/>
    <col min="10" max="16384" width="9.140625" style="89"/>
  </cols>
  <sheetData>
    <row r="1" s="87" customFormat="1" ht="16" customHeight="1" spans="1:8">
      <c r="A1" s="90" t="s">
        <v>0</v>
      </c>
      <c r="B1" s="91" t="s">
        <v>1</v>
      </c>
      <c r="C1" s="91" t="s">
        <v>2</v>
      </c>
      <c r="D1" s="91" t="s">
        <v>3</v>
      </c>
      <c r="E1" s="91" t="s">
        <v>4</v>
      </c>
      <c r="F1" s="91" t="s">
        <v>5</v>
      </c>
      <c r="G1" s="91" t="s">
        <v>6</v>
      </c>
      <c r="H1" s="91" t="s">
        <v>7</v>
      </c>
    </row>
    <row r="2" s="87" customFormat="1" ht="249.35" customHeight="1" spans="1:8">
      <c r="A2" s="92"/>
      <c r="B2" s="93"/>
      <c r="C2" s="94"/>
      <c r="D2" s="94"/>
      <c r="E2" s="104"/>
      <c r="F2" s="105"/>
      <c r="G2" s="106">
        <f>D2*F2</f>
        <v>0</v>
      </c>
      <c r="H2" s="105">
        <f>SUM(G2:G2)</f>
        <v>0</v>
      </c>
    </row>
    <row r="3" s="87" customFormat="1" ht="251.35" customHeight="1" spans="1:8">
      <c r="A3" s="92"/>
      <c r="B3" s="93"/>
      <c r="C3" s="95"/>
      <c r="D3" s="94"/>
      <c r="E3" s="104"/>
      <c r="F3" s="106"/>
      <c r="G3" s="106">
        <f>D3*F3</f>
        <v>0</v>
      </c>
      <c r="H3" s="107">
        <f>SUM(G3:G3)</f>
        <v>0</v>
      </c>
    </row>
    <row r="4" s="87" customFormat="1" ht="83" customHeight="1" spans="1:8">
      <c r="A4" s="96"/>
      <c r="B4" s="97"/>
      <c r="C4" s="95"/>
      <c r="D4" s="94"/>
      <c r="E4" s="104"/>
      <c r="F4" s="106"/>
      <c r="G4" s="106">
        <f>D4*F4</f>
        <v>0</v>
      </c>
      <c r="H4" s="107">
        <f>SUM(G4:G6)</f>
        <v>0</v>
      </c>
    </row>
    <row r="5" s="87" customFormat="1" ht="83" customHeight="1" spans="1:8">
      <c r="A5" s="98"/>
      <c r="B5" s="99"/>
      <c r="C5" s="95"/>
      <c r="D5" s="100"/>
      <c r="E5" s="108"/>
      <c r="F5" s="107"/>
      <c r="G5" s="106">
        <f>D5*F5</f>
        <v>0</v>
      </c>
      <c r="H5" s="109"/>
    </row>
    <row r="6" s="87" customFormat="1" ht="83" customHeight="1" spans="1:8">
      <c r="A6" s="101"/>
      <c r="B6" s="102"/>
      <c r="C6" s="95"/>
      <c r="D6" s="100"/>
      <c r="E6" s="110"/>
      <c r="F6" s="107"/>
      <c r="G6" s="106">
        <f>D6*F6</f>
        <v>0</v>
      </c>
      <c r="H6" s="111"/>
    </row>
    <row r="7" s="87" customFormat="1" ht="200" customHeight="1" spans="1:8">
      <c r="A7" s="92"/>
      <c r="B7" s="93"/>
      <c r="C7" s="95"/>
      <c r="D7" s="100"/>
      <c r="E7" s="112"/>
      <c r="F7" s="107"/>
      <c r="G7" s="107"/>
      <c r="H7" s="105"/>
    </row>
    <row r="8" s="87" customFormat="1" spans="1:8">
      <c r="A8" s="103"/>
      <c r="B8" s="103"/>
      <c r="C8" s="103"/>
      <c r="D8" s="103"/>
      <c r="E8" s="103"/>
      <c r="F8" s="103"/>
      <c r="G8" s="113"/>
      <c r="H8" s="113">
        <f>SUM(H2:H7)</f>
        <v>0</v>
      </c>
    </row>
  </sheetData>
  <mergeCells count="5">
    <mergeCell ref="A8:E8"/>
    <mergeCell ref="A4:A6"/>
    <mergeCell ref="B4:B6"/>
    <mergeCell ref="E4:E6"/>
    <mergeCell ref="H4:H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tabSelected="1" workbookViewId="0">
      <selection activeCell="G8" sqref="G8"/>
    </sheetView>
  </sheetViews>
  <sheetFormatPr defaultColWidth="9.140625" defaultRowHeight="16.8" outlineLevelCol="6"/>
  <cols>
    <col min="1" max="1" width="11.7109375" customWidth="1"/>
    <col min="2" max="2" width="22.140625" customWidth="1"/>
    <col min="3" max="3" width="22.5703125" customWidth="1"/>
    <col min="4" max="4" width="17.5703125" customWidth="1"/>
    <col min="5" max="5" width="34.5703125" customWidth="1"/>
    <col min="6" max="6" width="19.4296875" customWidth="1"/>
    <col min="7" max="7" width="17.2890625" customWidth="1"/>
  </cols>
  <sheetData>
    <row r="1" ht="16" customHeight="1" spans="1:7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1" t="s">
        <v>7</v>
      </c>
    </row>
    <row r="2" ht="123.5" customHeight="1" spans="1:7">
      <c r="A2" s="52">
        <v>46027</v>
      </c>
      <c r="B2" s="39" t="s">
        <v>12</v>
      </c>
      <c r="C2" s="53" t="s">
        <v>13</v>
      </c>
      <c r="D2" s="54">
        <v>80</v>
      </c>
      <c r="E2" s="73" t="str">
        <f>_xlfn.DISPIMG("ID_4148B145FB8D4C0AA5B41BE69295E076",1)</f>
        <v>=DISPIMG("ID_4148B145FB8D4C0AA5B41BE69295E076",1)</v>
      </c>
      <c r="F2" s="74">
        <v>6063.9632</v>
      </c>
      <c r="G2" s="75">
        <f>SUM(D2*F2)</f>
        <v>485117.056</v>
      </c>
    </row>
    <row r="3" ht="123.5" customHeight="1" spans="1:7">
      <c r="A3" s="52"/>
      <c r="B3" s="39"/>
      <c r="C3" s="55"/>
      <c r="D3" s="56"/>
      <c r="E3" s="73"/>
      <c r="F3" s="76"/>
      <c r="G3" s="75"/>
    </row>
    <row r="4" spans="1:7">
      <c r="A4" s="52"/>
      <c r="B4" s="57" t="s">
        <v>14</v>
      </c>
      <c r="C4" s="57"/>
      <c r="D4" s="58"/>
      <c r="E4" s="58"/>
      <c r="F4" s="58"/>
      <c r="G4" s="58">
        <f>SUM(G2:G3)</f>
        <v>485117.056</v>
      </c>
    </row>
    <row r="5" spans="1:7">
      <c r="A5" s="52"/>
      <c r="B5" s="57" t="s">
        <v>15</v>
      </c>
      <c r="C5" s="57"/>
      <c r="D5" s="58"/>
      <c r="E5" s="58"/>
      <c r="F5" s="58"/>
      <c r="G5" s="58">
        <f>G4*11%</f>
        <v>53362.87616</v>
      </c>
    </row>
    <row r="6" spans="1:7">
      <c r="A6" s="52"/>
      <c r="B6" s="57" t="s">
        <v>16</v>
      </c>
      <c r="C6" s="57"/>
      <c r="D6" s="58"/>
      <c r="E6" s="58"/>
      <c r="F6" s="58"/>
      <c r="G6" s="77">
        <v>485.12</v>
      </c>
    </row>
    <row r="7" spans="1:7">
      <c r="A7" s="52"/>
      <c r="B7" s="57" t="s">
        <v>7</v>
      </c>
      <c r="C7" s="57"/>
      <c r="D7" s="58"/>
      <c r="E7" s="78"/>
      <c r="F7" s="78"/>
      <c r="G7" s="78">
        <f>SUM(G4:G6)</f>
        <v>538965.05216</v>
      </c>
    </row>
    <row r="8" ht="123.5" customHeight="1" spans="1:7">
      <c r="A8" s="52"/>
      <c r="B8" s="59"/>
      <c r="C8" s="60"/>
      <c r="D8" s="61"/>
      <c r="E8" s="79"/>
      <c r="F8" s="42"/>
      <c r="G8" s="80"/>
    </row>
    <row r="9" ht="123.5" customHeight="1" spans="1:7">
      <c r="A9" s="52"/>
      <c r="B9" s="62"/>
      <c r="C9" s="60"/>
      <c r="D9" s="61"/>
      <c r="E9" s="81"/>
      <c r="F9" s="42"/>
      <c r="G9" s="80"/>
    </row>
    <row r="10" spans="1:7">
      <c r="A10" s="63"/>
      <c r="B10" s="57" t="s">
        <v>14</v>
      </c>
      <c r="C10" s="57"/>
      <c r="D10" s="58"/>
      <c r="E10" s="82"/>
      <c r="F10" s="58"/>
      <c r="G10" s="58">
        <f>SUM(G8:G9)</f>
        <v>0</v>
      </c>
    </row>
    <row r="11" spans="1:7">
      <c r="A11" s="64"/>
      <c r="B11" s="65" t="s">
        <v>15</v>
      </c>
      <c r="C11" s="66"/>
      <c r="D11" s="58"/>
      <c r="E11" s="82"/>
      <c r="F11" s="58"/>
      <c r="G11" s="58"/>
    </row>
    <row r="12" spans="1:7">
      <c r="A12" s="63"/>
      <c r="B12" s="57" t="s">
        <v>16</v>
      </c>
      <c r="C12" s="57"/>
      <c r="D12" s="58"/>
      <c r="E12" s="82"/>
      <c r="F12" s="58"/>
      <c r="G12" s="77"/>
    </row>
    <row r="13" spans="1:7">
      <c r="A13" s="67"/>
      <c r="B13" s="68" t="s">
        <v>7</v>
      </c>
      <c r="C13" s="69"/>
      <c r="D13" s="58"/>
      <c r="E13" s="78"/>
      <c r="F13" s="83"/>
      <c r="G13" s="78">
        <f>SUM(G10:G12)</f>
        <v>0</v>
      </c>
    </row>
    <row r="14" spans="1:7">
      <c r="A14" s="70" t="s">
        <v>11</v>
      </c>
      <c r="B14" s="71"/>
      <c r="C14" s="71"/>
      <c r="D14" s="72"/>
      <c r="E14" s="84">
        <f>G7+G13</f>
        <v>538965.05216</v>
      </c>
      <c r="F14" s="85"/>
      <c r="G14" s="86"/>
    </row>
  </sheetData>
  <mergeCells count="20">
    <mergeCell ref="B4:C4"/>
    <mergeCell ref="B5:C5"/>
    <mergeCell ref="B6:C6"/>
    <mergeCell ref="B7:C7"/>
    <mergeCell ref="B10:C10"/>
    <mergeCell ref="B11:C11"/>
    <mergeCell ref="B12:C12"/>
    <mergeCell ref="B13:C13"/>
    <mergeCell ref="A14:D14"/>
    <mergeCell ref="E14:G14"/>
    <mergeCell ref="A2:A7"/>
    <mergeCell ref="A8:A9"/>
    <mergeCell ref="B2:B3"/>
    <mergeCell ref="B8:B9"/>
    <mergeCell ref="C2:C3"/>
    <mergeCell ref="D2:D3"/>
    <mergeCell ref="E2:E3"/>
    <mergeCell ref="E8:E9"/>
    <mergeCell ref="F2:F3"/>
    <mergeCell ref="G2:G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"/>
  <sheetViews>
    <sheetView zoomScale="70" zoomScaleNormal="70" workbookViewId="0">
      <pane ySplit="1" topLeftCell="A2" activePane="bottomLeft" state="frozen"/>
      <selection/>
      <selection pane="bottomLeft" activeCell="C32" sqref="C32:E32"/>
    </sheetView>
  </sheetViews>
  <sheetFormatPr defaultColWidth="9.140625" defaultRowHeight="16.8" outlineLevelCol="4"/>
  <cols>
    <col min="1" max="1" width="10.5703125" style="12" customWidth="1"/>
    <col min="2" max="2" width="12.6015625" style="36" customWidth="1"/>
    <col min="3" max="3" width="36.125" style="12" customWidth="1"/>
    <col min="4" max="4" width="18.828125" style="12" customWidth="1"/>
    <col min="5" max="5" width="12.2890625" style="12" customWidth="1"/>
    <col min="6" max="16384" width="9.140625" style="12"/>
  </cols>
  <sheetData>
    <row r="1" s="35" customFormat="1" ht="19" customHeight="1" spans="1:5">
      <c r="A1" s="37" t="s">
        <v>0</v>
      </c>
      <c r="B1" s="38" t="s">
        <v>1</v>
      </c>
      <c r="C1" s="37" t="s">
        <v>4</v>
      </c>
      <c r="D1" s="37" t="s">
        <v>7</v>
      </c>
      <c r="E1" s="37" t="s">
        <v>17</v>
      </c>
    </row>
    <row r="2" s="12" customFormat="1" ht="263.65" customHeight="1" spans="1:5">
      <c r="A2" s="39"/>
      <c r="B2" s="40"/>
      <c r="C2" s="41"/>
      <c r="D2" s="42"/>
      <c r="E2" s="41"/>
    </row>
    <row r="3" s="12" customFormat="1" ht="255.1" customHeight="1" spans="1:5">
      <c r="A3" s="39"/>
      <c r="B3" s="40"/>
      <c r="C3" s="41"/>
      <c r="D3" s="43"/>
      <c r="E3" s="48"/>
    </row>
    <row r="4" s="12" customFormat="1" ht="249.95" customHeight="1" spans="1:5">
      <c r="A4" s="39"/>
      <c r="B4" s="40"/>
      <c r="C4" s="41"/>
      <c r="D4" s="43"/>
      <c r="E4" s="48"/>
    </row>
    <row r="5" s="12" customFormat="1" ht="256.25" customHeight="1" spans="1:5">
      <c r="A5" s="39"/>
      <c r="B5" s="40"/>
      <c r="C5" s="41"/>
      <c r="D5" s="43"/>
      <c r="E5" s="48"/>
    </row>
    <row r="6" s="12" customFormat="1" ht="253.85" customHeight="1" spans="1:5">
      <c r="A6" s="39"/>
      <c r="B6" s="40"/>
      <c r="C6" s="41"/>
      <c r="D6" s="43"/>
      <c r="E6" s="48"/>
    </row>
    <row r="7" s="12" customFormat="1" ht="254.65" customHeight="1" spans="1:5">
      <c r="A7" s="39"/>
      <c r="B7" s="40"/>
      <c r="C7" s="41"/>
      <c r="D7" s="43"/>
      <c r="E7" s="48"/>
    </row>
    <row r="8" s="12" customFormat="1" ht="255.35" customHeight="1" spans="1:5">
      <c r="A8" s="39"/>
      <c r="B8" s="40"/>
      <c r="C8" s="41"/>
      <c r="D8" s="43"/>
      <c r="E8" s="48"/>
    </row>
    <row r="9" s="12" customFormat="1" ht="266.95" customHeight="1" spans="1:5">
      <c r="A9" s="39"/>
      <c r="B9" s="40"/>
      <c r="C9" s="41"/>
      <c r="D9" s="43"/>
      <c r="E9" s="48"/>
    </row>
    <row r="10" s="12" customFormat="1" ht="261.95" customHeight="1" spans="1:5">
      <c r="A10" s="39"/>
      <c r="B10" s="40"/>
      <c r="C10" s="41"/>
      <c r="D10" s="43"/>
      <c r="E10" s="48"/>
    </row>
    <row r="11" s="12" customFormat="1" ht="261.9" customHeight="1" spans="1:5">
      <c r="A11" s="39"/>
      <c r="B11" s="40"/>
      <c r="C11" s="41"/>
      <c r="D11" s="43"/>
      <c r="E11" s="48"/>
    </row>
    <row r="12" s="12" customFormat="1" ht="270.7" customHeight="1" spans="1:5">
      <c r="A12" s="39"/>
      <c r="B12" s="40"/>
      <c r="C12" s="41"/>
      <c r="D12" s="43"/>
      <c r="E12" s="48"/>
    </row>
    <row r="13" s="12" customFormat="1" ht="261.1" customHeight="1" spans="1:5">
      <c r="A13" s="39"/>
      <c r="B13" s="40"/>
      <c r="C13" s="41"/>
      <c r="D13" s="43"/>
      <c r="E13" s="48"/>
    </row>
    <row r="14" s="12" customFormat="1" ht="257.15" customHeight="1" spans="1:5">
      <c r="A14" s="39"/>
      <c r="B14" s="40"/>
      <c r="C14" s="41"/>
      <c r="D14" s="43"/>
      <c r="E14" s="48"/>
    </row>
    <row r="15" s="12" customFormat="1" ht="263.55" customHeight="1" spans="1:5">
      <c r="A15" s="39"/>
      <c r="B15" s="40"/>
      <c r="C15" s="41"/>
      <c r="D15" s="43"/>
      <c r="E15" s="48"/>
    </row>
    <row r="16" s="12" customFormat="1" ht="270.35" customHeight="1" spans="1:5">
      <c r="A16" s="39"/>
      <c r="B16" s="40"/>
      <c r="C16" s="41"/>
      <c r="D16" s="43"/>
      <c r="E16" s="48"/>
    </row>
    <row r="17" s="12" customFormat="1" ht="261.7" customHeight="1" spans="1:5">
      <c r="A17" s="39"/>
      <c r="B17" s="40"/>
      <c r="C17" s="41"/>
      <c r="D17" s="43"/>
      <c r="E17" s="48"/>
    </row>
    <row r="18" s="12" customFormat="1" ht="260" customHeight="1" spans="1:5">
      <c r="A18" s="39"/>
      <c r="B18" s="40"/>
      <c r="C18" s="41"/>
      <c r="D18" s="43"/>
      <c r="E18" s="48"/>
    </row>
    <row r="19" s="12" customFormat="1" ht="263.2" customHeight="1" spans="1:5">
      <c r="A19" s="39"/>
      <c r="B19" s="40"/>
      <c r="C19" s="41"/>
      <c r="D19" s="43"/>
      <c r="E19" s="48"/>
    </row>
    <row r="20" s="12" customFormat="1" ht="289.95" customHeight="1" spans="1:5">
      <c r="A20" s="39"/>
      <c r="B20" s="40"/>
      <c r="C20" s="41"/>
      <c r="D20" s="43"/>
      <c r="E20" s="48"/>
    </row>
    <row r="21" s="12" customFormat="1" ht="200" customHeight="1" spans="1:5">
      <c r="A21" s="39"/>
      <c r="B21" s="40"/>
      <c r="C21" s="41"/>
      <c r="D21" s="43"/>
      <c r="E21" s="48"/>
    </row>
    <row r="22" s="12" customFormat="1" ht="200" customHeight="1" spans="1:5">
      <c r="A22" s="39"/>
      <c r="B22" s="40"/>
      <c r="C22" s="41"/>
      <c r="D22" s="43"/>
      <c r="E22" s="48"/>
    </row>
    <row r="23" s="12" customFormat="1" ht="200" customHeight="1" spans="1:5">
      <c r="A23" s="39"/>
      <c r="B23" s="40"/>
      <c r="C23" s="41"/>
      <c r="D23" s="43"/>
      <c r="E23" s="48"/>
    </row>
    <row r="24" s="12" customFormat="1" ht="200" customHeight="1" spans="1:5">
      <c r="A24" s="39"/>
      <c r="B24" s="40"/>
      <c r="C24" s="41"/>
      <c r="D24" s="42"/>
      <c r="E24" s="41"/>
    </row>
    <row r="25" s="12" customFormat="1" ht="200" customHeight="1" spans="1:5">
      <c r="A25" s="39"/>
      <c r="B25" s="40"/>
      <c r="C25" s="41"/>
      <c r="D25" s="42"/>
      <c r="E25" s="41"/>
    </row>
    <row r="26" s="12" customFormat="1" ht="200" customHeight="1" spans="1:5">
      <c r="A26" s="39"/>
      <c r="B26" s="40"/>
      <c r="C26" s="41"/>
      <c r="D26" s="42"/>
      <c r="E26" s="41"/>
    </row>
    <row r="27" s="12" customFormat="1" ht="200" customHeight="1" spans="1:5">
      <c r="A27" s="39">
        <v>45960</v>
      </c>
      <c r="B27" s="40"/>
      <c r="C27" s="41"/>
      <c r="D27" s="42"/>
      <c r="E27" s="41"/>
    </row>
    <row r="28" s="12" customFormat="1" ht="200" customHeight="1" spans="1:5">
      <c r="A28" s="39">
        <v>45961</v>
      </c>
      <c r="B28" s="40"/>
      <c r="C28" s="41"/>
      <c r="D28" s="42"/>
      <c r="E28" s="41"/>
    </row>
    <row r="29" s="12" customFormat="1" ht="200" customHeight="1" spans="1:5">
      <c r="A29" s="39"/>
      <c r="B29" s="40"/>
      <c r="C29" s="41"/>
      <c r="D29" s="42"/>
      <c r="E29" s="41"/>
    </row>
    <row r="30" s="12" customFormat="1" ht="200" customHeight="1" spans="1:5">
      <c r="A30" s="39"/>
      <c r="B30" s="40"/>
      <c r="C30" s="41"/>
      <c r="D30" s="42"/>
      <c r="E30" s="41"/>
    </row>
    <row r="31" s="12" customFormat="1" ht="200" customHeight="1" spans="1:5">
      <c r="A31" s="39"/>
      <c r="B31" s="40"/>
      <c r="C31" s="41"/>
      <c r="D31" s="42"/>
      <c r="E31" s="41"/>
    </row>
    <row r="32" s="12" customFormat="1" spans="1:5">
      <c r="A32" s="44"/>
      <c r="B32" s="45"/>
      <c r="C32" s="46">
        <f>SUM(D2:D31)</f>
        <v>0</v>
      </c>
      <c r="D32" s="47"/>
      <c r="E32" s="49"/>
    </row>
  </sheetData>
  <mergeCells count="2">
    <mergeCell ref="A32:B32"/>
    <mergeCell ref="C32:E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selection activeCell="G8" sqref="G8"/>
    </sheetView>
  </sheetViews>
  <sheetFormatPr defaultColWidth="9.140625" defaultRowHeight="16.8" outlineLevelRow="6" outlineLevelCol="6"/>
  <cols>
    <col min="1" max="1" width="21.140625" style="13" customWidth="1"/>
    <col min="2" max="2" width="27.5703125" style="12" customWidth="1"/>
    <col min="3" max="3" width="30.75" style="12" customWidth="1"/>
    <col min="4" max="4" width="65.703125" style="12" customWidth="1"/>
    <col min="5" max="7" width="32.3359375" style="12" customWidth="1"/>
    <col min="8" max="16384" width="9.140625" style="12"/>
  </cols>
  <sheetData>
    <row r="1" s="11" customFormat="1" ht="35" customHeight="1" spans="1:7">
      <c r="A1" s="14" t="s">
        <v>0</v>
      </c>
      <c r="B1" s="15" t="s">
        <v>18</v>
      </c>
      <c r="C1" s="15" t="s">
        <v>19</v>
      </c>
      <c r="D1" s="15" t="s">
        <v>4</v>
      </c>
      <c r="E1" s="15" t="s">
        <v>5</v>
      </c>
      <c r="F1" s="15" t="s">
        <v>6</v>
      </c>
      <c r="G1" s="15" t="s">
        <v>7</v>
      </c>
    </row>
    <row r="2" s="12" customFormat="1" ht="240.3" customHeight="1" spans="1:7">
      <c r="A2" s="16"/>
      <c r="B2" s="17"/>
      <c r="C2" s="18"/>
      <c r="D2" s="19"/>
      <c r="E2" s="25"/>
      <c r="F2" s="26">
        <f>C2*E2</f>
        <v>0</v>
      </c>
      <c r="G2" s="27">
        <f>SUM(F2:F2)</f>
        <v>0</v>
      </c>
    </row>
    <row r="3" s="12" customFormat="1" ht="80" customHeight="1" spans="1:7">
      <c r="A3" s="20"/>
      <c r="B3" s="21"/>
      <c r="C3" s="22"/>
      <c r="D3" s="23"/>
      <c r="E3" s="28"/>
      <c r="F3" s="29"/>
      <c r="G3" s="30"/>
    </row>
    <row r="4" s="12" customFormat="1" ht="80" customHeight="1" spans="1:7">
      <c r="A4" s="20"/>
      <c r="B4" s="21"/>
      <c r="C4" s="22"/>
      <c r="D4" s="23"/>
      <c r="E4" s="28"/>
      <c r="F4" s="29"/>
      <c r="G4" s="31"/>
    </row>
    <row r="5" s="12" customFormat="1" ht="80" customHeight="1" spans="1:7">
      <c r="A5" s="20"/>
      <c r="B5" s="21"/>
      <c r="C5" s="22"/>
      <c r="D5" s="23"/>
      <c r="E5" s="28"/>
      <c r="F5" s="29"/>
      <c r="G5" s="32"/>
    </row>
    <row r="6" s="12" customFormat="1" ht="26" spans="1:7">
      <c r="A6" s="20"/>
      <c r="B6" s="21"/>
      <c r="C6" s="22"/>
      <c r="D6" s="23"/>
      <c r="E6" s="28"/>
      <c r="F6" s="29"/>
      <c r="G6" s="33"/>
    </row>
    <row r="7" s="12" customFormat="1" ht="39" customHeight="1" spans="1:7">
      <c r="A7" s="20" t="s">
        <v>11</v>
      </c>
      <c r="B7" s="24"/>
      <c r="C7" s="24"/>
      <c r="D7" s="24"/>
      <c r="E7" s="24"/>
      <c r="F7" s="29"/>
      <c r="G7" s="34">
        <f>SUM(G2:G6)</f>
        <v>0</v>
      </c>
    </row>
  </sheetData>
  <mergeCells count="3">
    <mergeCell ref="A3:A5"/>
    <mergeCell ref="D3:D5"/>
    <mergeCell ref="G3:G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selection activeCell="C2" sqref="C2"/>
    </sheetView>
  </sheetViews>
  <sheetFormatPr defaultColWidth="9.140625" defaultRowHeight="16.8" outlineLevelRow="6" outlineLevelCol="2"/>
  <cols>
    <col min="1" max="1" width="9.140625" style="1"/>
    <col min="2" max="2" width="21.859375" style="2" customWidth="1"/>
    <col min="3" max="3" width="28" customWidth="1"/>
  </cols>
  <sheetData>
    <row r="1" ht="25" customHeight="1" spans="1:3">
      <c r="A1" s="3" t="s">
        <v>20</v>
      </c>
      <c r="B1" s="4" t="s">
        <v>21</v>
      </c>
      <c r="C1" s="5" t="s">
        <v>22</v>
      </c>
    </row>
    <row r="2" spans="1:3">
      <c r="A2" s="6">
        <v>1</v>
      </c>
      <c r="B2" s="7" t="s">
        <v>23</v>
      </c>
      <c r="C2" s="8">
        <f>'Anugrah (Bag, Cup, Box)'!H10</f>
        <v>266999.88</v>
      </c>
    </row>
    <row r="3" spans="1:3">
      <c r="A3" s="6">
        <v>2</v>
      </c>
      <c r="B3" s="7" t="s">
        <v>24</v>
      </c>
      <c r="C3" s="8">
        <f>'UD Abdi Jaya (Bag, Cup, Box)'!H8</f>
        <v>0</v>
      </c>
    </row>
    <row r="4" spans="1:3">
      <c r="A4" s="6">
        <v>3</v>
      </c>
      <c r="B4" s="7" t="s">
        <v>25</v>
      </c>
      <c r="C4" s="8">
        <f>'PT. SUPARMA JAYA TBK (Tissue)'!E14</f>
        <v>538965.05216</v>
      </c>
    </row>
    <row r="5" spans="1:3">
      <c r="A5" s="6">
        <v>4</v>
      </c>
      <c r="B5" s="7" t="s">
        <v>26</v>
      </c>
      <c r="C5" s="9">
        <f>'Vickel Laundry'!C32</f>
        <v>0</v>
      </c>
    </row>
    <row r="6" spans="1:3">
      <c r="A6" s="6">
        <v>5</v>
      </c>
      <c r="B6" s="7" t="s">
        <v>27</v>
      </c>
      <c r="C6" s="9">
        <f>'Dishy Soap'!G7</f>
        <v>0</v>
      </c>
    </row>
    <row r="7" spans="1:3">
      <c r="A7" s="6" t="s">
        <v>7</v>
      </c>
      <c r="B7" s="7"/>
      <c r="C7" s="10">
        <f>SUM(C2:C5)</f>
        <v>805964.93216</v>
      </c>
    </row>
  </sheetData>
  <mergeCells count="1">
    <mergeCell ref="A7:B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Anugrah (Bag, Cup, Box)</vt:lpstr>
      <vt:lpstr>UD Abdi Jaya (Bag, Cup, Box)</vt:lpstr>
      <vt:lpstr>PT. SUPARMA JAYA TBK (Tissue)</vt:lpstr>
      <vt:lpstr>Vickel Laundry</vt:lpstr>
      <vt:lpstr>Dishy Soap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2025-07-11T00:21:00Z</dcterms:created>
  <dcterms:modified xsi:type="dcterms:W3CDTF">2026-01-08T19:27:12Z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A29148F1284A4E108B88A706AF0A1D4B_12</vt:lpwstr>
  </property>
  <property fmtid="{D5CDD505-2E9C-101B-9397-08002B2CF9AE}" pid="3" name="KSOProductBuildVer">
    <vt:lpwstr>1033-12.1.23152.23152</vt:lpwstr>
  </property>
</Properties>
</file>