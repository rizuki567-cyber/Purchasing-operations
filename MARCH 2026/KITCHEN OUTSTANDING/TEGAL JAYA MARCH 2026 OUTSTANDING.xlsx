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KITCHEN OUTSTANDING/"/>
    </mc:Choice>
  </mc:AlternateContent>
  <xr:revisionPtr revIDLastSave="0" documentId="13_ncr:1_{D08ACB57-1F5C-7B45-A139-D4B5038A30E9}" xr6:coauthVersionLast="47" xr6:coauthVersionMax="47" xr10:uidLastSave="{00000000-0000-0000-0000-000000000000}"/>
  <bookViews>
    <workbookView xWindow="5080" yWindow="4700" windowWidth="26040" windowHeight="14680" xr2:uid="{C1EA359D-1746-2E40-91CE-030C2F68021E}"/>
  </bookViews>
  <sheets>
    <sheet name="TEGAL JAYA (Groceries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S44" i="1" s="1"/>
  <c r="R43" i="1"/>
  <c r="R42" i="1"/>
  <c r="R41" i="1"/>
  <c r="R40" i="1"/>
  <c r="R39" i="1"/>
  <c r="S39" i="1" s="1"/>
  <c r="R38" i="1"/>
  <c r="R37" i="1"/>
  <c r="R36" i="1"/>
  <c r="R35" i="1"/>
  <c r="R34" i="1"/>
  <c r="R33" i="1"/>
  <c r="R32" i="1"/>
  <c r="R31" i="1"/>
  <c r="S31" i="1" s="1"/>
  <c r="R30" i="1"/>
  <c r="R29" i="1"/>
  <c r="R28" i="1"/>
  <c r="R27" i="1"/>
  <c r="R26" i="1"/>
  <c r="R25" i="1"/>
  <c r="R24" i="1"/>
  <c r="R23" i="1"/>
  <c r="R22" i="1"/>
  <c r="S22" i="1" s="1"/>
  <c r="R21" i="1"/>
  <c r="R20" i="1"/>
  <c r="R19" i="1"/>
  <c r="R18" i="1"/>
  <c r="R17" i="1"/>
  <c r="R16" i="1"/>
  <c r="R15" i="1"/>
  <c r="R14" i="1"/>
  <c r="R13" i="1"/>
  <c r="S13" i="1" s="1"/>
  <c r="R12" i="1"/>
  <c r="R11" i="1"/>
  <c r="R10" i="1"/>
  <c r="R9" i="1"/>
  <c r="R8" i="1"/>
  <c r="R7" i="1"/>
  <c r="R6" i="1"/>
  <c r="R5" i="1"/>
  <c r="R4" i="1"/>
  <c r="R3" i="1"/>
  <c r="R2" i="1"/>
  <c r="S2" i="1" s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G33" i="1" s="1"/>
  <c r="F32" i="1"/>
  <c r="F31" i="1"/>
  <c r="F30" i="1"/>
  <c r="F29" i="1"/>
  <c r="F28" i="1"/>
  <c r="F27" i="1"/>
  <c r="F26" i="1"/>
  <c r="F25" i="1"/>
  <c r="F24" i="1"/>
  <c r="G24" i="1" s="1"/>
  <c r="F23" i="1"/>
  <c r="F22" i="1"/>
  <c r="F21" i="1"/>
  <c r="F20" i="1"/>
  <c r="F19" i="1"/>
  <c r="F18" i="1"/>
  <c r="G17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2" i="1" s="1"/>
  <c r="Q62" i="1" l="1"/>
  <c r="T1" i="1"/>
  <c r="E142" i="1"/>
  <c r="H1" i="1"/>
</calcChain>
</file>

<file path=xl/sharedStrings.xml><?xml version="1.0" encoding="utf-8"?>
<sst xmlns="http://schemas.openxmlformats.org/spreadsheetml/2006/main" count="105" uniqueCount="48">
  <si>
    <t>DATE</t>
  </si>
  <si>
    <t>INV NO.</t>
  </si>
  <si>
    <t>ITEM</t>
  </si>
  <si>
    <t>QYT</t>
  </si>
  <si>
    <t>PRICE</t>
  </si>
  <si>
    <t>SUBTOTAL</t>
  </si>
  <si>
    <t>TOTAL</t>
  </si>
  <si>
    <t>MILAC WHIPPING CREAM</t>
  </si>
  <si>
    <t>BBQ SAUCE</t>
  </si>
  <si>
    <t>BANGKOK SAUCE</t>
  </si>
  <si>
    <t>OREGANO</t>
  </si>
  <si>
    <t>IMPORTED LEMON</t>
  </si>
  <si>
    <t>SUNKIST</t>
  </si>
  <si>
    <t>GREEN APPLE</t>
  </si>
  <si>
    <t>LIME</t>
  </si>
  <si>
    <t>PARSLEY</t>
  </si>
  <si>
    <t>DILL</t>
  </si>
  <si>
    <t>SPRING ONION</t>
  </si>
  <si>
    <t>CORIANDER</t>
  </si>
  <si>
    <t>BASIL</t>
  </si>
  <si>
    <t>MINT LEAVES</t>
  </si>
  <si>
    <t>SEMOLINA</t>
  </si>
  <si>
    <t>BABY CUCUMBER</t>
  </si>
  <si>
    <t>LEEK</t>
  </si>
  <si>
    <t>GREEN PEPPER</t>
  </si>
  <si>
    <t>CELERY</t>
  </si>
  <si>
    <t>GRAND TOTAL</t>
  </si>
  <si>
    <t>KINTAMANI ORANGE</t>
  </si>
  <si>
    <t>LEMON</t>
  </si>
  <si>
    <t>CARROT</t>
  </si>
  <si>
    <t>CUCUMBER</t>
  </si>
  <si>
    <t>ENGLISH SPINACH</t>
  </si>
  <si>
    <t>BANANA</t>
  </si>
  <si>
    <t>WATERMELON</t>
  </si>
  <si>
    <t>FRESH MILK</t>
  </si>
  <si>
    <t>STRAWBERRY</t>
  </si>
  <si>
    <t>CHOCOLATE POWDER</t>
  </si>
  <si>
    <t>HONEY PINEAPPLE</t>
  </si>
  <si>
    <t>ORANGE</t>
  </si>
  <si>
    <t>ROSEMARY</t>
  </si>
  <si>
    <t>SARIWANGI</t>
  </si>
  <si>
    <t>OAT MILK</t>
  </si>
  <si>
    <t>BLACK OLIVE</t>
  </si>
  <si>
    <t>PANDAN LEAVES</t>
  </si>
  <si>
    <t>MANGO</t>
  </si>
  <si>
    <t>MUSTARD GREEN</t>
  </si>
  <si>
    <t>BAR</t>
  </si>
  <si>
    <t>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</si>
</sst>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_-&quot;Rp&quot;* #,##0_-;\-&quot;Rp&quot;* #,##0_-;_-&quot;Rp&quot;* &quot;-&quot;??_-;_-@_-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5" fontId="1" fillId="3" borderId="1" xfId="0" applyNumberFormat="1" applyFont="1" applyFill="1" applyBorder="1">
      <alignment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1" xfId="0" applyNumberFormat="1" applyFont="1" applyBorder="1">
      <alignment vertical="center"/>
    </xf>
    <xf numFmtId="0" fontId="1" fillId="0" borderId="1" xfId="0" quotePrefix="1" applyFont="1" applyBorder="1" applyAlignment="1">
      <alignment horizontal="center" vertical="center"/>
    </xf>
    <xf numFmtId="165" fontId="1" fillId="0" borderId="1" xfId="0" applyNumberFormat="1" applyFont="1" applyBorder="1">
      <alignment vertical="center"/>
    </xf>
    <xf numFmtId="165" fontId="1" fillId="0" borderId="0" xfId="0" applyNumberFormat="1" applyFo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6" xfId="0" applyNumberFormat="1" applyFont="1" applyBorder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5A47-5CF1-674C-B983-EB14472E4476}">
  <dimension ref="A1:T143"/>
  <sheetViews>
    <sheetView tabSelected="1" zoomScale="119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J8" sqref="J8"/>
    </sheetView>
  </sheetViews>
  <sheetFormatPr baseColWidth="10" defaultColWidth="9.1640625" defaultRowHeight="16" x14ac:dyDescent="0.2"/>
  <cols>
    <col min="1" max="1" width="11.83203125" style="31" bestFit="1" customWidth="1"/>
    <col min="2" max="2" width="10.1640625" style="32" bestFit="1" customWidth="1"/>
    <col min="3" max="3" width="30.1640625" style="33" customWidth="1"/>
    <col min="4" max="4" width="6" style="32" customWidth="1"/>
    <col min="5" max="5" width="12" style="27" customWidth="1"/>
    <col min="6" max="6" width="12.6640625" style="27" bestFit="1" customWidth="1"/>
    <col min="7" max="7" width="18" style="27" customWidth="1"/>
    <col min="8" max="8" width="14.1640625" style="14" customWidth="1"/>
    <col min="9" max="9" width="9.1640625" style="14"/>
    <col min="10" max="10" width="12.6640625" style="14" bestFit="1" customWidth="1"/>
    <col min="11" max="12" width="9.1640625" style="14"/>
    <col min="13" max="13" width="11.83203125" style="14" bestFit="1" customWidth="1"/>
    <col min="14" max="14" width="10.33203125" style="14" bestFit="1" customWidth="1"/>
    <col min="15" max="15" width="19.1640625" style="14" bestFit="1" customWidth="1"/>
    <col min="16" max="16" width="5.33203125" style="14" bestFit="1" customWidth="1"/>
    <col min="17" max="17" width="11.1640625" style="14" bestFit="1" customWidth="1"/>
    <col min="18" max="18" width="12.83203125" style="14" bestFit="1" customWidth="1"/>
    <col min="19" max="19" width="11.1640625" style="14" bestFit="1" customWidth="1"/>
    <col min="20" max="20" width="12.1640625" style="14" bestFit="1" customWidth="1"/>
    <col min="21" max="16384" width="9.1640625" style="14"/>
  </cols>
  <sheetData>
    <row r="1" spans="1:20" s="6" customFormat="1" ht="19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>
        <f>SUM(G:G)</f>
        <v>1430300</v>
      </c>
      <c r="I1" s="36" t="s">
        <v>47</v>
      </c>
      <c r="L1" s="35" t="s">
        <v>46</v>
      </c>
      <c r="M1" s="1" t="s">
        <v>0</v>
      </c>
      <c r="N1" s="2" t="s">
        <v>1</v>
      </c>
      <c r="O1" s="2" t="s">
        <v>2</v>
      </c>
      <c r="P1" s="3" t="s">
        <v>3</v>
      </c>
      <c r="Q1" s="4" t="s">
        <v>4</v>
      </c>
      <c r="R1" s="4" t="s">
        <v>5</v>
      </c>
      <c r="S1" s="4" t="s">
        <v>6</v>
      </c>
      <c r="T1" s="5">
        <f>SUM(S:S)</f>
        <v>2853400</v>
      </c>
    </row>
    <row r="2" spans="1:20" x14ac:dyDescent="0.2">
      <c r="A2" s="7">
        <v>46098</v>
      </c>
      <c r="B2" s="8">
        <v>8302</v>
      </c>
      <c r="C2" s="9" t="s">
        <v>7</v>
      </c>
      <c r="D2" s="10">
        <v>2</v>
      </c>
      <c r="E2" s="11">
        <v>120000</v>
      </c>
      <c r="F2" s="11">
        <f t="shared" ref="F2:F23" si="0">E2*D2</f>
        <v>240000</v>
      </c>
      <c r="G2" s="12">
        <f>SUM(F2:F16)</f>
        <v>799100</v>
      </c>
      <c r="H2" s="13"/>
      <c r="M2" s="7">
        <v>46097</v>
      </c>
      <c r="N2" s="8">
        <v>8210</v>
      </c>
      <c r="O2" s="9" t="s">
        <v>27</v>
      </c>
      <c r="P2" s="10">
        <v>4.0999999999999996</v>
      </c>
      <c r="Q2" s="11">
        <v>25000</v>
      </c>
      <c r="R2" s="11">
        <f t="shared" ref="R2:R61" si="1">Q2*P2</f>
        <v>102499.99999999999</v>
      </c>
      <c r="S2" s="12">
        <f>SUM(R2:R12)</f>
        <v>553100</v>
      </c>
      <c r="T2" s="21"/>
    </row>
    <row r="3" spans="1:20" x14ac:dyDescent="0.2">
      <c r="A3" s="15"/>
      <c r="B3" s="16"/>
      <c r="C3" s="9" t="s">
        <v>8</v>
      </c>
      <c r="D3" s="10">
        <v>2</v>
      </c>
      <c r="E3" s="11">
        <v>55000</v>
      </c>
      <c r="F3" s="11">
        <f t="shared" si="0"/>
        <v>110000</v>
      </c>
      <c r="G3" s="17"/>
      <c r="H3" s="13"/>
      <c r="J3" s="37" t="s">
        <v>26</v>
      </c>
      <c r="K3" s="37"/>
      <c r="M3" s="15"/>
      <c r="N3" s="16"/>
      <c r="O3" s="9" t="s">
        <v>28</v>
      </c>
      <c r="P3" s="10">
        <v>2</v>
      </c>
      <c r="Q3" s="11">
        <v>45000</v>
      </c>
      <c r="R3" s="11">
        <f t="shared" si="1"/>
        <v>90000</v>
      </c>
      <c r="S3" s="17"/>
      <c r="T3" s="22"/>
    </row>
    <row r="4" spans="1:20" x14ac:dyDescent="0.2">
      <c r="A4" s="15"/>
      <c r="B4" s="16"/>
      <c r="C4" s="9" t="s">
        <v>9</v>
      </c>
      <c r="D4" s="10">
        <v>1</v>
      </c>
      <c r="E4" s="11">
        <v>35000</v>
      </c>
      <c r="F4" s="11">
        <f t="shared" si="0"/>
        <v>35000</v>
      </c>
      <c r="G4" s="17"/>
      <c r="H4" s="13"/>
      <c r="J4" s="38">
        <f>H1+T1</f>
        <v>4283700</v>
      </c>
      <c r="K4" s="38"/>
      <c r="M4" s="15"/>
      <c r="N4" s="16"/>
      <c r="O4" s="9" t="s">
        <v>29</v>
      </c>
      <c r="P4" s="10">
        <v>1.1000000000000001</v>
      </c>
      <c r="Q4" s="11">
        <v>20000</v>
      </c>
      <c r="R4" s="11">
        <f t="shared" si="1"/>
        <v>22000</v>
      </c>
      <c r="S4" s="17"/>
      <c r="T4" s="22"/>
    </row>
    <row r="5" spans="1:20" x14ac:dyDescent="0.2">
      <c r="A5" s="15"/>
      <c r="B5" s="16"/>
      <c r="C5" s="9" t="s">
        <v>10</v>
      </c>
      <c r="D5" s="10">
        <v>1</v>
      </c>
      <c r="E5" s="11">
        <v>35000</v>
      </c>
      <c r="F5" s="11">
        <f t="shared" si="0"/>
        <v>35000</v>
      </c>
      <c r="G5" s="17"/>
      <c r="H5" s="13"/>
      <c r="M5" s="15"/>
      <c r="N5" s="16"/>
      <c r="O5" s="9" t="s">
        <v>30</v>
      </c>
      <c r="P5" s="10">
        <v>1</v>
      </c>
      <c r="Q5" s="11">
        <v>20000</v>
      </c>
      <c r="R5" s="11">
        <f t="shared" si="1"/>
        <v>20000</v>
      </c>
      <c r="S5" s="17"/>
      <c r="T5" s="22"/>
    </row>
    <row r="6" spans="1:20" x14ac:dyDescent="0.2">
      <c r="A6" s="15"/>
      <c r="B6" s="16"/>
      <c r="C6" s="9" t="s">
        <v>11</v>
      </c>
      <c r="D6" s="10">
        <v>2</v>
      </c>
      <c r="E6" s="11">
        <v>46000</v>
      </c>
      <c r="F6" s="11">
        <f t="shared" si="0"/>
        <v>92000</v>
      </c>
      <c r="G6" s="17"/>
      <c r="H6" s="13"/>
      <c r="M6" s="15"/>
      <c r="N6" s="16"/>
      <c r="O6" s="9" t="s">
        <v>31</v>
      </c>
      <c r="P6" s="10">
        <v>0.3</v>
      </c>
      <c r="Q6" s="11">
        <v>50000</v>
      </c>
      <c r="R6" s="11">
        <f t="shared" si="1"/>
        <v>15000</v>
      </c>
      <c r="S6" s="17"/>
      <c r="T6" s="22"/>
    </row>
    <row r="7" spans="1:20" x14ac:dyDescent="0.2">
      <c r="A7" s="15"/>
      <c r="B7" s="16"/>
      <c r="C7" s="9" t="s">
        <v>12</v>
      </c>
      <c r="D7" s="10">
        <v>1.1000000000000001</v>
      </c>
      <c r="E7" s="11">
        <v>36000</v>
      </c>
      <c r="F7" s="11">
        <f t="shared" si="0"/>
        <v>39600</v>
      </c>
      <c r="G7" s="17"/>
      <c r="H7" s="13"/>
      <c r="M7" s="15"/>
      <c r="N7" s="16"/>
      <c r="O7" s="9" t="s">
        <v>32</v>
      </c>
      <c r="P7" s="10">
        <v>3.7</v>
      </c>
      <c r="Q7" s="11">
        <v>18000</v>
      </c>
      <c r="R7" s="11">
        <f t="shared" si="1"/>
        <v>66600</v>
      </c>
      <c r="S7" s="17"/>
      <c r="T7" s="22"/>
    </row>
    <row r="8" spans="1:20" x14ac:dyDescent="0.2">
      <c r="A8" s="15"/>
      <c r="B8" s="16"/>
      <c r="C8" s="9" t="s">
        <v>13</v>
      </c>
      <c r="D8" s="10">
        <v>1</v>
      </c>
      <c r="E8" s="11">
        <v>45000</v>
      </c>
      <c r="F8" s="11">
        <f t="shared" si="0"/>
        <v>45000</v>
      </c>
      <c r="G8" s="17"/>
      <c r="H8" s="13"/>
      <c r="M8" s="15"/>
      <c r="N8" s="16"/>
      <c r="O8" s="9" t="s">
        <v>33</v>
      </c>
      <c r="P8" s="10">
        <v>3</v>
      </c>
      <c r="Q8" s="11">
        <v>13000</v>
      </c>
      <c r="R8" s="11">
        <f t="shared" si="1"/>
        <v>39000</v>
      </c>
      <c r="S8" s="17"/>
      <c r="T8" s="22"/>
    </row>
    <row r="9" spans="1:20" x14ac:dyDescent="0.2">
      <c r="A9" s="15"/>
      <c r="B9" s="16"/>
      <c r="C9" s="9" t="s">
        <v>14</v>
      </c>
      <c r="D9" s="10">
        <v>0.5</v>
      </c>
      <c r="E9" s="11">
        <v>15000</v>
      </c>
      <c r="F9" s="11">
        <f t="shared" si="0"/>
        <v>7500</v>
      </c>
      <c r="G9" s="17"/>
      <c r="H9" s="13"/>
      <c r="M9" s="15"/>
      <c r="N9" s="16"/>
      <c r="O9" s="9" t="s">
        <v>34</v>
      </c>
      <c r="P9" s="10">
        <v>3</v>
      </c>
      <c r="Q9" s="11">
        <v>35000</v>
      </c>
      <c r="R9" s="11">
        <f t="shared" si="1"/>
        <v>105000</v>
      </c>
      <c r="S9" s="17"/>
      <c r="T9" s="22"/>
    </row>
    <row r="10" spans="1:20" x14ac:dyDescent="0.2">
      <c r="A10" s="15"/>
      <c r="B10" s="16"/>
      <c r="C10" s="9" t="s">
        <v>15</v>
      </c>
      <c r="D10" s="10">
        <v>0.2</v>
      </c>
      <c r="E10" s="11">
        <v>85000</v>
      </c>
      <c r="F10" s="11">
        <f t="shared" si="0"/>
        <v>17000</v>
      </c>
      <c r="G10" s="17"/>
      <c r="H10" s="13"/>
      <c r="M10" s="15"/>
      <c r="N10" s="16"/>
      <c r="O10" s="9" t="s">
        <v>35</v>
      </c>
      <c r="P10" s="10">
        <v>0.5</v>
      </c>
      <c r="Q10" s="11">
        <v>85000</v>
      </c>
      <c r="R10" s="11">
        <f t="shared" si="1"/>
        <v>42500</v>
      </c>
      <c r="S10" s="17"/>
      <c r="T10" s="22"/>
    </row>
    <row r="11" spans="1:20" x14ac:dyDescent="0.2">
      <c r="A11" s="15"/>
      <c r="B11" s="16"/>
      <c r="C11" s="9" t="s">
        <v>16</v>
      </c>
      <c r="D11" s="10">
        <v>0.1</v>
      </c>
      <c r="E11" s="11">
        <v>120000</v>
      </c>
      <c r="F11" s="11">
        <f t="shared" si="0"/>
        <v>12000</v>
      </c>
      <c r="G11" s="17"/>
      <c r="H11" s="13"/>
      <c r="M11" s="15"/>
      <c r="N11" s="16"/>
      <c r="O11" s="9" t="s">
        <v>14</v>
      </c>
      <c r="P11" s="10">
        <v>0.5</v>
      </c>
      <c r="Q11" s="11">
        <v>15000</v>
      </c>
      <c r="R11" s="11">
        <f t="shared" si="1"/>
        <v>7500</v>
      </c>
      <c r="S11" s="17"/>
      <c r="T11" s="22"/>
    </row>
    <row r="12" spans="1:20" x14ac:dyDescent="0.2">
      <c r="A12" s="15"/>
      <c r="B12" s="16"/>
      <c r="C12" s="9" t="s">
        <v>17</v>
      </c>
      <c r="D12" s="10">
        <v>0.1</v>
      </c>
      <c r="E12" s="11">
        <v>65000</v>
      </c>
      <c r="F12" s="11">
        <f t="shared" si="0"/>
        <v>6500</v>
      </c>
      <c r="G12" s="17"/>
      <c r="H12" s="13"/>
      <c r="M12" s="18"/>
      <c r="N12" s="19"/>
      <c r="O12" s="9" t="s">
        <v>36</v>
      </c>
      <c r="P12" s="10">
        <v>1</v>
      </c>
      <c r="Q12" s="11">
        <v>43000</v>
      </c>
      <c r="R12" s="11">
        <f t="shared" si="1"/>
        <v>43000</v>
      </c>
      <c r="S12" s="20"/>
      <c r="T12" s="23"/>
    </row>
    <row r="13" spans="1:20" x14ac:dyDescent="0.2">
      <c r="A13" s="15"/>
      <c r="B13" s="16"/>
      <c r="C13" s="9" t="s">
        <v>18</v>
      </c>
      <c r="D13" s="10">
        <v>0.1</v>
      </c>
      <c r="E13" s="11">
        <v>80000</v>
      </c>
      <c r="F13" s="11">
        <f t="shared" si="0"/>
        <v>8000</v>
      </c>
      <c r="G13" s="17"/>
      <c r="H13" s="13"/>
      <c r="M13" s="7">
        <v>46106</v>
      </c>
      <c r="N13" s="8">
        <v>8548</v>
      </c>
      <c r="O13" s="9" t="s">
        <v>37</v>
      </c>
      <c r="P13" s="10">
        <v>8</v>
      </c>
      <c r="Q13" s="11">
        <v>12000</v>
      </c>
      <c r="R13" s="11">
        <f t="shared" si="1"/>
        <v>96000</v>
      </c>
      <c r="S13" s="12">
        <f>SUM(R13:R21)</f>
        <v>530000</v>
      </c>
      <c r="T13" s="21"/>
    </row>
    <row r="14" spans="1:20" x14ac:dyDescent="0.2">
      <c r="A14" s="15"/>
      <c r="B14" s="16"/>
      <c r="C14" s="9" t="s">
        <v>19</v>
      </c>
      <c r="D14" s="10">
        <v>0.1</v>
      </c>
      <c r="E14" s="11">
        <v>65000</v>
      </c>
      <c r="F14" s="11">
        <f t="shared" si="0"/>
        <v>6500</v>
      </c>
      <c r="G14" s="17"/>
      <c r="H14" s="13"/>
      <c r="M14" s="15"/>
      <c r="N14" s="16"/>
      <c r="O14" s="9" t="s">
        <v>12</v>
      </c>
      <c r="P14" s="10">
        <v>1</v>
      </c>
      <c r="Q14" s="11">
        <v>55000</v>
      </c>
      <c r="R14" s="11">
        <f t="shared" si="1"/>
        <v>55000</v>
      </c>
      <c r="S14" s="17"/>
      <c r="T14" s="22"/>
    </row>
    <row r="15" spans="1:20" x14ac:dyDescent="0.2">
      <c r="A15" s="15"/>
      <c r="B15" s="16"/>
      <c r="C15" s="9" t="s">
        <v>20</v>
      </c>
      <c r="D15" s="10">
        <v>0.1</v>
      </c>
      <c r="E15" s="11">
        <v>50000</v>
      </c>
      <c r="F15" s="11">
        <f t="shared" si="0"/>
        <v>5000</v>
      </c>
      <c r="G15" s="17"/>
      <c r="H15" s="13"/>
      <c r="M15" s="15"/>
      <c r="N15" s="16"/>
      <c r="O15" s="9" t="s">
        <v>11</v>
      </c>
      <c r="P15" s="10">
        <v>2</v>
      </c>
      <c r="Q15" s="11">
        <v>45000</v>
      </c>
      <c r="R15" s="11">
        <f t="shared" si="1"/>
        <v>90000</v>
      </c>
      <c r="S15" s="17"/>
      <c r="T15" s="22"/>
    </row>
    <row r="16" spans="1:20" x14ac:dyDescent="0.2">
      <c r="A16" s="18"/>
      <c r="B16" s="19"/>
      <c r="C16" s="9" t="s">
        <v>21</v>
      </c>
      <c r="D16" s="10">
        <v>2</v>
      </c>
      <c r="E16" s="11">
        <v>70000</v>
      </c>
      <c r="F16" s="11">
        <f t="shared" si="0"/>
        <v>140000</v>
      </c>
      <c r="G16" s="20"/>
      <c r="H16" s="13"/>
      <c r="M16" s="15"/>
      <c r="N16" s="16"/>
      <c r="O16" s="9" t="s">
        <v>38</v>
      </c>
      <c r="P16" s="10">
        <v>2</v>
      </c>
      <c r="Q16" s="11">
        <v>26000</v>
      </c>
      <c r="R16" s="11">
        <f t="shared" si="1"/>
        <v>52000</v>
      </c>
      <c r="S16" s="17"/>
      <c r="T16" s="22"/>
    </row>
    <row r="17" spans="1:20" x14ac:dyDescent="0.2">
      <c r="A17" s="7">
        <v>46106</v>
      </c>
      <c r="B17" s="8">
        <v>8549</v>
      </c>
      <c r="C17" s="9" t="s">
        <v>22</v>
      </c>
      <c r="D17" s="10">
        <v>1</v>
      </c>
      <c r="E17" s="11">
        <v>75000</v>
      </c>
      <c r="F17" s="11">
        <f t="shared" si="0"/>
        <v>75000</v>
      </c>
      <c r="G17" s="12">
        <f>SUM(F17:F23)</f>
        <v>228750</v>
      </c>
      <c r="H17" s="13"/>
      <c r="M17" s="15"/>
      <c r="N17" s="16"/>
      <c r="O17" s="9" t="s">
        <v>35</v>
      </c>
      <c r="P17" s="10">
        <v>1</v>
      </c>
      <c r="Q17" s="11">
        <v>85000</v>
      </c>
      <c r="R17" s="11">
        <f t="shared" si="1"/>
        <v>85000</v>
      </c>
      <c r="S17" s="17"/>
      <c r="T17" s="22"/>
    </row>
    <row r="18" spans="1:20" x14ac:dyDescent="0.2">
      <c r="A18" s="15"/>
      <c r="B18" s="16"/>
      <c r="C18" s="9" t="s">
        <v>15</v>
      </c>
      <c r="D18" s="10">
        <v>0.2</v>
      </c>
      <c r="E18" s="11">
        <v>110000</v>
      </c>
      <c r="F18" s="11">
        <f t="shared" si="0"/>
        <v>22000</v>
      </c>
      <c r="G18" s="17"/>
      <c r="H18" s="13"/>
      <c r="M18" s="15"/>
      <c r="N18" s="16"/>
      <c r="O18" s="9" t="s">
        <v>39</v>
      </c>
      <c r="P18" s="10">
        <v>0.2</v>
      </c>
      <c r="Q18" s="11">
        <v>120000</v>
      </c>
      <c r="R18" s="11">
        <f t="shared" si="1"/>
        <v>24000</v>
      </c>
      <c r="S18" s="17"/>
      <c r="T18" s="22"/>
    </row>
    <row r="19" spans="1:20" x14ac:dyDescent="0.2">
      <c r="A19" s="15"/>
      <c r="B19" s="16"/>
      <c r="C19" s="13" t="s">
        <v>18</v>
      </c>
      <c r="D19" s="10">
        <v>0.15</v>
      </c>
      <c r="E19" s="11">
        <v>65000</v>
      </c>
      <c r="F19" s="11">
        <f t="shared" si="0"/>
        <v>9750</v>
      </c>
      <c r="G19" s="17"/>
      <c r="H19" s="13"/>
      <c r="M19" s="15"/>
      <c r="N19" s="16"/>
      <c r="O19" s="9" t="s">
        <v>19</v>
      </c>
      <c r="P19" s="10">
        <v>0.2</v>
      </c>
      <c r="Q19" s="11">
        <v>65000</v>
      </c>
      <c r="R19" s="11">
        <f t="shared" si="1"/>
        <v>13000</v>
      </c>
      <c r="S19" s="17"/>
      <c r="T19" s="22"/>
    </row>
    <row r="20" spans="1:20" x14ac:dyDescent="0.2">
      <c r="A20" s="15"/>
      <c r="B20" s="16"/>
      <c r="C20" s="13" t="s">
        <v>16</v>
      </c>
      <c r="D20" s="10">
        <v>0.1</v>
      </c>
      <c r="E20" s="11">
        <v>100000</v>
      </c>
      <c r="F20" s="11">
        <f t="shared" si="0"/>
        <v>10000</v>
      </c>
      <c r="G20" s="17"/>
      <c r="H20" s="13"/>
      <c r="M20" s="15"/>
      <c r="N20" s="16"/>
      <c r="O20" s="9" t="s">
        <v>40</v>
      </c>
      <c r="P20" s="10">
        <v>1</v>
      </c>
      <c r="Q20" s="11">
        <v>40000</v>
      </c>
      <c r="R20" s="11">
        <f t="shared" si="1"/>
        <v>40000</v>
      </c>
      <c r="S20" s="17"/>
      <c r="T20" s="22"/>
    </row>
    <row r="21" spans="1:20" x14ac:dyDescent="0.2">
      <c r="A21" s="15"/>
      <c r="B21" s="16"/>
      <c r="C21" s="13" t="s">
        <v>17</v>
      </c>
      <c r="D21" s="10">
        <v>0.1</v>
      </c>
      <c r="E21" s="11">
        <v>65000</v>
      </c>
      <c r="F21" s="11">
        <f t="shared" si="0"/>
        <v>6500</v>
      </c>
      <c r="G21" s="17"/>
      <c r="H21" s="13"/>
      <c r="M21" s="18"/>
      <c r="N21" s="19"/>
      <c r="O21" s="9" t="s">
        <v>36</v>
      </c>
      <c r="P21" s="10">
        <v>1</v>
      </c>
      <c r="Q21" s="11">
        <v>75000</v>
      </c>
      <c r="R21" s="11">
        <f t="shared" si="1"/>
        <v>75000</v>
      </c>
      <c r="S21" s="20"/>
      <c r="T21" s="23"/>
    </row>
    <row r="22" spans="1:20" x14ac:dyDescent="0.2">
      <c r="A22" s="15"/>
      <c r="B22" s="16"/>
      <c r="C22" s="13" t="s">
        <v>11</v>
      </c>
      <c r="D22" s="10">
        <v>1</v>
      </c>
      <c r="E22" s="11">
        <v>45000</v>
      </c>
      <c r="F22" s="11">
        <f t="shared" si="0"/>
        <v>45000</v>
      </c>
      <c r="G22" s="17"/>
      <c r="H22" s="13"/>
      <c r="M22" s="7">
        <v>46107</v>
      </c>
      <c r="N22" s="21">
        <v>8595</v>
      </c>
      <c r="O22" s="13" t="s">
        <v>34</v>
      </c>
      <c r="P22" s="10">
        <v>8</v>
      </c>
      <c r="Q22" s="11">
        <v>30000</v>
      </c>
      <c r="R22" s="11">
        <f t="shared" si="1"/>
        <v>240000</v>
      </c>
      <c r="S22" s="12">
        <f>SUM(R22:R30)</f>
        <v>774400</v>
      </c>
      <c r="T22" s="13"/>
    </row>
    <row r="23" spans="1:20" x14ac:dyDescent="0.2">
      <c r="A23" s="18"/>
      <c r="B23" s="19"/>
      <c r="C23" s="13" t="s">
        <v>12</v>
      </c>
      <c r="D23" s="10">
        <v>1.1000000000000001</v>
      </c>
      <c r="E23" s="11">
        <v>55000</v>
      </c>
      <c r="F23" s="11">
        <f t="shared" si="0"/>
        <v>60500.000000000007</v>
      </c>
      <c r="G23" s="20"/>
      <c r="H23" s="13"/>
      <c r="M23" s="15"/>
      <c r="N23" s="22"/>
      <c r="O23" s="13" t="s">
        <v>41</v>
      </c>
      <c r="P23" s="10">
        <v>1</v>
      </c>
      <c r="Q23" s="11">
        <v>60000</v>
      </c>
      <c r="R23" s="11">
        <f t="shared" si="1"/>
        <v>60000</v>
      </c>
      <c r="S23" s="17"/>
      <c r="T23" s="13"/>
    </row>
    <row r="24" spans="1:20" x14ac:dyDescent="0.2">
      <c r="A24" s="7">
        <v>46108</v>
      </c>
      <c r="B24" s="8">
        <v>8634</v>
      </c>
      <c r="C24" s="13" t="s">
        <v>23</v>
      </c>
      <c r="D24" s="10">
        <v>0.25</v>
      </c>
      <c r="E24" s="11">
        <v>35000</v>
      </c>
      <c r="F24" s="11">
        <f>E24*D24</f>
        <v>8750</v>
      </c>
      <c r="G24" s="12">
        <f>SUM(F24:F32)</f>
        <v>186700</v>
      </c>
      <c r="H24" s="13"/>
      <c r="M24" s="15"/>
      <c r="N24" s="22"/>
      <c r="O24" s="13" t="s">
        <v>42</v>
      </c>
      <c r="P24" s="10">
        <v>1</v>
      </c>
      <c r="Q24" s="11">
        <v>70000</v>
      </c>
      <c r="R24" s="11">
        <f t="shared" si="1"/>
        <v>70000</v>
      </c>
      <c r="S24" s="17"/>
      <c r="T24" s="13"/>
    </row>
    <row r="25" spans="1:20" x14ac:dyDescent="0.2">
      <c r="A25" s="15"/>
      <c r="B25" s="16"/>
      <c r="C25" s="13" t="s">
        <v>17</v>
      </c>
      <c r="D25" s="10">
        <v>0.1</v>
      </c>
      <c r="E25" s="11">
        <v>55000</v>
      </c>
      <c r="F25" s="11">
        <f>E25*D25</f>
        <v>5500</v>
      </c>
      <c r="G25" s="17"/>
      <c r="H25" s="13"/>
      <c r="M25" s="15"/>
      <c r="N25" s="22"/>
      <c r="O25" s="13" t="s">
        <v>14</v>
      </c>
      <c r="P25" s="10">
        <v>0.3</v>
      </c>
      <c r="Q25" s="11">
        <v>18000</v>
      </c>
      <c r="R25" s="11">
        <f t="shared" si="1"/>
        <v>5400</v>
      </c>
      <c r="S25" s="17"/>
      <c r="T25" s="13"/>
    </row>
    <row r="26" spans="1:20" x14ac:dyDescent="0.2">
      <c r="A26" s="15"/>
      <c r="B26" s="16"/>
      <c r="C26" s="13" t="s">
        <v>15</v>
      </c>
      <c r="D26" s="10">
        <v>0.15</v>
      </c>
      <c r="E26" s="11">
        <v>95000</v>
      </c>
      <c r="F26" s="11">
        <f t="shared" ref="F26:F89" si="2">E26*D26</f>
        <v>14250</v>
      </c>
      <c r="G26" s="17"/>
      <c r="H26" s="13"/>
      <c r="M26" s="15"/>
      <c r="N26" s="22"/>
      <c r="O26" s="13" t="s">
        <v>35</v>
      </c>
      <c r="P26" s="10">
        <v>1</v>
      </c>
      <c r="Q26" s="11">
        <v>80000</v>
      </c>
      <c r="R26" s="11">
        <f t="shared" si="1"/>
        <v>80000</v>
      </c>
      <c r="S26" s="17"/>
      <c r="T26" s="13"/>
    </row>
    <row r="27" spans="1:20" x14ac:dyDescent="0.2">
      <c r="A27" s="15"/>
      <c r="B27" s="16"/>
      <c r="C27" s="13" t="s">
        <v>18</v>
      </c>
      <c r="D27" s="10">
        <v>0.15</v>
      </c>
      <c r="E27" s="11">
        <v>60000</v>
      </c>
      <c r="F27" s="11">
        <f t="shared" si="2"/>
        <v>9000</v>
      </c>
      <c r="G27" s="17"/>
      <c r="H27" s="13"/>
      <c r="M27" s="15"/>
      <c r="N27" s="22"/>
      <c r="O27" s="13" t="s">
        <v>43</v>
      </c>
      <c r="P27" s="10">
        <v>0.25</v>
      </c>
      <c r="Q27" s="11">
        <v>20000</v>
      </c>
      <c r="R27" s="11">
        <f t="shared" si="1"/>
        <v>5000</v>
      </c>
      <c r="S27" s="17"/>
      <c r="T27" s="13"/>
    </row>
    <row r="28" spans="1:20" x14ac:dyDescent="0.2">
      <c r="A28" s="15"/>
      <c r="B28" s="16"/>
      <c r="C28" s="13" t="s">
        <v>24</v>
      </c>
      <c r="D28" s="10">
        <v>0.5</v>
      </c>
      <c r="E28" s="11">
        <v>65000</v>
      </c>
      <c r="F28" s="11">
        <f t="shared" si="2"/>
        <v>32500</v>
      </c>
      <c r="G28" s="17"/>
      <c r="H28" s="13"/>
      <c r="M28" s="15"/>
      <c r="N28" s="22"/>
      <c r="O28" s="13" t="s">
        <v>37</v>
      </c>
      <c r="P28" s="10">
        <v>12</v>
      </c>
      <c r="Q28" s="11">
        <v>12000</v>
      </c>
      <c r="R28" s="11">
        <f t="shared" si="1"/>
        <v>144000</v>
      </c>
      <c r="S28" s="17"/>
      <c r="T28" s="13"/>
    </row>
    <row r="29" spans="1:20" x14ac:dyDescent="0.2">
      <c r="A29" s="15"/>
      <c r="B29" s="16"/>
      <c r="C29" s="13" t="s">
        <v>22</v>
      </c>
      <c r="D29" s="10">
        <v>0.7</v>
      </c>
      <c r="E29" s="11">
        <v>16000</v>
      </c>
      <c r="F29" s="11">
        <f t="shared" si="2"/>
        <v>11200</v>
      </c>
      <c r="G29" s="17"/>
      <c r="H29" s="13"/>
      <c r="M29" s="15"/>
      <c r="N29" s="22"/>
      <c r="O29" s="13" t="s">
        <v>27</v>
      </c>
      <c r="P29" s="10">
        <v>5</v>
      </c>
      <c r="Q29" s="11">
        <v>25000</v>
      </c>
      <c r="R29" s="11">
        <f t="shared" si="1"/>
        <v>125000</v>
      </c>
      <c r="S29" s="17"/>
      <c r="T29" s="13"/>
    </row>
    <row r="30" spans="1:20" x14ac:dyDescent="0.2">
      <c r="A30" s="15"/>
      <c r="B30" s="16"/>
      <c r="C30" s="13" t="s">
        <v>11</v>
      </c>
      <c r="D30" s="10">
        <v>1.1000000000000001</v>
      </c>
      <c r="E30" s="11">
        <v>45000</v>
      </c>
      <c r="F30" s="11">
        <f t="shared" si="2"/>
        <v>49500.000000000007</v>
      </c>
      <c r="G30" s="17"/>
      <c r="H30" s="13"/>
      <c r="M30" s="18"/>
      <c r="N30" s="23"/>
      <c r="O30" s="13" t="s">
        <v>11</v>
      </c>
      <c r="P30" s="10">
        <v>1</v>
      </c>
      <c r="Q30" s="11">
        <v>45000</v>
      </c>
      <c r="R30" s="11">
        <f t="shared" si="1"/>
        <v>45000</v>
      </c>
      <c r="S30" s="20"/>
      <c r="T30" s="13"/>
    </row>
    <row r="31" spans="1:20" x14ac:dyDescent="0.2">
      <c r="A31" s="15"/>
      <c r="B31" s="16"/>
      <c r="C31" s="13" t="s">
        <v>12</v>
      </c>
      <c r="D31" s="10">
        <v>1</v>
      </c>
      <c r="E31" s="11">
        <v>45000</v>
      </c>
      <c r="F31" s="11">
        <f t="shared" si="2"/>
        <v>45000</v>
      </c>
      <c r="G31" s="17"/>
      <c r="H31" s="13"/>
      <c r="M31" s="7">
        <v>46108</v>
      </c>
      <c r="N31" s="21">
        <v>8633</v>
      </c>
      <c r="O31" s="13" t="s">
        <v>12</v>
      </c>
      <c r="P31" s="10">
        <v>1.1000000000000001</v>
      </c>
      <c r="Q31" s="11">
        <v>45000</v>
      </c>
      <c r="R31" s="11">
        <f t="shared" si="1"/>
        <v>49500.000000000007</v>
      </c>
      <c r="S31" s="12">
        <f>SUM(R31:R38)</f>
        <v>347900</v>
      </c>
      <c r="T31" s="13"/>
    </row>
    <row r="32" spans="1:20" x14ac:dyDescent="0.2">
      <c r="A32" s="18"/>
      <c r="B32" s="19"/>
      <c r="C32" s="13" t="s">
        <v>19</v>
      </c>
      <c r="D32" s="10">
        <v>0.2</v>
      </c>
      <c r="E32" s="11">
        <v>55000</v>
      </c>
      <c r="F32" s="11">
        <f t="shared" si="2"/>
        <v>11000</v>
      </c>
      <c r="G32" s="20"/>
      <c r="H32" s="13"/>
      <c r="M32" s="15"/>
      <c r="N32" s="22"/>
      <c r="O32" s="13" t="s">
        <v>11</v>
      </c>
      <c r="P32" s="10">
        <v>1</v>
      </c>
      <c r="Q32" s="11">
        <v>45000</v>
      </c>
      <c r="R32" s="11">
        <f t="shared" si="1"/>
        <v>45000</v>
      </c>
      <c r="S32" s="17"/>
      <c r="T32" s="13"/>
    </row>
    <row r="33" spans="1:20" x14ac:dyDescent="0.2">
      <c r="A33" s="7">
        <v>46112</v>
      </c>
      <c r="B33" s="21">
        <v>8854</v>
      </c>
      <c r="C33" s="13" t="s">
        <v>22</v>
      </c>
      <c r="D33" s="10">
        <v>1</v>
      </c>
      <c r="E33" s="11">
        <v>75000</v>
      </c>
      <c r="F33" s="11">
        <f t="shared" si="2"/>
        <v>75000</v>
      </c>
      <c r="G33" s="12">
        <f>SUM(F33:F40)</f>
        <v>215750</v>
      </c>
      <c r="H33" s="13"/>
      <c r="M33" s="15"/>
      <c r="N33" s="22"/>
      <c r="O33" s="13" t="s">
        <v>27</v>
      </c>
      <c r="P33" s="10">
        <v>3.1</v>
      </c>
      <c r="Q33" s="11">
        <v>25000</v>
      </c>
      <c r="R33" s="11">
        <f t="shared" si="1"/>
        <v>77500</v>
      </c>
      <c r="S33" s="17"/>
      <c r="T33" s="13"/>
    </row>
    <row r="34" spans="1:20" x14ac:dyDescent="0.2">
      <c r="A34" s="15"/>
      <c r="B34" s="22"/>
      <c r="C34" s="13" t="s">
        <v>25</v>
      </c>
      <c r="D34" s="10">
        <v>0.1</v>
      </c>
      <c r="E34" s="11">
        <v>40000</v>
      </c>
      <c r="F34" s="11">
        <f t="shared" si="2"/>
        <v>4000</v>
      </c>
      <c r="G34" s="17"/>
      <c r="H34" s="13"/>
      <c r="M34" s="15"/>
      <c r="N34" s="22"/>
      <c r="O34" s="13" t="s">
        <v>44</v>
      </c>
      <c r="P34" s="10">
        <v>1.2</v>
      </c>
      <c r="Q34" s="11">
        <v>70000</v>
      </c>
      <c r="R34" s="11">
        <f t="shared" si="1"/>
        <v>84000</v>
      </c>
      <c r="S34" s="17"/>
      <c r="T34" s="13"/>
    </row>
    <row r="35" spans="1:20" x14ac:dyDescent="0.2">
      <c r="A35" s="15"/>
      <c r="B35" s="22"/>
      <c r="C35" s="13" t="s">
        <v>23</v>
      </c>
      <c r="D35" s="10">
        <v>0.3</v>
      </c>
      <c r="E35" s="11">
        <v>35000</v>
      </c>
      <c r="F35" s="11">
        <f t="shared" si="2"/>
        <v>10500</v>
      </c>
      <c r="G35" s="17"/>
      <c r="H35" s="13"/>
      <c r="M35" s="15"/>
      <c r="N35" s="22"/>
      <c r="O35" s="13" t="s">
        <v>32</v>
      </c>
      <c r="P35" s="10">
        <v>1.8</v>
      </c>
      <c r="Q35" s="11">
        <v>18000</v>
      </c>
      <c r="R35" s="11">
        <f t="shared" si="1"/>
        <v>32400</v>
      </c>
      <c r="S35" s="17"/>
      <c r="T35" s="13"/>
    </row>
    <row r="36" spans="1:20" x14ac:dyDescent="0.2">
      <c r="A36" s="15"/>
      <c r="B36" s="22"/>
      <c r="C36" s="13" t="s">
        <v>15</v>
      </c>
      <c r="D36" s="10">
        <v>0.1</v>
      </c>
      <c r="E36" s="11">
        <v>100000</v>
      </c>
      <c r="F36" s="11">
        <f t="shared" si="2"/>
        <v>10000</v>
      </c>
      <c r="G36" s="17"/>
      <c r="H36" s="13"/>
      <c r="M36" s="15"/>
      <c r="N36" s="22"/>
      <c r="O36" s="13" t="s">
        <v>45</v>
      </c>
      <c r="P36" s="10">
        <v>0.5</v>
      </c>
      <c r="Q36" s="11">
        <v>25000</v>
      </c>
      <c r="R36" s="11">
        <f t="shared" si="1"/>
        <v>12500</v>
      </c>
      <c r="S36" s="17"/>
      <c r="T36" s="13"/>
    </row>
    <row r="37" spans="1:20" x14ac:dyDescent="0.2">
      <c r="A37" s="15"/>
      <c r="B37" s="22"/>
      <c r="C37" s="13" t="s">
        <v>18</v>
      </c>
      <c r="D37" s="10">
        <v>0.15</v>
      </c>
      <c r="E37" s="11">
        <v>65000</v>
      </c>
      <c r="F37" s="11">
        <f t="shared" si="2"/>
        <v>9750</v>
      </c>
      <c r="G37" s="17"/>
      <c r="H37" s="13"/>
      <c r="M37" s="15"/>
      <c r="N37" s="22"/>
      <c r="O37" s="13" t="s">
        <v>33</v>
      </c>
      <c r="P37" s="10">
        <v>3</v>
      </c>
      <c r="Q37" s="11">
        <v>13000</v>
      </c>
      <c r="R37" s="11">
        <f t="shared" si="1"/>
        <v>39000</v>
      </c>
      <c r="S37" s="17"/>
      <c r="T37" s="13"/>
    </row>
    <row r="38" spans="1:20" x14ac:dyDescent="0.2">
      <c r="A38" s="15"/>
      <c r="B38" s="22"/>
      <c r="C38" s="13" t="s">
        <v>19</v>
      </c>
      <c r="D38" s="10">
        <v>0.1</v>
      </c>
      <c r="E38" s="11">
        <v>65000</v>
      </c>
      <c r="F38" s="11">
        <f t="shared" si="2"/>
        <v>6500</v>
      </c>
      <c r="G38" s="17"/>
      <c r="H38" s="13"/>
      <c r="M38" s="18"/>
      <c r="N38" s="23"/>
      <c r="O38" s="13" t="s">
        <v>14</v>
      </c>
      <c r="P38" s="10">
        <v>0.5</v>
      </c>
      <c r="Q38" s="11">
        <v>16000</v>
      </c>
      <c r="R38" s="11">
        <f t="shared" si="1"/>
        <v>8000</v>
      </c>
      <c r="S38" s="20"/>
      <c r="T38" s="13"/>
    </row>
    <row r="39" spans="1:20" x14ac:dyDescent="0.2">
      <c r="A39" s="15"/>
      <c r="B39" s="22"/>
      <c r="C39" s="13" t="s">
        <v>12</v>
      </c>
      <c r="D39" s="10">
        <v>1</v>
      </c>
      <c r="E39" s="11">
        <v>55000</v>
      </c>
      <c r="F39" s="11">
        <f t="shared" si="2"/>
        <v>55000</v>
      </c>
      <c r="G39" s="17"/>
      <c r="H39" s="13"/>
      <c r="M39" s="7">
        <v>46109</v>
      </c>
      <c r="N39" s="21">
        <v>8688</v>
      </c>
      <c r="O39" s="13" t="s">
        <v>12</v>
      </c>
      <c r="P39" s="10">
        <v>1</v>
      </c>
      <c r="Q39" s="11">
        <v>45000</v>
      </c>
      <c r="R39" s="11">
        <f t="shared" si="1"/>
        <v>45000</v>
      </c>
      <c r="S39" s="12">
        <f>SUM(R39:R43)</f>
        <v>220500</v>
      </c>
      <c r="T39" s="13"/>
    </row>
    <row r="40" spans="1:20" x14ac:dyDescent="0.2">
      <c r="A40" s="18"/>
      <c r="B40" s="23"/>
      <c r="C40" s="13" t="s">
        <v>11</v>
      </c>
      <c r="D40" s="10">
        <v>1</v>
      </c>
      <c r="E40" s="11">
        <v>45000</v>
      </c>
      <c r="F40" s="11">
        <f t="shared" si="2"/>
        <v>45000</v>
      </c>
      <c r="G40" s="20"/>
      <c r="H40" s="13"/>
      <c r="M40" s="15"/>
      <c r="N40" s="22"/>
      <c r="O40" s="13" t="s">
        <v>27</v>
      </c>
      <c r="P40" s="10">
        <v>2.1</v>
      </c>
      <c r="Q40" s="11">
        <v>25000</v>
      </c>
      <c r="R40" s="11">
        <f t="shared" si="1"/>
        <v>52500</v>
      </c>
      <c r="S40" s="17"/>
      <c r="T40" s="13"/>
    </row>
    <row r="41" spans="1:20" x14ac:dyDescent="0.2">
      <c r="A41" s="24"/>
      <c r="B41" s="25"/>
      <c r="C41" s="13"/>
      <c r="D41" s="10"/>
      <c r="E41" s="11"/>
      <c r="F41" s="11">
        <f t="shared" si="2"/>
        <v>0</v>
      </c>
      <c r="G41" s="26"/>
      <c r="H41" s="13"/>
      <c r="M41" s="15"/>
      <c r="N41" s="22"/>
      <c r="O41" s="13" t="s">
        <v>11</v>
      </c>
      <c r="P41" s="10">
        <v>1</v>
      </c>
      <c r="Q41" s="11">
        <v>45000</v>
      </c>
      <c r="R41" s="11">
        <f t="shared" si="1"/>
        <v>45000</v>
      </c>
      <c r="S41" s="17"/>
      <c r="T41" s="13"/>
    </row>
    <row r="42" spans="1:20" x14ac:dyDescent="0.2">
      <c r="A42" s="24"/>
      <c r="B42" s="25"/>
      <c r="C42" s="13"/>
      <c r="D42" s="10"/>
      <c r="E42" s="11"/>
      <c r="F42" s="11">
        <f t="shared" si="2"/>
        <v>0</v>
      </c>
      <c r="G42" s="26"/>
      <c r="H42" s="13"/>
      <c r="M42" s="15"/>
      <c r="N42" s="22"/>
      <c r="O42" s="13" t="s">
        <v>44</v>
      </c>
      <c r="P42" s="10">
        <v>1</v>
      </c>
      <c r="Q42" s="11">
        <v>70000</v>
      </c>
      <c r="R42" s="11">
        <f t="shared" si="1"/>
        <v>70000</v>
      </c>
      <c r="S42" s="17"/>
      <c r="T42" s="13"/>
    </row>
    <row r="43" spans="1:20" x14ac:dyDescent="0.2">
      <c r="A43" s="24"/>
      <c r="B43" s="25"/>
      <c r="C43" s="13"/>
      <c r="D43" s="10"/>
      <c r="E43" s="11"/>
      <c r="F43" s="11">
        <f t="shared" si="2"/>
        <v>0</v>
      </c>
      <c r="G43" s="26"/>
      <c r="H43" s="13"/>
      <c r="M43" s="18"/>
      <c r="N43" s="23"/>
      <c r="O43" s="13" t="s">
        <v>14</v>
      </c>
      <c r="P43" s="10">
        <v>0.5</v>
      </c>
      <c r="Q43" s="11">
        <v>16000</v>
      </c>
      <c r="R43" s="11">
        <f t="shared" si="1"/>
        <v>8000</v>
      </c>
      <c r="S43" s="20"/>
      <c r="T43" s="13"/>
    </row>
    <row r="44" spans="1:20" x14ac:dyDescent="0.2">
      <c r="A44" s="24"/>
      <c r="B44" s="25"/>
      <c r="C44" s="13"/>
      <c r="D44" s="10"/>
      <c r="E44" s="11"/>
      <c r="F44" s="11">
        <f t="shared" si="2"/>
        <v>0</v>
      </c>
      <c r="G44" s="26"/>
      <c r="H44" s="13"/>
      <c r="M44" s="7">
        <v>46112</v>
      </c>
      <c r="N44" s="21">
        <v>8853</v>
      </c>
      <c r="O44" s="13" t="s">
        <v>27</v>
      </c>
      <c r="P44" s="10">
        <v>5</v>
      </c>
      <c r="Q44" s="11">
        <v>25000</v>
      </c>
      <c r="R44" s="11">
        <f t="shared" si="1"/>
        <v>125000</v>
      </c>
      <c r="S44" s="12">
        <f>SUM(R44:R48)</f>
        <v>427500</v>
      </c>
      <c r="T44" s="13"/>
    </row>
    <row r="45" spans="1:20" x14ac:dyDescent="0.2">
      <c r="A45" s="24"/>
      <c r="B45" s="25"/>
      <c r="C45" s="13"/>
      <c r="D45" s="10"/>
      <c r="E45" s="11"/>
      <c r="F45" s="11">
        <f t="shared" si="2"/>
        <v>0</v>
      </c>
      <c r="G45" s="26"/>
      <c r="H45" s="13"/>
      <c r="M45" s="15"/>
      <c r="N45" s="22"/>
      <c r="O45" s="13" t="s">
        <v>44</v>
      </c>
      <c r="P45" s="10">
        <v>1.2</v>
      </c>
      <c r="Q45" s="11">
        <v>70000</v>
      </c>
      <c r="R45" s="11">
        <f t="shared" si="1"/>
        <v>84000</v>
      </c>
      <c r="S45" s="17"/>
      <c r="T45" s="13"/>
    </row>
    <row r="46" spans="1:20" x14ac:dyDescent="0.2">
      <c r="A46" s="24"/>
      <c r="B46" s="25"/>
      <c r="C46" s="13"/>
      <c r="D46" s="10"/>
      <c r="E46" s="11"/>
      <c r="F46" s="11">
        <f t="shared" si="2"/>
        <v>0</v>
      </c>
      <c r="G46" s="26"/>
      <c r="H46" s="13"/>
      <c r="M46" s="15"/>
      <c r="N46" s="22"/>
      <c r="O46" s="13" t="s">
        <v>11</v>
      </c>
      <c r="P46" s="10">
        <v>1.1000000000000001</v>
      </c>
      <c r="Q46" s="11">
        <v>45000</v>
      </c>
      <c r="R46" s="11">
        <f t="shared" si="1"/>
        <v>49500.000000000007</v>
      </c>
      <c r="S46" s="17"/>
      <c r="T46" s="13"/>
    </row>
    <row r="47" spans="1:20" x14ac:dyDescent="0.2">
      <c r="A47" s="24"/>
      <c r="B47" s="25"/>
      <c r="C47" s="13"/>
      <c r="D47" s="10"/>
      <c r="E47" s="11"/>
      <c r="F47" s="11">
        <f t="shared" si="2"/>
        <v>0</v>
      </c>
      <c r="G47" s="26"/>
      <c r="H47" s="13"/>
      <c r="M47" s="15"/>
      <c r="N47" s="22"/>
      <c r="O47" s="13" t="s">
        <v>35</v>
      </c>
      <c r="P47" s="10">
        <v>2</v>
      </c>
      <c r="Q47" s="11">
        <v>80000</v>
      </c>
      <c r="R47" s="11">
        <f t="shared" si="1"/>
        <v>160000</v>
      </c>
      <c r="S47" s="17"/>
      <c r="T47" s="13"/>
    </row>
    <row r="48" spans="1:20" x14ac:dyDescent="0.2">
      <c r="A48" s="24"/>
      <c r="B48" s="25"/>
      <c r="C48" s="13"/>
      <c r="D48" s="10"/>
      <c r="E48" s="11"/>
      <c r="F48" s="11">
        <f t="shared" si="2"/>
        <v>0</v>
      </c>
      <c r="G48" s="26"/>
      <c r="H48" s="13"/>
      <c r="M48" s="18"/>
      <c r="N48" s="23"/>
      <c r="O48" s="13" t="s">
        <v>14</v>
      </c>
      <c r="P48" s="10">
        <v>0.5</v>
      </c>
      <c r="Q48" s="11">
        <v>18000</v>
      </c>
      <c r="R48" s="11">
        <f t="shared" si="1"/>
        <v>9000</v>
      </c>
      <c r="S48" s="20"/>
      <c r="T48" s="13"/>
    </row>
    <row r="49" spans="1:20" x14ac:dyDescent="0.2">
      <c r="A49" s="24"/>
      <c r="B49" s="25"/>
      <c r="C49" s="13"/>
      <c r="D49" s="10"/>
      <c r="E49" s="11"/>
      <c r="F49" s="11">
        <f t="shared" si="2"/>
        <v>0</v>
      </c>
      <c r="G49" s="26"/>
      <c r="H49" s="13"/>
      <c r="M49" s="24"/>
      <c r="N49" s="10"/>
      <c r="O49" s="13"/>
      <c r="P49" s="10"/>
      <c r="Q49" s="11"/>
      <c r="R49" s="11">
        <f t="shared" si="1"/>
        <v>0</v>
      </c>
      <c r="S49" s="26"/>
      <c r="T49" s="13"/>
    </row>
    <row r="50" spans="1:20" x14ac:dyDescent="0.2">
      <c r="A50" s="24"/>
      <c r="B50" s="25"/>
      <c r="C50" s="13"/>
      <c r="D50" s="10"/>
      <c r="E50" s="11"/>
      <c r="F50" s="11">
        <f t="shared" si="2"/>
        <v>0</v>
      </c>
      <c r="G50" s="26"/>
      <c r="H50" s="13"/>
      <c r="M50" s="24"/>
      <c r="N50" s="10"/>
      <c r="O50" s="13"/>
      <c r="P50" s="10"/>
      <c r="Q50" s="11"/>
      <c r="R50" s="11">
        <f t="shared" si="1"/>
        <v>0</v>
      </c>
      <c r="S50" s="26"/>
      <c r="T50" s="13"/>
    </row>
    <row r="51" spans="1:20" x14ac:dyDescent="0.2">
      <c r="A51" s="24"/>
      <c r="B51" s="25"/>
      <c r="C51" s="13"/>
      <c r="D51" s="10"/>
      <c r="E51" s="11"/>
      <c r="F51" s="11">
        <f t="shared" si="2"/>
        <v>0</v>
      </c>
      <c r="G51" s="26"/>
      <c r="H51" s="13"/>
      <c r="M51" s="24"/>
      <c r="N51" s="10"/>
      <c r="O51" s="13"/>
      <c r="P51" s="10"/>
      <c r="Q51" s="11"/>
      <c r="R51" s="11">
        <f t="shared" si="1"/>
        <v>0</v>
      </c>
      <c r="S51" s="26"/>
      <c r="T51" s="13"/>
    </row>
    <row r="52" spans="1:20" x14ac:dyDescent="0.2">
      <c r="A52" s="24"/>
      <c r="B52" s="25"/>
      <c r="C52" s="13"/>
      <c r="D52" s="10"/>
      <c r="E52" s="11"/>
      <c r="F52" s="11">
        <f t="shared" si="2"/>
        <v>0</v>
      </c>
      <c r="G52" s="26"/>
      <c r="H52" s="13"/>
      <c r="M52" s="24"/>
      <c r="N52" s="10"/>
      <c r="O52" s="13"/>
      <c r="P52" s="10"/>
      <c r="Q52" s="11"/>
      <c r="R52" s="11">
        <f t="shared" si="1"/>
        <v>0</v>
      </c>
      <c r="S52" s="26"/>
      <c r="T52" s="13"/>
    </row>
    <row r="53" spans="1:20" x14ac:dyDescent="0.2">
      <c r="A53" s="24"/>
      <c r="B53" s="25"/>
      <c r="C53" s="13"/>
      <c r="D53" s="10"/>
      <c r="E53" s="11"/>
      <c r="F53" s="11">
        <f t="shared" si="2"/>
        <v>0</v>
      </c>
      <c r="G53" s="26"/>
      <c r="H53" s="13"/>
      <c r="I53" s="27"/>
      <c r="M53" s="24"/>
      <c r="N53" s="10"/>
      <c r="O53" s="13"/>
      <c r="P53" s="10"/>
      <c r="Q53" s="11"/>
      <c r="R53" s="11">
        <f t="shared" si="1"/>
        <v>0</v>
      </c>
      <c r="S53" s="26"/>
      <c r="T53" s="13"/>
    </row>
    <row r="54" spans="1:20" x14ac:dyDescent="0.2">
      <c r="A54" s="24"/>
      <c r="B54" s="25"/>
      <c r="C54" s="13"/>
      <c r="D54" s="10"/>
      <c r="E54" s="11"/>
      <c r="F54" s="11">
        <f t="shared" si="2"/>
        <v>0</v>
      </c>
      <c r="G54" s="26"/>
      <c r="H54" s="13"/>
      <c r="M54" s="24"/>
      <c r="N54" s="10"/>
      <c r="O54" s="13"/>
      <c r="P54" s="10"/>
      <c r="Q54" s="11"/>
      <c r="R54" s="11">
        <f t="shared" si="1"/>
        <v>0</v>
      </c>
      <c r="S54" s="26"/>
      <c r="T54" s="13"/>
    </row>
    <row r="55" spans="1:20" x14ac:dyDescent="0.2">
      <c r="A55" s="24"/>
      <c r="B55" s="25"/>
      <c r="C55" s="13"/>
      <c r="D55" s="10"/>
      <c r="E55" s="11"/>
      <c r="F55" s="11">
        <f t="shared" si="2"/>
        <v>0</v>
      </c>
      <c r="G55" s="26"/>
      <c r="H55" s="13"/>
      <c r="M55" s="24"/>
      <c r="N55" s="10"/>
      <c r="O55" s="13"/>
      <c r="P55" s="10"/>
      <c r="Q55" s="11"/>
      <c r="R55" s="11">
        <f t="shared" si="1"/>
        <v>0</v>
      </c>
      <c r="S55" s="26"/>
      <c r="T55" s="13"/>
    </row>
    <row r="56" spans="1:20" x14ac:dyDescent="0.2">
      <c r="A56" s="24"/>
      <c r="B56" s="25"/>
      <c r="C56" s="13"/>
      <c r="D56" s="10"/>
      <c r="E56" s="11"/>
      <c r="F56" s="11">
        <f t="shared" si="2"/>
        <v>0</v>
      </c>
      <c r="G56" s="26"/>
      <c r="H56" s="13"/>
      <c r="M56" s="24"/>
      <c r="N56" s="10"/>
      <c r="O56" s="13"/>
      <c r="P56" s="10"/>
      <c r="Q56" s="11"/>
      <c r="R56" s="11">
        <f t="shared" si="1"/>
        <v>0</v>
      </c>
      <c r="S56" s="26"/>
      <c r="T56" s="13"/>
    </row>
    <row r="57" spans="1:20" x14ac:dyDescent="0.2">
      <c r="A57" s="24"/>
      <c r="B57" s="25"/>
      <c r="C57" s="13"/>
      <c r="D57" s="10"/>
      <c r="E57" s="11"/>
      <c r="F57" s="11">
        <f t="shared" si="2"/>
        <v>0</v>
      </c>
      <c r="G57" s="26"/>
      <c r="H57" s="13"/>
      <c r="M57" s="24"/>
      <c r="N57" s="10"/>
      <c r="O57" s="13"/>
      <c r="P57" s="10"/>
      <c r="Q57" s="11"/>
      <c r="R57" s="11">
        <f t="shared" si="1"/>
        <v>0</v>
      </c>
      <c r="S57" s="26"/>
      <c r="T57" s="13"/>
    </row>
    <row r="58" spans="1:20" x14ac:dyDescent="0.2">
      <c r="A58" s="24"/>
      <c r="B58" s="25"/>
      <c r="C58" s="13"/>
      <c r="D58" s="10"/>
      <c r="E58" s="11"/>
      <c r="F58" s="11">
        <f t="shared" si="2"/>
        <v>0</v>
      </c>
      <c r="G58" s="26"/>
      <c r="H58" s="13"/>
      <c r="M58" s="24"/>
      <c r="N58" s="10"/>
      <c r="O58" s="13"/>
      <c r="P58" s="10"/>
      <c r="Q58" s="11"/>
      <c r="R58" s="11">
        <f t="shared" si="1"/>
        <v>0</v>
      </c>
      <c r="S58" s="26"/>
      <c r="T58" s="13"/>
    </row>
    <row r="59" spans="1:20" x14ac:dyDescent="0.2">
      <c r="A59" s="24"/>
      <c r="B59" s="25"/>
      <c r="C59" s="13"/>
      <c r="D59" s="10"/>
      <c r="E59" s="11"/>
      <c r="F59" s="11">
        <f t="shared" si="2"/>
        <v>0</v>
      </c>
      <c r="G59" s="26"/>
      <c r="H59" s="13"/>
      <c r="M59" s="24"/>
      <c r="N59" s="10"/>
      <c r="O59" s="13"/>
      <c r="P59" s="10"/>
      <c r="Q59" s="11"/>
      <c r="R59" s="11">
        <f t="shared" si="1"/>
        <v>0</v>
      </c>
      <c r="S59" s="26"/>
      <c r="T59" s="13"/>
    </row>
    <row r="60" spans="1:20" x14ac:dyDescent="0.2">
      <c r="A60" s="24"/>
      <c r="B60" s="25"/>
      <c r="C60" s="13"/>
      <c r="D60" s="10"/>
      <c r="E60" s="11"/>
      <c r="F60" s="11">
        <f t="shared" si="2"/>
        <v>0</v>
      </c>
      <c r="G60" s="26"/>
      <c r="H60" s="13"/>
      <c r="M60" s="24"/>
      <c r="N60" s="25"/>
      <c r="O60" s="13"/>
      <c r="P60" s="10"/>
      <c r="Q60" s="11"/>
      <c r="R60" s="11">
        <f t="shared" si="1"/>
        <v>0</v>
      </c>
      <c r="S60" s="26"/>
      <c r="T60" s="13"/>
    </row>
    <row r="61" spans="1:20" x14ac:dyDescent="0.2">
      <c r="A61" s="24"/>
      <c r="B61" s="10"/>
      <c r="C61" s="13"/>
      <c r="D61" s="10"/>
      <c r="E61" s="11"/>
      <c r="F61" s="11">
        <f t="shared" si="2"/>
        <v>0</v>
      </c>
      <c r="G61" s="26"/>
      <c r="H61" s="13"/>
      <c r="M61" s="24"/>
      <c r="N61" s="10"/>
      <c r="O61" s="13"/>
      <c r="P61" s="10"/>
      <c r="Q61" s="11"/>
      <c r="R61" s="11">
        <f t="shared" si="1"/>
        <v>0</v>
      </c>
      <c r="S61" s="26"/>
      <c r="T61" s="13"/>
    </row>
    <row r="62" spans="1:20" x14ac:dyDescent="0.2">
      <c r="A62" s="24"/>
      <c r="B62" s="10"/>
      <c r="C62" s="13"/>
      <c r="D62" s="10"/>
      <c r="E62" s="11"/>
      <c r="F62" s="11">
        <f t="shared" si="2"/>
        <v>0</v>
      </c>
      <c r="G62" s="26"/>
      <c r="H62" s="13"/>
      <c r="M62" s="28" t="s">
        <v>26</v>
      </c>
      <c r="N62" s="28"/>
      <c r="O62" s="28"/>
      <c r="P62" s="28"/>
      <c r="Q62" s="29">
        <f>SUM(S2:S61)</f>
        <v>2853400</v>
      </c>
      <c r="R62" s="30"/>
      <c r="S62" s="26"/>
      <c r="T62" s="26"/>
    </row>
    <row r="63" spans="1:20" x14ac:dyDescent="0.2">
      <c r="A63" s="24"/>
      <c r="B63" s="10"/>
      <c r="C63" s="13"/>
      <c r="D63" s="10"/>
      <c r="E63" s="11"/>
      <c r="F63" s="11">
        <f t="shared" si="2"/>
        <v>0</v>
      </c>
      <c r="G63" s="26"/>
      <c r="H63" s="13"/>
    </row>
    <row r="64" spans="1:20" x14ac:dyDescent="0.2">
      <c r="A64" s="24"/>
      <c r="B64" s="10"/>
      <c r="C64" s="13"/>
      <c r="D64" s="10"/>
      <c r="E64" s="11"/>
      <c r="F64" s="11">
        <f t="shared" si="2"/>
        <v>0</v>
      </c>
      <c r="G64" s="26"/>
      <c r="H64" s="13"/>
    </row>
    <row r="65" spans="1:8" x14ac:dyDescent="0.2">
      <c r="A65" s="24"/>
      <c r="B65" s="10"/>
      <c r="C65" s="13"/>
      <c r="D65" s="10"/>
      <c r="E65" s="11"/>
      <c r="F65" s="11">
        <f t="shared" si="2"/>
        <v>0</v>
      </c>
      <c r="G65" s="26"/>
      <c r="H65" s="13"/>
    </row>
    <row r="66" spans="1:8" x14ac:dyDescent="0.2">
      <c r="A66" s="24"/>
      <c r="B66" s="10"/>
      <c r="C66" s="13"/>
      <c r="D66" s="10"/>
      <c r="E66" s="11"/>
      <c r="F66" s="11">
        <f t="shared" si="2"/>
        <v>0</v>
      </c>
      <c r="G66" s="26"/>
      <c r="H66" s="13"/>
    </row>
    <row r="67" spans="1:8" x14ac:dyDescent="0.2">
      <c r="A67" s="24"/>
      <c r="B67" s="10"/>
      <c r="C67" s="13"/>
      <c r="D67" s="10"/>
      <c r="E67" s="11"/>
      <c r="F67" s="11">
        <f t="shared" si="2"/>
        <v>0</v>
      </c>
      <c r="G67" s="26"/>
      <c r="H67" s="13"/>
    </row>
    <row r="68" spans="1:8" x14ac:dyDescent="0.2">
      <c r="A68" s="24"/>
      <c r="B68" s="10"/>
      <c r="C68" s="13"/>
      <c r="D68" s="10"/>
      <c r="E68" s="11"/>
      <c r="F68" s="11">
        <f t="shared" si="2"/>
        <v>0</v>
      </c>
      <c r="G68" s="26"/>
      <c r="H68" s="13"/>
    </row>
    <row r="69" spans="1:8" x14ac:dyDescent="0.2">
      <c r="A69" s="24"/>
      <c r="B69" s="10"/>
      <c r="C69" s="13"/>
      <c r="D69" s="10"/>
      <c r="E69" s="11"/>
      <c r="F69" s="11">
        <f t="shared" si="2"/>
        <v>0</v>
      </c>
      <c r="G69" s="26"/>
      <c r="H69" s="13"/>
    </row>
    <row r="70" spans="1:8" x14ac:dyDescent="0.2">
      <c r="A70" s="24"/>
      <c r="B70" s="10"/>
      <c r="C70" s="13"/>
      <c r="D70" s="10"/>
      <c r="E70" s="11"/>
      <c r="F70" s="11">
        <f t="shared" si="2"/>
        <v>0</v>
      </c>
      <c r="G70" s="26"/>
      <c r="H70" s="13"/>
    </row>
    <row r="71" spans="1:8" x14ac:dyDescent="0.2">
      <c r="A71" s="24"/>
      <c r="B71" s="10"/>
      <c r="C71" s="13"/>
      <c r="D71" s="10"/>
      <c r="E71" s="11"/>
      <c r="F71" s="11">
        <f t="shared" si="2"/>
        <v>0</v>
      </c>
      <c r="G71" s="26"/>
      <c r="H71" s="13"/>
    </row>
    <row r="72" spans="1:8" x14ac:dyDescent="0.2">
      <c r="A72" s="24"/>
      <c r="B72" s="10"/>
      <c r="C72" s="13"/>
      <c r="D72" s="10"/>
      <c r="E72" s="11"/>
      <c r="F72" s="11">
        <f t="shared" si="2"/>
        <v>0</v>
      </c>
      <c r="G72" s="26"/>
      <c r="H72" s="13"/>
    </row>
    <row r="73" spans="1:8" x14ac:dyDescent="0.2">
      <c r="A73" s="24"/>
      <c r="B73" s="10"/>
      <c r="C73" s="13"/>
      <c r="D73" s="10"/>
      <c r="E73" s="11"/>
      <c r="F73" s="11">
        <f t="shared" si="2"/>
        <v>0</v>
      </c>
      <c r="G73" s="26"/>
      <c r="H73" s="13"/>
    </row>
    <row r="74" spans="1:8" x14ac:dyDescent="0.2">
      <c r="A74" s="24"/>
      <c r="B74" s="10"/>
      <c r="C74" s="13"/>
      <c r="D74" s="10"/>
      <c r="E74" s="11"/>
      <c r="F74" s="11">
        <f t="shared" si="2"/>
        <v>0</v>
      </c>
      <c r="G74" s="26"/>
      <c r="H74" s="13"/>
    </row>
    <row r="75" spans="1:8" x14ac:dyDescent="0.2">
      <c r="A75" s="24"/>
      <c r="B75" s="10"/>
      <c r="C75" s="13"/>
      <c r="D75" s="10"/>
      <c r="E75" s="11"/>
      <c r="F75" s="11">
        <f t="shared" si="2"/>
        <v>0</v>
      </c>
      <c r="G75" s="26"/>
      <c r="H75" s="13"/>
    </row>
    <row r="76" spans="1:8" x14ac:dyDescent="0.2">
      <c r="A76" s="24"/>
      <c r="B76" s="10"/>
      <c r="C76" s="13"/>
      <c r="D76" s="10"/>
      <c r="E76" s="11"/>
      <c r="F76" s="11">
        <f t="shared" si="2"/>
        <v>0</v>
      </c>
      <c r="G76" s="26"/>
      <c r="H76" s="13"/>
    </row>
    <row r="77" spans="1:8" x14ac:dyDescent="0.2">
      <c r="A77" s="24"/>
      <c r="B77" s="10"/>
      <c r="C77" s="13"/>
      <c r="D77" s="10"/>
      <c r="E77" s="11"/>
      <c r="F77" s="11">
        <f t="shared" si="2"/>
        <v>0</v>
      </c>
      <c r="G77" s="26"/>
      <c r="H77" s="13"/>
    </row>
    <row r="78" spans="1:8" x14ac:dyDescent="0.2">
      <c r="A78" s="24"/>
      <c r="B78" s="10"/>
      <c r="C78" s="13"/>
      <c r="D78" s="10"/>
      <c r="E78" s="11"/>
      <c r="F78" s="11">
        <f t="shared" si="2"/>
        <v>0</v>
      </c>
      <c r="G78" s="26"/>
      <c r="H78" s="13"/>
    </row>
    <row r="79" spans="1:8" x14ac:dyDescent="0.2">
      <c r="A79" s="24"/>
      <c r="B79" s="10"/>
      <c r="C79" s="13"/>
      <c r="D79" s="10"/>
      <c r="E79" s="11"/>
      <c r="F79" s="11">
        <f t="shared" si="2"/>
        <v>0</v>
      </c>
      <c r="G79" s="26"/>
      <c r="H79" s="13"/>
    </row>
    <row r="80" spans="1:8" x14ac:dyDescent="0.2">
      <c r="A80" s="24"/>
      <c r="B80" s="10"/>
      <c r="C80" s="13"/>
      <c r="D80" s="10"/>
      <c r="E80" s="11"/>
      <c r="F80" s="11">
        <f t="shared" si="2"/>
        <v>0</v>
      </c>
      <c r="G80" s="26"/>
      <c r="H80" s="13"/>
    </row>
    <row r="81" spans="1:8" x14ac:dyDescent="0.2">
      <c r="A81" s="24"/>
      <c r="B81" s="10"/>
      <c r="C81" s="13"/>
      <c r="D81" s="10"/>
      <c r="E81" s="11"/>
      <c r="F81" s="11">
        <f t="shared" si="2"/>
        <v>0</v>
      </c>
      <c r="G81" s="26"/>
      <c r="H81" s="13"/>
    </row>
    <row r="82" spans="1:8" x14ac:dyDescent="0.2">
      <c r="A82" s="24"/>
      <c r="B82" s="10"/>
      <c r="C82" s="13"/>
      <c r="D82" s="10"/>
      <c r="E82" s="11"/>
      <c r="F82" s="11">
        <f t="shared" si="2"/>
        <v>0</v>
      </c>
      <c r="G82" s="26"/>
      <c r="H82" s="13"/>
    </row>
    <row r="83" spans="1:8" x14ac:dyDescent="0.2">
      <c r="A83" s="24"/>
      <c r="B83" s="10"/>
      <c r="C83" s="13"/>
      <c r="D83" s="10"/>
      <c r="E83" s="11"/>
      <c r="F83" s="11">
        <f t="shared" si="2"/>
        <v>0</v>
      </c>
      <c r="G83" s="26"/>
      <c r="H83" s="13"/>
    </row>
    <row r="84" spans="1:8" x14ac:dyDescent="0.2">
      <c r="A84" s="24"/>
      <c r="B84" s="10"/>
      <c r="C84" s="13"/>
      <c r="D84" s="10"/>
      <c r="E84" s="11"/>
      <c r="F84" s="11">
        <f t="shared" si="2"/>
        <v>0</v>
      </c>
      <c r="G84" s="26"/>
      <c r="H84" s="13"/>
    </row>
    <row r="85" spans="1:8" x14ac:dyDescent="0.2">
      <c r="A85" s="24"/>
      <c r="B85" s="10"/>
      <c r="C85" s="13"/>
      <c r="D85" s="10"/>
      <c r="E85" s="11"/>
      <c r="F85" s="11">
        <f t="shared" si="2"/>
        <v>0</v>
      </c>
      <c r="G85" s="26"/>
      <c r="H85" s="13"/>
    </row>
    <row r="86" spans="1:8" x14ac:dyDescent="0.2">
      <c r="A86" s="24"/>
      <c r="B86" s="10"/>
      <c r="C86" s="13"/>
      <c r="D86" s="10"/>
      <c r="E86" s="11"/>
      <c r="F86" s="11">
        <f t="shared" si="2"/>
        <v>0</v>
      </c>
      <c r="G86" s="26"/>
      <c r="H86" s="13"/>
    </row>
    <row r="87" spans="1:8" x14ac:dyDescent="0.2">
      <c r="A87" s="24"/>
      <c r="B87" s="10"/>
      <c r="C87" s="13"/>
      <c r="D87" s="10"/>
      <c r="E87" s="11"/>
      <c r="F87" s="11">
        <f t="shared" si="2"/>
        <v>0</v>
      </c>
      <c r="G87" s="26"/>
      <c r="H87" s="13"/>
    </row>
    <row r="88" spans="1:8" x14ac:dyDescent="0.2">
      <c r="A88" s="24"/>
      <c r="B88" s="10"/>
      <c r="C88" s="13"/>
      <c r="D88" s="10"/>
      <c r="E88" s="11"/>
      <c r="F88" s="11">
        <f t="shared" si="2"/>
        <v>0</v>
      </c>
      <c r="G88" s="26"/>
      <c r="H88" s="13"/>
    </row>
    <row r="89" spans="1:8" x14ac:dyDescent="0.2">
      <c r="A89" s="24"/>
      <c r="B89" s="10"/>
      <c r="C89" s="13"/>
      <c r="D89" s="10"/>
      <c r="E89" s="11"/>
      <c r="F89" s="11">
        <f t="shared" si="2"/>
        <v>0</v>
      </c>
      <c r="G89" s="26"/>
      <c r="H89" s="13"/>
    </row>
    <row r="90" spans="1:8" x14ac:dyDescent="0.2">
      <c r="A90" s="24"/>
      <c r="B90" s="10"/>
      <c r="C90" s="13"/>
      <c r="D90" s="10"/>
      <c r="E90" s="11"/>
      <c r="F90" s="11">
        <f t="shared" ref="F90:F141" si="3">E90*D90</f>
        <v>0</v>
      </c>
      <c r="G90" s="26"/>
      <c r="H90" s="13"/>
    </row>
    <row r="91" spans="1:8" x14ac:dyDescent="0.2">
      <c r="A91" s="24"/>
      <c r="B91" s="10"/>
      <c r="C91" s="13"/>
      <c r="D91" s="10"/>
      <c r="E91" s="11"/>
      <c r="F91" s="11">
        <f t="shared" si="3"/>
        <v>0</v>
      </c>
      <c r="G91" s="26"/>
      <c r="H91" s="13"/>
    </row>
    <row r="92" spans="1:8" x14ac:dyDescent="0.2">
      <c r="A92" s="24"/>
      <c r="B92" s="10"/>
      <c r="C92" s="13"/>
      <c r="D92" s="10"/>
      <c r="E92" s="11"/>
      <c r="F92" s="11">
        <f t="shared" si="3"/>
        <v>0</v>
      </c>
      <c r="G92" s="26"/>
      <c r="H92" s="13"/>
    </row>
    <row r="93" spans="1:8" x14ac:dyDescent="0.2">
      <c r="A93" s="24"/>
      <c r="B93" s="10"/>
      <c r="C93" s="13"/>
      <c r="D93" s="10"/>
      <c r="E93" s="11"/>
      <c r="F93" s="11">
        <f t="shared" si="3"/>
        <v>0</v>
      </c>
      <c r="G93" s="26"/>
      <c r="H93" s="13"/>
    </row>
    <row r="94" spans="1:8" x14ac:dyDescent="0.2">
      <c r="A94" s="24"/>
      <c r="B94" s="10"/>
      <c r="C94" s="13"/>
      <c r="D94" s="10"/>
      <c r="E94" s="11"/>
      <c r="F94" s="11">
        <f t="shared" si="3"/>
        <v>0</v>
      </c>
      <c r="G94" s="26"/>
      <c r="H94" s="13"/>
    </row>
    <row r="95" spans="1:8" x14ac:dyDescent="0.2">
      <c r="A95" s="24"/>
      <c r="B95" s="10"/>
      <c r="C95" s="13"/>
      <c r="D95" s="10"/>
      <c r="E95" s="11"/>
      <c r="F95" s="11">
        <f t="shared" si="3"/>
        <v>0</v>
      </c>
      <c r="G95" s="26"/>
      <c r="H95" s="13"/>
    </row>
    <row r="96" spans="1:8" x14ac:dyDescent="0.2">
      <c r="A96" s="24"/>
      <c r="B96" s="10"/>
      <c r="C96" s="13"/>
      <c r="D96" s="10"/>
      <c r="E96" s="11"/>
      <c r="F96" s="11">
        <f t="shared" si="3"/>
        <v>0</v>
      </c>
      <c r="G96" s="26"/>
      <c r="H96" s="13"/>
    </row>
    <row r="97" spans="1:8" x14ac:dyDescent="0.2">
      <c r="A97" s="24"/>
      <c r="B97" s="10"/>
      <c r="C97" s="13"/>
      <c r="D97" s="10"/>
      <c r="E97" s="11"/>
      <c r="F97" s="11">
        <f t="shared" si="3"/>
        <v>0</v>
      </c>
      <c r="G97" s="26"/>
      <c r="H97" s="13"/>
    </row>
    <row r="98" spans="1:8" x14ac:dyDescent="0.2">
      <c r="A98" s="24"/>
      <c r="B98" s="10"/>
      <c r="C98" s="13"/>
      <c r="D98" s="10"/>
      <c r="E98" s="11"/>
      <c r="F98" s="11">
        <f t="shared" si="3"/>
        <v>0</v>
      </c>
      <c r="G98" s="26"/>
      <c r="H98" s="13"/>
    </row>
    <row r="99" spans="1:8" x14ac:dyDescent="0.2">
      <c r="A99" s="24"/>
      <c r="B99" s="10"/>
      <c r="C99" s="13"/>
      <c r="D99" s="10"/>
      <c r="E99" s="11"/>
      <c r="F99" s="11">
        <f t="shared" si="3"/>
        <v>0</v>
      </c>
      <c r="G99" s="26"/>
      <c r="H99" s="13"/>
    </row>
    <row r="100" spans="1:8" x14ac:dyDescent="0.2">
      <c r="A100" s="24"/>
      <c r="B100" s="10"/>
      <c r="C100" s="13"/>
      <c r="D100" s="10"/>
      <c r="E100" s="11"/>
      <c r="F100" s="11">
        <f t="shared" si="3"/>
        <v>0</v>
      </c>
      <c r="G100" s="26"/>
      <c r="H100" s="13"/>
    </row>
    <row r="101" spans="1:8" x14ac:dyDescent="0.2">
      <c r="A101" s="24"/>
      <c r="B101" s="10"/>
      <c r="C101" s="13"/>
      <c r="D101" s="10"/>
      <c r="E101" s="11"/>
      <c r="F101" s="11">
        <f t="shared" si="3"/>
        <v>0</v>
      </c>
      <c r="G101" s="26"/>
      <c r="H101" s="13"/>
    </row>
    <row r="102" spans="1:8" x14ac:dyDescent="0.2">
      <c r="A102" s="24"/>
      <c r="B102" s="10"/>
      <c r="C102" s="13"/>
      <c r="D102" s="10"/>
      <c r="E102" s="11"/>
      <c r="F102" s="11">
        <f t="shared" si="3"/>
        <v>0</v>
      </c>
      <c r="G102" s="26"/>
      <c r="H102" s="13"/>
    </row>
    <row r="103" spans="1:8" x14ac:dyDescent="0.2">
      <c r="A103" s="24"/>
      <c r="B103" s="10"/>
      <c r="C103" s="13"/>
      <c r="D103" s="10"/>
      <c r="E103" s="11"/>
      <c r="F103" s="11">
        <f t="shared" si="3"/>
        <v>0</v>
      </c>
      <c r="G103" s="26"/>
      <c r="H103" s="13"/>
    </row>
    <row r="104" spans="1:8" x14ac:dyDescent="0.2">
      <c r="A104" s="24"/>
      <c r="B104" s="10"/>
      <c r="C104" s="13"/>
      <c r="D104" s="10"/>
      <c r="E104" s="11"/>
      <c r="F104" s="11">
        <f t="shared" si="3"/>
        <v>0</v>
      </c>
      <c r="G104" s="26"/>
      <c r="H104" s="13"/>
    </row>
    <row r="105" spans="1:8" x14ac:dyDescent="0.2">
      <c r="A105" s="24"/>
      <c r="B105" s="10"/>
      <c r="C105" s="13"/>
      <c r="D105" s="10"/>
      <c r="E105" s="11"/>
      <c r="F105" s="11">
        <f t="shared" si="3"/>
        <v>0</v>
      </c>
      <c r="G105" s="26"/>
      <c r="H105" s="13"/>
    </row>
    <row r="106" spans="1:8" x14ac:dyDescent="0.2">
      <c r="A106" s="24"/>
      <c r="B106" s="10"/>
      <c r="C106" s="13"/>
      <c r="D106" s="10"/>
      <c r="E106" s="11"/>
      <c r="F106" s="11">
        <f t="shared" si="3"/>
        <v>0</v>
      </c>
      <c r="G106" s="26"/>
      <c r="H106" s="13"/>
    </row>
    <row r="107" spans="1:8" x14ac:dyDescent="0.2">
      <c r="A107" s="24"/>
      <c r="B107" s="10"/>
      <c r="C107" s="13"/>
      <c r="D107" s="10"/>
      <c r="E107" s="11"/>
      <c r="F107" s="11">
        <f t="shared" si="3"/>
        <v>0</v>
      </c>
      <c r="G107" s="26"/>
      <c r="H107" s="13"/>
    </row>
    <row r="108" spans="1:8" x14ac:dyDescent="0.2">
      <c r="A108" s="24"/>
      <c r="B108" s="10"/>
      <c r="C108" s="13"/>
      <c r="D108" s="10"/>
      <c r="E108" s="11"/>
      <c r="F108" s="11">
        <f t="shared" si="3"/>
        <v>0</v>
      </c>
      <c r="G108" s="26"/>
      <c r="H108" s="13"/>
    </row>
    <row r="109" spans="1:8" x14ac:dyDescent="0.2">
      <c r="A109" s="24"/>
      <c r="B109" s="10"/>
      <c r="C109" s="13"/>
      <c r="D109" s="10"/>
      <c r="E109" s="11"/>
      <c r="F109" s="11">
        <f t="shared" si="3"/>
        <v>0</v>
      </c>
      <c r="G109" s="26"/>
      <c r="H109" s="13"/>
    </row>
    <row r="110" spans="1:8" x14ac:dyDescent="0.2">
      <c r="A110" s="24"/>
      <c r="B110" s="10"/>
      <c r="C110" s="13"/>
      <c r="D110" s="10"/>
      <c r="E110" s="11"/>
      <c r="F110" s="11">
        <f t="shared" si="3"/>
        <v>0</v>
      </c>
      <c r="G110" s="26"/>
      <c r="H110" s="13"/>
    </row>
    <row r="111" spans="1:8" x14ac:dyDescent="0.2">
      <c r="A111" s="24"/>
      <c r="B111" s="10"/>
      <c r="C111" s="13"/>
      <c r="D111" s="10"/>
      <c r="E111" s="11"/>
      <c r="F111" s="11">
        <f t="shared" si="3"/>
        <v>0</v>
      </c>
      <c r="G111" s="26"/>
      <c r="H111" s="13"/>
    </row>
    <row r="112" spans="1:8" x14ac:dyDescent="0.2">
      <c r="A112" s="24"/>
      <c r="B112" s="10"/>
      <c r="C112" s="13"/>
      <c r="D112" s="10"/>
      <c r="E112" s="11"/>
      <c r="F112" s="11">
        <f t="shared" si="3"/>
        <v>0</v>
      </c>
      <c r="G112" s="26"/>
      <c r="H112" s="13"/>
    </row>
    <row r="113" spans="1:8" x14ac:dyDescent="0.2">
      <c r="A113" s="24"/>
      <c r="B113" s="10"/>
      <c r="C113" s="13"/>
      <c r="D113" s="10"/>
      <c r="E113" s="11"/>
      <c r="F113" s="11">
        <f t="shared" si="3"/>
        <v>0</v>
      </c>
      <c r="G113" s="26"/>
      <c r="H113" s="13"/>
    </row>
    <row r="114" spans="1:8" x14ac:dyDescent="0.2">
      <c r="A114" s="24"/>
      <c r="B114" s="10"/>
      <c r="C114" s="13"/>
      <c r="D114" s="10"/>
      <c r="E114" s="11"/>
      <c r="F114" s="11">
        <f t="shared" si="3"/>
        <v>0</v>
      </c>
      <c r="G114" s="26"/>
      <c r="H114" s="13"/>
    </row>
    <row r="115" spans="1:8" x14ac:dyDescent="0.2">
      <c r="A115" s="24"/>
      <c r="B115" s="10"/>
      <c r="C115" s="13"/>
      <c r="D115" s="10"/>
      <c r="E115" s="11"/>
      <c r="F115" s="11">
        <f t="shared" si="3"/>
        <v>0</v>
      </c>
      <c r="G115" s="26"/>
      <c r="H115" s="13"/>
    </row>
    <row r="116" spans="1:8" x14ac:dyDescent="0.2">
      <c r="A116" s="24"/>
      <c r="B116" s="10"/>
      <c r="C116" s="13"/>
      <c r="D116" s="10"/>
      <c r="E116" s="11"/>
      <c r="F116" s="11">
        <f t="shared" si="3"/>
        <v>0</v>
      </c>
      <c r="G116" s="26"/>
      <c r="H116" s="13"/>
    </row>
    <row r="117" spans="1:8" x14ac:dyDescent="0.2">
      <c r="A117" s="24"/>
      <c r="B117" s="10"/>
      <c r="C117" s="13"/>
      <c r="D117" s="10"/>
      <c r="E117" s="11"/>
      <c r="F117" s="11">
        <f t="shared" si="3"/>
        <v>0</v>
      </c>
      <c r="G117" s="26"/>
      <c r="H117" s="13"/>
    </row>
    <row r="118" spans="1:8" x14ac:dyDescent="0.2">
      <c r="A118" s="24"/>
      <c r="B118" s="10"/>
      <c r="C118" s="13"/>
      <c r="D118" s="10"/>
      <c r="E118" s="11"/>
      <c r="F118" s="11">
        <f t="shared" si="3"/>
        <v>0</v>
      </c>
      <c r="G118" s="26"/>
      <c r="H118" s="13"/>
    </row>
    <row r="119" spans="1:8" x14ac:dyDescent="0.2">
      <c r="A119" s="24"/>
      <c r="B119" s="10"/>
      <c r="C119" s="13"/>
      <c r="D119" s="10"/>
      <c r="E119" s="11"/>
      <c r="F119" s="11">
        <f t="shared" si="3"/>
        <v>0</v>
      </c>
      <c r="G119" s="26"/>
      <c r="H119" s="13"/>
    </row>
    <row r="120" spans="1:8" x14ac:dyDescent="0.2">
      <c r="A120" s="24"/>
      <c r="B120" s="10"/>
      <c r="C120" s="13"/>
      <c r="D120" s="10"/>
      <c r="E120" s="11"/>
      <c r="F120" s="11">
        <f t="shared" si="3"/>
        <v>0</v>
      </c>
      <c r="G120" s="26"/>
      <c r="H120" s="13"/>
    </row>
    <row r="121" spans="1:8" x14ac:dyDescent="0.2">
      <c r="A121" s="24"/>
      <c r="B121" s="10"/>
      <c r="C121" s="13"/>
      <c r="D121" s="10"/>
      <c r="E121" s="11"/>
      <c r="F121" s="11">
        <f t="shared" si="3"/>
        <v>0</v>
      </c>
      <c r="G121" s="26"/>
      <c r="H121" s="13"/>
    </row>
    <row r="122" spans="1:8" x14ac:dyDescent="0.2">
      <c r="A122" s="24"/>
      <c r="B122" s="10"/>
      <c r="C122" s="13"/>
      <c r="D122" s="10"/>
      <c r="E122" s="11"/>
      <c r="F122" s="11">
        <f t="shared" si="3"/>
        <v>0</v>
      </c>
      <c r="G122" s="26"/>
      <c r="H122" s="13"/>
    </row>
    <row r="123" spans="1:8" x14ac:dyDescent="0.2">
      <c r="A123" s="24"/>
      <c r="B123" s="10"/>
      <c r="C123" s="13"/>
      <c r="D123" s="10"/>
      <c r="E123" s="11"/>
      <c r="F123" s="11">
        <f t="shared" si="3"/>
        <v>0</v>
      </c>
      <c r="G123" s="26"/>
      <c r="H123" s="13"/>
    </row>
    <row r="124" spans="1:8" x14ac:dyDescent="0.2">
      <c r="A124" s="24"/>
      <c r="B124" s="10"/>
      <c r="C124" s="13"/>
      <c r="D124" s="10"/>
      <c r="E124" s="11"/>
      <c r="F124" s="11">
        <f t="shared" si="3"/>
        <v>0</v>
      </c>
      <c r="G124" s="26"/>
      <c r="H124" s="13"/>
    </row>
    <row r="125" spans="1:8" x14ac:dyDescent="0.2">
      <c r="A125" s="24"/>
      <c r="B125" s="10"/>
      <c r="C125" s="13"/>
      <c r="D125" s="10"/>
      <c r="E125" s="11"/>
      <c r="F125" s="11">
        <f t="shared" si="3"/>
        <v>0</v>
      </c>
      <c r="G125" s="26"/>
      <c r="H125" s="13"/>
    </row>
    <row r="126" spans="1:8" x14ac:dyDescent="0.2">
      <c r="A126" s="24"/>
      <c r="B126" s="10"/>
      <c r="C126" s="13"/>
      <c r="D126" s="10"/>
      <c r="E126" s="11"/>
      <c r="F126" s="11">
        <f t="shared" si="3"/>
        <v>0</v>
      </c>
      <c r="G126" s="26"/>
      <c r="H126" s="13"/>
    </row>
    <row r="127" spans="1:8" x14ac:dyDescent="0.2">
      <c r="A127" s="24"/>
      <c r="B127" s="10"/>
      <c r="C127" s="13"/>
      <c r="D127" s="10"/>
      <c r="E127" s="11"/>
      <c r="F127" s="11">
        <f t="shared" si="3"/>
        <v>0</v>
      </c>
      <c r="G127" s="26"/>
      <c r="H127" s="13"/>
    </row>
    <row r="128" spans="1:8" x14ac:dyDescent="0.2">
      <c r="A128" s="24"/>
      <c r="B128" s="10"/>
      <c r="C128" s="13"/>
      <c r="D128" s="10"/>
      <c r="E128" s="11"/>
      <c r="F128" s="11">
        <f t="shared" si="3"/>
        <v>0</v>
      </c>
      <c r="G128" s="26"/>
      <c r="H128" s="13"/>
    </row>
    <row r="129" spans="1:9" x14ac:dyDescent="0.2">
      <c r="A129" s="24"/>
      <c r="B129" s="10"/>
      <c r="C129" s="13"/>
      <c r="D129" s="10"/>
      <c r="E129" s="11"/>
      <c r="F129" s="11">
        <f t="shared" si="3"/>
        <v>0</v>
      </c>
      <c r="G129" s="26"/>
      <c r="H129" s="13"/>
    </row>
    <row r="130" spans="1:9" x14ac:dyDescent="0.2">
      <c r="A130" s="24"/>
      <c r="B130" s="10"/>
      <c r="C130" s="13"/>
      <c r="D130" s="10"/>
      <c r="E130" s="11"/>
      <c r="F130" s="11">
        <f t="shared" si="3"/>
        <v>0</v>
      </c>
      <c r="G130" s="26"/>
      <c r="H130" s="13"/>
    </row>
    <row r="131" spans="1:9" x14ac:dyDescent="0.2">
      <c r="A131" s="24"/>
      <c r="B131" s="10"/>
      <c r="C131" s="13"/>
      <c r="D131" s="10"/>
      <c r="E131" s="11"/>
      <c r="F131" s="11">
        <f t="shared" si="3"/>
        <v>0</v>
      </c>
      <c r="G131" s="26"/>
      <c r="H131" s="13"/>
    </row>
    <row r="132" spans="1:9" x14ac:dyDescent="0.2">
      <c r="A132" s="24"/>
      <c r="B132" s="10"/>
      <c r="C132" s="13"/>
      <c r="D132" s="10"/>
      <c r="E132" s="11"/>
      <c r="F132" s="11">
        <f t="shared" si="3"/>
        <v>0</v>
      </c>
      <c r="G132" s="26"/>
      <c r="H132" s="13"/>
    </row>
    <row r="133" spans="1:9" x14ac:dyDescent="0.2">
      <c r="A133" s="24"/>
      <c r="B133" s="10"/>
      <c r="C133" s="13"/>
      <c r="D133" s="10"/>
      <c r="E133" s="11"/>
      <c r="F133" s="11">
        <f t="shared" si="3"/>
        <v>0</v>
      </c>
      <c r="G133" s="26"/>
      <c r="H133" s="13"/>
    </row>
    <row r="134" spans="1:9" x14ac:dyDescent="0.2">
      <c r="A134" s="24"/>
      <c r="B134" s="10"/>
      <c r="C134" s="13"/>
      <c r="D134" s="10"/>
      <c r="E134" s="11"/>
      <c r="F134" s="11">
        <f t="shared" si="3"/>
        <v>0</v>
      </c>
      <c r="G134" s="26"/>
      <c r="H134" s="13"/>
    </row>
    <row r="135" spans="1:9" x14ac:dyDescent="0.2">
      <c r="A135" s="24"/>
      <c r="B135" s="10"/>
      <c r="C135" s="13"/>
      <c r="D135" s="10"/>
      <c r="E135" s="11"/>
      <c r="F135" s="11">
        <f t="shared" si="3"/>
        <v>0</v>
      </c>
      <c r="G135" s="26"/>
      <c r="H135" s="13"/>
    </row>
    <row r="136" spans="1:9" x14ac:dyDescent="0.2">
      <c r="A136" s="24"/>
      <c r="B136" s="10"/>
      <c r="C136" s="13"/>
      <c r="D136" s="10"/>
      <c r="E136" s="11"/>
      <c r="F136" s="11">
        <f t="shared" si="3"/>
        <v>0</v>
      </c>
      <c r="G136" s="26"/>
      <c r="H136" s="13"/>
    </row>
    <row r="137" spans="1:9" x14ac:dyDescent="0.2">
      <c r="A137" s="24"/>
      <c r="B137" s="10"/>
      <c r="C137" s="13"/>
      <c r="D137" s="10"/>
      <c r="E137" s="11"/>
      <c r="F137" s="11">
        <f t="shared" si="3"/>
        <v>0</v>
      </c>
      <c r="G137" s="26"/>
      <c r="H137" s="13"/>
    </row>
    <row r="138" spans="1:9" x14ac:dyDescent="0.2">
      <c r="A138" s="24"/>
      <c r="B138" s="10"/>
      <c r="C138" s="13"/>
      <c r="D138" s="10"/>
      <c r="E138" s="11"/>
      <c r="F138" s="11">
        <f t="shared" si="3"/>
        <v>0</v>
      </c>
      <c r="G138" s="26"/>
      <c r="H138" s="13"/>
    </row>
    <row r="139" spans="1:9" x14ac:dyDescent="0.2">
      <c r="A139" s="24"/>
      <c r="B139" s="10"/>
      <c r="C139" s="13"/>
      <c r="D139" s="10"/>
      <c r="E139" s="11"/>
      <c r="F139" s="11">
        <f t="shared" si="3"/>
        <v>0</v>
      </c>
      <c r="G139" s="26"/>
      <c r="H139" s="13"/>
    </row>
    <row r="140" spans="1:9" x14ac:dyDescent="0.2">
      <c r="A140" s="24"/>
      <c r="B140" s="10"/>
      <c r="C140" s="13"/>
      <c r="D140" s="10"/>
      <c r="E140" s="11"/>
      <c r="F140" s="11">
        <f t="shared" si="3"/>
        <v>0</v>
      </c>
      <c r="G140" s="26"/>
      <c r="H140" s="13"/>
    </row>
    <row r="141" spans="1:9" x14ac:dyDescent="0.2">
      <c r="A141" s="24"/>
      <c r="B141" s="10"/>
      <c r="C141" s="13"/>
      <c r="D141" s="10"/>
      <c r="E141" s="11"/>
      <c r="F141" s="11">
        <f t="shared" si="3"/>
        <v>0</v>
      </c>
      <c r="G141" s="26"/>
      <c r="H141" s="13"/>
    </row>
    <row r="142" spans="1:9" x14ac:dyDescent="0.2">
      <c r="A142" s="28" t="s">
        <v>26</v>
      </c>
      <c r="B142" s="28"/>
      <c r="C142" s="28"/>
      <c r="D142" s="28"/>
      <c r="E142" s="29">
        <f>SUM(G2:G141)</f>
        <v>1430300</v>
      </c>
      <c r="F142" s="30"/>
      <c r="G142" s="26"/>
      <c r="H142" s="26"/>
      <c r="I142" s="27"/>
    </row>
    <row r="143" spans="1:9" x14ac:dyDescent="0.2">
      <c r="G143" s="34"/>
      <c r="H143" s="32"/>
    </row>
  </sheetData>
  <mergeCells count="38">
    <mergeCell ref="M62:P62"/>
    <mergeCell ref="Q62:R62"/>
    <mergeCell ref="J4:K4"/>
    <mergeCell ref="J3:K3"/>
    <mergeCell ref="M39:M43"/>
    <mergeCell ref="N39:N43"/>
    <mergeCell ref="S39:S43"/>
    <mergeCell ref="M44:M48"/>
    <mergeCell ref="N44:N48"/>
    <mergeCell ref="S44:S48"/>
    <mergeCell ref="M22:M30"/>
    <mergeCell ref="N22:N30"/>
    <mergeCell ref="S22:S30"/>
    <mergeCell ref="M31:M38"/>
    <mergeCell ref="N31:N38"/>
    <mergeCell ref="S31:S38"/>
    <mergeCell ref="A142:D142"/>
    <mergeCell ref="E142:F142"/>
    <mergeCell ref="M2:M12"/>
    <mergeCell ref="N2:N12"/>
    <mergeCell ref="S2:S12"/>
    <mergeCell ref="T2:T12"/>
    <mergeCell ref="M13:M21"/>
    <mergeCell ref="N13:N21"/>
    <mergeCell ref="S13:S21"/>
    <mergeCell ref="T13:T21"/>
    <mergeCell ref="A24:A32"/>
    <mergeCell ref="B24:B32"/>
    <mergeCell ref="G24:G32"/>
    <mergeCell ref="A33:A40"/>
    <mergeCell ref="B33:B40"/>
    <mergeCell ref="G33:G40"/>
    <mergeCell ref="A2:A16"/>
    <mergeCell ref="B2:B16"/>
    <mergeCell ref="G2:G16"/>
    <mergeCell ref="A17:A23"/>
    <mergeCell ref="B17:B23"/>
    <mergeCell ref="G17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TEGAL JAYA (Groceries)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2026-03-31T17:24:33Z</dcterms:created>
  <dcterms:modified xsi:type="dcterms:W3CDTF">2026-03-31T17:27:36Z</dcterms:modified>
</cp:coreProperties>
</file>