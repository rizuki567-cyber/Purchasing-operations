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<sst xmlns="http://schemas.openxmlformats.org/spreadsheetml/2006/main" count="36" uniqueCount="26">
  <si>
    <t>DATE</t>
  </si>
  <si>
    <t>DESCRIPTION</t>
  </si>
  <si>
    <t>QTY</t>
  </si>
  <si>
    <t>BILLS</t>
  </si>
  <si>
    <t>PRICE</t>
  </si>
  <si>
    <t>SUBTOTAL</t>
  </si>
  <si>
    <t>TOTAL</t>
  </si>
  <si>
    <t>DISHY 5L DISH WASHING</t>
  </si>
  <si>
    <t>DISHWASH DISHY 5L</t>
  </si>
  <si>
    <t>FLOOR MOP LAVENDER 5L</t>
  </si>
  <si>
    <t>KARBOL 5L</t>
  </si>
  <si>
    <t>DETERGENT 5L</t>
  </si>
  <si>
    <t>FURNITURE SANITIZER 5L</t>
  </si>
  <si>
    <t>HAND SANITIZER GEL</t>
  </si>
  <si>
    <t>GRAND TOTAL</t>
  </si>
  <si>
    <t>KITCHEN</t>
  </si>
  <si>
    <t>COMBINED TOTAL</t>
  </si>
  <si>
    <t>FLOOR</t>
  </si>
  <si>
    <t>DISHY VANILA 5L</t>
  </si>
  <si>
    <t>FLOOR CLEANER</t>
  </si>
  <si>
    <t>FLOOR CLEANER 5L</t>
  </si>
  <si>
    <t>FURNITURE POLISH</t>
  </si>
  <si>
    <t>HANDSOAP 5L</t>
  </si>
  <si>
    <t>GLASS CLEANER</t>
  </si>
  <si>
    <t>HANDSANITIZER GEL 5L</t>
  </si>
  <si>
    <t>CERAMIC CLEANER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</si>
</sst>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/>
    </xf>
    <xf numFmtId="177" fontId="2" fillId="3" borderId="8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0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177" fontId="3" fillId="3" borderId="6" xfId="0" applyNumberFormat="1" applyFont="1" applyFill="1" applyBorder="1" applyAlignment="1">
      <alignment horizontal="center" vertical="center"/>
    </xf>
    <xf numFmtId="177" fontId="3" fillId="3" borderId="7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vertical="center"/>
    </xf>
    <xf numFmtId="177" fontId="3" fillId="3" borderId="7" xfId="0" applyNumberFormat="1" applyFont="1" applyFill="1" applyBorder="1" applyAlignment="1">
      <alignment vertical="center"/>
    </xf>
    <xf numFmtId="0" fontId="4" fillId="2" borderId="1" xfId="0" applyFont="1" applyFill="1" applyBorder="1">
      <alignment vertical="center"/>
    </xf>
    <xf numFmtId="177" fontId="1" fillId="0" borderId="1" xfId="0" applyNumberFormat="1" applyFont="1" applyBorder="1">
      <alignment vertical="center"/>
    </xf>
    <xf numFmtId="0" fontId="5" fillId="2" borderId="1" xfId="0" applyFont="1" applyFill="1" applyBorder="1">
      <alignment vertical="center"/>
    </xf>
    <xf numFmtId="177" fontId="6" fillId="4" borderId="1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41592</xdr:colOff>
      <xdr:row>1</xdr:row>
      <xdr:rowOff>26987</xdr:rowOff>
    </xdr:from>
    <xdr:to>
      <xdr:col>3</xdr:col>
      <xdr:colOff>4338637</xdr:colOff>
      <xdr:row>1</xdr:row>
      <xdr:rowOff>2970212</xdr:rowOff>
    </xdr:to>
    <xdr:pic>
      <xdr:nvPicPr>
        <xdr:cNvPr id="2" name="ID_FB8F9698469E470288506CD0A06E5CF9" descr="WhatsApp Image 2025-12-03 at 11.37.29_3072cdfd"/>
        <xdr:cNvPicPr>
          <a:picLocks noChangeAspect="1"/>
        </xdr:cNvPicPr>
      </xdr:nvPicPr>
      <xdr:blipFill>
        <a:blip r:embed="rId1"/>
        <a:srcRect l="3692" t="11881" b="9260"/>
        <a:stretch>
          <a:fillRect/>
        </a:stretch>
      </xdr:blipFill>
      <xdr:spPr>
        <a:xfrm rot="16200000">
          <a:off x="7369810" y="-205105"/>
          <a:ext cx="2943225" cy="4296410"/>
        </a:xfrm>
        <a:prstGeom prst="rect">
          <a:avLst/>
        </a:prstGeom>
      </xdr:spPr>
    </xdr:pic>
    <xdr:clientData/>
  </xdr:twoCellAnchor>
  <xdr:twoCellAnchor editAs="oneCell">
    <xdr:from>
      <xdr:col>3</xdr:col>
      <xdr:colOff>26352</xdr:colOff>
      <xdr:row>2</xdr:row>
      <xdr:rowOff>49212</xdr:rowOff>
    </xdr:from>
    <xdr:to>
      <xdr:col>3</xdr:col>
      <xdr:colOff>4355147</xdr:colOff>
      <xdr:row>7</xdr:row>
      <xdr:rowOff>453072</xdr:rowOff>
    </xdr:to>
    <xdr:pic>
      <xdr:nvPicPr>
        <xdr:cNvPr id="3" name="ID_D1C4956538484D94BB56F397E8F5E47B" descr="WhatsApp Image 2025-12-12 at 12.55.56_f914a017"/>
        <xdr:cNvPicPr>
          <a:picLocks noChangeAspect="1"/>
        </xdr:cNvPicPr>
      </xdr:nvPicPr>
      <xdr:blipFill>
        <a:blip r:embed="rId2"/>
        <a:srcRect l="5814" t="15536" r="2043" b="7817"/>
        <a:stretch>
          <a:fillRect/>
        </a:stretch>
      </xdr:blipFill>
      <xdr:spPr>
        <a:xfrm rot="16200000">
          <a:off x="7369810" y="2809875"/>
          <a:ext cx="2943860" cy="4328795"/>
        </a:xfrm>
        <a:prstGeom prst="rect">
          <a:avLst/>
        </a:prstGeom>
      </xdr:spPr>
    </xdr:pic>
    <xdr:clientData/>
  </xdr:twoCellAnchor>
  <xdr:twoCellAnchor editAs="oneCell">
    <xdr:from>
      <xdr:col>3</xdr:col>
      <xdr:colOff>32067</xdr:colOff>
      <xdr:row>8</xdr:row>
      <xdr:rowOff>42862</xdr:rowOff>
    </xdr:from>
    <xdr:to>
      <xdr:col>3</xdr:col>
      <xdr:colOff>5322252</xdr:colOff>
      <xdr:row>9</xdr:row>
      <xdr:rowOff>1866582</xdr:rowOff>
    </xdr:to>
    <xdr:pic>
      <xdr:nvPicPr>
        <xdr:cNvPr id="4" name="ID_381C36AA11D6426F870C9C65C99FEC06" descr="PHOTO-2025-12-27-20-06-42"/>
        <xdr:cNvPicPr>
          <a:picLocks noChangeAspect="1"/>
        </xdr:cNvPicPr>
      </xdr:nvPicPr>
      <xdr:blipFill>
        <a:blip r:embed="rId3"/>
        <a:srcRect l="19391" t="23537" r="13238" b="22123"/>
        <a:stretch>
          <a:fillRect/>
        </a:stretch>
      </xdr:blipFill>
      <xdr:spPr>
        <a:xfrm rot="16200000">
          <a:off x="7463790" y="5763260"/>
          <a:ext cx="3728720" cy="5290185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508000</xdr:colOff>
      <xdr:row>13</xdr:row>
      <xdr:rowOff>114300</xdr:rowOff>
    </xdr:from>
    <xdr:to>
      <xdr:col>3</xdr:col>
      <xdr:colOff>4837430</xdr:colOff>
      <xdr:row>14</xdr:row>
      <xdr:rowOff>1527810</xdr:rowOff>
    </xdr:to>
    <xdr:pic>
      <xdr:nvPicPr>
        <xdr:cNvPr id="5" name="ID_A03A8F9AC41643A998951A68911C5346" descr="WhatsApp Image 2025-12-03 at 11.37.37_bfde9d0a"/>
        <xdr:cNvPicPr>
          <a:picLocks noChangeAspect="1"/>
        </xdr:cNvPicPr>
      </xdr:nvPicPr>
      <xdr:blipFill>
        <a:blip r:embed="rId4"/>
        <a:srcRect l="6138" t="14811" b="10638"/>
        <a:stretch>
          <a:fillRect/>
        </a:stretch>
      </xdr:blipFill>
      <xdr:spPr>
        <a:xfrm rot="16200000">
          <a:off x="7792085" y="11386185"/>
          <a:ext cx="3064510" cy="4329430"/>
        </a:xfrm>
        <a:prstGeom prst="rect">
          <a:avLst/>
        </a:prstGeom>
      </xdr:spPr>
    </xdr:pic>
    <xdr:clientData/>
  </xdr:twoCellAnchor>
  <xdr:twoCellAnchor editAs="oneCell">
    <xdr:from>
      <xdr:col>3</xdr:col>
      <xdr:colOff>508317</xdr:colOff>
      <xdr:row>15</xdr:row>
      <xdr:rowOff>87947</xdr:rowOff>
    </xdr:from>
    <xdr:to>
      <xdr:col>3</xdr:col>
      <xdr:colOff>4837747</xdr:colOff>
      <xdr:row>19</xdr:row>
      <xdr:rowOff>554672</xdr:rowOff>
    </xdr:to>
    <xdr:pic>
      <xdr:nvPicPr>
        <xdr:cNvPr id="7" name="ID_1DCF24B9869548A9BB648FC98316A878" descr="WhatsApp Image 2025-12-12 at 12.56.20_53e90f5f"/>
        <xdr:cNvPicPr>
          <a:picLocks noChangeAspect="1"/>
        </xdr:cNvPicPr>
      </xdr:nvPicPr>
      <xdr:blipFill>
        <a:blip r:embed="rId5"/>
        <a:srcRect l="5252" t="15894" b="7049"/>
        <a:stretch>
          <a:fillRect/>
        </a:stretch>
      </xdr:blipFill>
      <xdr:spPr>
        <a:xfrm rot="16200000">
          <a:off x="7820660" y="14632305"/>
          <a:ext cx="3006725" cy="432943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20</xdr:row>
      <xdr:rowOff>41275</xdr:rowOff>
    </xdr:from>
    <xdr:to>
      <xdr:col>3</xdr:col>
      <xdr:colOff>5245735</xdr:colOff>
      <xdr:row>20</xdr:row>
      <xdr:rowOff>3539490</xdr:rowOff>
    </xdr:to>
    <xdr:pic>
      <xdr:nvPicPr>
        <xdr:cNvPr id="8" name="ID_A223130C6D474ECEA68D87A558FBBD81" descr="PHOTO-2025-12-22-18-49-25"/>
        <xdr:cNvPicPr>
          <a:picLocks noChangeAspect="1"/>
        </xdr:cNvPicPr>
      </xdr:nvPicPr>
      <xdr:blipFill>
        <a:blip r:embed="rId6"/>
        <a:srcRect l="8940" t="19039" r="7862" b="12149"/>
        <a:stretch>
          <a:fillRect/>
        </a:stretch>
      </xdr:blipFill>
      <xdr:spPr>
        <a:xfrm rot="16200000">
          <a:off x="7574915" y="17598390"/>
          <a:ext cx="3498215" cy="5146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56" zoomScaleNormal="56" topLeftCell="A4" workbookViewId="0">
      <selection activeCell="J15" sqref="J15"/>
    </sheetView>
  </sheetViews>
  <sheetFormatPr defaultColWidth="9.140625" defaultRowHeight="16.8"/>
  <cols>
    <col min="1" max="1" width="23.7109375" style="2" customWidth="1"/>
    <col min="2" max="2" width="42.2890625" style="3" customWidth="1"/>
    <col min="3" max="3" width="15.8359375" customWidth="1"/>
    <col min="4" max="4" width="65.703125" customWidth="1"/>
    <col min="5" max="7" width="32.3359375" customWidth="1"/>
    <col min="9" max="9" width="18.875" customWidth="1"/>
    <col min="10" max="10" width="22.875"/>
    <col min="11" max="11" width="42.3125" customWidth="1"/>
    <col min="12" max="12" width="41.1875"/>
  </cols>
  <sheetData>
    <row r="1" s="1" customFormat="1" ht="35" customHeight="1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customFormat="1" ht="236.95" customHeight="1" spans="1:7">
      <c r="A2" s="7">
        <v>45992</v>
      </c>
      <c r="B2" s="8" t="s">
        <v>7</v>
      </c>
      <c r="C2" s="9">
        <v>5</v>
      </c>
      <c r="D2" s="10"/>
      <c r="E2" s="28">
        <v>55000</v>
      </c>
      <c r="F2" s="29">
        <f t="shared" ref="F2:F10" si="0">C2*E2</f>
        <v>275000</v>
      </c>
      <c r="G2" s="30">
        <f>SUM(F2:F2)</f>
        <v>275000</v>
      </c>
    </row>
    <row r="3" customFormat="1" ht="40" customHeight="1" spans="1:7">
      <c r="A3" s="11">
        <v>46003</v>
      </c>
      <c r="B3" s="12" t="s">
        <v>8</v>
      </c>
      <c r="C3" s="13">
        <v>5</v>
      </c>
      <c r="D3" s="14"/>
      <c r="E3" s="17">
        <v>55000</v>
      </c>
      <c r="F3" s="31">
        <f t="shared" si="0"/>
        <v>275000</v>
      </c>
      <c r="G3" s="32">
        <f>SUM(F3:F8)</f>
        <v>895000</v>
      </c>
    </row>
    <row r="4" customFormat="1" ht="40" customHeight="1" spans="1:7">
      <c r="A4" s="15"/>
      <c r="B4" s="12" t="s">
        <v>9</v>
      </c>
      <c r="C4" s="13">
        <v>1</v>
      </c>
      <c r="D4" s="14"/>
      <c r="E4" s="17">
        <v>55000</v>
      </c>
      <c r="F4" s="31">
        <f t="shared" si="0"/>
        <v>55000</v>
      </c>
      <c r="G4" s="33"/>
    </row>
    <row r="5" customFormat="1" ht="40" customHeight="1" spans="1:7">
      <c r="A5" s="15"/>
      <c r="B5" s="12" t="s">
        <v>10</v>
      </c>
      <c r="C5" s="13">
        <v>1</v>
      </c>
      <c r="D5" s="14"/>
      <c r="E5" s="17">
        <v>55000</v>
      </c>
      <c r="F5" s="31">
        <f t="shared" si="0"/>
        <v>55000</v>
      </c>
      <c r="G5" s="33"/>
    </row>
    <row r="6" customFormat="1" ht="40" customHeight="1" spans="1:7">
      <c r="A6" s="15"/>
      <c r="B6" s="12" t="s">
        <v>11</v>
      </c>
      <c r="C6" s="13">
        <v>3</v>
      </c>
      <c r="D6" s="14"/>
      <c r="E6" s="17">
        <v>50000</v>
      </c>
      <c r="F6" s="31">
        <f t="shared" si="0"/>
        <v>150000</v>
      </c>
      <c r="G6" s="33"/>
    </row>
    <row r="7" customFormat="1" ht="40" customHeight="1" spans="1:7">
      <c r="A7" s="15"/>
      <c r="B7" s="12" t="s">
        <v>12</v>
      </c>
      <c r="C7" s="13">
        <v>1</v>
      </c>
      <c r="D7" s="14"/>
      <c r="E7" s="17">
        <v>160000</v>
      </c>
      <c r="F7" s="31">
        <f t="shared" si="0"/>
        <v>160000</v>
      </c>
      <c r="G7" s="33"/>
    </row>
    <row r="8" customFormat="1" ht="40" customHeight="1" spans="1:7">
      <c r="A8" s="16"/>
      <c r="B8" s="12" t="s">
        <v>13</v>
      </c>
      <c r="C8" s="13">
        <v>1</v>
      </c>
      <c r="D8" s="14"/>
      <c r="E8" s="17">
        <v>200000</v>
      </c>
      <c r="F8" s="31">
        <f t="shared" si="0"/>
        <v>200000</v>
      </c>
      <c r="G8" s="34"/>
    </row>
    <row r="9" customFormat="1" ht="150" customHeight="1" spans="1:7">
      <c r="A9" s="15">
        <v>46383</v>
      </c>
      <c r="B9" s="12" t="s">
        <v>7</v>
      </c>
      <c r="C9" s="13">
        <v>5</v>
      </c>
      <c r="D9" s="17"/>
      <c r="E9" s="17">
        <v>55000</v>
      </c>
      <c r="F9" s="31">
        <f t="shared" si="0"/>
        <v>275000</v>
      </c>
      <c r="G9" s="33">
        <f>SUM(F9:F10)</f>
        <v>385000</v>
      </c>
    </row>
    <row r="10" customFormat="1" ht="150" customHeight="1" spans="1:7">
      <c r="A10" s="16"/>
      <c r="B10" s="12" t="s">
        <v>9</v>
      </c>
      <c r="C10" s="13">
        <v>2</v>
      </c>
      <c r="D10" s="18"/>
      <c r="E10" s="17">
        <v>55000</v>
      </c>
      <c r="F10" s="31">
        <f t="shared" si="0"/>
        <v>110000</v>
      </c>
      <c r="G10" s="34"/>
    </row>
    <row r="11" customFormat="1" ht="39" customHeight="1" spans="1:10">
      <c r="A11" s="19" t="s">
        <v>14</v>
      </c>
      <c r="B11" s="20"/>
      <c r="C11" s="20"/>
      <c r="D11" s="21"/>
      <c r="E11" s="35">
        <f>SUM(G2:G10)</f>
        <v>1555000</v>
      </c>
      <c r="F11" s="36"/>
      <c r="G11" s="37"/>
      <c r="H11"/>
      <c r="I11" s="39" t="s">
        <v>15</v>
      </c>
      <c r="J11" s="40">
        <f>E11</f>
        <v>1555000</v>
      </c>
    </row>
    <row r="12" customFormat="1" ht="52" customHeight="1" spans="1:12">
      <c r="A12" s="2"/>
      <c r="B12" s="3"/>
      <c r="C12"/>
      <c r="D12"/>
      <c r="E12"/>
      <c r="F12"/>
      <c r="G12"/>
      <c r="H12"/>
      <c r="I12"/>
      <c r="J12"/>
      <c r="K12" s="41" t="s">
        <v>16</v>
      </c>
      <c r="L12" s="42">
        <f>SUM(J11+J13)</f>
        <v>2855000</v>
      </c>
    </row>
    <row r="13" customFormat="1" ht="34.4" spans="1:10">
      <c r="A13" s="4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/>
      <c r="I13" s="39" t="s">
        <v>17</v>
      </c>
      <c r="J13" s="40">
        <f>E22</f>
        <v>1300000</v>
      </c>
    </row>
    <row r="14" customFormat="1" ht="130" customHeight="1" spans="1:7">
      <c r="A14" s="22">
        <v>45992</v>
      </c>
      <c r="B14" s="23" t="s">
        <v>18</v>
      </c>
      <c r="C14" s="9">
        <v>1</v>
      </c>
      <c r="D14" s="24"/>
      <c r="E14" s="28">
        <v>60000</v>
      </c>
      <c r="F14" s="29">
        <f t="shared" ref="F14:F21" si="1">C14*E14</f>
        <v>60000</v>
      </c>
      <c r="G14" s="30">
        <f>SUM(F14:F15)</f>
        <v>115000</v>
      </c>
    </row>
    <row r="15" customFormat="1" ht="130" customHeight="1" spans="1:7">
      <c r="A15" s="25"/>
      <c r="B15" s="26" t="s">
        <v>19</v>
      </c>
      <c r="C15" s="13">
        <v>1</v>
      </c>
      <c r="D15" s="27"/>
      <c r="E15" s="28">
        <v>55000</v>
      </c>
      <c r="F15" s="29">
        <f t="shared" si="1"/>
        <v>55000</v>
      </c>
      <c r="G15" s="30"/>
    </row>
    <row r="16" customFormat="1" ht="50" customHeight="1" spans="1:7">
      <c r="A16" s="11">
        <v>46003</v>
      </c>
      <c r="B16" s="26" t="s">
        <v>20</v>
      </c>
      <c r="C16" s="13">
        <v>3</v>
      </c>
      <c r="D16" s="14"/>
      <c r="E16" s="28">
        <v>55000</v>
      </c>
      <c r="F16" s="29">
        <f t="shared" si="1"/>
        <v>165000</v>
      </c>
      <c r="G16" s="33">
        <f>SUM(F16:F20)</f>
        <v>735000</v>
      </c>
    </row>
    <row r="17" customFormat="1" ht="50" customHeight="1" spans="1:7">
      <c r="A17" s="15"/>
      <c r="B17" s="26" t="s">
        <v>21</v>
      </c>
      <c r="C17" s="13">
        <v>1</v>
      </c>
      <c r="D17" s="14"/>
      <c r="E17" s="28">
        <v>160000</v>
      </c>
      <c r="F17" s="29">
        <f t="shared" si="1"/>
        <v>160000</v>
      </c>
      <c r="G17" s="33"/>
    </row>
    <row r="18" customFormat="1" ht="50" customHeight="1" spans="1:7">
      <c r="A18" s="15"/>
      <c r="B18" s="26" t="s">
        <v>22</v>
      </c>
      <c r="C18" s="13">
        <v>1</v>
      </c>
      <c r="D18" s="14"/>
      <c r="E18" s="28">
        <v>60000</v>
      </c>
      <c r="F18" s="29">
        <f t="shared" si="1"/>
        <v>60000</v>
      </c>
      <c r="G18" s="33"/>
    </row>
    <row r="19" customFormat="1" ht="50" customHeight="1" spans="1:7">
      <c r="A19" s="15"/>
      <c r="B19" s="26" t="s">
        <v>23</v>
      </c>
      <c r="C19" s="13">
        <v>3</v>
      </c>
      <c r="D19" s="14"/>
      <c r="E19" s="28">
        <v>50000</v>
      </c>
      <c r="F19" s="29">
        <f t="shared" si="1"/>
        <v>150000</v>
      </c>
      <c r="G19" s="33"/>
    </row>
    <row r="20" customFormat="1" ht="50" customHeight="1" spans="1:7">
      <c r="A20" s="16"/>
      <c r="B20" s="26" t="s">
        <v>24</v>
      </c>
      <c r="C20" s="13">
        <v>1</v>
      </c>
      <c r="D20" s="14"/>
      <c r="E20" s="28">
        <v>200000</v>
      </c>
      <c r="F20" s="29">
        <f t="shared" si="1"/>
        <v>200000</v>
      </c>
      <c r="G20" s="34"/>
    </row>
    <row r="21" customFormat="1" ht="282.9" customHeight="1" spans="1:7">
      <c r="A21" s="16">
        <v>46013</v>
      </c>
      <c r="B21" s="26" t="s">
        <v>25</v>
      </c>
      <c r="C21" s="13">
        <v>3</v>
      </c>
      <c r="D21" s="14"/>
      <c r="E21" s="28">
        <v>150000</v>
      </c>
      <c r="F21" s="29">
        <f t="shared" si="1"/>
        <v>450000</v>
      </c>
      <c r="G21" s="38">
        <f>SUM(F21)</f>
        <v>450000</v>
      </c>
    </row>
    <row r="22" customFormat="1" ht="26" spans="1:7">
      <c r="A22" s="19" t="s">
        <v>14</v>
      </c>
      <c r="B22" s="20"/>
      <c r="C22" s="20"/>
      <c r="D22" s="21"/>
      <c r="E22" s="35">
        <f>SUM(G14:G21)</f>
        <v>1300000</v>
      </c>
      <c r="F22" s="36"/>
      <c r="G22" s="37"/>
    </row>
  </sheetData>
  <mergeCells count="16">
    <mergeCell ref="A11:D11"/>
    <mergeCell ref="E11:G11"/>
    <mergeCell ref="A22:D22"/>
    <mergeCell ref="E22:G22"/>
    <mergeCell ref="A3:A8"/>
    <mergeCell ref="A9:A10"/>
    <mergeCell ref="A14:A15"/>
    <mergeCell ref="A16:A20"/>
    <mergeCell ref="D3:D8"/>
    <mergeCell ref="D9:D10"/>
    <mergeCell ref="D14:D15"/>
    <mergeCell ref="D16:D20"/>
    <mergeCell ref="G3:G8"/>
    <mergeCell ref="G9:G10"/>
    <mergeCell ref="G14:G15"/>
    <mergeCell ref="G16:G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2025-12-17T08:10:00Z</dcterms:created>
  <dcterms:modified xsi:type="dcterms:W3CDTF">2026-01-03T01:21:47Z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