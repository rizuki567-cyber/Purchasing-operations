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Anugrah (Bag, Cup, Box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<sst xmlns="http://schemas.openxmlformats.org/spreadsheetml/2006/main" count="18" uniqueCount="18">
  <si>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</si>
  <si>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</si>
  <si>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</si>
  <si>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</si>
  <si>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</si>
  <si>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</si>
  <si>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</si>
  <si>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</si>
  <si>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HAND GLOVE BLACK L</t>
  </si>
  <si>
    <t>HAND GLOVE BLACK M</t>
  </si>
  <si>
    <t>PLASTIC TRASH BAG 90X100</t>
  </si>
  <si>
    <t>VACUUM 16X25</t>
  </si>
  <si>
    <t>DISHWASHING SPONGE</t>
  </si>
  <si>
    <t>DISHWASHING SCRUBBER/ WIRE</t>
  </si>
  <si>
    <t>PORTABLE GAS</t>
  </si>
  <si>
    <t>HAIR NET/ MOP CAP</t>
  </si>
  <si>
    <t>KG PLASTIC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</si>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</sst>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Garamond"/>
      <charset val="134"/>
    </font>
    <font>
      <sz val="14"/>
      <color theme="1"/>
      <name val="Calibri Light"/>
      <charset val="134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177" fontId="1" fillId="3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178" fontId="1" fillId="3" borderId="2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vertical="center"/>
    </xf>
    <xf numFmtId="0" fontId="1" fillId="2" borderId="7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92710</xdr:colOff>
      <xdr:row>1</xdr:row>
      <xdr:rowOff>27305</xdr:rowOff>
    </xdr:from>
    <xdr:to>
      <xdr:col>4</xdr:col>
      <xdr:colOff>2623820</xdr:colOff>
      <xdr:row>2</xdr:row>
      <xdr:rowOff>1765935</xdr:rowOff>
    </xdr:to>
    <xdr:pic>
      <xdr:nvPicPr>
        <xdr:cNvPr id="2" name="ID_8B1DBF2A2A364397840CF90C1A501718" descr="PHOTO-2026-02-03-23-29-40"/>
        <xdr:cNvPicPr>
          <a:picLocks noChangeAspect="1"/>
        </xdr:cNvPicPr>
      </xdr:nvPicPr>
      <xdr:blipFill>
        <a:blip r:embed="rId1"/>
        <a:srcRect b="21948"/>
        <a:stretch>
          <a:fillRect/>
        </a:stretch>
      </xdr:blipFill>
      <xdr:spPr>
        <a:xfrm>
          <a:off x="6833870" y="230505"/>
          <a:ext cx="2531110" cy="3516630"/>
        </a:xfrm>
        <a:prstGeom prst="rect">
          <a:avLst/>
        </a:prstGeom>
      </xdr:spPr>
    </xdr:pic>
    <xdr:clientData/>
  </xdr:twoCellAnchor>
  <xdr:twoCellAnchor editAs="oneCell">
    <xdr:from>
      <xdr:col>4</xdr:col>
      <xdr:colOff>98425</xdr:colOff>
      <xdr:row>3</xdr:row>
      <xdr:rowOff>27305</xdr:rowOff>
    </xdr:from>
    <xdr:to>
      <xdr:col>4</xdr:col>
      <xdr:colOff>2618105</xdr:colOff>
      <xdr:row>9</xdr:row>
      <xdr:rowOff>496570</xdr:rowOff>
    </xdr:to>
    <xdr:pic>
      <xdr:nvPicPr>
        <xdr:cNvPr id="3" name="ID_D31AE8FD73044E66A508A60D097CFE71" descr="PHOTO-2026-02-05-16-09-30"/>
        <xdr:cNvPicPr>
          <a:picLocks noChangeAspect="1"/>
        </xdr:cNvPicPr>
      </xdr:nvPicPr>
      <xdr:blipFill>
        <a:blip r:embed="rId2"/>
        <a:srcRect b="21488"/>
        <a:stretch>
          <a:fillRect/>
        </a:stretch>
      </xdr:blipFill>
      <xdr:spPr>
        <a:xfrm>
          <a:off x="6839585" y="3786505"/>
          <a:ext cx="2519680" cy="3517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H2" sqref="H2:H3"/>
    </sheetView>
  </sheetViews>
  <sheetFormatPr defaultColWidth="9.140625" defaultRowHeight="20.4" outlineLevelCol="7"/>
  <cols>
    <col min="1" max="1" width="13.25" style="2" customWidth="1"/>
    <col min="2" max="2" width="13.4296875" style="2" customWidth="1"/>
    <col min="3" max="3" width="34.96875" style="2" customWidth="1"/>
    <col min="4" max="4" width="21.2890625" style="3" customWidth="1"/>
    <col min="5" max="5" width="33.2890625" style="2" customWidth="1"/>
    <col min="6" max="6" width="17.2890625" style="2" customWidth="1"/>
    <col min="7" max="8" width="20.859375" style="2" customWidth="1"/>
    <col min="9" max="9" width="12.859375" style="2"/>
    <col min="10" max="10" width="15" style="2"/>
    <col min="11" max="16384" width="18.0390625" style="2"/>
  </cols>
  <sheetData>
    <row r="1" s="1" customFormat="1" ht="16" customHeight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140" customHeight="1" spans="1:8">
      <c r="A2" s="6">
        <v>46056</v>
      </c>
      <c r="B2" s="7">
        <v>3426</v>
      </c>
      <c r="C2" s="8" t="s">
        <v>8</v>
      </c>
      <c r="D2" s="9">
        <v>20</v>
      </c>
      <c r="E2" s="17"/>
      <c r="F2" s="18">
        <v>55000</v>
      </c>
      <c r="G2" s="19">
        <f>SUM(D2*F2)</f>
        <v>1100000</v>
      </c>
      <c r="H2" s="19">
        <f>SUM(G2:G3)</f>
        <v>1650000</v>
      </c>
    </row>
    <row r="3" s="1" customFormat="1" ht="140" customHeight="1" spans="1:8">
      <c r="A3" s="10"/>
      <c r="B3" s="7"/>
      <c r="C3" s="8" t="s">
        <v>9</v>
      </c>
      <c r="D3" s="9">
        <v>10</v>
      </c>
      <c r="E3" s="20"/>
      <c r="F3" s="18">
        <v>55000</v>
      </c>
      <c r="G3" s="19">
        <f>SUM(D3*F3)</f>
        <v>550000</v>
      </c>
      <c r="H3" s="21"/>
    </row>
    <row r="4" s="1" customFormat="1" ht="40" customHeight="1" spans="1:8">
      <c r="A4" s="6">
        <v>46058</v>
      </c>
      <c r="B4" s="11">
        <v>3461</v>
      </c>
      <c r="C4" s="12" t="s">
        <v>10</v>
      </c>
      <c r="D4" s="9">
        <v>450</v>
      </c>
      <c r="E4" s="17"/>
      <c r="F4" s="19">
        <v>1800</v>
      </c>
      <c r="G4" s="19">
        <f>SUM(D4*F4)</f>
        <v>810000</v>
      </c>
      <c r="H4" s="19">
        <f>SUM(G4:G10)</f>
        <v>1641500</v>
      </c>
    </row>
    <row r="5" s="1" customFormat="1" ht="40" customHeight="1" spans="1:8">
      <c r="A5" s="10"/>
      <c r="B5" s="13"/>
      <c r="C5" s="7" t="s">
        <v>11</v>
      </c>
      <c r="D5" s="7">
        <v>100</v>
      </c>
      <c r="E5" s="20"/>
      <c r="F5" s="22">
        <v>630</v>
      </c>
      <c r="G5" s="19">
        <f>SUM(D5*F5)</f>
        <v>63000</v>
      </c>
      <c r="H5" s="21"/>
    </row>
    <row r="6" s="1" customFormat="1" ht="40" customHeight="1" spans="1:8">
      <c r="A6" s="10"/>
      <c r="B6" s="13"/>
      <c r="C6" s="7" t="s">
        <v>12</v>
      </c>
      <c r="D6" s="7">
        <v>36</v>
      </c>
      <c r="E6" s="20"/>
      <c r="F6" s="22">
        <f t="shared" ref="F6:F10" si="0">G6/D6</f>
        <v>3166.66666666667</v>
      </c>
      <c r="G6" s="19">
        <v>114000</v>
      </c>
      <c r="H6" s="21"/>
    </row>
    <row r="7" s="1" customFormat="1" ht="40" customHeight="1" spans="1:8">
      <c r="A7" s="10"/>
      <c r="B7" s="13"/>
      <c r="C7" s="11" t="s">
        <v>13</v>
      </c>
      <c r="D7" s="11">
        <v>36</v>
      </c>
      <c r="E7" s="20"/>
      <c r="F7" s="22">
        <f t="shared" si="0"/>
        <v>2666.66666666667</v>
      </c>
      <c r="G7" s="19">
        <v>96000</v>
      </c>
      <c r="H7" s="21"/>
    </row>
    <row r="8" s="1" customFormat="1" ht="40" customHeight="1" spans="1:8">
      <c r="A8" s="10"/>
      <c r="B8" s="13"/>
      <c r="C8" s="11" t="s">
        <v>14</v>
      </c>
      <c r="D8" s="11">
        <v>10</v>
      </c>
      <c r="E8" s="20"/>
      <c r="F8" s="22">
        <v>23000</v>
      </c>
      <c r="G8" s="19">
        <f>F8*D8</f>
        <v>230000</v>
      </c>
      <c r="H8" s="21"/>
    </row>
    <row r="9" s="1" customFormat="1" ht="40" customHeight="1" spans="1:8">
      <c r="A9" s="10"/>
      <c r="B9" s="13"/>
      <c r="C9" s="11" t="s">
        <v>15</v>
      </c>
      <c r="D9" s="11">
        <v>7</v>
      </c>
      <c r="E9" s="20"/>
      <c r="F9" s="22">
        <f t="shared" si="0"/>
        <v>38000</v>
      </c>
      <c r="G9" s="19">
        <v>266000</v>
      </c>
      <c r="H9" s="21"/>
    </row>
    <row r="10" s="1" customFormat="1" ht="40" customHeight="1" spans="1:8">
      <c r="A10" s="10"/>
      <c r="B10" s="13"/>
      <c r="C10" s="11" t="s">
        <v>16</v>
      </c>
      <c r="D10" s="11">
        <v>5</v>
      </c>
      <c r="E10" s="20"/>
      <c r="F10" s="22">
        <f t="shared" si="0"/>
        <v>12500</v>
      </c>
      <c r="G10" s="19">
        <v>62500</v>
      </c>
      <c r="H10" s="21"/>
    </row>
    <row r="11" s="1" customFormat="1" ht="258" customHeight="1" spans="1:8">
      <c r="A11" s="14"/>
      <c r="B11" s="7"/>
      <c r="C11" s="7"/>
      <c r="D11" s="7"/>
      <c r="E11" s="23"/>
      <c r="F11" s="24"/>
      <c r="G11" s="18">
        <f>SUM(D11*F11)</f>
        <v>0</v>
      </c>
      <c r="H11" s="18">
        <f>SUM(G11)</f>
        <v>0</v>
      </c>
    </row>
    <row r="12" s="1" customFormat="1" ht="18" customHeight="1" spans="1:8">
      <c r="A12" s="15" t="s">
        <v>17</v>
      </c>
      <c r="B12" s="16"/>
      <c r="C12" s="16"/>
      <c r="D12" s="16"/>
      <c r="E12" s="16"/>
      <c r="F12" s="16"/>
      <c r="G12" s="25"/>
      <c r="H12" s="26">
        <f>SUM(H2:H11)</f>
        <v>3291500</v>
      </c>
    </row>
  </sheetData>
  <mergeCells count="9">
    <mergeCell ref="A12:G12"/>
    <mergeCell ref="A2:A3"/>
    <mergeCell ref="A4:A10"/>
    <mergeCell ref="B2:B3"/>
    <mergeCell ref="B4:B10"/>
    <mergeCell ref="E2:E3"/>
    <mergeCell ref="E4:E10"/>
    <mergeCell ref="H2:H3"/>
    <mergeCell ref="H4:H1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Anugrah (Bag, Cup, Box)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2026-03-01T03:40:39Z</dcterms:created>
  <dcterms:modified xsi:type="dcterms:W3CDTF">2026-03-01T03:41:17Z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F785289014B175E2B744A369D4327E5D_41</vt:lpwstr>
  </property>
  <property fmtid="{D5CDD505-2E9C-101B-9397-08002B2CF9AE}" pid="3" name="KSOProductBuildVer">
    <vt:lpwstr>1033-12.1.23155.23155</vt:lpwstr>
  </property>
</Properties>
</file>