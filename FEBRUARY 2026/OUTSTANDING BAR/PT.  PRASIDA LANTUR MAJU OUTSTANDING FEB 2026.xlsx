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PT. PRASIDA LANTUR MAJU (Win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<sst xmlns="http://schemas.openxmlformats.org/spreadsheetml/2006/main" count="23" uniqueCount="15">
  <si>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DATE</t>
  </si>
  <si>
    <t>INV NO.</t>
  </si>
  <si>
    <t>DESCRIPTIONS</t>
  </si>
  <si>
    <t>QTY</t>
  </si>
  <si>
    <t>BILLS</t>
  </si>
  <si>
    <t>PRICE</t>
  </si>
  <si>
    <t>TOTAL</t>
  </si>
  <si>
    <t>PLM-INV0351/2026</t>
  </si>
  <si>
    <t>ISOLA RISERVA SYRAH 750 ML</t>
  </si>
  <si>
    <t>SUBTOTAL</t>
  </si>
  <si>
    <t>PPN</t>
  </si>
  <si>
    <t>PLM-INV0415/2026</t>
  </si>
  <si>
    <t>ISOLA BIANCO 750 ML</t>
  </si>
  <si>
    <t>PLM-INV0602/2026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</si>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</sst>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dd\-mmm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0" fillId="3" borderId="1" xfId="0" applyNumberFormat="1" applyFill="1" applyBorder="1">
      <alignment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44132</xdr:colOff>
      <xdr:row>1</xdr:row>
      <xdr:rowOff>26352</xdr:rowOff>
    </xdr:from>
    <xdr:to>
      <xdr:col>4</xdr:col>
      <xdr:colOff>2279332</xdr:colOff>
      <xdr:row>1</xdr:row>
      <xdr:rowOff>1324292</xdr:rowOff>
    </xdr:to>
    <xdr:pic>
      <xdr:nvPicPr>
        <xdr:cNvPr id="2" name="ID_196B8F66A7BE492A97F43F63ED46691C" descr="PHOTO-2026-02-03-22-12-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6094095" y="-238760"/>
          <a:ext cx="1297940" cy="223456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</xdr:row>
      <xdr:rowOff>26670</xdr:rowOff>
    </xdr:from>
    <xdr:to>
      <xdr:col>4</xdr:col>
      <xdr:colOff>2296795</xdr:colOff>
      <xdr:row>4</xdr:row>
      <xdr:rowOff>3088640</xdr:rowOff>
    </xdr:to>
    <xdr:pic>
      <xdr:nvPicPr>
        <xdr:cNvPr id="3" name="ID_3BC2409208B746588761AA2CAF8F81BA" descr="PHOTO-2026-02-06-18-16-35"/>
        <xdr:cNvPicPr>
          <a:picLocks noChangeAspect="1"/>
        </xdr:cNvPicPr>
      </xdr:nvPicPr>
      <xdr:blipFill>
        <a:blip r:embed="rId2"/>
        <a:srcRect b="28870"/>
        <a:stretch>
          <a:fillRect/>
        </a:stretch>
      </xdr:blipFill>
      <xdr:spPr>
        <a:xfrm>
          <a:off x="5610225" y="2238375"/>
          <a:ext cx="2268220" cy="306197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7</xdr:row>
      <xdr:rowOff>26670</xdr:rowOff>
    </xdr:from>
    <xdr:to>
      <xdr:col>4</xdr:col>
      <xdr:colOff>2280285</xdr:colOff>
      <xdr:row>7</xdr:row>
      <xdr:rowOff>1338580</xdr:rowOff>
    </xdr:to>
    <xdr:pic>
      <xdr:nvPicPr>
        <xdr:cNvPr id="4" name="ID_76BB44EDCF0B40B7BBC56E20E008B896" descr="PHOTO-2026-02-25-21-16-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26100" y="6012180"/>
          <a:ext cx="2235835" cy="1311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75" zoomScaleNormal="75" topLeftCell="C1" workbookViewId="0">
      <selection activeCell="B16" sqref="B16"/>
    </sheetView>
  </sheetViews>
  <sheetFormatPr defaultColWidth="9.140625" defaultRowHeight="16.8" outlineLevelCol="6"/>
  <cols>
    <col min="1" max="1" width="13.3984375" customWidth="1"/>
    <col min="2" max="2" width="18.1328125" customWidth="1"/>
    <col min="3" max="4" width="18.5703125" customWidth="1"/>
    <col min="5" max="5" width="28.4296875" customWidth="1"/>
    <col min="6" max="7" width="17.9609375" customWidth="1"/>
  </cols>
  <sheetData>
    <row r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06.15" customHeight="1" spans="1:7">
      <c r="A2" s="3">
        <v>46055</v>
      </c>
      <c r="B2" s="4" t="s">
        <v>7</v>
      </c>
      <c r="C2" s="5" t="s">
        <v>8</v>
      </c>
      <c r="D2" s="6">
        <v>3</v>
      </c>
      <c r="E2" s="14"/>
      <c r="F2" s="15">
        <v>275000</v>
      </c>
      <c r="G2" s="16">
        <f>SUM(D2*F2)</f>
        <v>825000</v>
      </c>
    </row>
    <row r="3" ht="26" spans="1:7">
      <c r="A3" s="7" t="s">
        <v>9</v>
      </c>
      <c r="B3" s="8"/>
      <c r="C3" s="9"/>
      <c r="D3" s="10">
        <f>SUM(D2)</f>
        <v>3</v>
      </c>
      <c r="E3" s="17"/>
      <c r="F3" s="17" t="s">
        <v>10</v>
      </c>
      <c r="G3" s="18">
        <f>G2*11%</f>
        <v>90750</v>
      </c>
    </row>
    <row r="4" ht="26" spans="1:7">
      <c r="A4" s="7" t="s">
        <v>6</v>
      </c>
      <c r="B4" s="8"/>
      <c r="C4" s="8"/>
      <c r="D4" s="8"/>
      <c r="E4" s="19">
        <f>SUM(G2:G3)</f>
        <v>915750</v>
      </c>
      <c r="F4" s="20"/>
      <c r="G4" s="21"/>
    </row>
    <row r="5" ht="245.15" customHeight="1" spans="1:7">
      <c r="A5" s="3">
        <v>46058</v>
      </c>
      <c r="B5" s="4" t="s">
        <v>11</v>
      </c>
      <c r="C5" s="5" t="s">
        <v>12</v>
      </c>
      <c r="D5" s="6">
        <v>3</v>
      </c>
      <c r="E5" s="14"/>
      <c r="F5" s="15">
        <v>180180</v>
      </c>
      <c r="G5" s="16">
        <f>F5*D5</f>
        <v>540540</v>
      </c>
    </row>
    <row r="6" ht="26" spans="1:7">
      <c r="A6" s="7" t="s">
        <v>9</v>
      </c>
      <c r="B6" s="8"/>
      <c r="C6" s="9"/>
      <c r="D6" s="10">
        <f>SUM(D5)</f>
        <v>3</v>
      </c>
      <c r="E6" s="17"/>
      <c r="F6" s="17" t="s">
        <v>10</v>
      </c>
      <c r="G6" s="18">
        <f>G5*11%</f>
        <v>59459.4</v>
      </c>
    </row>
    <row r="7" ht="26" spans="1:7">
      <c r="A7" s="7" t="s">
        <v>6</v>
      </c>
      <c r="B7" s="8"/>
      <c r="C7" s="8"/>
      <c r="D7" s="8"/>
      <c r="E7" s="19">
        <v>600000</v>
      </c>
      <c r="F7" s="20"/>
      <c r="G7" s="21"/>
    </row>
    <row r="8" ht="107.2" customHeight="1" spans="1:7">
      <c r="A8" s="3">
        <v>46074</v>
      </c>
      <c r="B8" s="4" t="s">
        <v>13</v>
      </c>
      <c r="C8" s="5" t="s">
        <v>8</v>
      </c>
      <c r="D8" s="6">
        <v>2</v>
      </c>
      <c r="E8" s="14"/>
      <c r="F8" s="15">
        <v>275000</v>
      </c>
      <c r="G8" s="16">
        <f>F8*D8</f>
        <v>550000</v>
      </c>
    </row>
    <row r="9" ht="26" spans="1:7">
      <c r="A9" s="7" t="s">
        <v>9</v>
      </c>
      <c r="B9" s="8"/>
      <c r="C9" s="9"/>
      <c r="D9" s="10">
        <f>SUM(D8)</f>
        <v>2</v>
      </c>
      <c r="E9" s="17"/>
      <c r="F9" s="17" t="s">
        <v>10</v>
      </c>
      <c r="G9" s="18">
        <f>G8*11%</f>
        <v>60500</v>
      </c>
    </row>
    <row r="10" ht="26" spans="1:7">
      <c r="A10" s="7" t="s">
        <v>6</v>
      </c>
      <c r="B10" s="8"/>
      <c r="C10" s="8"/>
      <c r="D10" s="8"/>
      <c r="E10" s="19">
        <f>SUM(G8:G9)</f>
        <v>610500</v>
      </c>
      <c r="F10" s="20"/>
      <c r="G10" s="21"/>
    </row>
    <row r="11" ht="26" customHeight="1" spans="1:7">
      <c r="A11" s="11" t="s">
        <v>14</v>
      </c>
      <c r="B11" s="12"/>
      <c r="C11" s="12"/>
      <c r="D11" s="13"/>
      <c r="E11" s="22">
        <f>SUM(E4,E7,E10)</f>
        <v>2126250</v>
      </c>
      <c r="F11" s="23"/>
      <c r="G11" s="24"/>
    </row>
  </sheetData>
  <mergeCells count="11">
    <mergeCell ref="A3:C3"/>
    <mergeCell ref="A4:D4"/>
    <mergeCell ref="E4:G4"/>
    <mergeCell ref="A6:C6"/>
    <mergeCell ref="A7:D7"/>
    <mergeCell ref="E7:G7"/>
    <mergeCell ref="A9:C9"/>
    <mergeCell ref="A10:D10"/>
    <mergeCell ref="E10:G10"/>
    <mergeCell ref="A11:D11"/>
    <mergeCell ref="E11:G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PT. PRASIDA LANTUR MAJU (Wine)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2026-03-01T05:47:05Z</dcterms:created>
  <dcterms:modified xsi:type="dcterms:W3CDTF">2026-03-01T05:47:40Z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25484ACA9EE860965962A3695BD0D7BA_41</vt:lpwstr>
  </property>
  <property fmtid="{D5CDD505-2E9C-101B-9397-08002B2CF9AE}" pid="3" name="KSOProductBuildVer">
    <vt:lpwstr>1033-12.1.23155.23155</vt:lpwstr>
  </property>
</Properties>
</file>