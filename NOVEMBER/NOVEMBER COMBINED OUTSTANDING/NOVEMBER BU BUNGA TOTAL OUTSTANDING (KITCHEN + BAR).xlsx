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buyan\Downloads\"/>
    </mc:Choice>
  </mc:AlternateContent>
  <xr:revisionPtr revIDLastSave="0" documentId="8_{6631A824-858A-422A-A428-8BA37DC36A48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BUK BUNGA (Groceries)" sheetId="15" r:id="rId1"/>
  </sheets>
  <definedNames>
    <definedName name="_xlnm._FilterDatabase" localSheetId="0" hidden="1">'BUK BUNGA (Groceries)'!$A$1:$F$350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9" i="15" l="1"/>
  <c r="O258" i="15"/>
  <c r="F348" i="15"/>
  <c r="E348" i="15"/>
  <c r="E347" i="15"/>
  <c r="E346" i="15"/>
  <c r="E344" i="15"/>
  <c r="E343" i="15"/>
  <c r="E342" i="15"/>
  <c r="E341" i="15"/>
  <c r="E340" i="15"/>
  <c r="E339" i="15"/>
  <c r="E338" i="15"/>
  <c r="F337" i="15"/>
  <c r="E337" i="15"/>
  <c r="E336" i="15"/>
  <c r="E335" i="15"/>
  <c r="E334" i="15"/>
  <c r="E333" i="15"/>
  <c r="E331" i="15"/>
  <c r="E330" i="15"/>
  <c r="E329" i="15"/>
  <c r="E328" i="15"/>
  <c r="F327" i="15"/>
  <c r="E326" i="15"/>
  <c r="E325" i="15"/>
  <c r="E324" i="15"/>
  <c r="E323" i="15"/>
  <c r="E322" i="15"/>
  <c r="E321" i="15"/>
  <c r="E320" i="15"/>
  <c r="E319" i="15"/>
  <c r="E318" i="15"/>
  <c r="E317" i="15"/>
  <c r="E316" i="15"/>
  <c r="F315" i="15"/>
  <c r="E315" i="15"/>
  <c r="E314" i="15"/>
  <c r="E313" i="15"/>
  <c r="E312" i="15"/>
  <c r="E311" i="15"/>
  <c r="E310" i="15"/>
  <c r="E309" i="15"/>
  <c r="E308" i="15"/>
  <c r="F307" i="15"/>
  <c r="E307" i="15"/>
  <c r="E306" i="15"/>
  <c r="E305" i="15"/>
  <c r="E304" i="15"/>
  <c r="E303" i="15"/>
  <c r="E302" i="15"/>
  <c r="E301" i="15"/>
  <c r="E300" i="15"/>
  <c r="F299" i="15"/>
  <c r="E299" i="15"/>
  <c r="E298" i="15"/>
  <c r="E297" i="15"/>
  <c r="E296" i="15"/>
  <c r="E295" i="15"/>
  <c r="E294" i="15"/>
  <c r="E293" i="15"/>
  <c r="E292" i="15"/>
  <c r="E291" i="15"/>
  <c r="E290" i="15"/>
  <c r="E289" i="15"/>
  <c r="E288" i="15"/>
  <c r="E287" i="15"/>
  <c r="E286" i="15"/>
  <c r="E285" i="15"/>
  <c r="E284" i="15"/>
  <c r="E283" i="15"/>
  <c r="E282" i="15"/>
  <c r="E281" i="15"/>
  <c r="E280" i="15"/>
  <c r="E279" i="15"/>
  <c r="E278" i="15"/>
  <c r="E277" i="15"/>
  <c r="E276" i="15"/>
  <c r="E275" i="15"/>
  <c r="O274" i="15"/>
  <c r="E274" i="15"/>
  <c r="O273" i="15"/>
  <c r="E273" i="15"/>
  <c r="O272" i="15"/>
  <c r="E272" i="15"/>
  <c r="O271" i="15"/>
  <c r="E271" i="15"/>
  <c r="O270" i="15"/>
  <c r="E270" i="15"/>
  <c r="E269" i="15"/>
  <c r="O268" i="15"/>
  <c r="E268" i="15"/>
  <c r="O267" i="15"/>
  <c r="E267" i="15"/>
  <c r="O266" i="15"/>
  <c r="E266" i="15"/>
  <c r="O265" i="15"/>
  <c r="E265" i="15"/>
  <c r="F259" i="15" s="1"/>
  <c r="O264" i="15"/>
  <c r="E264" i="15"/>
  <c r="P263" i="15"/>
  <c r="O263" i="15"/>
  <c r="E263" i="15"/>
  <c r="O262" i="15"/>
  <c r="E262" i="15"/>
  <c r="O261" i="15"/>
  <c r="E261" i="15"/>
  <c r="O260" i="15"/>
  <c r="E260" i="15"/>
  <c r="O259" i="15"/>
  <c r="E258" i="15"/>
  <c r="O257" i="15"/>
  <c r="E257" i="15"/>
  <c r="O256" i="15"/>
  <c r="E256" i="15"/>
  <c r="O255" i="15"/>
  <c r="E255" i="15"/>
  <c r="O254" i="15"/>
  <c r="E254" i="15"/>
  <c r="P253" i="15"/>
  <c r="O253" i="15"/>
  <c r="E253" i="15"/>
  <c r="O252" i="15"/>
  <c r="E252" i="15"/>
  <c r="O251" i="15"/>
  <c r="E251" i="15"/>
  <c r="O250" i="15"/>
  <c r="E250" i="15"/>
  <c r="E249" i="15"/>
  <c r="O248" i="15"/>
  <c r="E248" i="15"/>
  <c r="E247" i="15"/>
  <c r="F247" i="15" s="1"/>
  <c r="O246" i="15"/>
  <c r="E246" i="15"/>
  <c r="O245" i="15"/>
  <c r="E245" i="15"/>
  <c r="O244" i="15"/>
  <c r="E244" i="15"/>
  <c r="O243" i="15"/>
  <c r="F243" i="15"/>
  <c r="E243" i="15"/>
  <c r="P242" i="15"/>
  <c r="O242" i="15"/>
  <c r="E242" i="15"/>
  <c r="O241" i="15"/>
  <c r="E241" i="15"/>
  <c r="O240" i="15"/>
  <c r="E240" i="15"/>
  <c r="O239" i="15"/>
  <c r="E239" i="15"/>
  <c r="O238" i="15"/>
  <c r="E238" i="15"/>
  <c r="E237" i="15"/>
  <c r="O236" i="15"/>
  <c r="E236" i="15"/>
  <c r="O235" i="15"/>
  <c r="E235" i="15"/>
  <c r="O234" i="15"/>
  <c r="E234" i="15"/>
  <c r="O233" i="15"/>
  <c r="E233" i="15"/>
  <c r="O232" i="15"/>
  <c r="P231" i="15" s="1"/>
  <c r="E232" i="15"/>
  <c r="O231" i="15"/>
  <c r="E231" i="15"/>
  <c r="O230" i="15"/>
  <c r="E230" i="15"/>
  <c r="O229" i="15"/>
  <c r="F229" i="15"/>
  <c r="O228" i="15"/>
  <c r="E228" i="15"/>
  <c r="E227" i="15"/>
  <c r="O226" i="15"/>
  <c r="E226" i="15"/>
  <c r="O225" i="15"/>
  <c r="E225" i="15"/>
  <c r="O224" i="15"/>
  <c r="E224" i="15"/>
  <c r="F213" i="15" s="1"/>
  <c r="O223" i="15"/>
  <c r="E223" i="15"/>
  <c r="O222" i="15"/>
  <c r="E222" i="15"/>
  <c r="O221" i="15"/>
  <c r="P220" i="15" s="1"/>
  <c r="E221" i="15"/>
  <c r="O220" i="15"/>
  <c r="E220" i="15"/>
  <c r="O219" i="15"/>
  <c r="E219" i="15"/>
  <c r="O218" i="15"/>
  <c r="E218" i="15"/>
  <c r="O217" i="15"/>
  <c r="E217" i="15"/>
  <c r="O216" i="15"/>
  <c r="E216" i="15"/>
  <c r="O215" i="15"/>
  <c r="E215" i="15"/>
  <c r="O214" i="15"/>
  <c r="P211" i="15" s="1"/>
  <c r="E214" i="15"/>
  <c r="O213" i="15"/>
  <c r="E213" i="15"/>
  <c r="O212" i="15"/>
  <c r="E212" i="15"/>
  <c r="O211" i="15"/>
  <c r="E211" i="15"/>
  <c r="E210" i="15"/>
  <c r="O209" i="15"/>
  <c r="E209" i="15"/>
  <c r="O208" i="15"/>
  <c r="E208" i="15"/>
  <c r="O207" i="15"/>
  <c r="O206" i="15"/>
  <c r="O205" i="15"/>
  <c r="O204" i="15"/>
  <c r="E204" i="15"/>
  <c r="O203" i="15"/>
  <c r="P199" i="15" s="1"/>
  <c r="O202" i="15"/>
  <c r="E202" i="15"/>
  <c r="O201" i="15"/>
  <c r="E201" i="15"/>
  <c r="O200" i="15"/>
  <c r="E200" i="15"/>
  <c r="O199" i="15"/>
  <c r="E199" i="15"/>
  <c r="O198" i="15"/>
  <c r="E198" i="15"/>
  <c r="E197" i="15"/>
  <c r="O196" i="15"/>
  <c r="E196" i="15"/>
  <c r="O195" i="15"/>
  <c r="E195" i="15"/>
  <c r="O194" i="15"/>
  <c r="E194" i="15"/>
  <c r="O193" i="15"/>
  <c r="E193" i="15"/>
  <c r="O192" i="15"/>
  <c r="E192" i="15"/>
  <c r="P191" i="15"/>
  <c r="O191" i="15"/>
  <c r="F191" i="15"/>
  <c r="E191" i="15"/>
  <c r="O190" i="15"/>
  <c r="E190" i="15"/>
  <c r="O189" i="15"/>
  <c r="E189" i="15"/>
  <c r="O188" i="15"/>
  <c r="E188" i="15"/>
  <c r="O187" i="15"/>
  <c r="P175" i="15" s="1"/>
  <c r="E187" i="15"/>
  <c r="O186" i="15"/>
  <c r="E186" i="15"/>
  <c r="O185" i="15"/>
  <c r="E185" i="15"/>
  <c r="O184" i="15"/>
  <c r="E184" i="15"/>
  <c r="O183" i="15"/>
  <c r="E183" i="15"/>
  <c r="O182" i="15"/>
  <c r="F182" i="15"/>
  <c r="E182" i="15"/>
  <c r="O181" i="15"/>
  <c r="F181" i="15"/>
  <c r="E181" i="15"/>
  <c r="O180" i="15"/>
  <c r="E180" i="15"/>
  <c r="O179" i="15"/>
  <c r="E179" i="15"/>
  <c r="O178" i="15"/>
  <c r="O177" i="15"/>
  <c r="E177" i="15"/>
  <c r="O176" i="15"/>
  <c r="E176" i="15"/>
  <c r="O175" i="15"/>
  <c r="E175" i="15"/>
  <c r="P174" i="15"/>
  <c r="E174" i="15"/>
  <c r="O173" i="15"/>
  <c r="E173" i="15"/>
  <c r="O172" i="15"/>
  <c r="E172" i="15"/>
  <c r="O171" i="15"/>
  <c r="E171" i="15"/>
  <c r="O170" i="15"/>
  <c r="E170" i="15"/>
  <c r="O169" i="15"/>
  <c r="E169" i="15"/>
  <c r="E168" i="15"/>
  <c r="O167" i="15"/>
  <c r="P160" i="15" s="1"/>
  <c r="E167" i="15"/>
  <c r="O166" i="15"/>
  <c r="F166" i="15"/>
  <c r="O165" i="15"/>
  <c r="E165" i="15"/>
  <c r="O164" i="15"/>
  <c r="E164" i="15"/>
  <c r="O163" i="15"/>
  <c r="E163" i="15"/>
  <c r="O162" i="15"/>
  <c r="E162" i="15"/>
  <c r="O161" i="15"/>
  <c r="E161" i="15"/>
  <c r="E160" i="15"/>
  <c r="O159" i="15"/>
  <c r="E159" i="15"/>
  <c r="O158" i="15"/>
  <c r="E158" i="15"/>
  <c r="O157" i="15"/>
  <c r="E157" i="15"/>
  <c r="O156" i="15"/>
  <c r="E156" i="15"/>
  <c r="O155" i="15"/>
  <c r="E155" i="15"/>
  <c r="O154" i="15"/>
  <c r="F154" i="15"/>
  <c r="E154" i="15"/>
  <c r="O153" i="15"/>
  <c r="E153" i="15"/>
  <c r="O152" i="15"/>
  <c r="P150" i="15" s="1"/>
  <c r="E152" i="15"/>
  <c r="O151" i="15"/>
  <c r="F151" i="15"/>
  <c r="E151" i="15"/>
  <c r="F150" i="15"/>
  <c r="E150" i="15"/>
  <c r="O149" i="15"/>
  <c r="E149" i="15"/>
  <c r="O148" i="15"/>
  <c r="E148" i="15"/>
  <c r="O147" i="15"/>
  <c r="E147" i="15"/>
  <c r="O146" i="15"/>
  <c r="E146" i="15"/>
  <c r="O145" i="15"/>
  <c r="E145" i="15"/>
  <c r="O144" i="15"/>
  <c r="E144" i="15"/>
  <c r="P143" i="15"/>
  <c r="E143" i="15"/>
  <c r="O142" i="15"/>
  <c r="E142" i="15"/>
  <c r="O141" i="15"/>
  <c r="E141" i="15"/>
  <c r="E140" i="15"/>
  <c r="O139" i="15"/>
  <c r="E139" i="15"/>
  <c r="O138" i="15"/>
  <c r="P135" i="15" s="1"/>
  <c r="F138" i="15"/>
  <c r="E138" i="15"/>
  <c r="O137" i="15"/>
  <c r="E137" i="15"/>
  <c r="F128" i="15" s="1"/>
  <c r="O136" i="15"/>
  <c r="E136" i="15"/>
  <c r="E135" i="15"/>
  <c r="O134" i="15"/>
  <c r="E134" i="15"/>
  <c r="O133" i="15"/>
  <c r="E133" i="15"/>
  <c r="O132" i="15"/>
  <c r="E132" i="15"/>
  <c r="E131" i="15"/>
  <c r="O130" i="15"/>
  <c r="E130" i="15"/>
  <c r="O129" i="15"/>
  <c r="E129" i="15"/>
  <c r="O128" i="15"/>
  <c r="P128" i="15" s="1"/>
  <c r="E128" i="15"/>
  <c r="O127" i="15"/>
  <c r="E127" i="15"/>
  <c r="O126" i="15"/>
  <c r="E126" i="15"/>
  <c r="E125" i="15"/>
  <c r="O124" i="15"/>
  <c r="E124" i="15"/>
  <c r="P123" i="15"/>
  <c r="O123" i="15"/>
  <c r="E123" i="15"/>
  <c r="P122" i="15"/>
  <c r="O122" i="15"/>
  <c r="E122" i="15"/>
  <c r="O121" i="15"/>
  <c r="E121" i="15"/>
  <c r="E120" i="15"/>
  <c r="F118" i="15" s="1"/>
  <c r="O119" i="15"/>
  <c r="E119" i="15"/>
  <c r="O118" i="15"/>
  <c r="E118" i="15"/>
  <c r="O117" i="15"/>
  <c r="E117" i="15"/>
  <c r="E116" i="15"/>
  <c r="E115" i="15"/>
  <c r="O114" i="15"/>
  <c r="E114" i="15"/>
  <c r="O113" i="15"/>
  <c r="E113" i="15"/>
  <c r="O112" i="15"/>
  <c r="E112" i="15"/>
  <c r="O111" i="15"/>
  <c r="E111" i="15"/>
  <c r="E110" i="15"/>
  <c r="E109" i="15"/>
  <c r="O108" i="15"/>
  <c r="E108" i="15"/>
  <c r="O107" i="15"/>
  <c r="E107" i="15"/>
  <c r="P106" i="15"/>
  <c r="O106" i="15"/>
  <c r="F106" i="15"/>
  <c r="E106" i="15"/>
  <c r="O105" i="15"/>
  <c r="F105" i="15"/>
  <c r="E105" i="15"/>
  <c r="O104" i="15"/>
  <c r="E104" i="15"/>
  <c r="F104" i="15" s="1"/>
  <c r="O103" i="15"/>
  <c r="E103" i="15"/>
  <c r="O102" i="15"/>
  <c r="P91" i="15" s="1"/>
  <c r="E102" i="15"/>
  <c r="E101" i="15"/>
  <c r="O100" i="15"/>
  <c r="E100" i="15"/>
  <c r="O99" i="15"/>
  <c r="E99" i="15"/>
  <c r="O98" i="15"/>
  <c r="O97" i="15"/>
  <c r="E97" i="15"/>
  <c r="E96" i="15"/>
  <c r="O95" i="15"/>
  <c r="E95" i="15"/>
  <c r="E94" i="15"/>
  <c r="O93" i="15"/>
  <c r="E93" i="15"/>
  <c r="F91" i="15" s="1"/>
  <c r="O92" i="15"/>
  <c r="E92" i="15"/>
  <c r="O91" i="15"/>
  <c r="E91" i="15"/>
  <c r="O90" i="15"/>
  <c r="E90" i="15"/>
  <c r="O89" i="15"/>
  <c r="E89" i="15"/>
  <c r="O88" i="15"/>
  <c r="F88" i="15"/>
  <c r="E88" i="15"/>
  <c r="E87" i="15"/>
  <c r="O86" i="15"/>
  <c r="O85" i="15"/>
  <c r="E85" i="15"/>
  <c r="O84" i="15"/>
  <c r="E84" i="15"/>
  <c r="O83" i="15"/>
  <c r="E83" i="15"/>
  <c r="O82" i="15"/>
  <c r="E82" i="15"/>
  <c r="O81" i="15"/>
  <c r="E81" i="15"/>
  <c r="O80" i="15"/>
  <c r="E80" i="15"/>
  <c r="O79" i="15"/>
  <c r="E79" i="15"/>
  <c r="E78" i="15"/>
  <c r="O77" i="15"/>
  <c r="E77" i="15"/>
  <c r="F66" i="15" s="1"/>
  <c r="E76" i="15"/>
  <c r="E75" i="15"/>
  <c r="O74" i="15"/>
  <c r="E74" i="15"/>
  <c r="O73" i="15"/>
  <c r="E73" i="15"/>
  <c r="O72" i="15"/>
  <c r="E72" i="15"/>
  <c r="O70" i="15"/>
  <c r="E70" i="15"/>
  <c r="O69" i="15"/>
  <c r="E69" i="15"/>
  <c r="O68" i="15"/>
  <c r="E68" i="15"/>
  <c r="O67" i="15"/>
  <c r="P57" i="15" s="1"/>
  <c r="E67" i="15"/>
  <c r="E66" i="15"/>
  <c r="O65" i="15"/>
  <c r="E65" i="15"/>
  <c r="O64" i="15"/>
  <c r="E64" i="15"/>
  <c r="O63" i="15"/>
  <c r="E63" i="15"/>
  <c r="O62" i="15"/>
  <c r="E62" i="15"/>
  <c r="E61" i="15"/>
  <c r="E60" i="15"/>
  <c r="O59" i="15"/>
  <c r="E59" i="15"/>
  <c r="O58" i="15"/>
  <c r="E58" i="15"/>
  <c r="O57" i="15"/>
  <c r="E57" i="15"/>
  <c r="O56" i="15"/>
  <c r="E56" i="15"/>
  <c r="O55" i="15"/>
  <c r="E55" i="15"/>
  <c r="O54" i="15"/>
  <c r="E54" i="15"/>
  <c r="O53" i="15"/>
  <c r="E53" i="15"/>
  <c r="O52" i="15"/>
  <c r="E52" i="15"/>
  <c r="O51" i="15"/>
  <c r="P48" i="15" s="1"/>
  <c r="E51" i="15"/>
  <c r="O50" i="15"/>
  <c r="E50" i="15"/>
  <c r="O49" i="15"/>
  <c r="E49" i="15"/>
  <c r="O48" i="15"/>
  <c r="E48" i="15"/>
  <c r="O47" i="15"/>
  <c r="E47" i="15"/>
  <c r="O46" i="15"/>
  <c r="E46" i="15"/>
  <c r="O45" i="15"/>
  <c r="F45" i="15"/>
  <c r="E45" i="15"/>
  <c r="O44" i="15"/>
  <c r="E44" i="15"/>
  <c r="O43" i="15"/>
  <c r="E43" i="15"/>
  <c r="P42" i="15"/>
  <c r="O42" i="15"/>
  <c r="O41" i="15"/>
  <c r="E41" i="15"/>
  <c r="O40" i="15"/>
  <c r="P36" i="15" s="1"/>
  <c r="E39" i="15"/>
  <c r="O38" i="15"/>
  <c r="E38" i="15"/>
  <c r="E37" i="15"/>
  <c r="O36" i="15"/>
  <c r="E36" i="15"/>
  <c r="O35" i="15"/>
  <c r="E35" i="15"/>
  <c r="O34" i="15"/>
  <c r="E34" i="15"/>
  <c r="O33" i="15"/>
  <c r="E33" i="15"/>
  <c r="O32" i="15"/>
  <c r="E32" i="15"/>
  <c r="O31" i="15"/>
  <c r="P20" i="15" s="1"/>
  <c r="E31" i="15"/>
  <c r="O30" i="15"/>
  <c r="E30" i="15"/>
  <c r="O29" i="15"/>
  <c r="E29" i="15"/>
  <c r="O28" i="15"/>
  <c r="E28" i="15"/>
  <c r="O27" i="15"/>
  <c r="E27" i="15"/>
  <c r="E26" i="15"/>
  <c r="O25" i="15"/>
  <c r="E25" i="15"/>
  <c r="F16" i="15" s="1"/>
  <c r="O24" i="15"/>
  <c r="E24" i="15"/>
  <c r="O23" i="15"/>
  <c r="E23" i="15"/>
  <c r="E22" i="15"/>
  <c r="O21" i="15"/>
  <c r="E21" i="15"/>
  <c r="E20" i="15"/>
  <c r="O19" i="15"/>
  <c r="E19" i="15"/>
  <c r="O18" i="15"/>
  <c r="E18" i="15"/>
  <c r="O17" i="15"/>
  <c r="E17" i="15"/>
  <c r="O16" i="15"/>
  <c r="E16" i="15"/>
  <c r="O15" i="15"/>
  <c r="E15" i="15"/>
  <c r="O14" i="15"/>
  <c r="E14" i="15"/>
  <c r="O13" i="15"/>
  <c r="P13" i="15" s="1"/>
  <c r="E13" i="15"/>
  <c r="O12" i="15"/>
  <c r="E12" i="15"/>
  <c r="O11" i="15"/>
  <c r="E11" i="15"/>
  <c r="O10" i="15"/>
  <c r="E10" i="15"/>
  <c r="O9" i="15"/>
  <c r="E9" i="15"/>
  <c r="O8" i="15"/>
  <c r="E8" i="15"/>
  <c r="O7" i="15"/>
  <c r="E7" i="15"/>
  <c r="O6" i="15"/>
  <c r="E6" i="15"/>
  <c r="F2" i="15" s="1"/>
  <c r="E5" i="15"/>
  <c r="O4" i="15"/>
  <c r="E4" i="15"/>
  <c r="O3" i="15"/>
  <c r="E3" i="15"/>
  <c r="O2" i="15"/>
  <c r="E2" i="15"/>
  <c r="P84" i="15" l="1"/>
  <c r="P264" i="15"/>
  <c r="P72" i="15"/>
  <c r="F275" i="15"/>
  <c r="F47" i="15"/>
  <c r="F27" i="15"/>
  <c r="F349" i="15" s="1"/>
  <c r="I2" i="15" s="1"/>
  <c r="P2" i="15"/>
  <c r="P275" i="15" s="1"/>
  <c r="I3" i="15" s="1"/>
  <c r="I4" i="15" l="1"/>
</calcChain>
</file>

<file path=xl/sharedStrings.xml><?xml version="1.0" encoding="utf-8"?>
<sst xmlns="http://schemas.openxmlformats.org/spreadsheetml/2006/main" count="639" uniqueCount="184">
  <si>
    <t>DATE</t>
  </si>
  <si>
    <t>ITEM</t>
  </si>
  <si>
    <t>QYT</t>
  </si>
  <si>
    <t>PRICE</t>
  </si>
  <si>
    <t>SUBTOTAL</t>
  </si>
  <si>
    <t>TOTAL</t>
  </si>
  <si>
    <t>NOVEMBER BUNGA OUTSTANDING</t>
  </si>
  <si>
    <t>AMOUNT</t>
  </si>
  <si>
    <t>SUB TOTAL</t>
  </si>
  <si>
    <t>BABY ROMAINE LETTUCE</t>
  </si>
  <si>
    <t>&lt;&lt;&lt;</t>
  </si>
  <si>
    <t>KITCHEN OUTSTANDING</t>
  </si>
  <si>
    <t>LUMAJANG ORANGE</t>
  </si>
  <si>
    <t>RED LOLLO ROSSO</t>
  </si>
  <si>
    <t>BAR OUTSTANDING</t>
  </si>
  <si>
    <t>&gt;&gt;&gt;</t>
  </si>
  <si>
    <t>IMPORTED LEMON</t>
  </si>
  <si>
    <t>WILD ROCKET</t>
  </si>
  <si>
    <t>TOTAL BUNGA OUTSTANDING</t>
  </si>
  <si>
    <t>LIME</t>
  </si>
  <si>
    <t>PARSLEY</t>
  </si>
  <si>
    <t>MUSTARD</t>
  </si>
  <si>
    <t>OLIVE OIL (1 LITER)</t>
  </si>
  <si>
    <t>PINEAPPLE</t>
  </si>
  <si>
    <t>MILAC WHIPPING CREAM</t>
  </si>
  <si>
    <t>MANGO</t>
  </si>
  <si>
    <t>MAESTRO MAYONNAISE</t>
  </si>
  <si>
    <t>APPLE</t>
  </si>
  <si>
    <t>CHEDDAR CHEESE SLICE</t>
  </si>
  <si>
    <t>STRAWBERRY (250 GR)</t>
  </si>
  <si>
    <t>BBQ SAUCE</t>
  </si>
  <si>
    <t>FRESH MILK</t>
  </si>
  <si>
    <t>BAKING PAPER</t>
  </si>
  <si>
    <t>CONDENSED MILK</t>
  </si>
  <si>
    <t>SEMOLINA</t>
  </si>
  <si>
    <t>EVAPORATED MILK</t>
  </si>
  <si>
    <t>ROMA KELAPA BISCUIT</t>
  </si>
  <si>
    <t>LYCHEE CAN</t>
  </si>
  <si>
    <t>BACON (1 KG)</t>
  </si>
  <si>
    <t>HAM (1KG)</t>
  </si>
  <si>
    <t>LEMON</t>
  </si>
  <si>
    <t>OIL</t>
  </si>
  <si>
    <t>SOUR CREAM</t>
  </si>
  <si>
    <t>OAT MILK</t>
  </si>
  <si>
    <t>TORTILLA WRAP</t>
  </si>
  <si>
    <t>GINGER</t>
  </si>
  <si>
    <t>SPINACH</t>
  </si>
  <si>
    <t>CREAM CHEESE</t>
  </si>
  <si>
    <t>WATERMELON</t>
  </si>
  <si>
    <t>MOZARELLA CHEESE</t>
  </si>
  <si>
    <t>BACON</t>
  </si>
  <si>
    <t>SUNKIST</t>
  </si>
  <si>
    <t>MUSHROOM BUTTON</t>
  </si>
  <si>
    <t>ROSEMARY</t>
  </si>
  <si>
    <t>ORANGE</t>
  </si>
  <si>
    <t>THYME</t>
  </si>
  <si>
    <t>CUCUMBER</t>
  </si>
  <si>
    <t>BASIL</t>
  </si>
  <si>
    <t>GREEN APPLE</t>
  </si>
  <si>
    <t>MILK</t>
  </si>
  <si>
    <t>GREEN MUSTARD</t>
  </si>
  <si>
    <t>KEWPIE MAYONNAISE</t>
  </si>
  <si>
    <t>MINT</t>
  </si>
  <si>
    <t>ZUCCHINI</t>
  </si>
  <si>
    <t>SHIMEJI</t>
  </si>
  <si>
    <t>COCONUT CREAM KARA</t>
  </si>
  <si>
    <t>ALMOND MILK</t>
  </si>
  <si>
    <t>SOYA MILK</t>
  </si>
  <si>
    <t>GORGONZOLA</t>
  </si>
  <si>
    <t>RED LETTUCE (SELADA MERAH)</t>
  </si>
  <si>
    <t>BANANA</t>
  </si>
  <si>
    <t>DRAGON FRUIT</t>
  </si>
  <si>
    <t>DIXI VINEGAR</t>
  </si>
  <si>
    <t>CARROT</t>
  </si>
  <si>
    <t>BONELESS CHICKEN LEG</t>
  </si>
  <si>
    <t>BEETROOT</t>
  </si>
  <si>
    <t>BONELESS CHICKEN BREAST</t>
  </si>
  <si>
    <t>SUNLIGHT JERRYCAN</t>
  </si>
  <si>
    <t>SUGAR</t>
  </si>
  <si>
    <t>CORRIANDER</t>
  </si>
  <si>
    <t>LOCAL LEMON</t>
  </si>
  <si>
    <t>SESAME DRESSING</t>
  </si>
  <si>
    <t>DOUBLE ZERO</t>
  </si>
  <si>
    <t>COCONUT FLAKES (1/2 KG)</t>
  </si>
  <si>
    <t>VANILLA</t>
  </si>
  <si>
    <t>KARI POWDER</t>
  </si>
  <si>
    <t>TOTOLE (400 GR)</t>
  </si>
  <si>
    <t>CASHEW NUT</t>
  </si>
  <si>
    <t>SPAGHETTI</t>
  </si>
  <si>
    <t>HONEY</t>
  </si>
  <si>
    <t>SARIWANGI TEA</t>
  </si>
  <si>
    <t>BIMOLI OIL</t>
  </si>
  <si>
    <t>SAUSAGE (250 GR)</t>
  </si>
  <si>
    <t>BUTTER AMANDA</t>
  </si>
  <si>
    <t>DISHWASH SPONGE</t>
  </si>
  <si>
    <t>PUMPKIN</t>
  </si>
  <si>
    <t>ASPARAGUS</t>
  </si>
  <si>
    <t>TRASH BAG</t>
  </si>
  <si>
    <t>TOMATO</t>
  </si>
  <si>
    <t>BIG RED CHILI</t>
  </si>
  <si>
    <t>POTATO</t>
  </si>
  <si>
    <t>PEELED TOMATO</t>
  </si>
  <si>
    <t>SALAD OIL</t>
  </si>
  <si>
    <t>MAIZENA</t>
  </si>
  <si>
    <t>QUAIL EGGS</t>
  </si>
  <si>
    <t>CHERRY RED TOMATO</t>
  </si>
  <si>
    <t>CHERRY YELLOW TOMATO</t>
  </si>
  <si>
    <t>ICE BERG</t>
  </si>
  <si>
    <t>ROMAINE</t>
  </si>
  <si>
    <t>ARAGULA</t>
  </si>
  <si>
    <t>STRAWBERRY (250)</t>
  </si>
  <si>
    <t>GRATED PARMESAN</t>
  </si>
  <si>
    <t>COCOA POWDER (165 GR)</t>
  </si>
  <si>
    <t>LADY FINGER</t>
  </si>
  <si>
    <t>WHOLE WHEAT FLOUR</t>
  </si>
  <si>
    <t>RED RICE</t>
  </si>
  <si>
    <t>BLANCHED NUT</t>
  </si>
  <si>
    <t>FRENCH FRIES</t>
  </si>
  <si>
    <t>OAT MEAL</t>
  </si>
  <si>
    <t>TRUFFLE OIL</t>
  </si>
  <si>
    <t>BABY CUCUMBER</t>
  </si>
  <si>
    <t>PARMESAN BLOCK</t>
  </si>
  <si>
    <t>PARMESAN GRATED</t>
  </si>
  <si>
    <t>CREAM MILAC</t>
  </si>
  <si>
    <t>LOLOROSO</t>
  </si>
  <si>
    <t>AVOCADO</t>
  </si>
  <si>
    <t>HONEY PINEAPPLE</t>
  </si>
  <si>
    <t>BAKED BEAN</t>
  </si>
  <si>
    <t>BANGKOK SAUCE</t>
  </si>
  <si>
    <t>SAUSAGE</t>
  </si>
  <si>
    <t>BRIE CHEESE</t>
  </si>
  <si>
    <t>TOTOLE</t>
  </si>
  <si>
    <t>YEAST</t>
  </si>
  <si>
    <t>PEANUT BUTTER</t>
  </si>
  <si>
    <t>PANDAN LEAF</t>
  </si>
  <si>
    <t>CHILI</t>
  </si>
  <si>
    <t>OREGANO</t>
  </si>
  <si>
    <t>GORGONZOLA CHEESE</t>
  </si>
  <si>
    <t>NUTELLA</t>
  </si>
  <si>
    <t>WHITE PEAR</t>
  </si>
  <si>
    <t>GREEN LETTUCE</t>
  </si>
  <si>
    <t>ROCKET</t>
  </si>
  <si>
    <t>CHICKEN LEG FILLET</t>
  </si>
  <si>
    <t>SHALLOT</t>
  </si>
  <si>
    <t>GARLIC</t>
  </si>
  <si>
    <t>ONION</t>
  </si>
  <si>
    <t>EGG</t>
  </si>
  <si>
    <t>RAW HONEY</t>
  </si>
  <si>
    <t>GREEN PEPPER</t>
  </si>
  <si>
    <t>YELLOW PEPPER</t>
  </si>
  <si>
    <t>SNAP</t>
  </si>
  <si>
    <t>PENNE</t>
  </si>
  <si>
    <t>FETTUCHINI</t>
  </si>
  <si>
    <t>DISHWASH WIRE</t>
  </si>
  <si>
    <t>FETA CHEESE</t>
  </si>
  <si>
    <t>ANCHOVY</t>
  </si>
  <si>
    <t>CHILI SAUCE</t>
  </si>
  <si>
    <t>PORTABLE GAS</t>
  </si>
  <si>
    <t>WITA OIL</t>
  </si>
  <si>
    <t>YOGHURT VANILLA/ NORMAL</t>
  </si>
  <si>
    <t>BROWN SUGAR</t>
  </si>
  <si>
    <t>HYDRO COCO 500 ML</t>
  </si>
  <si>
    <t>MIX BERRIES</t>
  </si>
  <si>
    <t>GREEN BANANA</t>
  </si>
  <si>
    <t>MANO</t>
  </si>
  <si>
    <t>CHILI FLAKES</t>
  </si>
  <si>
    <t>BUTTERFLY VANILLA</t>
  </si>
  <si>
    <t>KILOAN PLASTIC</t>
  </si>
  <si>
    <t>MOZARELLA BLOCK</t>
  </si>
  <si>
    <t>BLACK OLIVE</t>
  </si>
  <si>
    <t>TOMATO CAN</t>
  </si>
  <si>
    <t>ROMA BISCUIT</t>
  </si>
  <si>
    <t>QUAKER OAT MEAL</t>
  </si>
  <si>
    <t>CAKRA FLOUR</t>
  </si>
  <si>
    <t>MAIZENA FLOUR</t>
  </si>
  <si>
    <t>PING PING BOOK</t>
  </si>
  <si>
    <t>AMANDA BUTTER</t>
  </si>
  <si>
    <t>ROMAIN</t>
  </si>
  <si>
    <t>PEELED TOMATO CAN</t>
  </si>
  <si>
    <t>PLASTIC WRAP</t>
  </si>
  <si>
    <t>GREEN PEAS</t>
  </si>
  <si>
    <t>BIRD'S EYE CHILI</t>
  </si>
  <si>
    <t>COCONUT FLAKES</t>
  </si>
  <si>
    <t>TEH BOTOL KOTAK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</si>
</sst>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[$-409]d\-mmm\-yyyy;@"/>
    <numFmt numFmtId="169" formatCode="_-&quot;Rp&quot;* #,##0_-;\-&quot;Rp&quot;* #,##0_-;_-&quot;Rp&quot;* &quot;-&quot;??_-;_-@_-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mbria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168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68" fontId="2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9" fontId="0" fillId="3" borderId="1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168" fontId="1" fillId="3" borderId="5" xfId="0" applyNumberFormat="1" applyFont="1" applyFill="1" applyBorder="1" applyAlignment="1">
      <alignment horizontal="center" vertical="center"/>
    </xf>
    <xf numFmtId="169" fontId="0" fillId="0" borderId="0" xfId="0" applyNumberFormat="1">
      <alignment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169" fontId="0" fillId="3" borderId="4" xfId="0" applyNumberFormat="1" applyFill="1" applyBorder="1" applyAlignment="1">
      <alignment horizontal="center" vertical="center"/>
    </xf>
    <xf numFmtId="168" fontId="1" fillId="3" borderId="1" xfId="0" applyNumberFormat="1" applyFont="1" applyFill="1" applyBorder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9" fontId="0" fillId="0" borderId="1" xfId="0" applyNumberFormat="1" applyBorder="1">
      <alignment vertical="center"/>
    </xf>
    <xf numFmtId="169" fontId="0" fillId="3" borderId="5" xfId="0" applyNumberFormat="1" applyFill="1" applyBorder="1" applyAlignment="1">
      <alignment horizontal="center" vertical="center"/>
    </xf>
    <xf numFmtId="169" fontId="4" fillId="0" borderId="1" xfId="0" applyNumberFormat="1" applyFont="1" applyBorder="1">
      <alignment vertical="center"/>
    </xf>
    <xf numFmtId="169" fontId="0" fillId="3" borderId="6" xfId="0" applyNumberFormat="1" applyFill="1" applyBorder="1" applyAlignment="1">
      <alignment horizontal="center" vertical="center"/>
    </xf>
    <xf numFmtId="169" fontId="0" fillId="3" borderId="1" xfId="0" applyNumberFormat="1" applyFill="1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16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8" fontId="1" fillId="3" borderId="4" xfId="0" applyNumberFormat="1" applyFont="1" applyFill="1" applyBorder="1" applyAlignment="1">
      <alignment horizontal="center" vertical="center"/>
    </xf>
    <xf numFmtId="168" fontId="1" fillId="3" borderId="5" xfId="0" applyNumberFormat="1" applyFont="1" applyFill="1" applyBorder="1" applyAlignment="1">
      <alignment horizontal="center" vertical="center"/>
    </xf>
    <xf numFmtId="168" fontId="1" fillId="3" borderId="6" xfId="0" applyNumberFormat="1" applyFont="1" applyFill="1" applyBorder="1" applyAlignment="1">
      <alignment horizontal="center" vertical="center"/>
    </xf>
    <xf numFmtId="168" fontId="1" fillId="3" borderId="1" xfId="0" applyNumberFormat="1" applyFont="1" applyFill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169" fontId="0" fillId="0" borderId="6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0" borderId="1" xfId="0" applyNumberFormat="1" applyBorder="1">
      <alignment vertical="center"/>
    </xf>
    <xf numFmtId="169" fontId="0" fillId="3" borderId="4" xfId="0" applyNumberFormat="1" applyFill="1" applyBorder="1" applyAlignment="1">
      <alignment horizontal="center" vertical="center"/>
    </xf>
    <xf numFmtId="169" fontId="0" fillId="3" borderId="5" xfId="0" applyNumberFormat="1" applyFill="1" applyBorder="1" applyAlignment="1">
      <alignment horizontal="center" vertical="center"/>
    </xf>
    <xf numFmtId="169" fontId="0" fillId="3" borderId="6" xfId="0" applyNumberFormat="1" applyFill="1" applyBorder="1" applyAlignment="1">
      <alignment horizontal="center" vertical="center"/>
    </xf>
    <xf numFmtId="169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8E5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3"/>
  <sheetViews>
    <sheetView tabSelected="1" topLeftCell="F1" zoomScale="85" zoomScaleNormal="85" workbookViewId="0">
      <pane ySplit="1" topLeftCell="A2" activePane="bottomLeft" state="frozen"/>
      <selection pane="bottomLeft" activeCell="I3" sqref="I3"/>
    </sheetView>
  </sheetViews>
  <sheetFormatPr defaultColWidth="9.1796875" defaultRowHeight="15.5"/>
  <cols>
    <col min="1" max="1" width="24.7265625" style="1" customWidth="1"/>
    <col min="2" max="2" width="28.54296875" style="2" customWidth="1"/>
    <col min="3" max="3" width="10.81640625" customWidth="1"/>
    <col min="4" max="4" width="12.1796875" customWidth="1"/>
    <col min="5" max="5" width="15.54296875" customWidth="1"/>
    <col min="6" max="6" width="15.81640625" customWidth="1"/>
    <col min="7" max="7" width="14.26953125"/>
    <col min="8" max="8" width="34.7265625" customWidth="1"/>
    <col min="9" max="9" width="14.26953125"/>
    <col min="11" max="11" width="14.26953125" customWidth="1"/>
    <col min="12" max="12" width="29.26953125" customWidth="1"/>
    <col min="13" max="13" width="6.54296875" customWidth="1"/>
    <col min="14" max="14" width="11.453125" customWidth="1"/>
    <col min="15" max="15" width="13.1796875" customWidth="1"/>
    <col min="16" max="16" width="14.26953125" customWidth="1"/>
  </cols>
  <sheetData>
    <row r="1" spans="1:16" ht="22" customHeight="1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5" t="s">
        <v>5</v>
      </c>
      <c r="H1" s="7" t="s">
        <v>6</v>
      </c>
      <c r="I1" s="7" t="s">
        <v>7</v>
      </c>
      <c r="K1" s="19" t="s">
        <v>0</v>
      </c>
      <c r="L1" s="5" t="s">
        <v>1</v>
      </c>
      <c r="M1" s="5" t="s">
        <v>2</v>
      </c>
      <c r="N1" s="5" t="s">
        <v>3</v>
      </c>
      <c r="O1" s="5" t="s">
        <v>8</v>
      </c>
      <c r="P1" s="20" t="s">
        <v>5</v>
      </c>
    </row>
    <row r="2" spans="1:16" ht="14.5">
      <c r="A2" s="32">
        <v>45962</v>
      </c>
      <c r="B2" s="8" t="s">
        <v>9</v>
      </c>
      <c r="C2" s="9">
        <v>0.5</v>
      </c>
      <c r="D2" s="10">
        <v>40000</v>
      </c>
      <c r="E2" s="10">
        <f t="shared" ref="E2:E12" si="0">SUM(C2*D2)</f>
        <v>20000</v>
      </c>
      <c r="F2" s="36">
        <f>SUM(E2:E15)</f>
        <v>1745000</v>
      </c>
      <c r="G2" s="11" t="s">
        <v>10</v>
      </c>
      <c r="H2" s="12" t="s">
        <v>11</v>
      </c>
      <c r="I2" s="21">
        <f>F349</f>
        <v>49034000</v>
      </c>
      <c r="K2" s="32">
        <v>45962</v>
      </c>
      <c r="L2" s="8" t="s">
        <v>12</v>
      </c>
      <c r="M2" s="9">
        <v>3</v>
      </c>
      <c r="N2" s="10">
        <v>20000</v>
      </c>
      <c r="O2" s="10">
        <f t="shared" ref="O2:O19" si="1">SUM(M2*N2)</f>
        <v>60000</v>
      </c>
      <c r="P2" s="41">
        <f>SUM(O2:O13)</f>
        <v>680000</v>
      </c>
    </row>
    <row r="3" spans="1:16" ht="14.5">
      <c r="A3" s="33"/>
      <c r="B3" s="8" t="s">
        <v>13</v>
      </c>
      <c r="C3" s="9">
        <v>0.3</v>
      </c>
      <c r="D3" s="10">
        <v>80000</v>
      </c>
      <c r="E3" s="10">
        <f t="shared" si="0"/>
        <v>24000</v>
      </c>
      <c r="F3" s="37"/>
      <c r="H3" s="12" t="s">
        <v>14</v>
      </c>
      <c r="I3" s="21">
        <f>P275</f>
        <v>19433000</v>
      </c>
      <c r="J3" s="11" t="s">
        <v>15</v>
      </c>
      <c r="K3" s="33"/>
      <c r="L3" s="8" t="s">
        <v>16</v>
      </c>
      <c r="M3" s="9">
        <v>4</v>
      </c>
      <c r="N3" s="10">
        <v>75000</v>
      </c>
      <c r="O3" s="10">
        <f t="shared" si="1"/>
        <v>300000</v>
      </c>
      <c r="P3" s="42"/>
    </row>
    <row r="4" spans="1:16" ht="14.5">
      <c r="A4" s="33"/>
      <c r="B4" s="8" t="s">
        <v>17</v>
      </c>
      <c r="C4" s="9">
        <v>0.3</v>
      </c>
      <c r="D4" s="10">
        <v>80000</v>
      </c>
      <c r="E4" s="10">
        <f t="shared" si="0"/>
        <v>24000</v>
      </c>
      <c r="F4" s="37"/>
      <c r="H4" s="12" t="s">
        <v>18</v>
      </c>
      <c r="I4" s="23">
        <f>SUM(I2:I3)</f>
        <v>68467000</v>
      </c>
      <c r="K4" s="33"/>
      <c r="L4" s="8" t="s">
        <v>19</v>
      </c>
      <c r="M4" s="9">
        <v>0.3</v>
      </c>
      <c r="N4" s="10">
        <v>30000</v>
      </c>
      <c r="O4" s="10">
        <f t="shared" si="1"/>
        <v>9000</v>
      </c>
      <c r="P4" s="42"/>
    </row>
    <row r="5" spans="1:16" ht="14.5">
      <c r="A5" s="33"/>
      <c r="B5" s="8" t="s">
        <v>20</v>
      </c>
      <c r="C5" s="9">
        <v>0.1</v>
      </c>
      <c r="D5" s="10">
        <v>60000</v>
      </c>
      <c r="E5" s="10">
        <f t="shared" si="0"/>
        <v>6000</v>
      </c>
      <c r="F5" s="37"/>
      <c r="K5" s="33"/>
      <c r="L5" s="8" t="s">
        <v>21</v>
      </c>
      <c r="M5" s="9">
        <v>0.3</v>
      </c>
      <c r="N5" s="10">
        <v>15000</v>
      </c>
      <c r="O5" s="10">
        <v>5000</v>
      </c>
      <c r="P5" s="42"/>
    </row>
    <row r="6" spans="1:16" ht="14.5">
      <c r="A6" s="33"/>
      <c r="B6" s="8" t="s">
        <v>22</v>
      </c>
      <c r="C6" s="9">
        <v>1</v>
      </c>
      <c r="D6" s="10">
        <v>360000</v>
      </c>
      <c r="E6" s="10">
        <f t="shared" si="0"/>
        <v>360000</v>
      </c>
      <c r="F6" s="37"/>
      <c r="K6" s="33"/>
      <c r="L6" s="8" t="s">
        <v>23</v>
      </c>
      <c r="M6" s="9">
        <v>6</v>
      </c>
      <c r="N6" s="10">
        <v>10000</v>
      </c>
      <c r="O6" s="10">
        <f t="shared" si="1"/>
        <v>60000</v>
      </c>
      <c r="P6" s="42"/>
    </row>
    <row r="7" spans="1:16" ht="14.5">
      <c r="A7" s="33"/>
      <c r="B7" s="8" t="s">
        <v>24</v>
      </c>
      <c r="C7" s="9">
        <v>2</v>
      </c>
      <c r="D7" s="10">
        <v>90000</v>
      </c>
      <c r="E7" s="10">
        <f t="shared" si="0"/>
        <v>180000</v>
      </c>
      <c r="F7" s="37"/>
      <c r="K7" s="33"/>
      <c r="L7" s="8" t="s">
        <v>25</v>
      </c>
      <c r="M7" s="9">
        <v>1</v>
      </c>
      <c r="N7" s="10">
        <v>38000</v>
      </c>
      <c r="O7" s="10">
        <f t="shared" si="1"/>
        <v>38000</v>
      </c>
      <c r="P7" s="42"/>
    </row>
    <row r="8" spans="1:16" ht="14.5">
      <c r="A8" s="33"/>
      <c r="B8" s="8" t="s">
        <v>26</v>
      </c>
      <c r="C8" s="9">
        <v>2</v>
      </c>
      <c r="D8" s="10">
        <v>35000</v>
      </c>
      <c r="E8" s="10">
        <f t="shared" si="0"/>
        <v>70000</v>
      </c>
      <c r="F8" s="37"/>
      <c r="K8" s="33"/>
      <c r="L8" s="8" t="s">
        <v>27</v>
      </c>
      <c r="M8" s="9">
        <v>1</v>
      </c>
      <c r="N8" s="10">
        <v>48000</v>
      </c>
      <c r="O8" s="10">
        <f t="shared" si="1"/>
        <v>48000</v>
      </c>
      <c r="P8" s="42"/>
    </row>
    <row r="9" spans="1:16" ht="14.5">
      <c r="A9" s="33"/>
      <c r="B9" s="8" t="s">
        <v>28</v>
      </c>
      <c r="C9" s="9">
        <v>25</v>
      </c>
      <c r="D9" s="10">
        <v>15000</v>
      </c>
      <c r="E9" s="10">
        <f t="shared" si="0"/>
        <v>375000</v>
      </c>
      <c r="F9" s="37"/>
      <c r="K9" s="33"/>
      <c r="L9" s="8" t="s">
        <v>29</v>
      </c>
      <c r="M9" s="9">
        <v>0.5</v>
      </c>
      <c r="N9" s="10">
        <v>100000</v>
      </c>
      <c r="O9" s="10">
        <f t="shared" si="1"/>
        <v>50000</v>
      </c>
      <c r="P9" s="42"/>
    </row>
    <row r="10" spans="1:16" ht="14.5">
      <c r="A10" s="33"/>
      <c r="B10" s="8" t="s">
        <v>30</v>
      </c>
      <c r="C10" s="9">
        <v>3</v>
      </c>
      <c r="D10" s="10">
        <v>40000</v>
      </c>
      <c r="E10" s="10">
        <f t="shared" si="0"/>
        <v>120000</v>
      </c>
      <c r="F10" s="37"/>
      <c r="H10" s="14"/>
      <c r="K10" s="33"/>
      <c r="L10" s="8" t="s">
        <v>31</v>
      </c>
      <c r="M10" s="9">
        <v>1</v>
      </c>
      <c r="N10" s="10">
        <v>24000</v>
      </c>
      <c r="O10" s="10">
        <f t="shared" si="1"/>
        <v>24000</v>
      </c>
      <c r="P10" s="42"/>
    </row>
    <row r="11" spans="1:16" ht="14.5">
      <c r="A11" s="33"/>
      <c r="B11" s="8" t="s">
        <v>32</v>
      </c>
      <c r="C11" s="9">
        <v>2</v>
      </c>
      <c r="D11" s="10">
        <v>40000</v>
      </c>
      <c r="E11" s="10">
        <f t="shared" si="0"/>
        <v>80000</v>
      </c>
      <c r="F11" s="37"/>
      <c r="K11" s="33"/>
      <c r="L11" s="8" t="s">
        <v>33</v>
      </c>
      <c r="M11" s="9">
        <v>1</v>
      </c>
      <c r="N11" s="10">
        <v>16000</v>
      </c>
      <c r="O11" s="10">
        <f t="shared" si="1"/>
        <v>16000</v>
      </c>
      <c r="P11" s="42"/>
    </row>
    <row r="12" spans="1:16" ht="14.5">
      <c r="A12" s="33"/>
      <c r="B12" s="8" t="s">
        <v>34</v>
      </c>
      <c r="C12" s="9">
        <v>2</v>
      </c>
      <c r="D12" s="10">
        <v>58000</v>
      </c>
      <c r="E12" s="10">
        <f t="shared" si="0"/>
        <v>116000</v>
      </c>
      <c r="F12" s="37"/>
      <c r="K12" s="34"/>
      <c r="L12" s="8" t="s">
        <v>35</v>
      </c>
      <c r="M12" s="9">
        <v>1</v>
      </c>
      <c r="N12" s="10">
        <v>30000</v>
      </c>
      <c r="O12" s="10">
        <f t="shared" si="1"/>
        <v>30000</v>
      </c>
      <c r="P12" s="43"/>
    </row>
    <row r="13" spans="1:16" ht="14.5">
      <c r="A13" s="33"/>
      <c r="B13" s="8" t="s">
        <v>36</v>
      </c>
      <c r="C13" s="9">
        <v>2</v>
      </c>
      <c r="D13" s="10">
        <v>15000</v>
      </c>
      <c r="E13" s="10">
        <f t="shared" ref="E13:E76" si="2">SUM(C13*D13)</f>
        <v>30000</v>
      </c>
      <c r="F13" s="37"/>
      <c r="K13" s="32">
        <v>45963</v>
      </c>
      <c r="L13" s="8" t="s">
        <v>37</v>
      </c>
      <c r="M13" s="9">
        <v>1</v>
      </c>
      <c r="N13" s="10">
        <v>40000</v>
      </c>
      <c r="O13" s="10">
        <f t="shared" si="1"/>
        <v>40000</v>
      </c>
      <c r="P13" s="41">
        <f>SUM(O13:O19)</f>
        <v>433000</v>
      </c>
    </row>
    <row r="14" spans="1:16" ht="14.5">
      <c r="A14" s="33"/>
      <c r="B14" s="8" t="s">
        <v>38</v>
      </c>
      <c r="C14" s="9">
        <v>1</v>
      </c>
      <c r="D14" s="10">
        <v>170000</v>
      </c>
      <c r="E14" s="10">
        <f t="shared" si="2"/>
        <v>170000</v>
      </c>
      <c r="F14" s="37"/>
      <c r="K14" s="33"/>
      <c r="L14" s="8" t="s">
        <v>12</v>
      </c>
      <c r="M14" s="9">
        <v>2</v>
      </c>
      <c r="N14" s="10">
        <v>20000</v>
      </c>
      <c r="O14" s="10">
        <f t="shared" si="1"/>
        <v>40000</v>
      </c>
      <c r="P14" s="42"/>
    </row>
    <row r="15" spans="1:16" ht="14.5">
      <c r="A15" s="33"/>
      <c r="B15" s="15" t="s">
        <v>39</v>
      </c>
      <c r="C15" s="16">
        <v>1</v>
      </c>
      <c r="D15" s="17">
        <v>170000</v>
      </c>
      <c r="E15" s="17">
        <f t="shared" si="2"/>
        <v>170000</v>
      </c>
      <c r="F15" s="37"/>
      <c r="K15" s="33"/>
      <c r="L15" s="8" t="s">
        <v>40</v>
      </c>
      <c r="M15" s="9">
        <v>1</v>
      </c>
      <c r="N15" s="10">
        <v>70000</v>
      </c>
      <c r="O15" s="10">
        <f t="shared" si="1"/>
        <v>70000</v>
      </c>
      <c r="P15" s="42"/>
    </row>
    <row r="16" spans="1:16" ht="14.5">
      <c r="A16" s="32">
        <v>45963</v>
      </c>
      <c r="B16" s="8" t="s">
        <v>41</v>
      </c>
      <c r="C16" s="9">
        <v>1</v>
      </c>
      <c r="D16" s="10">
        <v>100000</v>
      </c>
      <c r="E16" s="10">
        <f t="shared" si="2"/>
        <v>100000</v>
      </c>
      <c r="F16" s="36">
        <f>SUM(E16:E26)</f>
        <v>1999000</v>
      </c>
      <c r="K16" s="33"/>
      <c r="L16" s="8" t="s">
        <v>31</v>
      </c>
      <c r="M16" s="9">
        <v>4</v>
      </c>
      <c r="N16" s="10">
        <v>24000</v>
      </c>
      <c r="O16" s="10">
        <f t="shared" si="1"/>
        <v>96000</v>
      </c>
      <c r="P16" s="42"/>
    </row>
    <row r="17" spans="1:16" ht="14.5">
      <c r="A17" s="33"/>
      <c r="B17" s="8" t="s">
        <v>42</v>
      </c>
      <c r="C17" s="9">
        <v>1</v>
      </c>
      <c r="D17" s="10">
        <v>160000</v>
      </c>
      <c r="E17" s="10">
        <f t="shared" si="2"/>
        <v>160000</v>
      </c>
      <c r="F17" s="37"/>
      <c r="K17" s="33"/>
      <c r="L17" s="8" t="s">
        <v>43</v>
      </c>
      <c r="M17" s="9">
        <v>3</v>
      </c>
      <c r="N17" s="10">
        <v>40000</v>
      </c>
      <c r="O17" s="10">
        <f t="shared" si="1"/>
        <v>120000</v>
      </c>
      <c r="P17" s="42"/>
    </row>
    <row r="18" spans="1:16" ht="14.5">
      <c r="A18" s="33"/>
      <c r="B18" s="8" t="s">
        <v>44</v>
      </c>
      <c r="C18" s="9">
        <v>2</v>
      </c>
      <c r="D18" s="10">
        <v>90000</v>
      </c>
      <c r="E18" s="10">
        <f t="shared" si="2"/>
        <v>180000</v>
      </c>
      <c r="F18" s="37"/>
      <c r="K18" s="33"/>
      <c r="L18" s="8" t="s">
        <v>45</v>
      </c>
      <c r="M18" s="9">
        <v>0.2</v>
      </c>
      <c r="N18" s="10">
        <v>35000</v>
      </c>
      <c r="O18" s="10">
        <f t="shared" si="1"/>
        <v>7000</v>
      </c>
      <c r="P18" s="42"/>
    </row>
    <row r="19" spans="1:16" ht="14.5">
      <c r="A19" s="33"/>
      <c r="B19" s="8" t="s">
        <v>46</v>
      </c>
      <c r="C19" s="9">
        <v>0.5</v>
      </c>
      <c r="D19" s="10">
        <v>120000</v>
      </c>
      <c r="E19" s="10">
        <f t="shared" si="2"/>
        <v>60000</v>
      </c>
      <c r="F19" s="37"/>
      <c r="K19" s="33"/>
      <c r="L19" s="15" t="s">
        <v>23</v>
      </c>
      <c r="M19" s="16">
        <v>6</v>
      </c>
      <c r="N19" s="17">
        <v>10000</v>
      </c>
      <c r="O19" s="17">
        <f t="shared" si="1"/>
        <v>60000</v>
      </c>
      <c r="P19" s="42"/>
    </row>
    <row r="20" spans="1:16" ht="14.5">
      <c r="A20" s="33"/>
      <c r="B20" s="8" t="s">
        <v>47</v>
      </c>
      <c r="C20" s="9">
        <v>1</v>
      </c>
      <c r="D20" s="10">
        <v>170000</v>
      </c>
      <c r="E20" s="10">
        <f t="shared" si="2"/>
        <v>170000</v>
      </c>
      <c r="F20" s="37"/>
      <c r="K20" s="32">
        <v>45964</v>
      </c>
      <c r="L20" s="12" t="s">
        <v>48</v>
      </c>
      <c r="M20" s="9">
        <v>7.585</v>
      </c>
      <c r="N20" s="25">
        <v>15000</v>
      </c>
      <c r="O20" s="25">
        <v>114000</v>
      </c>
      <c r="P20" s="41">
        <f>SUM(O20:O35)</f>
        <v>1327000</v>
      </c>
    </row>
    <row r="21" spans="1:16" ht="14.5">
      <c r="A21" s="33"/>
      <c r="B21" s="8" t="s">
        <v>49</v>
      </c>
      <c r="C21" s="9">
        <v>2</v>
      </c>
      <c r="D21" s="10">
        <v>390000</v>
      </c>
      <c r="E21" s="10">
        <f t="shared" si="2"/>
        <v>780000</v>
      </c>
      <c r="F21" s="37"/>
      <c r="K21" s="33"/>
      <c r="L21" s="12" t="s">
        <v>23</v>
      </c>
      <c r="M21" s="9">
        <v>8</v>
      </c>
      <c r="N21" s="25">
        <v>10000</v>
      </c>
      <c r="O21" s="25">
        <f t="shared" ref="O21:O25" si="3">SUM(M21*N21)</f>
        <v>80000</v>
      </c>
      <c r="P21" s="42"/>
    </row>
    <row r="22" spans="1:16" ht="14.5">
      <c r="A22" s="33"/>
      <c r="B22" s="8" t="s">
        <v>50</v>
      </c>
      <c r="C22" s="9">
        <v>1</v>
      </c>
      <c r="D22" s="10">
        <v>170000</v>
      </c>
      <c r="E22" s="10">
        <f t="shared" si="2"/>
        <v>170000</v>
      </c>
      <c r="F22" s="37"/>
      <c r="K22" s="33"/>
      <c r="L22" s="12" t="s">
        <v>51</v>
      </c>
      <c r="M22" s="9">
        <v>2.13</v>
      </c>
      <c r="N22" s="25">
        <v>38000</v>
      </c>
      <c r="O22" s="25">
        <v>81000</v>
      </c>
      <c r="P22" s="42"/>
    </row>
    <row r="23" spans="1:16" ht="14.5">
      <c r="A23" s="33"/>
      <c r="B23" s="8" t="s">
        <v>52</v>
      </c>
      <c r="C23" s="9">
        <v>1</v>
      </c>
      <c r="D23" s="10">
        <v>48000</v>
      </c>
      <c r="E23" s="10">
        <f t="shared" si="2"/>
        <v>48000</v>
      </c>
      <c r="F23" s="37"/>
      <c r="K23" s="33"/>
      <c r="L23" s="12" t="s">
        <v>40</v>
      </c>
      <c r="M23" s="9">
        <v>4</v>
      </c>
      <c r="N23" s="25">
        <v>75000</v>
      </c>
      <c r="O23" s="25">
        <f t="shared" si="3"/>
        <v>300000</v>
      </c>
      <c r="P23" s="42"/>
    </row>
    <row r="24" spans="1:16" ht="14.5">
      <c r="A24" s="33"/>
      <c r="B24" s="8" t="s">
        <v>53</v>
      </c>
      <c r="C24" s="9">
        <v>0.1</v>
      </c>
      <c r="D24" s="10">
        <v>150000</v>
      </c>
      <c r="E24" s="10">
        <f t="shared" si="2"/>
        <v>15000</v>
      </c>
      <c r="F24" s="37"/>
      <c r="K24" s="33"/>
      <c r="L24" s="12" t="s">
        <v>54</v>
      </c>
      <c r="M24" s="9">
        <v>3</v>
      </c>
      <c r="N24" s="25">
        <v>20000</v>
      </c>
      <c r="O24" s="25">
        <f t="shared" si="3"/>
        <v>60000</v>
      </c>
      <c r="P24" s="42"/>
    </row>
    <row r="25" spans="1:16" ht="14.5">
      <c r="A25" s="33"/>
      <c r="B25" s="8" t="s">
        <v>55</v>
      </c>
      <c r="C25" s="9">
        <v>1</v>
      </c>
      <c r="D25" s="10">
        <v>300000</v>
      </c>
      <c r="E25" s="10">
        <f t="shared" si="2"/>
        <v>300000</v>
      </c>
      <c r="F25" s="37"/>
      <c r="K25" s="33"/>
      <c r="L25" s="12" t="s">
        <v>56</v>
      </c>
      <c r="M25" s="9">
        <v>2</v>
      </c>
      <c r="N25" s="25">
        <v>12000</v>
      </c>
      <c r="O25" s="25">
        <f t="shared" si="3"/>
        <v>24000</v>
      </c>
      <c r="P25" s="42"/>
    </row>
    <row r="26" spans="1:16" ht="14.5">
      <c r="A26" s="34"/>
      <c r="B26" s="8" t="s">
        <v>57</v>
      </c>
      <c r="C26" s="9">
        <v>0.2</v>
      </c>
      <c r="D26" s="10">
        <v>80000</v>
      </c>
      <c r="E26" s="10">
        <f t="shared" si="2"/>
        <v>16000</v>
      </c>
      <c r="F26" s="37"/>
      <c r="K26" s="33"/>
      <c r="L26" s="12" t="s">
        <v>58</v>
      </c>
      <c r="M26" s="9">
        <v>2.1</v>
      </c>
      <c r="N26" s="25">
        <v>48000</v>
      </c>
      <c r="O26" s="25">
        <v>101000</v>
      </c>
      <c r="P26" s="42"/>
    </row>
    <row r="27" spans="1:16" ht="14.5">
      <c r="A27" s="32">
        <v>45964</v>
      </c>
      <c r="B27" s="8" t="s">
        <v>59</v>
      </c>
      <c r="C27" s="9">
        <v>2</v>
      </c>
      <c r="D27" s="10">
        <v>22000</v>
      </c>
      <c r="E27" s="10">
        <f t="shared" si="2"/>
        <v>44000</v>
      </c>
      <c r="F27" s="36">
        <f>SUM(E27:E44)</f>
        <v>2589000</v>
      </c>
      <c r="K27" s="33"/>
      <c r="L27" s="12" t="s">
        <v>25</v>
      </c>
      <c r="M27" s="9">
        <v>2</v>
      </c>
      <c r="N27" s="25">
        <v>38000</v>
      </c>
      <c r="O27" s="25">
        <f t="shared" ref="O27:O36" si="4">SUM(M27*N27)</f>
        <v>76000</v>
      </c>
      <c r="P27" s="42"/>
    </row>
    <row r="28" spans="1:16" ht="14.5">
      <c r="A28" s="33"/>
      <c r="B28" s="8" t="s">
        <v>24</v>
      </c>
      <c r="C28" s="9">
        <v>3</v>
      </c>
      <c r="D28" s="10">
        <v>90000</v>
      </c>
      <c r="E28" s="10">
        <f t="shared" si="2"/>
        <v>270000</v>
      </c>
      <c r="F28" s="37"/>
      <c r="K28" s="33"/>
      <c r="L28" s="12" t="s">
        <v>60</v>
      </c>
      <c r="M28" s="9">
        <v>1</v>
      </c>
      <c r="N28" s="25">
        <v>12000</v>
      </c>
      <c r="O28" s="25">
        <f t="shared" si="4"/>
        <v>12000</v>
      </c>
      <c r="P28" s="42"/>
    </row>
    <row r="29" spans="1:16" ht="14.5">
      <c r="A29" s="33"/>
      <c r="B29" s="8" t="s">
        <v>61</v>
      </c>
      <c r="C29" s="9">
        <v>2</v>
      </c>
      <c r="D29" s="10">
        <v>100000</v>
      </c>
      <c r="E29" s="10">
        <f t="shared" si="2"/>
        <v>200000</v>
      </c>
      <c r="F29" s="37"/>
      <c r="K29" s="33"/>
      <c r="L29" s="12" t="s">
        <v>62</v>
      </c>
      <c r="M29" s="9">
        <v>0.5</v>
      </c>
      <c r="N29" s="25">
        <v>60000</v>
      </c>
      <c r="O29" s="25">
        <f t="shared" si="4"/>
        <v>30000</v>
      </c>
      <c r="P29" s="42"/>
    </row>
    <row r="30" spans="1:16" ht="14.5">
      <c r="A30" s="33"/>
      <c r="B30" s="8" t="s">
        <v>63</v>
      </c>
      <c r="C30" s="9">
        <v>2</v>
      </c>
      <c r="D30" s="10">
        <v>40000</v>
      </c>
      <c r="E30" s="10">
        <f t="shared" si="2"/>
        <v>80000</v>
      </c>
      <c r="F30" s="37"/>
      <c r="K30" s="33"/>
      <c r="L30" s="12" t="s">
        <v>19</v>
      </c>
      <c r="M30" s="9">
        <v>1</v>
      </c>
      <c r="N30" s="25">
        <v>30000</v>
      </c>
      <c r="O30" s="25">
        <f t="shared" si="4"/>
        <v>30000</v>
      </c>
      <c r="P30" s="42"/>
    </row>
    <row r="31" spans="1:16" ht="14.5">
      <c r="A31" s="33"/>
      <c r="B31" s="8" t="s">
        <v>64</v>
      </c>
      <c r="C31" s="9">
        <v>2</v>
      </c>
      <c r="D31" s="10">
        <v>18000</v>
      </c>
      <c r="E31" s="10">
        <f t="shared" si="2"/>
        <v>36000</v>
      </c>
      <c r="F31" s="37"/>
      <c r="K31" s="33"/>
      <c r="L31" s="12" t="s">
        <v>29</v>
      </c>
      <c r="M31" s="9">
        <v>1</v>
      </c>
      <c r="N31" s="25">
        <v>100000</v>
      </c>
      <c r="O31" s="25">
        <f t="shared" si="4"/>
        <v>100000</v>
      </c>
      <c r="P31" s="42"/>
    </row>
    <row r="32" spans="1:16" ht="14.5">
      <c r="A32" s="33"/>
      <c r="B32" s="8" t="s">
        <v>41</v>
      </c>
      <c r="C32" s="9">
        <v>2</v>
      </c>
      <c r="D32" s="10">
        <v>100000</v>
      </c>
      <c r="E32" s="10">
        <f t="shared" si="2"/>
        <v>200000</v>
      </c>
      <c r="F32" s="37"/>
      <c r="K32" s="33"/>
      <c r="L32" s="8" t="s">
        <v>31</v>
      </c>
      <c r="M32" s="9">
        <v>4</v>
      </c>
      <c r="N32" s="10">
        <v>24000</v>
      </c>
      <c r="O32" s="10">
        <f t="shared" si="4"/>
        <v>96000</v>
      </c>
      <c r="P32" s="42"/>
    </row>
    <row r="33" spans="1:16" ht="14.5">
      <c r="A33" s="33"/>
      <c r="B33" s="8" t="s">
        <v>65</v>
      </c>
      <c r="C33" s="9">
        <v>2</v>
      </c>
      <c r="D33" s="10">
        <v>220000</v>
      </c>
      <c r="E33" s="10">
        <f t="shared" si="2"/>
        <v>440000</v>
      </c>
      <c r="F33" s="37"/>
      <c r="K33" s="33"/>
      <c r="L33" s="8" t="s">
        <v>43</v>
      </c>
      <c r="M33" s="9">
        <v>2</v>
      </c>
      <c r="N33" s="10">
        <v>40000</v>
      </c>
      <c r="O33" s="10">
        <f t="shared" si="4"/>
        <v>80000</v>
      </c>
      <c r="P33" s="42"/>
    </row>
    <row r="34" spans="1:16" ht="14.5">
      <c r="A34" s="33"/>
      <c r="B34" s="8" t="s">
        <v>22</v>
      </c>
      <c r="C34" s="9">
        <v>1</v>
      </c>
      <c r="D34" s="10">
        <v>360000</v>
      </c>
      <c r="E34" s="10">
        <f t="shared" si="2"/>
        <v>360000</v>
      </c>
      <c r="F34" s="37"/>
      <c r="K34" s="33"/>
      <c r="L34" s="8" t="s">
        <v>66</v>
      </c>
      <c r="M34" s="9">
        <v>2</v>
      </c>
      <c r="N34" s="10">
        <v>49000</v>
      </c>
      <c r="O34" s="10">
        <f t="shared" si="4"/>
        <v>98000</v>
      </c>
      <c r="P34" s="42"/>
    </row>
    <row r="35" spans="1:16" ht="14.5">
      <c r="A35" s="33"/>
      <c r="B35" s="8" t="s">
        <v>40</v>
      </c>
      <c r="C35" s="9">
        <v>1</v>
      </c>
      <c r="D35" s="10">
        <v>30000</v>
      </c>
      <c r="E35" s="10">
        <f t="shared" si="2"/>
        <v>30000</v>
      </c>
      <c r="F35" s="37"/>
      <c r="K35" s="34"/>
      <c r="L35" s="8" t="s">
        <v>67</v>
      </c>
      <c r="M35" s="9">
        <v>1</v>
      </c>
      <c r="N35" s="10">
        <v>45000</v>
      </c>
      <c r="O35" s="10">
        <f t="shared" si="4"/>
        <v>45000</v>
      </c>
      <c r="P35" s="43"/>
    </row>
    <row r="36" spans="1:16" ht="14.5">
      <c r="A36" s="33"/>
      <c r="B36" s="8" t="s">
        <v>68</v>
      </c>
      <c r="C36" s="9">
        <v>1</v>
      </c>
      <c r="D36" s="10">
        <v>195000</v>
      </c>
      <c r="E36" s="10">
        <f t="shared" si="2"/>
        <v>195000</v>
      </c>
      <c r="F36" s="37"/>
      <c r="K36" s="32">
        <v>45965</v>
      </c>
      <c r="L36" s="8" t="s">
        <v>12</v>
      </c>
      <c r="M36" s="9">
        <v>2</v>
      </c>
      <c r="N36" s="10">
        <v>20000</v>
      </c>
      <c r="O36" s="10">
        <f t="shared" si="4"/>
        <v>40000</v>
      </c>
      <c r="P36" s="41">
        <f>SUM(O36:O41)</f>
        <v>496000</v>
      </c>
    </row>
    <row r="37" spans="1:16" ht="14.5">
      <c r="A37" s="33"/>
      <c r="B37" s="8" t="s">
        <v>69</v>
      </c>
      <c r="C37" s="9">
        <v>0.3</v>
      </c>
      <c r="D37" s="10">
        <v>80000</v>
      </c>
      <c r="E37" s="10">
        <f t="shared" si="2"/>
        <v>24000</v>
      </c>
      <c r="F37" s="37"/>
      <c r="K37" s="33"/>
      <c r="L37" s="8" t="s">
        <v>40</v>
      </c>
      <c r="M37" s="9">
        <v>2.1</v>
      </c>
      <c r="N37" s="10">
        <v>75000</v>
      </c>
      <c r="O37" s="10">
        <v>158000</v>
      </c>
      <c r="P37" s="42"/>
    </row>
    <row r="38" spans="1:16" ht="14.5">
      <c r="A38" s="33"/>
      <c r="B38" s="8" t="s">
        <v>23</v>
      </c>
      <c r="C38" s="9">
        <v>4</v>
      </c>
      <c r="D38" s="10">
        <v>10000</v>
      </c>
      <c r="E38" s="10">
        <f t="shared" si="2"/>
        <v>40000</v>
      </c>
      <c r="F38" s="37"/>
      <c r="K38" s="33"/>
      <c r="L38" s="8" t="s">
        <v>23</v>
      </c>
      <c r="M38" s="9">
        <v>6</v>
      </c>
      <c r="N38" s="10">
        <v>10000</v>
      </c>
      <c r="O38" s="10">
        <f t="shared" ref="O38:O59" si="5">SUM(M38*N38)</f>
        <v>60000</v>
      </c>
      <c r="P38" s="42"/>
    </row>
    <row r="39" spans="1:16" ht="14.5">
      <c r="A39" s="33"/>
      <c r="B39" s="8" t="s">
        <v>70</v>
      </c>
      <c r="C39" s="9">
        <v>26</v>
      </c>
      <c r="D39" s="10">
        <v>2000</v>
      </c>
      <c r="E39" s="10">
        <f t="shared" si="2"/>
        <v>52000</v>
      </c>
      <c r="F39" s="37"/>
      <c r="K39" s="33"/>
      <c r="L39" s="8" t="s">
        <v>25</v>
      </c>
      <c r="M39" s="9">
        <v>1.1000000000000001</v>
      </c>
      <c r="N39" s="10">
        <v>38000</v>
      </c>
      <c r="O39" s="10">
        <v>42000</v>
      </c>
      <c r="P39" s="42"/>
    </row>
    <row r="40" spans="1:16" ht="14.5">
      <c r="A40" s="33"/>
      <c r="B40" s="8" t="s">
        <v>71</v>
      </c>
      <c r="C40" s="9">
        <v>1.8</v>
      </c>
      <c r="D40" s="10">
        <v>28000</v>
      </c>
      <c r="E40" s="10">
        <v>50000</v>
      </c>
      <c r="F40" s="37"/>
      <c r="K40" s="33"/>
      <c r="L40" s="8" t="s">
        <v>29</v>
      </c>
      <c r="M40" s="9">
        <v>1</v>
      </c>
      <c r="N40" s="10">
        <v>100000</v>
      </c>
      <c r="O40" s="10">
        <f t="shared" si="5"/>
        <v>100000</v>
      </c>
      <c r="P40" s="42"/>
    </row>
    <row r="41" spans="1:16" ht="14.5">
      <c r="A41" s="33"/>
      <c r="B41" s="8" t="s">
        <v>72</v>
      </c>
      <c r="C41" s="9">
        <v>2</v>
      </c>
      <c r="D41" s="10">
        <v>20000</v>
      </c>
      <c r="E41" s="10">
        <f t="shared" si="2"/>
        <v>40000</v>
      </c>
      <c r="F41" s="37"/>
      <c r="K41" s="34"/>
      <c r="L41" s="8" t="s">
        <v>31</v>
      </c>
      <c r="M41" s="9">
        <v>4</v>
      </c>
      <c r="N41" s="10">
        <v>24000</v>
      </c>
      <c r="O41" s="10">
        <f t="shared" si="5"/>
        <v>96000</v>
      </c>
      <c r="P41" s="43"/>
    </row>
    <row r="42" spans="1:16" ht="14.5">
      <c r="A42" s="33"/>
      <c r="B42" s="8" t="s">
        <v>25</v>
      </c>
      <c r="C42" s="9">
        <v>2.06</v>
      </c>
      <c r="D42" s="10">
        <v>38000</v>
      </c>
      <c r="E42" s="10">
        <v>78000</v>
      </c>
      <c r="F42" s="37"/>
      <c r="K42" s="32">
        <v>45966</v>
      </c>
      <c r="L42" s="8" t="s">
        <v>73</v>
      </c>
      <c r="M42" s="9">
        <v>1</v>
      </c>
      <c r="N42" s="10">
        <v>30000</v>
      </c>
      <c r="O42" s="10">
        <f t="shared" si="5"/>
        <v>30000</v>
      </c>
      <c r="P42" s="41">
        <f>SUM(O42:O47)</f>
        <v>431000</v>
      </c>
    </row>
    <row r="43" spans="1:16" ht="14.5">
      <c r="A43" s="33"/>
      <c r="B43" s="8" t="s">
        <v>74</v>
      </c>
      <c r="C43" s="9">
        <v>3</v>
      </c>
      <c r="D43" s="10">
        <v>75000</v>
      </c>
      <c r="E43" s="10">
        <f t="shared" si="2"/>
        <v>225000</v>
      </c>
      <c r="F43" s="37"/>
      <c r="K43" s="33"/>
      <c r="L43" s="8" t="s">
        <v>75</v>
      </c>
      <c r="M43" s="9">
        <v>0.6</v>
      </c>
      <c r="N43" s="10">
        <v>45000</v>
      </c>
      <c r="O43" s="10">
        <f t="shared" si="5"/>
        <v>27000</v>
      </c>
      <c r="P43" s="42"/>
    </row>
    <row r="44" spans="1:16" ht="14.5">
      <c r="A44" s="34"/>
      <c r="B44" s="8" t="s">
        <v>76</v>
      </c>
      <c r="C44" s="9">
        <v>3</v>
      </c>
      <c r="D44" s="10">
        <v>75000</v>
      </c>
      <c r="E44" s="10">
        <f t="shared" si="2"/>
        <v>225000</v>
      </c>
      <c r="F44" s="38"/>
      <c r="K44" s="33"/>
      <c r="L44" s="8" t="s">
        <v>77</v>
      </c>
      <c r="M44" s="9">
        <v>1</v>
      </c>
      <c r="N44" s="10">
        <v>115000</v>
      </c>
      <c r="O44" s="10">
        <f t="shared" si="5"/>
        <v>115000</v>
      </c>
      <c r="P44" s="42"/>
    </row>
    <row r="45" spans="1:16" ht="14.5">
      <c r="A45" s="32">
        <v>45964</v>
      </c>
      <c r="B45" s="8" t="s">
        <v>20</v>
      </c>
      <c r="C45" s="9">
        <v>0.1</v>
      </c>
      <c r="D45" s="10">
        <v>60000</v>
      </c>
      <c r="E45" s="10">
        <f t="shared" si="2"/>
        <v>6000</v>
      </c>
      <c r="F45" s="36">
        <f>SUM(E45:E46)</f>
        <v>12000</v>
      </c>
      <c r="K45" s="33"/>
      <c r="L45" s="8" t="s">
        <v>78</v>
      </c>
      <c r="M45" s="9">
        <v>2</v>
      </c>
      <c r="N45" s="10">
        <v>20000</v>
      </c>
      <c r="O45" s="10">
        <f t="shared" si="5"/>
        <v>40000</v>
      </c>
      <c r="P45" s="42"/>
    </row>
    <row r="46" spans="1:16" ht="14.5">
      <c r="A46" s="34"/>
      <c r="B46" s="8" t="s">
        <v>79</v>
      </c>
      <c r="C46" s="9">
        <v>0.1</v>
      </c>
      <c r="D46" s="10">
        <v>60000</v>
      </c>
      <c r="E46" s="10">
        <f t="shared" si="2"/>
        <v>6000</v>
      </c>
      <c r="F46" s="38"/>
      <c r="K46" s="33"/>
      <c r="L46" s="8" t="s">
        <v>66</v>
      </c>
      <c r="M46" s="9">
        <v>3</v>
      </c>
      <c r="N46" s="10">
        <v>49000</v>
      </c>
      <c r="O46" s="10">
        <f t="shared" si="5"/>
        <v>147000</v>
      </c>
      <c r="P46" s="42"/>
    </row>
    <row r="47" spans="1:16" ht="14.5">
      <c r="A47" s="35">
        <v>45965</v>
      </c>
      <c r="B47" s="8" t="s">
        <v>80</v>
      </c>
      <c r="C47" s="9">
        <v>1</v>
      </c>
      <c r="D47" s="10">
        <v>30000</v>
      </c>
      <c r="E47" s="10">
        <f t="shared" si="2"/>
        <v>30000</v>
      </c>
      <c r="F47" s="39">
        <f>SUM(E47:E65)</f>
        <v>2530000</v>
      </c>
      <c r="K47" s="34"/>
      <c r="L47" s="8" t="s">
        <v>31</v>
      </c>
      <c r="M47" s="9">
        <v>3</v>
      </c>
      <c r="N47" s="10">
        <v>24000</v>
      </c>
      <c r="O47" s="10">
        <f t="shared" si="5"/>
        <v>72000</v>
      </c>
      <c r="P47" s="43"/>
    </row>
    <row r="48" spans="1:16" ht="14.5">
      <c r="A48" s="35"/>
      <c r="B48" s="8" t="s">
        <v>81</v>
      </c>
      <c r="C48" s="9">
        <v>2</v>
      </c>
      <c r="D48" s="10">
        <v>120000</v>
      </c>
      <c r="E48" s="10">
        <f t="shared" si="2"/>
        <v>240000</v>
      </c>
      <c r="F48" s="39"/>
      <c r="K48" s="32">
        <v>45967</v>
      </c>
      <c r="L48" s="8" t="s">
        <v>40</v>
      </c>
      <c r="M48" s="9">
        <v>4.08</v>
      </c>
      <c r="N48" s="10">
        <v>75000</v>
      </c>
      <c r="O48" s="10">
        <f t="shared" si="5"/>
        <v>306000</v>
      </c>
      <c r="P48" s="41">
        <f>SUM(O48:O56)</f>
        <v>783000</v>
      </c>
    </row>
    <row r="49" spans="1:16" ht="14.5">
      <c r="A49" s="35"/>
      <c r="B49" s="8" t="s">
        <v>82</v>
      </c>
      <c r="C49" s="9">
        <v>3</v>
      </c>
      <c r="D49" s="10">
        <v>200000</v>
      </c>
      <c r="E49" s="10">
        <f t="shared" si="2"/>
        <v>600000</v>
      </c>
      <c r="F49" s="39"/>
      <c r="K49" s="33"/>
      <c r="L49" s="8" t="s">
        <v>54</v>
      </c>
      <c r="M49" s="9">
        <v>3</v>
      </c>
      <c r="N49" s="10">
        <v>20000</v>
      </c>
      <c r="O49" s="10">
        <f t="shared" si="5"/>
        <v>60000</v>
      </c>
      <c r="P49" s="42"/>
    </row>
    <row r="50" spans="1:16" ht="14.5">
      <c r="A50" s="35"/>
      <c r="B50" s="8" t="s">
        <v>83</v>
      </c>
      <c r="C50" s="9">
        <v>1</v>
      </c>
      <c r="D50" s="10">
        <v>70000</v>
      </c>
      <c r="E50" s="10">
        <f t="shared" si="2"/>
        <v>70000</v>
      </c>
      <c r="F50" s="39"/>
      <c r="K50" s="33"/>
      <c r="L50" s="8" t="s">
        <v>23</v>
      </c>
      <c r="M50" s="9">
        <v>4</v>
      </c>
      <c r="N50" s="10">
        <v>10000</v>
      </c>
      <c r="O50" s="10">
        <f t="shared" si="5"/>
        <v>40000</v>
      </c>
      <c r="P50" s="42"/>
    </row>
    <row r="51" spans="1:16" ht="14.5">
      <c r="A51" s="35"/>
      <c r="B51" s="8" t="s">
        <v>84</v>
      </c>
      <c r="C51" s="9">
        <v>2</v>
      </c>
      <c r="D51" s="10">
        <v>15000</v>
      </c>
      <c r="E51" s="10">
        <f t="shared" si="2"/>
        <v>30000</v>
      </c>
      <c r="F51" s="39"/>
      <c r="K51" s="33"/>
      <c r="L51" s="8" t="s">
        <v>29</v>
      </c>
      <c r="M51" s="9">
        <v>1</v>
      </c>
      <c r="N51" s="10">
        <v>100000</v>
      </c>
      <c r="O51" s="10">
        <f t="shared" si="5"/>
        <v>100000</v>
      </c>
      <c r="P51" s="42"/>
    </row>
    <row r="52" spans="1:16" ht="14.5">
      <c r="A52" s="35"/>
      <c r="B52" s="8" t="s">
        <v>85</v>
      </c>
      <c r="C52" s="9">
        <v>2</v>
      </c>
      <c r="D52" s="10">
        <v>30000</v>
      </c>
      <c r="E52" s="10">
        <f t="shared" si="2"/>
        <v>60000</v>
      </c>
      <c r="F52" s="39"/>
      <c r="K52" s="33"/>
      <c r="L52" s="8" t="s">
        <v>58</v>
      </c>
      <c r="M52" s="9">
        <v>1</v>
      </c>
      <c r="N52" s="10">
        <v>48000</v>
      </c>
      <c r="O52" s="10">
        <f t="shared" si="5"/>
        <v>48000</v>
      </c>
      <c r="P52" s="42"/>
    </row>
    <row r="53" spans="1:16" ht="14.5">
      <c r="A53" s="35"/>
      <c r="B53" s="8" t="s">
        <v>86</v>
      </c>
      <c r="C53" s="9">
        <v>2</v>
      </c>
      <c r="D53" s="10">
        <v>60000</v>
      </c>
      <c r="E53" s="10">
        <f t="shared" si="2"/>
        <v>120000</v>
      </c>
      <c r="F53" s="39"/>
      <c r="K53" s="33"/>
      <c r="L53" s="8" t="s">
        <v>31</v>
      </c>
      <c r="M53" s="9">
        <v>5</v>
      </c>
      <c r="N53" s="10">
        <v>24000</v>
      </c>
      <c r="O53" s="10">
        <f t="shared" si="5"/>
        <v>120000</v>
      </c>
      <c r="P53" s="42"/>
    </row>
    <row r="54" spans="1:16" ht="14.5">
      <c r="A54" s="35"/>
      <c r="B54" s="8" t="s">
        <v>87</v>
      </c>
      <c r="C54" s="9">
        <v>1</v>
      </c>
      <c r="D54" s="10">
        <v>160000</v>
      </c>
      <c r="E54" s="10">
        <f t="shared" si="2"/>
        <v>160000</v>
      </c>
      <c r="F54" s="39"/>
      <c r="K54" s="33"/>
      <c r="L54" s="8" t="s">
        <v>66</v>
      </c>
      <c r="M54" s="9">
        <v>1</v>
      </c>
      <c r="N54" s="10">
        <v>49000</v>
      </c>
      <c r="O54" s="10">
        <f t="shared" si="5"/>
        <v>49000</v>
      </c>
      <c r="P54" s="42"/>
    </row>
    <row r="55" spans="1:16" ht="14.5">
      <c r="A55" s="35"/>
      <c r="B55" s="8" t="s">
        <v>88</v>
      </c>
      <c r="C55" s="9">
        <v>2</v>
      </c>
      <c r="D55" s="10">
        <v>20000</v>
      </c>
      <c r="E55" s="10">
        <f t="shared" si="2"/>
        <v>40000</v>
      </c>
      <c r="F55" s="39"/>
      <c r="K55" s="33"/>
      <c r="L55" s="8" t="s">
        <v>89</v>
      </c>
      <c r="M55" s="9">
        <v>1</v>
      </c>
      <c r="N55" s="10">
        <v>35000</v>
      </c>
      <c r="O55" s="10">
        <f t="shared" si="5"/>
        <v>35000</v>
      </c>
      <c r="P55" s="42"/>
    </row>
    <row r="56" spans="1:16" ht="14.5">
      <c r="A56" s="35"/>
      <c r="B56" s="8" t="s">
        <v>30</v>
      </c>
      <c r="C56" s="9">
        <v>3</v>
      </c>
      <c r="D56" s="10">
        <v>40000</v>
      </c>
      <c r="E56" s="10">
        <f t="shared" si="2"/>
        <v>120000</v>
      </c>
      <c r="F56" s="39"/>
      <c r="K56" s="34"/>
      <c r="L56" s="8" t="s">
        <v>90</v>
      </c>
      <c r="M56" s="9">
        <v>1</v>
      </c>
      <c r="N56" s="10">
        <v>25000</v>
      </c>
      <c r="O56" s="10">
        <f t="shared" si="5"/>
        <v>25000</v>
      </c>
      <c r="P56" s="43"/>
    </row>
    <row r="57" spans="1:16" ht="14.5">
      <c r="A57" s="35"/>
      <c r="B57" s="8" t="s">
        <v>91</v>
      </c>
      <c r="C57" s="9">
        <v>1</v>
      </c>
      <c r="D57" s="10">
        <v>125000</v>
      </c>
      <c r="E57" s="10">
        <f t="shared" si="2"/>
        <v>125000</v>
      </c>
      <c r="F57" s="39"/>
      <c r="K57" s="32">
        <v>45968</v>
      </c>
      <c r="L57" s="8" t="s">
        <v>23</v>
      </c>
      <c r="M57" s="9">
        <v>6</v>
      </c>
      <c r="N57" s="10">
        <v>10000</v>
      </c>
      <c r="O57" s="10">
        <f t="shared" si="5"/>
        <v>60000</v>
      </c>
      <c r="P57" s="41">
        <f>SUM(O57:O71)</f>
        <v>1076000</v>
      </c>
    </row>
    <row r="58" spans="1:16" ht="14.5">
      <c r="A58" s="35"/>
      <c r="B58" s="8" t="s">
        <v>59</v>
      </c>
      <c r="C58" s="9">
        <v>2</v>
      </c>
      <c r="D58" s="10">
        <v>22000</v>
      </c>
      <c r="E58" s="10">
        <f t="shared" si="2"/>
        <v>44000</v>
      </c>
      <c r="F58" s="39"/>
      <c r="K58" s="33"/>
      <c r="L58" s="8" t="s">
        <v>54</v>
      </c>
      <c r="M58" s="9">
        <v>5</v>
      </c>
      <c r="N58" s="10">
        <v>20000</v>
      </c>
      <c r="O58" s="10">
        <f t="shared" si="5"/>
        <v>100000</v>
      </c>
      <c r="P58" s="42"/>
    </row>
    <row r="59" spans="1:16" ht="14.5">
      <c r="A59" s="35"/>
      <c r="B59" s="8" t="s">
        <v>24</v>
      </c>
      <c r="C59" s="9">
        <v>3</v>
      </c>
      <c r="D59" s="10">
        <v>90000</v>
      </c>
      <c r="E59" s="10">
        <f t="shared" si="2"/>
        <v>270000</v>
      </c>
      <c r="F59" s="39"/>
      <c r="K59" s="33"/>
      <c r="L59" s="8" t="s">
        <v>40</v>
      </c>
      <c r="M59" s="9">
        <v>4</v>
      </c>
      <c r="N59" s="10">
        <v>75000</v>
      </c>
      <c r="O59" s="10">
        <f t="shared" si="5"/>
        <v>300000</v>
      </c>
      <c r="P59" s="42"/>
    </row>
    <row r="60" spans="1:16" ht="14.5">
      <c r="A60" s="35"/>
      <c r="B60" s="8" t="s">
        <v>92</v>
      </c>
      <c r="C60" s="9">
        <v>2</v>
      </c>
      <c r="D60" s="10">
        <v>45000</v>
      </c>
      <c r="E60" s="10">
        <f t="shared" si="2"/>
        <v>90000</v>
      </c>
      <c r="F60" s="39"/>
      <c r="K60" s="33"/>
      <c r="L60" s="8" t="s">
        <v>48</v>
      </c>
      <c r="M60" s="9">
        <v>9.9600000000000009</v>
      </c>
      <c r="N60" s="10">
        <v>15000</v>
      </c>
      <c r="O60" s="10">
        <v>149000</v>
      </c>
      <c r="P60" s="42"/>
    </row>
    <row r="61" spans="1:16" ht="14.5">
      <c r="A61" s="35"/>
      <c r="B61" s="8" t="s">
        <v>39</v>
      </c>
      <c r="C61" s="9">
        <v>2</v>
      </c>
      <c r="D61" s="10">
        <v>170000</v>
      </c>
      <c r="E61" s="10">
        <f t="shared" si="2"/>
        <v>340000</v>
      </c>
      <c r="F61" s="39"/>
      <c r="K61" s="33"/>
      <c r="L61" s="8" t="s">
        <v>21</v>
      </c>
      <c r="M61" s="9">
        <v>0.5</v>
      </c>
      <c r="N61" s="10">
        <v>15000</v>
      </c>
      <c r="O61" s="10">
        <v>8000</v>
      </c>
      <c r="P61" s="42"/>
    </row>
    <row r="62" spans="1:16" ht="14.5">
      <c r="A62" s="35"/>
      <c r="B62" s="8" t="s">
        <v>93</v>
      </c>
      <c r="C62" s="9">
        <v>1</v>
      </c>
      <c r="D62" s="10">
        <v>25000</v>
      </c>
      <c r="E62" s="10">
        <f t="shared" si="2"/>
        <v>25000</v>
      </c>
      <c r="F62" s="39"/>
      <c r="K62" s="33"/>
      <c r="L62" s="8" t="s">
        <v>56</v>
      </c>
      <c r="M62" s="9">
        <v>1</v>
      </c>
      <c r="N62" s="10">
        <v>15000</v>
      </c>
      <c r="O62" s="10">
        <f t="shared" ref="O62:O65" si="6">SUM(M62*N62)</f>
        <v>15000</v>
      </c>
      <c r="P62" s="42"/>
    </row>
    <row r="63" spans="1:16" ht="14.5">
      <c r="A63" s="35"/>
      <c r="B63" s="8" t="s">
        <v>94</v>
      </c>
      <c r="C63" s="9">
        <v>5</v>
      </c>
      <c r="D63" s="10">
        <v>5000</v>
      </c>
      <c r="E63" s="10">
        <f t="shared" si="2"/>
        <v>25000</v>
      </c>
      <c r="F63" s="39"/>
      <c r="K63" s="33"/>
      <c r="L63" s="8" t="s">
        <v>73</v>
      </c>
      <c r="M63" s="9">
        <v>1</v>
      </c>
      <c r="N63" s="10">
        <v>30000</v>
      </c>
      <c r="O63" s="10">
        <f t="shared" si="6"/>
        <v>30000</v>
      </c>
      <c r="P63" s="42"/>
    </row>
    <row r="64" spans="1:16" ht="14.5">
      <c r="A64" s="35"/>
      <c r="B64" s="8" t="s">
        <v>52</v>
      </c>
      <c r="C64" s="9">
        <v>2</v>
      </c>
      <c r="D64" s="10">
        <v>48000</v>
      </c>
      <c r="E64" s="10">
        <f t="shared" si="2"/>
        <v>96000</v>
      </c>
      <c r="F64" s="39"/>
      <c r="K64" s="33"/>
      <c r="L64" s="8" t="s">
        <v>58</v>
      </c>
      <c r="M64" s="9">
        <v>1</v>
      </c>
      <c r="N64" s="10">
        <v>48000</v>
      </c>
      <c r="O64" s="10">
        <f t="shared" si="6"/>
        <v>48000</v>
      </c>
      <c r="P64" s="42"/>
    </row>
    <row r="65" spans="1:16" ht="14.5">
      <c r="A65" s="35"/>
      <c r="B65" s="8" t="s">
        <v>95</v>
      </c>
      <c r="C65" s="9">
        <v>1</v>
      </c>
      <c r="D65" s="10">
        <v>45000</v>
      </c>
      <c r="E65" s="10">
        <f t="shared" si="2"/>
        <v>45000</v>
      </c>
      <c r="F65" s="39"/>
      <c r="K65" s="33"/>
      <c r="L65" s="8" t="s">
        <v>19</v>
      </c>
      <c r="M65" s="9">
        <v>0.5</v>
      </c>
      <c r="N65" s="10">
        <v>30000</v>
      </c>
      <c r="O65" s="10">
        <f t="shared" si="6"/>
        <v>15000</v>
      </c>
      <c r="P65" s="42"/>
    </row>
    <row r="66" spans="1:16" ht="14.5">
      <c r="A66" s="33">
        <v>45966</v>
      </c>
      <c r="B66" s="26" t="s">
        <v>24</v>
      </c>
      <c r="C66" s="27">
        <v>3</v>
      </c>
      <c r="D66" s="24">
        <v>90000</v>
      </c>
      <c r="E66" s="24">
        <f t="shared" si="2"/>
        <v>270000</v>
      </c>
      <c r="F66" s="37">
        <f>SUM(E66:E87)</f>
        <v>2305000</v>
      </c>
      <c r="K66" s="33"/>
      <c r="L66" s="8" t="s">
        <v>45</v>
      </c>
      <c r="M66" s="9">
        <v>0.3</v>
      </c>
      <c r="N66" s="10">
        <v>35000</v>
      </c>
      <c r="O66" s="10">
        <v>11000</v>
      </c>
      <c r="P66" s="42"/>
    </row>
    <row r="67" spans="1:16" ht="14.5">
      <c r="A67" s="33"/>
      <c r="B67" s="8" t="s">
        <v>59</v>
      </c>
      <c r="C67" s="9">
        <v>2</v>
      </c>
      <c r="D67" s="10">
        <v>22000</v>
      </c>
      <c r="E67" s="10">
        <f t="shared" si="2"/>
        <v>44000</v>
      </c>
      <c r="F67" s="37"/>
      <c r="K67" s="33"/>
      <c r="L67" s="8" t="s">
        <v>29</v>
      </c>
      <c r="M67" s="9">
        <v>1</v>
      </c>
      <c r="N67" s="10">
        <v>100000</v>
      </c>
      <c r="O67" s="10">
        <f t="shared" ref="O67:O70" si="7">SUM(M67*N67)</f>
        <v>100000</v>
      </c>
      <c r="P67" s="42"/>
    </row>
    <row r="68" spans="1:16" ht="14.5">
      <c r="A68" s="33"/>
      <c r="B68" s="8" t="s">
        <v>26</v>
      </c>
      <c r="C68" s="9">
        <v>1</v>
      </c>
      <c r="D68" s="10">
        <v>35000</v>
      </c>
      <c r="E68" s="10">
        <f t="shared" si="2"/>
        <v>35000</v>
      </c>
      <c r="F68" s="37"/>
      <c r="K68" s="33"/>
      <c r="L68" s="8" t="s">
        <v>31</v>
      </c>
      <c r="M68" s="9">
        <v>4</v>
      </c>
      <c r="N68" s="10">
        <v>24000</v>
      </c>
      <c r="O68" s="10">
        <f t="shared" si="7"/>
        <v>96000</v>
      </c>
      <c r="P68" s="42"/>
    </row>
    <row r="69" spans="1:16" ht="14.5">
      <c r="A69" s="33"/>
      <c r="B69" s="8" t="s">
        <v>42</v>
      </c>
      <c r="C69" s="9">
        <v>1</v>
      </c>
      <c r="D69" s="10">
        <v>160000</v>
      </c>
      <c r="E69" s="10">
        <f t="shared" si="2"/>
        <v>160000</v>
      </c>
      <c r="F69" s="37"/>
      <c r="K69" s="33"/>
      <c r="L69" s="8" t="s">
        <v>43</v>
      </c>
      <c r="M69" s="9">
        <v>2</v>
      </c>
      <c r="N69" s="10">
        <v>40000</v>
      </c>
      <c r="O69" s="10">
        <f t="shared" si="7"/>
        <v>80000</v>
      </c>
      <c r="P69" s="42"/>
    </row>
    <row r="70" spans="1:16" ht="14.5">
      <c r="A70" s="33"/>
      <c r="B70" s="8" t="s">
        <v>96</v>
      </c>
      <c r="C70" s="9">
        <v>1</v>
      </c>
      <c r="D70" s="10">
        <v>150000</v>
      </c>
      <c r="E70" s="10">
        <f t="shared" si="2"/>
        <v>150000</v>
      </c>
      <c r="F70" s="37"/>
      <c r="K70" s="33"/>
      <c r="L70" s="8" t="s">
        <v>97</v>
      </c>
      <c r="M70" s="9">
        <v>1</v>
      </c>
      <c r="N70" s="10">
        <v>20000</v>
      </c>
      <c r="O70" s="10">
        <f t="shared" si="7"/>
        <v>20000</v>
      </c>
      <c r="P70" s="42"/>
    </row>
    <row r="71" spans="1:16" ht="14.5">
      <c r="A71" s="33"/>
      <c r="B71" s="8" t="s">
        <v>71</v>
      </c>
      <c r="C71" s="9">
        <v>1.1299999999999999</v>
      </c>
      <c r="D71" s="10">
        <v>28000</v>
      </c>
      <c r="E71" s="10">
        <v>32000</v>
      </c>
      <c r="F71" s="37"/>
      <c r="K71" s="34"/>
      <c r="L71" s="8" t="s">
        <v>25</v>
      </c>
      <c r="M71" s="9">
        <v>1.1599999999999999</v>
      </c>
      <c r="N71" s="10">
        <v>38000</v>
      </c>
      <c r="O71" s="10">
        <v>44000</v>
      </c>
      <c r="P71" s="43"/>
    </row>
    <row r="72" spans="1:16" ht="14.5">
      <c r="A72" s="33"/>
      <c r="B72" s="8" t="s">
        <v>98</v>
      </c>
      <c r="C72" s="9">
        <v>1</v>
      </c>
      <c r="D72" s="10">
        <v>15000</v>
      </c>
      <c r="E72" s="10">
        <f t="shared" si="2"/>
        <v>15000</v>
      </c>
      <c r="F72" s="37"/>
      <c r="K72" s="32">
        <v>45969</v>
      </c>
      <c r="L72" s="8" t="s">
        <v>23</v>
      </c>
      <c r="M72" s="9">
        <v>6</v>
      </c>
      <c r="N72" s="10">
        <v>10000</v>
      </c>
      <c r="O72" s="10">
        <f t="shared" ref="O72:O74" si="8">SUM(M72*N72)</f>
        <v>60000</v>
      </c>
      <c r="P72" s="41">
        <f>SUM(O72:O83)</f>
        <v>699000</v>
      </c>
    </row>
    <row r="73" spans="1:16" ht="14.5">
      <c r="A73" s="33"/>
      <c r="B73" s="8" t="s">
        <v>73</v>
      </c>
      <c r="C73" s="9">
        <v>1</v>
      </c>
      <c r="D73" s="10">
        <v>30000</v>
      </c>
      <c r="E73" s="10">
        <f t="shared" si="2"/>
        <v>30000</v>
      </c>
      <c r="F73" s="37"/>
      <c r="K73" s="33"/>
      <c r="L73" s="8" t="s">
        <v>54</v>
      </c>
      <c r="M73" s="9">
        <v>3</v>
      </c>
      <c r="N73" s="10">
        <v>20000</v>
      </c>
      <c r="O73" s="10">
        <f t="shared" si="8"/>
        <v>60000</v>
      </c>
      <c r="P73" s="42"/>
    </row>
    <row r="74" spans="1:16" ht="14.5">
      <c r="A74" s="33"/>
      <c r="B74" s="8" t="s">
        <v>99</v>
      </c>
      <c r="C74" s="9">
        <v>0.3</v>
      </c>
      <c r="D74" s="10">
        <v>60000</v>
      </c>
      <c r="E74" s="10">
        <f t="shared" si="2"/>
        <v>18000</v>
      </c>
      <c r="F74" s="37"/>
      <c r="K74" s="33"/>
      <c r="L74" s="8" t="s">
        <v>40</v>
      </c>
      <c r="M74" s="9">
        <v>2</v>
      </c>
      <c r="N74" s="10">
        <v>75000</v>
      </c>
      <c r="O74" s="10">
        <f t="shared" si="8"/>
        <v>150000</v>
      </c>
      <c r="P74" s="42"/>
    </row>
    <row r="75" spans="1:16" ht="14.5">
      <c r="A75" s="33"/>
      <c r="B75" s="8" t="s">
        <v>100</v>
      </c>
      <c r="C75" s="9">
        <v>5</v>
      </c>
      <c r="D75" s="10">
        <v>25000</v>
      </c>
      <c r="E75" s="10">
        <f t="shared" si="2"/>
        <v>125000</v>
      </c>
      <c r="F75" s="37"/>
      <c r="K75" s="33"/>
      <c r="L75" s="8" t="s">
        <v>21</v>
      </c>
      <c r="M75" s="9">
        <v>0.3</v>
      </c>
      <c r="N75" s="10">
        <v>15000</v>
      </c>
      <c r="O75" s="10">
        <v>5000</v>
      </c>
      <c r="P75" s="42"/>
    </row>
    <row r="76" spans="1:16" ht="14.5">
      <c r="A76" s="33"/>
      <c r="B76" s="8" t="s">
        <v>101</v>
      </c>
      <c r="C76" s="9">
        <v>4</v>
      </c>
      <c r="D76" s="10">
        <v>120000</v>
      </c>
      <c r="E76" s="10">
        <f t="shared" si="2"/>
        <v>480000</v>
      </c>
      <c r="F76" s="37"/>
      <c r="K76" s="33"/>
      <c r="L76" s="8" t="s">
        <v>56</v>
      </c>
      <c r="M76" s="9">
        <v>0.5</v>
      </c>
      <c r="N76" s="10">
        <v>15000</v>
      </c>
      <c r="O76" s="10">
        <v>8000</v>
      </c>
      <c r="P76" s="42"/>
    </row>
    <row r="77" spans="1:16" ht="14.5">
      <c r="A77" s="33"/>
      <c r="B77" s="8" t="s">
        <v>102</v>
      </c>
      <c r="C77" s="9">
        <v>3</v>
      </c>
      <c r="D77" s="10">
        <v>210000</v>
      </c>
      <c r="E77" s="10">
        <f t="shared" ref="E77:E142" si="9">SUM(C77*D77)</f>
        <v>630000</v>
      </c>
      <c r="F77" s="37"/>
      <c r="K77" s="33"/>
      <c r="L77" s="8" t="s">
        <v>73</v>
      </c>
      <c r="M77" s="9">
        <v>1</v>
      </c>
      <c r="N77" s="10">
        <v>30000</v>
      </c>
      <c r="O77" s="10">
        <f t="shared" ref="O77:O86" si="10">SUM(M77*N77)</f>
        <v>30000</v>
      </c>
      <c r="P77" s="42"/>
    </row>
    <row r="78" spans="1:16" ht="14.5">
      <c r="A78" s="33"/>
      <c r="B78" s="8" t="s">
        <v>70</v>
      </c>
      <c r="C78" s="9">
        <v>15</v>
      </c>
      <c r="D78" s="10">
        <v>2000</v>
      </c>
      <c r="E78" s="10">
        <f t="shared" si="9"/>
        <v>30000</v>
      </c>
      <c r="F78" s="37"/>
      <c r="K78" s="33"/>
      <c r="L78" s="8" t="s">
        <v>58</v>
      </c>
      <c r="M78" s="9">
        <v>1.1399999999999999</v>
      </c>
      <c r="N78" s="10">
        <v>48000</v>
      </c>
      <c r="O78" s="10">
        <v>55000</v>
      </c>
      <c r="P78" s="42"/>
    </row>
    <row r="79" spans="1:16" ht="14.5">
      <c r="A79" s="33"/>
      <c r="B79" s="8" t="s">
        <v>52</v>
      </c>
      <c r="C79" s="9">
        <v>1</v>
      </c>
      <c r="D79" s="10">
        <v>45000</v>
      </c>
      <c r="E79" s="10">
        <f t="shared" si="9"/>
        <v>45000</v>
      </c>
      <c r="F79" s="37"/>
      <c r="K79" s="33"/>
      <c r="L79" s="8" t="s">
        <v>19</v>
      </c>
      <c r="M79" s="9">
        <v>0.5</v>
      </c>
      <c r="N79" s="10">
        <v>30000</v>
      </c>
      <c r="O79" s="10">
        <f t="shared" si="10"/>
        <v>15000</v>
      </c>
      <c r="P79" s="42"/>
    </row>
    <row r="80" spans="1:16" ht="14.5">
      <c r="A80" s="33"/>
      <c r="B80" s="8" t="s">
        <v>103</v>
      </c>
      <c r="C80" s="9">
        <v>1</v>
      </c>
      <c r="D80" s="10">
        <v>30000</v>
      </c>
      <c r="E80" s="10">
        <f t="shared" si="9"/>
        <v>30000</v>
      </c>
      <c r="F80" s="37"/>
      <c r="K80" s="33"/>
      <c r="L80" s="8" t="s">
        <v>29</v>
      </c>
      <c r="M80" s="9">
        <v>1</v>
      </c>
      <c r="N80" s="10">
        <v>100000</v>
      </c>
      <c r="O80" s="10">
        <f t="shared" si="10"/>
        <v>100000</v>
      </c>
      <c r="P80" s="42"/>
    </row>
    <row r="81" spans="1:16" ht="14.5">
      <c r="A81" s="33"/>
      <c r="B81" s="8" t="s">
        <v>93</v>
      </c>
      <c r="C81" s="9">
        <v>2</v>
      </c>
      <c r="D81" s="10">
        <v>25000</v>
      </c>
      <c r="E81" s="10">
        <f t="shared" si="9"/>
        <v>50000</v>
      </c>
      <c r="F81" s="37"/>
      <c r="K81" s="33"/>
      <c r="L81" s="12" t="s">
        <v>31</v>
      </c>
      <c r="M81" s="9">
        <v>4</v>
      </c>
      <c r="N81" s="10">
        <v>24000</v>
      </c>
      <c r="O81" s="10">
        <f t="shared" si="10"/>
        <v>96000</v>
      </c>
      <c r="P81" s="42"/>
    </row>
    <row r="82" spans="1:16" ht="14.5">
      <c r="A82" s="33"/>
      <c r="B82" s="8" t="s">
        <v>25</v>
      </c>
      <c r="C82" s="9">
        <v>1</v>
      </c>
      <c r="D82" s="10">
        <v>38000</v>
      </c>
      <c r="E82" s="10">
        <f t="shared" si="9"/>
        <v>38000</v>
      </c>
      <c r="F82" s="37"/>
      <c r="K82" s="33"/>
      <c r="L82" s="12" t="s">
        <v>43</v>
      </c>
      <c r="M82" s="9">
        <v>1</v>
      </c>
      <c r="N82" s="10">
        <v>40000</v>
      </c>
      <c r="O82" s="10">
        <f t="shared" si="10"/>
        <v>40000</v>
      </c>
      <c r="P82" s="42"/>
    </row>
    <row r="83" spans="1:16" ht="14.5">
      <c r="A83" s="33"/>
      <c r="B83" s="8" t="s">
        <v>104</v>
      </c>
      <c r="C83" s="9">
        <v>25</v>
      </c>
      <c r="D83" s="10">
        <v>1000</v>
      </c>
      <c r="E83" s="10">
        <f t="shared" si="9"/>
        <v>25000</v>
      </c>
      <c r="F83" s="37"/>
      <c r="K83" s="34"/>
      <c r="L83" s="12" t="s">
        <v>97</v>
      </c>
      <c r="M83" s="9">
        <v>4</v>
      </c>
      <c r="N83" s="10">
        <v>20000</v>
      </c>
      <c r="O83" s="10">
        <f t="shared" si="10"/>
        <v>80000</v>
      </c>
      <c r="P83" s="43"/>
    </row>
    <row r="84" spans="1:16" ht="14.5">
      <c r="A84" s="33"/>
      <c r="B84" s="8" t="s">
        <v>105</v>
      </c>
      <c r="C84" s="9">
        <v>0.3</v>
      </c>
      <c r="D84" s="10">
        <v>70000</v>
      </c>
      <c r="E84" s="10">
        <f t="shared" si="9"/>
        <v>21000</v>
      </c>
      <c r="F84" s="37"/>
      <c r="K84" s="32">
        <v>45970</v>
      </c>
      <c r="L84" s="12" t="s">
        <v>23</v>
      </c>
      <c r="M84" s="9">
        <v>10</v>
      </c>
      <c r="N84" s="10">
        <v>10000</v>
      </c>
      <c r="O84" s="10">
        <f t="shared" si="10"/>
        <v>100000</v>
      </c>
      <c r="P84" s="41">
        <f>SUM(O84:O90)</f>
        <v>485000</v>
      </c>
    </row>
    <row r="85" spans="1:16" ht="14.5">
      <c r="A85" s="33"/>
      <c r="B85" s="8" t="s">
        <v>106</v>
      </c>
      <c r="C85" s="9">
        <v>0.3</v>
      </c>
      <c r="D85" s="10">
        <v>80000</v>
      </c>
      <c r="E85" s="10">
        <f t="shared" si="9"/>
        <v>24000</v>
      </c>
      <c r="F85" s="37"/>
      <c r="K85" s="33"/>
      <c r="L85" s="12" t="s">
        <v>54</v>
      </c>
      <c r="M85" s="9">
        <v>3</v>
      </c>
      <c r="N85" s="10">
        <v>20000</v>
      </c>
      <c r="O85" s="10">
        <f t="shared" si="10"/>
        <v>60000</v>
      </c>
      <c r="P85" s="42"/>
    </row>
    <row r="86" spans="1:16" ht="14.5">
      <c r="A86" s="33"/>
      <c r="B86" s="8" t="s">
        <v>107</v>
      </c>
      <c r="C86" s="9">
        <v>0.5</v>
      </c>
      <c r="D86" s="10">
        <v>45000</v>
      </c>
      <c r="E86" s="10">
        <v>23000</v>
      </c>
      <c r="F86" s="37"/>
      <c r="K86" s="33"/>
      <c r="L86" s="12" t="s">
        <v>40</v>
      </c>
      <c r="M86" s="9">
        <v>1</v>
      </c>
      <c r="N86" s="10">
        <v>75000</v>
      </c>
      <c r="O86" s="10">
        <f t="shared" si="10"/>
        <v>75000</v>
      </c>
      <c r="P86" s="42"/>
    </row>
    <row r="87" spans="1:16" ht="14.5">
      <c r="A87" s="34"/>
      <c r="B87" s="8" t="s">
        <v>108</v>
      </c>
      <c r="C87" s="9">
        <v>0.5</v>
      </c>
      <c r="D87" s="10">
        <v>60000</v>
      </c>
      <c r="E87" s="10">
        <f t="shared" si="9"/>
        <v>30000</v>
      </c>
      <c r="F87" s="38"/>
      <c r="K87" s="33"/>
      <c r="L87" s="12" t="s">
        <v>21</v>
      </c>
      <c r="M87" s="9">
        <v>0.3</v>
      </c>
      <c r="N87" s="10">
        <v>15000</v>
      </c>
      <c r="O87" s="10">
        <v>5000</v>
      </c>
      <c r="P87" s="42"/>
    </row>
    <row r="88" spans="1:16" ht="14.5">
      <c r="A88" s="32">
        <v>45966</v>
      </c>
      <c r="B88" s="8" t="s">
        <v>109</v>
      </c>
      <c r="C88" s="9">
        <v>0.3</v>
      </c>
      <c r="D88" s="10">
        <v>80000</v>
      </c>
      <c r="E88" s="10">
        <f t="shared" si="9"/>
        <v>24000</v>
      </c>
      <c r="F88" s="36">
        <f>SUM(E88:E90)</f>
        <v>58000</v>
      </c>
      <c r="K88" s="33"/>
      <c r="L88" s="12" t="s">
        <v>29</v>
      </c>
      <c r="M88" s="9">
        <v>1</v>
      </c>
      <c r="N88" s="10">
        <v>100000</v>
      </c>
      <c r="O88" s="10">
        <f t="shared" ref="O88:O93" si="11">SUM(M88*N88)</f>
        <v>100000</v>
      </c>
      <c r="P88" s="42"/>
    </row>
    <row r="89" spans="1:16" ht="14.5">
      <c r="A89" s="33"/>
      <c r="B89" s="8" t="s">
        <v>19</v>
      </c>
      <c r="C89" s="9">
        <v>0.3</v>
      </c>
      <c r="D89" s="10">
        <v>30000</v>
      </c>
      <c r="E89" s="10">
        <f t="shared" si="9"/>
        <v>9000</v>
      </c>
      <c r="F89" s="37"/>
      <c r="K89" s="33"/>
      <c r="L89" s="12" t="s">
        <v>31</v>
      </c>
      <c r="M89" s="9">
        <v>4</v>
      </c>
      <c r="N89" s="10">
        <v>24000</v>
      </c>
      <c r="O89" s="10">
        <f t="shared" si="11"/>
        <v>96000</v>
      </c>
      <c r="P89" s="42"/>
    </row>
    <row r="90" spans="1:16" ht="14.5">
      <c r="A90" s="34"/>
      <c r="B90" s="8" t="s">
        <v>110</v>
      </c>
      <c r="C90" s="9">
        <v>0.25</v>
      </c>
      <c r="D90" s="10">
        <v>100000</v>
      </c>
      <c r="E90" s="10">
        <f t="shared" si="9"/>
        <v>25000</v>
      </c>
      <c r="F90" s="38"/>
      <c r="K90" s="34"/>
      <c r="L90" s="12" t="s">
        <v>66</v>
      </c>
      <c r="M90" s="9">
        <v>1</v>
      </c>
      <c r="N90" s="10">
        <v>49000</v>
      </c>
      <c r="O90" s="10">
        <f t="shared" si="11"/>
        <v>49000</v>
      </c>
      <c r="P90" s="43"/>
    </row>
    <row r="91" spans="1:16" ht="14.5">
      <c r="A91" s="32">
        <v>45967</v>
      </c>
      <c r="B91" s="8" t="s">
        <v>59</v>
      </c>
      <c r="C91" s="9">
        <v>3</v>
      </c>
      <c r="D91" s="10">
        <v>22000</v>
      </c>
      <c r="E91" s="10">
        <f t="shared" si="9"/>
        <v>66000</v>
      </c>
      <c r="F91" s="36">
        <f>SUM(E91:E103)</f>
        <v>953000</v>
      </c>
      <c r="K91" s="32">
        <v>45971</v>
      </c>
      <c r="L91" s="12" t="s">
        <v>23</v>
      </c>
      <c r="M91" s="9">
        <v>15</v>
      </c>
      <c r="N91" s="10">
        <v>10000</v>
      </c>
      <c r="O91" s="10">
        <f t="shared" si="11"/>
        <v>150000</v>
      </c>
      <c r="P91" s="41">
        <f>SUM(O91:O105)</f>
        <v>1074000</v>
      </c>
    </row>
    <row r="92" spans="1:16" ht="14.5">
      <c r="A92" s="33"/>
      <c r="B92" s="8" t="s">
        <v>42</v>
      </c>
      <c r="C92" s="9">
        <v>1</v>
      </c>
      <c r="D92" s="10">
        <v>160000</v>
      </c>
      <c r="E92" s="10">
        <f t="shared" si="9"/>
        <v>160000</v>
      </c>
      <c r="F92" s="37"/>
      <c r="K92" s="33"/>
      <c r="L92" s="12" t="s">
        <v>54</v>
      </c>
      <c r="M92" s="9">
        <v>4</v>
      </c>
      <c r="N92" s="10">
        <v>20000</v>
      </c>
      <c r="O92" s="10">
        <f t="shared" si="11"/>
        <v>80000</v>
      </c>
      <c r="P92" s="42"/>
    </row>
    <row r="93" spans="1:16" ht="14.5">
      <c r="A93" s="33"/>
      <c r="B93" s="8" t="s">
        <v>111</v>
      </c>
      <c r="C93" s="9">
        <v>1</v>
      </c>
      <c r="D93" s="10">
        <v>200000</v>
      </c>
      <c r="E93" s="10">
        <f t="shared" si="9"/>
        <v>200000</v>
      </c>
      <c r="F93" s="37"/>
      <c r="K93" s="33"/>
      <c r="L93" s="12" t="s">
        <v>16</v>
      </c>
      <c r="M93" s="9">
        <v>2</v>
      </c>
      <c r="N93" s="10">
        <v>65000</v>
      </c>
      <c r="O93" s="10">
        <f t="shared" si="11"/>
        <v>130000</v>
      </c>
      <c r="P93" s="42"/>
    </row>
    <row r="94" spans="1:16" ht="14.5">
      <c r="A94" s="33"/>
      <c r="B94" s="8" t="s">
        <v>87</v>
      </c>
      <c r="C94" s="9">
        <v>1</v>
      </c>
      <c r="D94" s="10">
        <v>160000</v>
      </c>
      <c r="E94" s="10">
        <f t="shared" si="9"/>
        <v>160000</v>
      </c>
      <c r="F94" s="37"/>
      <c r="K94" s="33"/>
      <c r="L94" s="12" t="s">
        <v>21</v>
      </c>
      <c r="M94" s="9">
        <v>0.3</v>
      </c>
      <c r="N94" s="10">
        <v>15000</v>
      </c>
      <c r="O94" s="10">
        <v>5000</v>
      </c>
      <c r="P94" s="42"/>
    </row>
    <row r="95" spans="1:16" ht="14.5">
      <c r="A95" s="33"/>
      <c r="B95" s="8" t="s">
        <v>112</v>
      </c>
      <c r="C95" s="9">
        <v>2</v>
      </c>
      <c r="D95" s="10">
        <v>50000</v>
      </c>
      <c r="E95" s="10">
        <f t="shared" si="9"/>
        <v>100000</v>
      </c>
      <c r="F95" s="37"/>
      <c r="K95" s="33"/>
      <c r="L95" s="12" t="s">
        <v>56</v>
      </c>
      <c r="M95" s="9">
        <v>1</v>
      </c>
      <c r="N95" s="10">
        <v>15000</v>
      </c>
      <c r="O95" s="10">
        <f t="shared" ref="O95:O100" si="12">SUM(M95*N95)</f>
        <v>15000</v>
      </c>
      <c r="P95" s="42"/>
    </row>
    <row r="96" spans="1:16" ht="14.5">
      <c r="A96" s="33"/>
      <c r="B96" s="8" t="s">
        <v>93</v>
      </c>
      <c r="C96" s="9">
        <v>1</v>
      </c>
      <c r="D96" s="10">
        <v>25000</v>
      </c>
      <c r="E96" s="10">
        <f t="shared" si="9"/>
        <v>25000</v>
      </c>
      <c r="F96" s="37"/>
      <c r="K96" s="33"/>
      <c r="L96" s="12" t="s">
        <v>73</v>
      </c>
      <c r="M96" s="9">
        <v>1.07</v>
      </c>
      <c r="N96" s="10">
        <v>30000</v>
      </c>
      <c r="O96" s="10">
        <v>32000</v>
      </c>
      <c r="P96" s="42"/>
    </row>
    <row r="97" spans="1:16" ht="14.5">
      <c r="A97" s="33"/>
      <c r="B97" s="8" t="s">
        <v>94</v>
      </c>
      <c r="C97" s="9">
        <v>1</v>
      </c>
      <c r="D97" s="10">
        <v>60000</v>
      </c>
      <c r="E97" s="10">
        <f t="shared" si="9"/>
        <v>60000</v>
      </c>
      <c r="F97" s="37"/>
      <c r="K97" s="33"/>
      <c r="L97" s="12" t="s">
        <v>62</v>
      </c>
      <c r="M97" s="9">
        <v>0.2</v>
      </c>
      <c r="N97" s="10">
        <v>60000</v>
      </c>
      <c r="O97" s="10">
        <f t="shared" si="12"/>
        <v>12000</v>
      </c>
      <c r="P97" s="42"/>
    </row>
    <row r="98" spans="1:16" ht="14.5">
      <c r="A98" s="33"/>
      <c r="B98" s="8" t="s">
        <v>71</v>
      </c>
      <c r="C98" s="9">
        <v>1.1950000000000001</v>
      </c>
      <c r="D98" s="10">
        <v>28000</v>
      </c>
      <c r="E98" s="10">
        <v>33000</v>
      </c>
      <c r="F98" s="37"/>
      <c r="K98" s="33"/>
      <c r="L98" s="12" t="s">
        <v>27</v>
      </c>
      <c r="M98" s="9">
        <v>1</v>
      </c>
      <c r="N98" s="10">
        <v>48000</v>
      </c>
      <c r="O98" s="10">
        <f t="shared" si="12"/>
        <v>48000</v>
      </c>
      <c r="P98" s="42"/>
    </row>
    <row r="99" spans="1:16" ht="14.5">
      <c r="A99" s="33"/>
      <c r="B99" s="8" t="s">
        <v>19</v>
      </c>
      <c r="C99" s="9">
        <v>0.2</v>
      </c>
      <c r="D99" s="10">
        <v>30000</v>
      </c>
      <c r="E99" s="10">
        <f t="shared" si="9"/>
        <v>6000</v>
      </c>
      <c r="F99" s="37"/>
      <c r="K99" s="33"/>
      <c r="L99" s="12" t="s">
        <v>19</v>
      </c>
      <c r="M99" s="9">
        <v>0.5</v>
      </c>
      <c r="N99" s="10">
        <v>30000</v>
      </c>
      <c r="O99" s="10">
        <f t="shared" si="12"/>
        <v>15000</v>
      </c>
      <c r="P99" s="42"/>
    </row>
    <row r="100" spans="1:16" ht="14.5">
      <c r="A100" s="33"/>
      <c r="B100" s="8" t="s">
        <v>44</v>
      </c>
      <c r="C100" s="9">
        <v>1</v>
      </c>
      <c r="D100" s="10">
        <v>90000</v>
      </c>
      <c r="E100" s="10">
        <f t="shared" si="9"/>
        <v>90000</v>
      </c>
      <c r="F100" s="37"/>
      <c r="K100" s="33"/>
      <c r="L100" s="12" t="s">
        <v>25</v>
      </c>
      <c r="M100" s="9">
        <v>2</v>
      </c>
      <c r="N100" s="10">
        <v>38000</v>
      </c>
      <c r="O100" s="10">
        <f t="shared" si="12"/>
        <v>76000</v>
      </c>
      <c r="P100" s="42"/>
    </row>
    <row r="101" spans="1:16" ht="14.5">
      <c r="A101" s="33"/>
      <c r="B101" s="8" t="s">
        <v>80</v>
      </c>
      <c r="C101" s="9">
        <v>1</v>
      </c>
      <c r="D101" s="10">
        <v>30000</v>
      </c>
      <c r="E101" s="10">
        <f t="shared" si="9"/>
        <v>30000</v>
      </c>
      <c r="F101" s="37"/>
      <c r="K101" s="33"/>
      <c r="L101" s="12" t="s">
        <v>51</v>
      </c>
      <c r="M101" s="9">
        <v>1.08</v>
      </c>
      <c r="N101" s="10">
        <v>38000</v>
      </c>
      <c r="O101" s="10">
        <v>41000</v>
      </c>
      <c r="P101" s="42"/>
    </row>
    <row r="102" spans="1:16" ht="14.5">
      <c r="A102" s="33"/>
      <c r="B102" s="8" t="s">
        <v>79</v>
      </c>
      <c r="C102" s="9">
        <v>0.1</v>
      </c>
      <c r="D102" s="10">
        <v>80000</v>
      </c>
      <c r="E102" s="10">
        <f t="shared" si="9"/>
        <v>8000</v>
      </c>
      <c r="F102" s="37"/>
      <c r="K102" s="33"/>
      <c r="L102" s="12" t="s">
        <v>29</v>
      </c>
      <c r="M102" s="9">
        <v>1</v>
      </c>
      <c r="N102" s="10">
        <v>100000</v>
      </c>
      <c r="O102" s="10">
        <f t="shared" ref="O102:O108" si="13">SUM(M102*N102)</f>
        <v>100000</v>
      </c>
      <c r="P102" s="42"/>
    </row>
    <row r="103" spans="1:16" ht="14.5">
      <c r="A103" s="34"/>
      <c r="B103" s="8" t="s">
        <v>98</v>
      </c>
      <c r="C103" s="9">
        <v>1</v>
      </c>
      <c r="D103" s="10">
        <v>15000</v>
      </c>
      <c r="E103" s="10">
        <f t="shared" si="9"/>
        <v>15000</v>
      </c>
      <c r="F103" s="38"/>
      <c r="K103" s="33"/>
      <c r="L103" s="12" t="s">
        <v>31</v>
      </c>
      <c r="M103" s="9">
        <v>10</v>
      </c>
      <c r="N103" s="10">
        <v>24000</v>
      </c>
      <c r="O103" s="10">
        <f t="shared" si="13"/>
        <v>240000</v>
      </c>
      <c r="P103" s="42"/>
    </row>
    <row r="104" spans="1:16">
      <c r="A104" s="18">
        <v>45967</v>
      </c>
      <c r="B104" s="8" t="s">
        <v>97</v>
      </c>
      <c r="C104" s="9">
        <v>2</v>
      </c>
      <c r="D104" s="10">
        <v>20000</v>
      </c>
      <c r="E104" s="10">
        <f t="shared" si="9"/>
        <v>40000</v>
      </c>
      <c r="F104" s="21">
        <f>SUM(E104)</f>
        <v>40000</v>
      </c>
      <c r="K104" s="33"/>
      <c r="L104" s="12" t="s">
        <v>43</v>
      </c>
      <c r="M104" s="9">
        <v>1</v>
      </c>
      <c r="N104" s="10">
        <v>40000</v>
      </c>
      <c r="O104" s="10">
        <f t="shared" si="13"/>
        <v>40000</v>
      </c>
      <c r="P104" s="42"/>
    </row>
    <row r="105" spans="1:16">
      <c r="A105" s="18">
        <v>45968</v>
      </c>
      <c r="B105" s="8" t="s">
        <v>91</v>
      </c>
      <c r="C105" s="9">
        <v>1</v>
      </c>
      <c r="D105" s="10">
        <v>130000</v>
      </c>
      <c r="E105" s="10">
        <f t="shared" si="9"/>
        <v>130000</v>
      </c>
      <c r="F105" s="21">
        <f>SUM(E105)</f>
        <v>130000</v>
      </c>
      <c r="G105" s="14"/>
      <c r="K105" s="34"/>
      <c r="L105" s="12" t="s">
        <v>75</v>
      </c>
      <c r="M105" s="9">
        <v>2</v>
      </c>
      <c r="N105" s="10">
        <v>45000</v>
      </c>
      <c r="O105" s="10">
        <f t="shared" si="13"/>
        <v>90000</v>
      </c>
      <c r="P105" s="43"/>
    </row>
    <row r="106" spans="1:16" ht="14.5">
      <c r="A106" s="32">
        <v>45968</v>
      </c>
      <c r="B106" s="8" t="s">
        <v>36</v>
      </c>
      <c r="C106" s="9">
        <v>2</v>
      </c>
      <c r="D106" s="10">
        <v>15000</v>
      </c>
      <c r="E106" s="10">
        <f t="shared" si="9"/>
        <v>30000</v>
      </c>
      <c r="F106" s="36">
        <f>SUM(E106:E117)</f>
        <v>2181000</v>
      </c>
      <c r="G106" s="14"/>
      <c r="K106" s="32">
        <v>45971</v>
      </c>
      <c r="L106" s="12" t="s">
        <v>23</v>
      </c>
      <c r="M106" s="9">
        <v>10</v>
      </c>
      <c r="N106" s="10">
        <v>10000</v>
      </c>
      <c r="O106" s="10">
        <f t="shared" si="13"/>
        <v>100000</v>
      </c>
      <c r="P106" s="41">
        <f>SUM(O106:O121)</f>
        <v>1181000</v>
      </c>
    </row>
    <row r="107" spans="1:16" ht="14.5">
      <c r="A107" s="33"/>
      <c r="B107" s="8" t="s">
        <v>113</v>
      </c>
      <c r="C107" s="9">
        <v>2</v>
      </c>
      <c r="D107" s="10">
        <v>55000</v>
      </c>
      <c r="E107" s="10">
        <f t="shared" si="9"/>
        <v>110000</v>
      </c>
      <c r="F107" s="37"/>
      <c r="G107" s="14"/>
      <c r="K107" s="33"/>
      <c r="L107" s="12" t="s">
        <v>54</v>
      </c>
      <c r="M107" s="9">
        <v>2</v>
      </c>
      <c r="N107" s="10">
        <v>20000</v>
      </c>
      <c r="O107" s="10">
        <f t="shared" si="13"/>
        <v>40000</v>
      </c>
      <c r="P107" s="42"/>
    </row>
    <row r="108" spans="1:16" ht="14.5">
      <c r="A108" s="33"/>
      <c r="B108" s="8" t="s">
        <v>69</v>
      </c>
      <c r="C108" s="9">
        <v>0.3</v>
      </c>
      <c r="D108" s="10">
        <v>80000</v>
      </c>
      <c r="E108" s="10">
        <f t="shared" si="9"/>
        <v>24000</v>
      </c>
      <c r="F108" s="37"/>
      <c r="G108" s="14"/>
      <c r="K108" s="33"/>
      <c r="L108" s="12" t="s">
        <v>16</v>
      </c>
      <c r="M108" s="9">
        <v>4</v>
      </c>
      <c r="N108" s="10">
        <v>75000</v>
      </c>
      <c r="O108" s="10">
        <f t="shared" si="13"/>
        <v>300000</v>
      </c>
      <c r="P108" s="42"/>
    </row>
    <row r="109" spans="1:16" ht="14.5">
      <c r="A109" s="33"/>
      <c r="B109" s="8" t="s">
        <v>47</v>
      </c>
      <c r="C109" s="9">
        <v>2</v>
      </c>
      <c r="D109" s="10">
        <v>170000</v>
      </c>
      <c r="E109" s="10">
        <f t="shared" si="9"/>
        <v>340000</v>
      </c>
      <c r="F109" s="37"/>
      <c r="G109" s="14"/>
      <c r="K109" s="33"/>
      <c r="L109" s="12" t="s">
        <v>21</v>
      </c>
      <c r="M109" s="9">
        <v>0.3</v>
      </c>
      <c r="N109" s="10">
        <v>15000</v>
      </c>
      <c r="O109" s="10">
        <v>5000</v>
      </c>
      <c r="P109" s="42"/>
    </row>
    <row r="110" spans="1:16" ht="14.5">
      <c r="A110" s="33"/>
      <c r="B110" s="8" t="s">
        <v>49</v>
      </c>
      <c r="C110" s="9">
        <v>2</v>
      </c>
      <c r="D110" s="10">
        <v>330000</v>
      </c>
      <c r="E110" s="10">
        <f t="shared" si="9"/>
        <v>660000</v>
      </c>
      <c r="F110" s="37"/>
      <c r="G110" s="14"/>
      <c r="K110" s="33"/>
      <c r="L110" s="12" t="s">
        <v>56</v>
      </c>
      <c r="M110" s="9">
        <v>1.1599999999999999</v>
      </c>
      <c r="N110" s="10">
        <v>15000</v>
      </c>
      <c r="O110" s="10">
        <v>17000</v>
      </c>
      <c r="P110" s="42"/>
    </row>
    <row r="111" spans="1:16" ht="14.5">
      <c r="A111" s="33"/>
      <c r="B111" s="8" t="s">
        <v>24</v>
      </c>
      <c r="C111" s="9">
        <v>4</v>
      </c>
      <c r="D111" s="10">
        <v>90000</v>
      </c>
      <c r="E111" s="10">
        <f t="shared" si="9"/>
        <v>360000</v>
      </c>
      <c r="F111" s="37"/>
      <c r="G111" s="14"/>
      <c r="K111" s="33"/>
      <c r="L111" s="12" t="s">
        <v>73</v>
      </c>
      <c r="M111" s="9">
        <v>1</v>
      </c>
      <c r="N111" s="10">
        <v>30000</v>
      </c>
      <c r="O111" s="10">
        <f t="shared" ref="O111:O114" si="14">SUM(M111*N111)</f>
        <v>30000</v>
      </c>
      <c r="P111" s="42"/>
    </row>
    <row r="112" spans="1:16" ht="14.5">
      <c r="A112" s="33"/>
      <c r="B112" s="8" t="s">
        <v>41</v>
      </c>
      <c r="C112" s="9">
        <v>1</v>
      </c>
      <c r="D112" s="10">
        <v>100000</v>
      </c>
      <c r="E112" s="10">
        <f t="shared" si="9"/>
        <v>100000</v>
      </c>
      <c r="F112" s="37"/>
      <c r="G112" s="14"/>
      <c r="K112" s="33"/>
      <c r="L112" s="12" t="s">
        <v>62</v>
      </c>
      <c r="M112" s="9">
        <v>0.2</v>
      </c>
      <c r="N112" s="10">
        <v>60000</v>
      </c>
      <c r="O112" s="10">
        <f t="shared" si="14"/>
        <v>12000</v>
      </c>
      <c r="P112" s="42"/>
    </row>
    <row r="113" spans="1:16" ht="14.5">
      <c r="A113" s="33"/>
      <c r="B113" s="8" t="s">
        <v>65</v>
      </c>
      <c r="C113" s="9">
        <v>1</v>
      </c>
      <c r="D113" s="10">
        <v>230000</v>
      </c>
      <c r="E113" s="10">
        <f t="shared" si="9"/>
        <v>230000</v>
      </c>
      <c r="F113" s="37"/>
      <c r="G113" s="14"/>
      <c r="K113" s="33"/>
      <c r="L113" s="12" t="s">
        <v>27</v>
      </c>
      <c r="M113" s="9">
        <v>1</v>
      </c>
      <c r="N113" s="10">
        <v>48000</v>
      </c>
      <c r="O113" s="10">
        <f t="shared" si="14"/>
        <v>48000</v>
      </c>
      <c r="P113" s="42"/>
    </row>
    <row r="114" spans="1:16" ht="14.5">
      <c r="A114" s="33"/>
      <c r="B114" s="8" t="s">
        <v>114</v>
      </c>
      <c r="C114" s="9">
        <v>2</v>
      </c>
      <c r="D114" s="10">
        <v>70000</v>
      </c>
      <c r="E114" s="10">
        <f t="shared" si="9"/>
        <v>140000</v>
      </c>
      <c r="F114" s="37"/>
      <c r="G114" s="14"/>
      <c r="K114" s="33"/>
      <c r="L114" s="12" t="s">
        <v>19</v>
      </c>
      <c r="M114" s="9">
        <v>0.5</v>
      </c>
      <c r="N114" s="10">
        <v>30000</v>
      </c>
      <c r="O114" s="10">
        <f t="shared" si="14"/>
        <v>15000</v>
      </c>
      <c r="P114" s="42"/>
    </row>
    <row r="115" spans="1:16" ht="14.5">
      <c r="A115" s="33"/>
      <c r="B115" s="8" t="s">
        <v>115</v>
      </c>
      <c r="C115" s="9">
        <v>2</v>
      </c>
      <c r="D115" s="10">
        <v>35000</v>
      </c>
      <c r="E115" s="10">
        <f t="shared" si="9"/>
        <v>70000</v>
      </c>
      <c r="F115" s="37"/>
      <c r="G115" s="14"/>
      <c r="K115" s="33"/>
      <c r="L115" s="12" t="s">
        <v>25</v>
      </c>
      <c r="M115" s="9">
        <v>2.2650000000000001</v>
      </c>
      <c r="N115" s="10">
        <v>38000</v>
      </c>
      <c r="O115" s="10">
        <v>86000</v>
      </c>
      <c r="P115" s="42"/>
    </row>
    <row r="116" spans="1:16" ht="14.5">
      <c r="A116" s="33"/>
      <c r="B116" s="8" t="s">
        <v>116</v>
      </c>
      <c r="C116" s="9">
        <v>1</v>
      </c>
      <c r="D116" s="10">
        <v>32000</v>
      </c>
      <c r="E116" s="10">
        <f t="shared" si="9"/>
        <v>32000</v>
      </c>
      <c r="F116" s="37"/>
      <c r="G116" s="14"/>
      <c r="K116" s="33"/>
      <c r="L116" s="12" t="s">
        <v>51</v>
      </c>
      <c r="M116" s="9">
        <v>1.2</v>
      </c>
      <c r="N116" s="10">
        <v>38000</v>
      </c>
      <c r="O116" s="10">
        <v>46000</v>
      </c>
      <c r="P116" s="42"/>
    </row>
    <row r="117" spans="1:16" ht="14.5">
      <c r="A117" s="34"/>
      <c r="B117" s="8" t="s">
        <v>117</v>
      </c>
      <c r="C117" s="9">
        <v>2</v>
      </c>
      <c r="D117" s="10">
        <v>42500</v>
      </c>
      <c r="E117" s="10">
        <f t="shared" si="9"/>
        <v>85000</v>
      </c>
      <c r="F117" s="38"/>
      <c r="G117" s="14"/>
      <c r="K117" s="33"/>
      <c r="L117" s="12" t="s">
        <v>29</v>
      </c>
      <c r="M117" s="9">
        <v>1</v>
      </c>
      <c r="N117" s="10">
        <v>100000</v>
      </c>
      <c r="O117" s="10">
        <f t="shared" ref="O117:O119" si="15">SUM(M117*N117)</f>
        <v>100000</v>
      </c>
      <c r="P117" s="42"/>
    </row>
    <row r="118" spans="1:16" ht="14.5">
      <c r="A118" s="32">
        <v>45969</v>
      </c>
      <c r="B118" s="8" t="s">
        <v>109</v>
      </c>
      <c r="C118" s="9">
        <v>0.3</v>
      </c>
      <c r="D118" s="10">
        <v>80000</v>
      </c>
      <c r="E118" s="10">
        <f t="shared" si="9"/>
        <v>24000</v>
      </c>
      <c r="F118" s="36">
        <f>SUM(E118:E127)</f>
        <v>2684000</v>
      </c>
      <c r="G118" s="14"/>
      <c r="K118" s="33"/>
      <c r="L118" s="12" t="s">
        <v>31</v>
      </c>
      <c r="M118" s="9">
        <v>10</v>
      </c>
      <c r="N118" s="10">
        <v>24000</v>
      </c>
      <c r="O118" s="10">
        <f t="shared" si="15"/>
        <v>240000</v>
      </c>
      <c r="P118" s="42"/>
    </row>
    <row r="119" spans="1:16" ht="14.5">
      <c r="A119" s="33"/>
      <c r="B119" s="8" t="s">
        <v>80</v>
      </c>
      <c r="C119" s="9">
        <v>1</v>
      </c>
      <c r="D119" s="10">
        <v>30000</v>
      </c>
      <c r="E119" s="10">
        <f t="shared" si="9"/>
        <v>30000</v>
      </c>
      <c r="F119" s="37"/>
      <c r="G119" s="14"/>
      <c r="K119" s="33"/>
      <c r="L119" s="12" t="s">
        <v>43</v>
      </c>
      <c r="M119" s="9">
        <v>1</v>
      </c>
      <c r="N119" s="10">
        <v>40000</v>
      </c>
      <c r="O119" s="10">
        <f t="shared" si="15"/>
        <v>40000</v>
      </c>
      <c r="P119" s="42"/>
    </row>
    <row r="120" spans="1:16" ht="14.5">
      <c r="A120" s="33"/>
      <c r="B120" s="8" t="s">
        <v>82</v>
      </c>
      <c r="C120" s="9">
        <v>2</v>
      </c>
      <c r="D120" s="10">
        <v>200000</v>
      </c>
      <c r="E120" s="10">
        <f t="shared" si="9"/>
        <v>400000</v>
      </c>
      <c r="F120" s="37"/>
      <c r="G120" s="14"/>
      <c r="K120" s="33"/>
      <c r="L120" s="12" t="s">
        <v>75</v>
      </c>
      <c r="M120" s="9">
        <v>1.155</v>
      </c>
      <c r="N120" s="10">
        <v>45000</v>
      </c>
      <c r="O120" s="10">
        <v>52000</v>
      </c>
      <c r="P120" s="42"/>
    </row>
    <row r="121" spans="1:16" ht="14.5">
      <c r="A121" s="33"/>
      <c r="B121" s="8" t="s">
        <v>118</v>
      </c>
      <c r="C121" s="9">
        <v>2</v>
      </c>
      <c r="D121" s="10">
        <v>55000</v>
      </c>
      <c r="E121" s="10">
        <f t="shared" si="9"/>
        <v>110000</v>
      </c>
      <c r="F121" s="37"/>
      <c r="G121" s="14"/>
      <c r="K121" s="34"/>
      <c r="L121" s="12" t="s">
        <v>23</v>
      </c>
      <c r="M121" s="9">
        <v>5</v>
      </c>
      <c r="N121" s="10">
        <v>10000</v>
      </c>
      <c r="O121" s="10">
        <f t="shared" ref="O121:O124" si="16">SUM(M121*N121)</f>
        <v>50000</v>
      </c>
      <c r="P121" s="43"/>
    </row>
    <row r="122" spans="1:16">
      <c r="A122" s="33"/>
      <c r="B122" s="8" t="s">
        <v>22</v>
      </c>
      <c r="C122" s="9">
        <v>2</v>
      </c>
      <c r="D122" s="10">
        <v>360000</v>
      </c>
      <c r="E122" s="10">
        <f t="shared" si="9"/>
        <v>720000</v>
      </c>
      <c r="F122" s="37"/>
      <c r="G122" s="14"/>
      <c r="K122" s="18">
        <v>45971</v>
      </c>
      <c r="L122" s="12" t="s">
        <v>66</v>
      </c>
      <c r="M122" s="9">
        <v>4</v>
      </c>
      <c r="N122" s="10">
        <v>49000</v>
      </c>
      <c r="O122" s="10">
        <f t="shared" si="16"/>
        <v>196000</v>
      </c>
      <c r="P122" s="25">
        <f>SUM(O122)</f>
        <v>196000</v>
      </c>
    </row>
    <row r="123" spans="1:16" ht="14.5">
      <c r="A123" s="33"/>
      <c r="B123" s="26" t="s">
        <v>119</v>
      </c>
      <c r="C123" s="9">
        <v>2</v>
      </c>
      <c r="D123" s="10">
        <v>270000</v>
      </c>
      <c r="E123" s="10">
        <f t="shared" si="9"/>
        <v>540000</v>
      </c>
      <c r="F123" s="37"/>
      <c r="G123" s="14"/>
      <c r="K123" s="35">
        <v>45977</v>
      </c>
      <c r="L123" s="12" t="s">
        <v>23</v>
      </c>
      <c r="M123" s="9">
        <v>8</v>
      </c>
      <c r="N123" s="10">
        <v>10000</v>
      </c>
      <c r="O123" s="10">
        <f t="shared" si="16"/>
        <v>80000</v>
      </c>
      <c r="P123" s="44">
        <f>SUM(O123:O127)</f>
        <v>389000</v>
      </c>
    </row>
    <row r="124" spans="1:16" ht="14.5">
      <c r="A124" s="33"/>
      <c r="B124" s="8" t="s">
        <v>24</v>
      </c>
      <c r="C124" s="27">
        <v>3</v>
      </c>
      <c r="D124" s="24">
        <v>90000</v>
      </c>
      <c r="E124" s="10">
        <f t="shared" si="9"/>
        <v>270000</v>
      </c>
      <c r="F124" s="37"/>
      <c r="G124" s="14"/>
      <c r="K124" s="35"/>
      <c r="L124" s="12" t="s">
        <v>54</v>
      </c>
      <c r="M124" s="9">
        <v>3</v>
      </c>
      <c r="N124" s="10">
        <v>25000</v>
      </c>
      <c r="O124" s="10">
        <f t="shared" si="16"/>
        <v>75000</v>
      </c>
      <c r="P124" s="44"/>
    </row>
    <row r="125" spans="1:16" ht="14.5">
      <c r="A125" s="33"/>
      <c r="B125" s="8" t="s">
        <v>44</v>
      </c>
      <c r="C125" s="9">
        <v>2</v>
      </c>
      <c r="D125" s="10">
        <v>90000</v>
      </c>
      <c r="E125" s="10">
        <f t="shared" si="9"/>
        <v>180000</v>
      </c>
      <c r="F125" s="37"/>
      <c r="G125" s="14"/>
      <c r="K125" s="35"/>
      <c r="L125" s="12" t="s">
        <v>16</v>
      </c>
      <c r="M125" s="9">
        <v>2.1800000000000002</v>
      </c>
      <c r="N125" s="10">
        <v>75000</v>
      </c>
      <c r="O125" s="10">
        <v>164000</v>
      </c>
      <c r="P125" s="44"/>
    </row>
    <row r="126" spans="1:16" ht="14.5">
      <c r="A126" s="33"/>
      <c r="B126" s="8" t="s">
        <v>26</v>
      </c>
      <c r="C126" s="9">
        <v>2</v>
      </c>
      <c r="D126" s="10">
        <v>35000</v>
      </c>
      <c r="E126" s="10">
        <f t="shared" si="9"/>
        <v>70000</v>
      </c>
      <c r="F126" s="37"/>
      <c r="G126" s="14"/>
      <c r="K126" s="35"/>
      <c r="L126" s="12" t="s">
        <v>89</v>
      </c>
      <c r="M126" s="9">
        <v>1</v>
      </c>
      <c r="N126" s="10">
        <v>35000</v>
      </c>
      <c r="O126" s="10">
        <f t="shared" ref="O126:O130" si="17">SUM(M126*N126)</f>
        <v>35000</v>
      </c>
      <c r="P126" s="44"/>
    </row>
    <row r="127" spans="1:16" ht="14.5">
      <c r="A127" s="34"/>
      <c r="B127" s="8" t="s">
        <v>38</v>
      </c>
      <c r="C127" s="9">
        <v>2</v>
      </c>
      <c r="D127" s="10">
        <v>170000</v>
      </c>
      <c r="E127" s="10">
        <f t="shared" si="9"/>
        <v>340000</v>
      </c>
      <c r="F127" s="38"/>
      <c r="G127" s="14"/>
      <c r="K127" s="35"/>
      <c r="L127" s="12" t="s">
        <v>37</v>
      </c>
      <c r="M127" s="9">
        <v>1</v>
      </c>
      <c r="N127" s="10">
        <v>35000</v>
      </c>
      <c r="O127" s="10">
        <f t="shared" si="17"/>
        <v>35000</v>
      </c>
      <c r="P127" s="44"/>
    </row>
    <row r="128" spans="1:16" ht="14.5">
      <c r="A128" s="33">
        <v>45970</v>
      </c>
      <c r="B128" s="8" t="s">
        <v>120</v>
      </c>
      <c r="C128" s="9">
        <v>1.5</v>
      </c>
      <c r="D128" s="10">
        <v>70000</v>
      </c>
      <c r="E128" s="10">
        <f t="shared" si="9"/>
        <v>105000</v>
      </c>
      <c r="F128" s="37">
        <f>SUM(E128:E137)</f>
        <v>1218000</v>
      </c>
      <c r="G128" s="14"/>
      <c r="K128" s="33">
        <v>45978</v>
      </c>
      <c r="L128" s="28" t="s">
        <v>73</v>
      </c>
      <c r="M128" s="27">
        <v>1</v>
      </c>
      <c r="N128" s="24">
        <v>30000</v>
      </c>
      <c r="O128" s="10">
        <f t="shared" si="17"/>
        <v>30000</v>
      </c>
      <c r="P128" s="41">
        <f>SUM(O128:O134)</f>
        <v>543000</v>
      </c>
    </row>
    <row r="129" spans="1:16" ht="14.5">
      <c r="A129" s="33"/>
      <c r="B129" s="8" t="s">
        <v>121</v>
      </c>
      <c r="C129" s="9">
        <v>1</v>
      </c>
      <c r="D129" s="10">
        <v>275000</v>
      </c>
      <c r="E129" s="10">
        <f t="shared" si="9"/>
        <v>275000</v>
      </c>
      <c r="F129" s="37"/>
      <c r="G129" s="14"/>
      <c r="K129" s="33"/>
      <c r="L129" s="12" t="s">
        <v>16</v>
      </c>
      <c r="M129" s="9">
        <v>2</v>
      </c>
      <c r="N129" s="10">
        <v>75000</v>
      </c>
      <c r="O129" s="10">
        <f t="shared" si="17"/>
        <v>150000</v>
      </c>
      <c r="P129" s="42"/>
    </row>
    <row r="130" spans="1:16" ht="14.5">
      <c r="A130" s="33"/>
      <c r="B130" s="8" t="s">
        <v>122</v>
      </c>
      <c r="C130" s="9">
        <v>1</v>
      </c>
      <c r="D130" s="10">
        <v>200000</v>
      </c>
      <c r="E130" s="10">
        <f t="shared" si="9"/>
        <v>200000</v>
      </c>
      <c r="F130" s="37"/>
      <c r="G130" s="14"/>
      <c r="K130" s="33"/>
      <c r="L130" s="12" t="s">
        <v>12</v>
      </c>
      <c r="M130" s="9">
        <v>4</v>
      </c>
      <c r="N130" s="10">
        <v>25000</v>
      </c>
      <c r="O130" s="10">
        <f t="shared" si="17"/>
        <v>100000</v>
      </c>
      <c r="P130" s="42"/>
    </row>
    <row r="131" spans="1:16" ht="14.5">
      <c r="A131" s="33"/>
      <c r="B131" s="8" t="s">
        <v>123</v>
      </c>
      <c r="C131" s="9">
        <v>2</v>
      </c>
      <c r="D131" s="10">
        <v>90000</v>
      </c>
      <c r="E131" s="10">
        <f t="shared" si="9"/>
        <v>180000</v>
      </c>
      <c r="F131" s="37"/>
      <c r="K131" s="33"/>
      <c r="L131" s="12" t="s">
        <v>25</v>
      </c>
      <c r="M131" s="9">
        <v>2.0649999999999999</v>
      </c>
      <c r="N131" s="10">
        <v>38000</v>
      </c>
      <c r="O131" s="10">
        <v>78000</v>
      </c>
      <c r="P131" s="42"/>
    </row>
    <row r="132" spans="1:16" ht="14.5">
      <c r="A132" s="33"/>
      <c r="B132" s="8" t="s">
        <v>59</v>
      </c>
      <c r="C132" s="9">
        <v>4</v>
      </c>
      <c r="D132" s="10">
        <v>22000</v>
      </c>
      <c r="E132" s="10">
        <f t="shared" si="9"/>
        <v>88000</v>
      </c>
      <c r="F132" s="37"/>
      <c r="K132" s="33"/>
      <c r="L132" s="12" t="s">
        <v>56</v>
      </c>
      <c r="M132" s="9">
        <v>2.2000000000000002</v>
      </c>
      <c r="N132" s="10">
        <v>15000</v>
      </c>
      <c r="O132" s="10">
        <f t="shared" ref="O132:O134" si="18">SUM(M132*N132)</f>
        <v>33000</v>
      </c>
      <c r="P132" s="42"/>
    </row>
    <row r="133" spans="1:16" ht="14.5">
      <c r="A133" s="33"/>
      <c r="B133" s="8" t="s">
        <v>42</v>
      </c>
      <c r="C133" s="9">
        <v>1</v>
      </c>
      <c r="D133" s="10">
        <v>160000</v>
      </c>
      <c r="E133" s="10">
        <f t="shared" si="9"/>
        <v>160000</v>
      </c>
      <c r="F133" s="37"/>
      <c r="K133" s="33"/>
      <c r="L133" s="12" t="s">
        <v>43</v>
      </c>
      <c r="M133" s="9">
        <v>2</v>
      </c>
      <c r="N133" s="10">
        <v>40000</v>
      </c>
      <c r="O133" s="10">
        <f t="shared" si="18"/>
        <v>80000</v>
      </c>
      <c r="P133" s="42"/>
    </row>
    <row r="134" spans="1:16" ht="14.5">
      <c r="A134" s="33"/>
      <c r="B134" s="8" t="s">
        <v>97</v>
      </c>
      <c r="C134" s="9">
        <v>2</v>
      </c>
      <c r="D134" s="10">
        <v>20000</v>
      </c>
      <c r="E134" s="10">
        <f t="shared" si="9"/>
        <v>40000</v>
      </c>
      <c r="F134" s="37"/>
      <c r="K134" s="34"/>
      <c r="L134" s="12" t="s">
        <v>31</v>
      </c>
      <c r="M134" s="9">
        <v>3</v>
      </c>
      <c r="N134" s="10">
        <v>24000</v>
      </c>
      <c r="O134" s="10">
        <f t="shared" si="18"/>
        <v>72000</v>
      </c>
      <c r="P134" s="43"/>
    </row>
    <row r="135" spans="1:16" ht="14.5">
      <c r="A135" s="33"/>
      <c r="B135" s="8" t="s">
        <v>80</v>
      </c>
      <c r="C135" s="9">
        <v>2</v>
      </c>
      <c r="D135" s="10">
        <v>30000</v>
      </c>
      <c r="E135" s="10">
        <f t="shared" si="9"/>
        <v>60000</v>
      </c>
      <c r="F135" s="37"/>
      <c r="K135" s="32">
        <v>45979</v>
      </c>
      <c r="L135" s="12" t="s">
        <v>16</v>
      </c>
      <c r="M135" s="9">
        <v>2.17</v>
      </c>
      <c r="N135" s="10">
        <v>75000</v>
      </c>
      <c r="O135" s="10">
        <v>163000</v>
      </c>
      <c r="P135" s="41">
        <f>SUM(O135:O142)</f>
        <v>464000</v>
      </c>
    </row>
    <row r="136" spans="1:16" ht="14.5">
      <c r="A136" s="33"/>
      <c r="B136" s="8" t="s">
        <v>124</v>
      </c>
      <c r="C136" s="9">
        <v>0.3</v>
      </c>
      <c r="D136" s="10">
        <v>100000</v>
      </c>
      <c r="E136" s="10">
        <f t="shared" si="9"/>
        <v>30000</v>
      </c>
      <c r="F136" s="37"/>
      <c r="K136" s="33"/>
      <c r="L136" s="12" t="s">
        <v>12</v>
      </c>
      <c r="M136" s="9">
        <v>2</v>
      </c>
      <c r="N136" s="10">
        <v>20000</v>
      </c>
      <c r="O136" s="10">
        <f t="shared" ref="O136:O139" si="19">SUM(M136*N136)</f>
        <v>40000</v>
      </c>
      <c r="P136" s="42"/>
    </row>
    <row r="137" spans="1:16" ht="14.5">
      <c r="A137" s="34"/>
      <c r="B137" s="8" t="s">
        <v>125</v>
      </c>
      <c r="C137" s="9">
        <v>2</v>
      </c>
      <c r="D137" s="10">
        <v>40000</v>
      </c>
      <c r="E137" s="10">
        <f t="shared" si="9"/>
        <v>80000</v>
      </c>
      <c r="F137" s="38"/>
      <c r="K137" s="33"/>
      <c r="L137" s="12" t="s">
        <v>19</v>
      </c>
      <c r="M137" s="9">
        <v>0.5</v>
      </c>
      <c r="N137" s="10">
        <v>30000</v>
      </c>
      <c r="O137" s="10">
        <f t="shared" si="19"/>
        <v>15000</v>
      </c>
      <c r="P137" s="42"/>
    </row>
    <row r="138" spans="1:16" ht="14.5">
      <c r="A138" s="35">
        <v>45971</v>
      </c>
      <c r="B138" s="8" t="s">
        <v>59</v>
      </c>
      <c r="C138" s="9">
        <v>2</v>
      </c>
      <c r="D138" s="10">
        <v>22000</v>
      </c>
      <c r="E138" s="10">
        <f t="shared" si="9"/>
        <v>44000</v>
      </c>
      <c r="F138" s="39">
        <f>SUM(E138:E149)</f>
        <v>2519000</v>
      </c>
      <c r="K138" s="33"/>
      <c r="L138" s="12" t="s">
        <v>29</v>
      </c>
      <c r="M138" s="9">
        <v>1</v>
      </c>
      <c r="N138" s="10">
        <v>100000</v>
      </c>
      <c r="O138" s="10">
        <f t="shared" si="19"/>
        <v>100000</v>
      </c>
      <c r="P138" s="42"/>
    </row>
    <row r="139" spans="1:16" ht="14.5">
      <c r="A139" s="35"/>
      <c r="B139" s="8" t="s">
        <v>117</v>
      </c>
      <c r="C139" s="9">
        <v>2</v>
      </c>
      <c r="D139" s="10">
        <v>90000</v>
      </c>
      <c r="E139" s="10">
        <f t="shared" si="9"/>
        <v>180000</v>
      </c>
      <c r="F139" s="39"/>
      <c r="K139" s="33"/>
      <c r="L139" s="12" t="s">
        <v>126</v>
      </c>
      <c r="M139" s="9">
        <v>6</v>
      </c>
      <c r="N139" s="10">
        <v>10000</v>
      </c>
      <c r="O139" s="10">
        <f t="shared" si="19"/>
        <v>60000</v>
      </c>
      <c r="P139" s="42"/>
    </row>
    <row r="140" spans="1:16" ht="14.5">
      <c r="A140" s="35"/>
      <c r="B140" s="8" t="s">
        <v>39</v>
      </c>
      <c r="C140" s="9">
        <v>2</v>
      </c>
      <c r="D140" s="10">
        <v>170000</v>
      </c>
      <c r="E140" s="10">
        <f t="shared" si="9"/>
        <v>340000</v>
      </c>
      <c r="F140" s="39"/>
      <c r="K140" s="33"/>
      <c r="L140" s="12" t="s">
        <v>45</v>
      </c>
      <c r="M140" s="9">
        <v>0.5</v>
      </c>
      <c r="N140" s="10">
        <v>35000</v>
      </c>
      <c r="O140" s="10">
        <v>18000</v>
      </c>
      <c r="P140" s="42"/>
    </row>
    <row r="141" spans="1:16" ht="14.5">
      <c r="A141" s="35"/>
      <c r="B141" s="8" t="s">
        <v>24</v>
      </c>
      <c r="C141" s="9">
        <v>2</v>
      </c>
      <c r="D141" s="10">
        <v>90000</v>
      </c>
      <c r="E141" s="10">
        <f t="shared" si="9"/>
        <v>180000</v>
      </c>
      <c r="F141" s="39"/>
      <c r="K141" s="33"/>
      <c r="L141" s="12" t="s">
        <v>62</v>
      </c>
      <c r="M141" s="9">
        <v>0.3</v>
      </c>
      <c r="N141" s="10">
        <v>60000</v>
      </c>
      <c r="O141" s="10">
        <f t="shared" ref="O141:O149" si="20">SUM(M141*N141)</f>
        <v>18000</v>
      </c>
      <c r="P141" s="42"/>
    </row>
    <row r="142" spans="1:16" ht="14.5">
      <c r="A142" s="35"/>
      <c r="B142" s="8" t="s">
        <v>30</v>
      </c>
      <c r="C142" s="9">
        <v>4</v>
      </c>
      <c r="D142" s="10">
        <v>40000</v>
      </c>
      <c r="E142" s="10">
        <f t="shared" si="9"/>
        <v>160000</v>
      </c>
      <c r="F142" s="39"/>
      <c r="K142" s="34"/>
      <c r="L142" s="12" t="s">
        <v>90</v>
      </c>
      <c r="M142" s="9">
        <v>2</v>
      </c>
      <c r="N142" s="10">
        <v>25000</v>
      </c>
      <c r="O142" s="10">
        <f t="shared" si="20"/>
        <v>50000</v>
      </c>
      <c r="P142" s="43"/>
    </row>
    <row r="143" spans="1:16" ht="14.5">
      <c r="A143" s="35"/>
      <c r="B143" s="8" t="s">
        <v>88</v>
      </c>
      <c r="C143" s="9">
        <v>3</v>
      </c>
      <c r="D143" s="10">
        <v>25000</v>
      </c>
      <c r="E143" s="10">
        <f t="shared" ref="E143:E150" si="21">SUM(C143*D143)</f>
        <v>75000</v>
      </c>
      <c r="F143" s="39"/>
      <c r="K143" s="32">
        <v>45980</v>
      </c>
      <c r="L143" s="12" t="s">
        <v>48</v>
      </c>
      <c r="M143" s="9">
        <v>3.99</v>
      </c>
      <c r="N143" s="10">
        <v>15000</v>
      </c>
      <c r="O143" s="10">
        <v>60000</v>
      </c>
      <c r="P143" s="41">
        <f>SUM(O143:O149)</f>
        <v>600000</v>
      </c>
    </row>
    <row r="144" spans="1:16" ht="14.5">
      <c r="A144" s="35"/>
      <c r="B144" s="8" t="s">
        <v>127</v>
      </c>
      <c r="C144" s="9">
        <v>2</v>
      </c>
      <c r="D144" s="10">
        <v>30000</v>
      </c>
      <c r="E144" s="10">
        <f t="shared" si="21"/>
        <v>60000</v>
      </c>
      <c r="F144" s="39"/>
      <c r="K144" s="33"/>
      <c r="L144" s="12" t="s">
        <v>126</v>
      </c>
      <c r="M144" s="9">
        <v>10</v>
      </c>
      <c r="N144" s="10">
        <v>10000</v>
      </c>
      <c r="O144" s="10">
        <f t="shared" si="20"/>
        <v>100000</v>
      </c>
      <c r="P144" s="42"/>
    </row>
    <row r="145" spans="1:16" ht="14.5">
      <c r="A145" s="35"/>
      <c r="B145" s="8" t="s">
        <v>128</v>
      </c>
      <c r="C145" s="9">
        <v>2</v>
      </c>
      <c r="D145" s="10">
        <v>20000</v>
      </c>
      <c r="E145" s="10">
        <f t="shared" si="21"/>
        <v>40000</v>
      </c>
      <c r="F145" s="39"/>
      <c r="K145" s="33"/>
      <c r="L145" s="12" t="s">
        <v>73</v>
      </c>
      <c r="M145" s="9">
        <v>1</v>
      </c>
      <c r="N145" s="10">
        <v>30000</v>
      </c>
      <c r="O145" s="10">
        <f t="shared" si="20"/>
        <v>30000</v>
      </c>
      <c r="P145" s="42"/>
    </row>
    <row r="146" spans="1:16" ht="14.5">
      <c r="A146" s="35"/>
      <c r="B146" s="8" t="s">
        <v>101</v>
      </c>
      <c r="C146" s="9">
        <v>4</v>
      </c>
      <c r="D146" s="10">
        <v>120000</v>
      </c>
      <c r="E146" s="10">
        <f t="shared" si="21"/>
        <v>480000</v>
      </c>
      <c r="F146" s="39"/>
      <c r="K146" s="33"/>
      <c r="L146" s="12" t="s">
        <v>58</v>
      </c>
      <c r="M146" s="9">
        <v>2</v>
      </c>
      <c r="N146" s="10">
        <v>48000</v>
      </c>
      <c r="O146" s="10">
        <f t="shared" si="20"/>
        <v>96000</v>
      </c>
      <c r="P146" s="42"/>
    </row>
    <row r="147" spans="1:16" ht="14.5">
      <c r="A147" s="35"/>
      <c r="B147" s="8" t="s">
        <v>81</v>
      </c>
      <c r="C147" s="9">
        <v>2</v>
      </c>
      <c r="D147" s="10">
        <v>120000</v>
      </c>
      <c r="E147" s="10">
        <f t="shared" si="21"/>
        <v>240000</v>
      </c>
      <c r="F147" s="39"/>
      <c r="K147" s="33"/>
      <c r="L147" s="12" t="s">
        <v>31</v>
      </c>
      <c r="M147" s="9">
        <v>4</v>
      </c>
      <c r="N147" s="10">
        <v>24000</v>
      </c>
      <c r="O147" s="10">
        <f t="shared" si="20"/>
        <v>96000</v>
      </c>
      <c r="P147" s="42"/>
    </row>
    <row r="148" spans="1:16" ht="14.5">
      <c r="A148" s="35"/>
      <c r="B148" s="8" t="s">
        <v>49</v>
      </c>
      <c r="C148" s="9">
        <v>1</v>
      </c>
      <c r="D148" s="10">
        <v>330000</v>
      </c>
      <c r="E148" s="10">
        <f t="shared" si="21"/>
        <v>330000</v>
      </c>
      <c r="F148" s="39"/>
      <c r="K148" s="33"/>
      <c r="L148" s="12" t="s">
        <v>43</v>
      </c>
      <c r="M148" s="9">
        <v>3</v>
      </c>
      <c r="N148" s="10">
        <v>40000</v>
      </c>
      <c r="O148" s="10">
        <f t="shared" si="20"/>
        <v>120000</v>
      </c>
      <c r="P148" s="42"/>
    </row>
    <row r="149" spans="1:16" ht="14.5">
      <c r="A149" s="35"/>
      <c r="B149" s="8" t="s">
        <v>68</v>
      </c>
      <c r="C149" s="9">
        <v>2</v>
      </c>
      <c r="D149" s="10">
        <v>195000</v>
      </c>
      <c r="E149" s="10">
        <f t="shared" si="21"/>
        <v>390000</v>
      </c>
      <c r="F149" s="40"/>
      <c r="K149" s="34"/>
      <c r="L149" s="12" t="s">
        <v>66</v>
      </c>
      <c r="M149" s="9">
        <v>2</v>
      </c>
      <c r="N149" s="10">
        <v>49000</v>
      </c>
      <c r="O149" s="10">
        <f t="shared" si="20"/>
        <v>98000</v>
      </c>
      <c r="P149" s="43"/>
    </row>
    <row r="150" spans="1:16">
      <c r="A150" s="18">
        <v>45971</v>
      </c>
      <c r="B150" s="8" t="s">
        <v>63</v>
      </c>
      <c r="C150" s="9">
        <v>1</v>
      </c>
      <c r="D150" s="10">
        <v>45000</v>
      </c>
      <c r="E150" s="10">
        <f t="shared" si="21"/>
        <v>45000</v>
      </c>
      <c r="F150" s="21">
        <f>SUM(E150)</f>
        <v>45000</v>
      </c>
      <c r="K150" s="32">
        <v>45981</v>
      </c>
      <c r="L150" s="12" t="s">
        <v>48</v>
      </c>
      <c r="M150" s="9">
        <v>4.6550000000000002</v>
      </c>
      <c r="N150" s="10">
        <v>15000</v>
      </c>
      <c r="O150" s="10">
        <v>70000</v>
      </c>
      <c r="P150" s="41">
        <f>SUM(O150:O159)</f>
        <v>652000</v>
      </c>
    </row>
    <row r="151" spans="1:16" ht="14.5">
      <c r="A151" s="32">
        <v>45977</v>
      </c>
      <c r="B151" s="8" t="s">
        <v>42</v>
      </c>
      <c r="C151" s="9">
        <v>2</v>
      </c>
      <c r="D151" s="10">
        <v>160000</v>
      </c>
      <c r="E151" s="10">
        <f>C151*D151</f>
        <v>320000</v>
      </c>
      <c r="F151" s="36">
        <f>SUM(E151:E153)</f>
        <v>590000</v>
      </c>
      <c r="K151" s="33"/>
      <c r="L151" s="12" t="s">
        <v>126</v>
      </c>
      <c r="M151" s="9">
        <v>6</v>
      </c>
      <c r="N151" s="10">
        <v>10000</v>
      </c>
      <c r="O151" s="10">
        <f t="shared" ref="O151:O159" si="22">SUM(M151*N151)</f>
        <v>60000</v>
      </c>
      <c r="P151" s="42"/>
    </row>
    <row r="152" spans="1:16" ht="14.5">
      <c r="A152" s="33"/>
      <c r="B152" s="8" t="s">
        <v>44</v>
      </c>
      <c r="C152" s="9">
        <v>2</v>
      </c>
      <c r="D152" s="10">
        <v>90000</v>
      </c>
      <c r="E152" s="10">
        <f>C152*D152</f>
        <v>180000</v>
      </c>
      <c r="F152" s="37"/>
      <c r="K152" s="33"/>
      <c r="L152" s="12" t="s">
        <v>29</v>
      </c>
      <c r="M152" s="9">
        <v>1</v>
      </c>
      <c r="N152" s="10">
        <v>100000</v>
      </c>
      <c r="O152" s="10">
        <f t="shared" si="22"/>
        <v>100000</v>
      </c>
      <c r="P152" s="42"/>
    </row>
    <row r="153" spans="1:16" ht="14.5">
      <c r="A153" s="34"/>
      <c r="B153" s="8" t="s">
        <v>129</v>
      </c>
      <c r="C153" s="9">
        <v>2</v>
      </c>
      <c r="D153" s="10">
        <v>45000</v>
      </c>
      <c r="E153" s="10">
        <f>C153*D153</f>
        <v>90000</v>
      </c>
      <c r="F153" s="38"/>
      <c r="K153" s="33"/>
      <c r="L153" s="12" t="s">
        <v>12</v>
      </c>
      <c r="M153" s="9">
        <v>1</v>
      </c>
      <c r="N153" s="10">
        <v>20000</v>
      </c>
      <c r="O153" s="10">
        <f t="shared" si="22"/>
        <v>20000</v>
      </c>
      <c r="P153" s="42"/>
    </row>
    <row r="154" spans="1:16" ht="14.5">
      <c r="A154" s="32">
        <v>45978</v>
      </c>
      <c r="B154" s="8" t="s">
        <v>130</v>
      </c>
      <c r="C154" s="9">
        <v>2</v>
      </c>
      <c r="D154" s="10">
        <v>95000</v>
      </c>
      <c r="E154" s="10">
        <f t="shared" ref="E154:E165" si="23">C154*D154</f>
        <v>190000</v>
      </c>
      <c r="F154" s="36">
        <f>SUM(E154:E165)</f>
        <v>1419000</v>
      </c>
      <c r="K154" s="33"/>
      <c r="L154" s="12" t="s">
        <v>16</v>
      </c>
      <c r="M154" s="9">
        <v>1</v>
      </c>
      <c r="N154" s="10">
        <v>75000</v>
      </c>
      <c r="O154" s="10">
        <f t="shared" si="22"/>
        <v>75000</v>
      </c>
      <c r="P154" s="42"/>
    </row>
    <row r="155" spans="1:16" ht="14.5">
      <c r="A155" s="33"/>
      <c r="B155" s="8" t="s">
        <v>41</v>
      </c>
      <c r="C155" s="9">
        <v>1</v>
      </c>
      <c r="D155" s="10">
        <v>100000</v>
      </c>
      <c r="E155" s="10">
        <f t="shared" si="23"/>
        <v>100000</v>
      </c>
      <c r="F155" s="37"/>
      <c r="K155" s="33"/>
      <c r="L155" s="12" t="s">
        <v>78</v>
      </c>
      <c r="M155" s="9">
        <v>4</v>
      </c>
      <c r="N155" s="10">
        <v>20000</v>
      </c>
      <c r="O155" s="10">
        <f t="shared" si="22"/>
        <v>80000</v>
      </c>
      <c r="P155" s="42"/>
    </row>
    <row r="156" spans="1:16" ht="14.5">
      <c r="A156" s="33"/>
      <c r="B156" s="8" t="s">
        <v>131</v>
      </c>
      <c r="C156" s="9">
        <v>2</v>
      </c>
      <c r="D156" s="10">
        <v>60000</v>
      </c>
      <c r="E156" s="10">
        <f t="shared" si="23"/>
        <v>120000</v>
      </c>
      <c r="F156" s="37"/>
      <c r="K156" s="33"/>
      <c r="L156" s="12" t="s">
        <v>97</v>
      </c>
      <c r="M156" s="9">
        <v>6</v>
      </c>
      <c r="N156" s="10">
        <v>20000</v>
      </c>
      <c r="O156" s="10">
        <f t="shared" si="22"/>
        <v>120000</v>
      </c>
      <c r="P156" s="42"/>
    </row>
    <row r="157" spans="1:16" ht="14.5">
      <c r="A157" s="33"/>
      <c r="B157" s="8" t="s">
        <v>132</v>
      </c>
      <c r="C157" s="9">
        <v>1</v>
      </c>
      <c r="D157" s="10">
        <v>60000</v>
      </c>
      <c r="E157" s="10">
        <f t="shared" si="23"/>
        <v>60000</v>
      </c>
      <c r="F157" s="37"/>
      <c r="K157" s="33"/>
      <c r="L157" s="12" t="s">
        <v>133</v>
      </c>
      <c r="M157" s="9">
        <v>1</v>
      </c>
      <c r="N157" s="10">
        <v>95000</v>
      </c>
      <c r="O157" s="10">
        <f t="shared" si="22"/>
        <v>95000</v>
      </c>
      <c r="P157" s="42"/>
    </row>
    <row r="158" spans="1:16" ht="14.5">
      <c r="A158" s="33"/>
      <c r="B158" s="8" t="s">
        <v>88</v>
      </c>
      <c r="C158" s="9">
        <v>3</v>
      </c>
      <c r="D158" s="10">
        <v>25000</v>
      </c>
      <c r="E158" s="10">
        <f t="shared" si="23"/>
        <v>75000</v>
      </c>
      <c r="F158" s="37"/>
      <c r="K158" s="33"/>
      <c r="L158" s="12" t="s">
        <v>73</v>
      </c>
      <c r="M158" s="9">
        <v>1</v>
      </c>
      <c r="N158" s="10">
        <v>30000</v>
      </c>
      <c r="O158" s="10">
        <f t="shared" si="22"/>
        <v>30000</v>
      </c>
      <c r="P158" s="42"/>
    </row>
    <row r="159" spans="1:16" ht="14.5">
      <c r="A159" s="33"/>
      <c r="B159" s="8" t="s">
        <v>30</v>
      </c>
      <c r="C159" s="9">
        <v>2</v>
      </c>
      <c r="D159" s="10">
        <v>40000</v>
      </c>
      <c r="E159" s="10">
        <f t="shared" si="23"/>
        <v>80000</v>
      </c>
      <c r="F159" s="37"/>
      <c r="K159" s="34"/>
      <c r="L159" s="12" t="s">
        <v>134</v>
      </c>
      <c r="M159" s="9">
        <v>0.1</v>
      </c>
      <c r="N159" s="10">
        <v>20000</v>
      </c>
      <c r="O159" s="10">
        <f t="shared" si="22"/>
        <v>2000</v>
      </c>
      <c r="P159" s="43"/>
    </row>
    <row r="160" spans="1:16" ht="14.5">
      <c r="A160" s="33"/>
      <c r="B160" s="8" t="s">
        <v>72</v>
      </c>
      <c r="C160" s="9">
        <v>2</v>
      </c>
      <c r="D160" s="10">
        <v>20000</v>
      </c>
      <c r="E160" s="10">
        <f t="shared" si="23"/>
        <v>40000</v>
      </c>
      <c r="F160" s="37"/>
      <c r="K160" s="32">
        <v>45982</v>
      </c>
      <c r="L160" s="12" t="s">
        <v>48</v>
      </c>
      <c r="M160" s="9">
        <v>7.5350000000000001</v>
      </c>
      <c r="N160" s="10">
        <v>15000</v>
      </c>
      <c r="O160" s="10">
        <v>113000</v>
      </c>
      <c r="P160" s="41">
        <f>SUM(O160:O173)</f>
        <v>1083000</v>
      </c>
    </row>
    <row r="161" spans="1:16" ht="14.5">
      <c r="A161" s="33"/>
      <c r="B161" s="8" t="s">
        <v>59</v>
      </c>
      <c r="C161" s="9">
        <v>2</v>
      </c>
      <c r="D161" s="10">
        <v>22000</v>
      </c>
      <c r="E161" s="10">
        <f t="shared" si="23"/>
        <v>44000</v>
      </c>
      <c r="F161" s="37"/>
      <c r="K161" s="33"/>
      <c r="L161" s="12" t="s">
        <v>126</v>
      </c>
      <c r="M161" s="9">
        <v>10</v>
      </c>
      <c r="N161" s="10">
        <v>10000</v>
      </c>
      <c r="O161" s="10">
        <f t="shared" ref="O161:O167" si="24">SUM(M161*N161)</f>
        <v>100000</v>
      </c>
      <c r="P161" s="42"/>
    </row>
    <row r="162" spans="1:16" ht="14.5">
      <c r="A162" s="33"/>
      <c r="B162" s="8" t="s">
        <v>24</v>
      </c>
      <c r="C162" s="9">
        <v>3</v>
      </c>
      <c r="D162" s="10">
        <v>90000</v>
      </c>
      <c r="E162" s="10">
        <f t="shared" si="23"/>
        <v>270000</v>
      </c>
      <c r="F162" s="37"/>
      <c r="K162" s="33"/>
      <c r="L162" s="12" t="s">
        <v>16</v>
      </c>
      <c r="M162" s="9">
        <v>3</v>
      </c>
      <c r="N162" s="10">
        <v>75000</v>
      </c>
      <c r="O162" s="10">
        <f t="shared" si="24"/>
        <v>225000</v>
      </c>
      <c r="P162" s="42"/>
    </row>
    <row r="163" spans="1:16" ht="14.5">
      <c r="A163" s="33"/>
      <c r="B163" s="8" t="s">
        <v>50</v>
      </c>
      <c r="C163" s="9">
        <v>2</v>
      </c>
      <c r="D163" s="10">
        <v>170000</v>
      </c>
      <c r="E163" s="10">
        <f t="shared" si="23"/>
        <v>340000</v>
      </c>
      <c r="F163" s="37"/>
      <c r="K163" s="33"/>
      <c r="L163" s="12" t="s">
        <v>12</v>
      </c>
      <c r="M163" s="9">
        <v>4</v>
      </c>
      <c r="N163" s="10">
        <v>20000</v>
      </c>
      <c r="O163" s="10">
        <f t="shared" si="24"/>
        <v>80000</v>
      </c>
      <c r="P163" s="42"/>
    </row>
    <row r="164" spans="1:16" ht="14.5">
      <c r="A164" s="33"/>
      <c r="B164" s="8" t="s">
        <v>104</v>
      </c>
      <c r="C164" s="9">
        <v>30</v>
      </c>
      <c r="D164" s="10">
        <v>1000</v>
      </c>
      <c r="E164" s="10">
        <f t="shared" si="23"/>
        <v>30000</v>
      </c>
      <c r="F164" s="37"/>
      <c r="K164" s="33"/>
      <c r="L164" s="12" t="s">
        <v>56</v>
      </c>
      <c r="M164" s="9">
        <v>1</v>
      </c>
      <c r="N164" s="10">
        <v>15000</v>
      </c>
      <c r="O164" s="10">
        <f t="shared" si="24"/>
        <v>15000</v>
      </c>
      <c r="P164" s="42"/>
    </row>
    <row r="165" spans="1:16" ht="14.5">
      <c r="A165" s="34"/>
      <c r="B165" s="8" t="s">
        <v>107</v>
      </c>
      <c r="C165" s="9">
        <v>1</v>
      </c>
      <c r="D165" s="10">
        <v>70000</v>
      </c>
      <c r="E165" s="10">
        <f t="shared" si="23"/>
        <v>70000</v>
      </c>
      <c r="F165" s="38"/>
      <c r="K165" s="33"/>
      <c r="L165" s="12" t="s">
        <v>45</v>
      </c>
      <c r="M165" s="9">
        <v>1</v>
      </c>
      <c r="N165" s="10">
        <v>35000</v>
      </c>
      <c r="O165" s="10">
        <f t="shared" si="24"/>
        <v>35000</v>
      </c>
      <c r="P165" s="42"/>
    </row>
    <row r="166" spans="1:16" ht="14.5">
      <c r="A166" s="32">
        <v>45979</v>
      </c>
      <c r="B166" s="8" t="s">
        <v>16</v>
      </c>
      <c r="C166" s="9">
        <v>1.5</v>
      </c>
      <c r="D166" s="10">
        <v>75000</v>
      </c>
      <c r="E166" s="10">
        <v>113000</v>
      </c>
      <c r="F166" s="36">
        <f>SUM(E166:E180)</f>
        <v>2006000</v>
      </c>
      <c r="K166" s="33"/>
      <c r="L166" s="12" t="s">
        <v>135</v>
      </c>
      <c r="M166" s="9">
        <v>0.2</v>
      </c>
      <c r="N166" s="10">
        <v>50000</v>
      </c>
      <c r="O166" s="10">
        <f t="shared" si="24"/>
        <v>10000</v>
      </c>
      <c r="P166" s="42"/>
    </row>
    <row r="167" spans="1:16" ht="14.5">
      <c r="A167" s="33"/>
      <c r="B167" s="8" t="s">
        <v>26</v>
      </c>
      <c r="C167" s="9">
        <v>1</v>
      </c>
      <c r="D167" s="10">
        <v>35000</v>
      </c>
      <c r="E167" s="10">
        <f t="shared" ref="E167:E181" si="25">C167*D167</f>
        <v>35000</v>
      </c>
      <c r="F167" s="37"/>
      <c r="K167" s="33"/>
      <c r="L167" s="12" t="s">
        <v>29</v>
      </c>
      <c r="M167" s="9">
        <v>1</v>
      </c>
      <c r="N167" s="10">
        <v>100000</v>
      </c>
      <c r="O167" s="10">
        <f t="shared" si="24"/>
        <v>100000</v>
      </c>
      <c r="P167" s="42"/>
    </row>
    <row r="168" spans="1:16" ht="14.5">
      <c r="A168" s="33"/>
      <c r="B168" s="8" t="s">
        <v>44</v>
      </c>
      <c r="C168" s="9">
        <v>3</v>
      </c>
      <c r="D168" s="10">
        <v>90000</v>
      </c>
      <c r="E168" s="10">
        <f t="shared" si="25"/>
        <v>270000</v>
      </c>
      <c r="F168" s="37"/>
      <c r="K168" s="33"/>
      <c r="L168" s="12" t="s">
        <v>25</v>
      </c>
      <c r="M168" s="9">
        <v>2.25</v>
      </c>
      <c r="N168" s="10">
        <v>38000</v>
      </c>
      <c r="O168" s="10">
        <v>86000</v>
      </c>
      <c r="P168" s="42"/>
    </row>
    <row r="169" spans="1:16" ht="14.5">
      <c r="A169" s="33"/>
      <c r="B169" s="8" t="s">
        <v>101</v>
      </c>
      <c r="C169" s="9">
        <v>5</v>
      </c>
      <c r="D169" s="10">
        <v>120000</v>
      </c>
      <c r="E169" s="10">
        <f t="shared" si="25"/>
        <v>600000</v>
      </c>
      <c r="F169" s="37"/>
      <c r="K169" s="33"/>
      <c r="L169" s="12" t="s">
        <v>58</v>
      </c>
      <c r="M169" s="9">
        <v>3</v>
      </c>
      <c r="N169" s="10">
        <v>48000</v>
      </c>
      <c r="O169" s="10">
        <f t="shared" ref="O169:O173" si="26">SUM(M169*N169)</f>
        <v>144000</v>
      </c>
      <c r="P169" s="42"/>
    </row>
    <row r="170" spans="1:16" ht="14.5">
      <c r="A170" s="33"/>
      <c r="B170" s="8" t="s">
        <v>136</v>
      </c>
      <c r="C170" s="9">
        <v>2</v>
      </c>
      <c r="D170" s="10">
        <v>30000</v>
      </c>
      <c r="E170" s="10">
        <f t="shared" si="25"/>
        <v>60000</v>
      </c>
      <c r="F170" s="37"/>
      <c r="K170" s="33"/>
      <c r="L170" s="12" t="s">
        <v>31</v>
      </c>
      <c r="M170" s="9">
        <v>4</v>
      </c>
      <c r="N170" s="10">
        <v>24000</v>
      </c>
      <c r="O170" s="10">
        <f t="shared" si="26"/>
        <v>96000</v>
      </c>
      <c r="P170" s="42"/>
    </row>
    <row r="171" spans="1:16" ht="14.5">
      <c r="A171" s="33"/>
      <c r="B171" s="8" t="s">
        <v>137</v>
      </c>
      <c r="C171" s="9">
        <v>2</v>
      </c>
      <c r="D171" s="10">
        <v>195000</v>
      </c>
      <c r="E171" s="10">
        <f t="shared" si="25"/>
        <v>390000</v>
      </c>
      <c r="F171" s="37"/>
      <c r="K171" s="33"/>
      <c r="L171" s="12" t="s">
        <v>66</v>
      </c>
      <c r="M171" s="9">
        <v>1</v>
      </c>
      <c r="N171" s="10">
        <v>49000</v>
      </c>
      <c r="O171" s="10">
        <f t="shared" si="26"/>
        <v>49000</v>
      </c>
      <c r="P171" s="42"/>
    </row>
    <row r="172" spans="1:16" ht="14.5">
      <c r="A172" s="33"/>
      <c r="B172" s="8" t="s">
        <v>138</v>
      </c>
      <c r="C172" s="9">
        <v>1</v>
      </c>
      <c r="D172" s="10">
        <v>180000</v>
      </c>
      <c r="E172" s="10">
        <f t="shared" si="25"/>
        <v>180000</v>
      </c>
      <c r="F172" s="37"/>
      <c r="K172" s="33"/>
      <c r="L172" s="12" t="s">
        <v>57</v>
      </c>
      <c r="M172" s="9">
        <v>0.1</v>
      </c>
      <c r="N172" s="10">
        <v>120000</v>
      </c>
      <c r="O172" s="10">
        <f t="shared" si="26"/>
        <v>12000</v>
      </c>
      <c r="P172" s="42"/>
    </row>
    <row r="173" spans="1:16" ht="14.5">
      <c r="A173" s="33"/>
      <c r="B173" s="8" t="s">
        <v>139</v>
      </c>
      <c r="C173" s="9">
        <v>2</v>
      </c>
      <c r="D173" s="10">
        <v>30000</v>
      </c>
      <c r="E173" s="10">
        <f t="shared" si="25"/>
        <v>60000</v>
      </c>
      <c r="F173" s="37"/>
      <c r="K173" s="34"/>
      <c r="L173" s="12" t="s">
        <v>53</v>
      </c>
      <c r="M173" s="9">
        <v>0.1</v>
      </c>
      <c r="N173" s="10">
        <v>180000</v>
      </c>
      <c r="O173" s="10">
        <f t="shared" si="26"/>
        <v>18000</v>
      </c>
      <c r="P173" s="43"/>
    </row>
    <row r="174" spans="1:16">
      <c r="A174" s="33"/>
      <c r="B174" s="8" t="s">
        <v>117</v>
      </c>
      <c r="C174" s="9">
        <v>1</v>
      </c>
      <c r="D174" s="10">
        <v>45000</v>
      </c>
      <c r="E174" s="10">
        <f t="shared" si="25"/>
        <v>45000</v>
      </c>
      <c r="F174" s="37"/>
      <c r="K174" s="13">
        <v>45982</v>
      </c>
      <c r="L174" s="12" t="s">
        <v>51</v>
      </c>
      <c r="M174" s="9">
        <v>1.07</v>
      </c>
      <c r="N174" s="10">
        <v>38000</v>
      </c>
      <c r="O174" s="10">
        <v>41000</v>
      </c>
      <c r="P174" s="22">
        <f>SUM(O174)</f>
        <v>41000</v>
      </c>
    </row>
    <row r="175" spans="1:16" ht="14.5">
      <c r="A175" s="33"/>
      <c r="B175" s="8" t="s">
        <v>13</v>
      </c>
      <c r="C175" s="9">
        <v>0.4</v>
      </c>
      <c r="D175" s="10">
        <v>100000</v>
      </c>
      <c r="E175" s="10">
        <f t="shared" si="25"/>
        <v>40000</v>
      </c>
      <c r="F175" s="37"/>
      <c r="K175" s="32">
        <v>45983</v>
      </c>
      <c r="L175" s="12" t="s">
        <v>60</v>
      </c>
      <c r="M175" s="9">
        <v>0.3</v>
      </c>
      <c r="N175" s="10">
        <v>20000</v>
      </c>
      <c r="O175" s="10">
        <f t="shared" ref="O175:O196" si="27">SUM(M175*N175)</f>
        <v>6000</v>
      </c>
      <c r="P175" s="41">
        <f>SUM(O175:O190)</f>
        <v>974000</v>
      </c>
    </row>
    <row r="176" spans="1:16" ht="14.5">
      <c r="A176" s="33"/>
      <c r="B176" s="8" t="s">
        <v>140</v>
      </c>
      <c r="C176" s="9">
        <v>0.4</v>
      </c>
      <c r="D176" s="10">
        <v>80000</v>
      </c>
      <c r="E176" s="10">
        <f t="shared" si="25"/>
        <v>32000</v>
      </c>
      <c r="F176" s="37"/>
      <c r="K176" s="33"/>
      <c r="L176" s="12" t="s">
        <v>12</v>
      </c>
      <c r="M176" s="9">
        <v>4</v>
      </c>
      <c r="N176" s="10">
        <v>20000</v>
      </c>
      <c r="O176" s="10">
        <f t="shared" si="27"/>
        <v>80000</v>
      </c>
      <c r="P176" s="42"/>
    </row>
    <row r="177" spans="1:16" ht="14.5">
      <c r="A177" s="33"/>
      <c r="B177" s="8" t="s">
        <v>141</v>
      </c>
      <c r="C177" s="9">
        <v>0.3</v>
      </c>
      <c r="D177" s="10">
        <v>80000</v>
      </c>
      <c r="E177" s="10">
        <f t="shared" si="25"/>
        <v>24000</v>
      </c>
      <c r="F177" s="37"/>
      <c r="K177" s="33"/>
      <c r="L177" s="12" t="s">
        <v>16</v>
      </c>
      <c r="M177" s="9">
        <v>2.12</v>
      </c>
      <c r="N177" s="10">
        <v>75000</v>
      </c>
      <c r="O177" s="10">
        <f t="shared" si="27"/>
        <v>159000</v>
      </c>
      <c r="P177" s="42"/>
    </row>
    <row r="178" spans="1:16" ht="14.5">
      <c r="A178" s="33"/>
      <c r="B178" s="8" t="s">
        <v>120</v>
      </c>
      <c r="C178" s="9">
        <v>0.5</v>
      </c>
      <c r="D178" s="10">
        <v>65000</v>
      </c>
      <c r="E178" s="10">
        <v>33000</v>
      </c>
      <c r="F178" s="37"/>
      <c r="K178" s="33"/>
      <c r="L178" s="12" t="s">
        <v>51</v>
      </c>
      <c r="M178" s="9">
        <v>0.5</v>
      </c>
      <c r="N178" s="10">
        <v>38000</v>
      </c>
      <c r="O178" s="10">
        <f t="shared" si="27"/>
        <v>19000</v>
      </c>
      <c r="P178" s="42"/>
    </row>
    <row r="179" spans="1:16" ht="14.5">
      <c r="A179" s="33"/>
      <c r="B179" s="8" t="s">
        <v>52</v>
      </c>
      <c r="C179" s="9">
        <v>0.5</v>
      </c>
      <c r="D179" s="10">
        <v>48000</v>
      </c>
      <c r="E179" s="10">
        <f t="shared" si="25"/>
        <v>24000</v>
      </c>
      <c r="F179" s="37"/>
      <c r="K179" s="33"/>
      <c r="L179" s="12" t="s">
        <v>23</v>
      </c>
      <c r="M179" s="9">
        <v>10</v>
      </c>
      <c r="N179" s="10">
        <v>10000</v>
      </c>
      <c r="O179" s="10">
        <f t="shared" si="27"/>
        <v>100000</v>
      </c>
      <c r="P179" s="42"/>
    </row>
    <row r="180" spans="1:16" ht="14.5">
      <c r="A180" s="34"/>
      <c r="B180" s="8" t="s">
        <v>61</v>
      </c>
      <c r="C180" s="9">
        <v>1</v>
      </c>
      <c r="D180" s="10">
        <v>100000</v>
      </c>
      <c r="E180" s="10">
        <f t="shared" si="25"/>
        <v>100000</v>
      </c>
      <c r="F180" s="38"/>
      <c r="G180" s="14"/>
      <c r="K180" s="33"/>
      <c r="L180" s="12" t="s">
        <v>21</v>
      </c>
      <c r="M180" s="9">
        <v>1</v>
      </c>
      <c r="N180" s="10">
        <v>20000</v>
      </c>
      <c r="O180" s="10">
        <f t="shared" si="27"/>
        <v>20000</v>
      </c>
      <c r="P180" s="42"/>
    </row>
    <row r="181" spans="1:16">
      <c r="A181" s="18">
        <v>45979</v>
      </c>
      <c r="B181" s="8" t="s">
        <v>142</v>
      </c>
      <c r="C181" s="9">
        <v>5</v>
      </c>
      <c r="D181" s="10">
        <v>75000</v>
      </c>
      <c r="E181" s="10">
        <f t="shared" si="25"/>
        <v>375000</v>
      </c>
      <c r="F181" s="21">
        <f>SUM(E181)</f>
        <v>375000</v>
      </c>
      <c r="K181" s="33"/>
      <c r="L181" s="12" t="s">
        <v>75</v>
      </c>
      <c r="M181" s="9">
        <v>1</v>
      </c>
      <c r="N181" s="10">
        <v>45000</v>
      </c>
      <c r="O181" s="10">
        <f t="shared" si="27"/>
        <v>45000</v>
      </c>
      <c r="P181" s="42"/>
    </row>
    <row r="182" spans="1:16" ht="14.5">
      <c r="A182" s="32">
        <v>45980</v>
      </c>
      <c r="B182" s="8" t="s">
        <v>143</v>
      </c>
      <c r="C182" s="9">
        <v>0.3</v>
      </c>
      <c r="D182" s="10">
        <v>70000</v>
      </c>
      <c r="E182" s="10">
        <f t="shared" ref="E182:E191" si="28">C182*D182</f>
        <v>21000</v>
      </c>
      <c r="F182" s="36">
        <f>SUM(E182:E190)</f>
        <v>1242000</v>
      </c>
      <c r="K182" s="33"/>
      <c r="L182" s="12" t="s">
        <v>27</v>
      </c>
      <c r="M182" s="9">
        <v>2</v>
      </c>
      <c r="N182" s="10">
        <v>48000</v>
      </c>
      <c r="O182" s="10">
        <f t="shared" si="27"/>
        <v>96000</v>
      </c>
      <c r="P182" s="42"/>
    </row>
    <row r="183" spans="1:16" ht="14.5">
      <c r="A183" s="33"/>
      <c r="B183" s="8" t="s">
        <v>144</v>
      </c>
      <c r="C183" s="9">
        <v>0.3</v>
      </c>
      <c r="D183" s="10">
        <v>60000</v>
      </c>
      <c r="E183" s="10">
        <f t="shared" si="28"/>
        <v>18000</v>
      </c>
      <c r="F183" s="37"/>
      <c r="K183" s="33"/>
      <c r="L183" s="12" t="s">
        <v>19</v>
      </c>
      <c r="M183" s="9">
        <v>0.3</v>
      </c>
      <c r="N183" s="10">
        <v>30000</v>
      </c>
      <c r="O183" s="10">
        <f t="shared" si="27"/>
        <v>9000</v>
      </c>
      <c r="P183" s="42"/>
    </row>
    <row r="184" spans="1:16" ht="14.5">
      <c r="A184" s="33"/>
      <c r="B184" s="8" t="s">
        <v>107</v>
      </c>
      <c r="C184" s="9">
        <v>0.5</v>
      </c>
      <c r="D184" s="10">
        <v>80000</v>
      </c>
      <c r="E184" s="10">
        <f t="shared" si="28"/>
        <v>40000</v>
      </c>
      <c r="F184" s="37"/>
      <c r="G184" s="14"/>
      <c r="K184" s="33"/>
      <c r="L184" s="12" t="s">
        <v>56</v>
      </c>
      <c r="M184" s="9">
        <v>1</v>
      </c>
      <c r="N184" s="10">
        <v>12000</v>
      </c>
      <c r="O184" s="10">
        <f t="shared" si="27"/>
        <v>12000</v>
      </c>
      <c r="P184" s="42"/>
    </row>
    <row r="185" spans="1:16" ht="14.5">
      <c r="A185" s="33"/>
      <c r="B185" s="8" t="s">
        <v>52</v>
      </c>
      <c r="C185" s="9">
        <v>1</v>
      </c>
      <c r="D185" s="10">
        <v>48000</v>
      </c>
      <c r="E185" s="10">
        <f t="shared" si="28"/>
        <v>48000</v>
      </c>
      <c r="F185" s="37"/>
      <c r="K185" s="33"/>
      <c r="L185" s="12" t="s">
        <v>62</v>
      </c>
      <c r="M185" s="9">
        <v>0.2</v>
      </c>
      <c r="N185" s="10">
        <v>80000</v>
      </c>
      <c r="O185" s="10">
        <f t="shared" si="27"/>
        <v>16000</v>
      </c>
      <c r="P185" s="42"/>
    </row>
    <row r="186" spans="1:16" ht="14.5">
      <c r="A186" s="33"/>
      <c r="B186" s="8" t="s">
        <v>99</v>
      </c>
      <c r="C186" s="9">
        <v>0.3</v>
      </c>
      <c r="D186" s="10">
        <v>50000</v>
      </c>
      <c r="E186" s="10">
        <f t="shared" si="28"/>
        <v>15000</v>
      </c>
      <c r="F186" s="37"/>
      <c r="K186" s="33"/>
      <c r="L186" s="12" t="s">
        <v>73</v>
      </c>
      <c r="M186" s="9">
        <v>1</v>
      </c>
      <c r="N186" s="10">
        <v>30000</v>
      </c>
      <c r="O186" s="10">
        <f t="shared" si="27"/>
        <v>30000</v>
      </c>
      <c r="P186" s="42"/>
    </row>
    <row r="187" spans="1:16" ht="14.5">
      <c r="A187" s="33"/>
      <c r="B187" s="8" t="s">
        <v>145</v>
      </c>
      <c r="C187" s="9">
        <v>1</v>
      </c>
      <c r="D187" s="10">
        <v>40000</v>
      </c>
      <c r="E187" s="10">
        <f t="shared" si="28"/>
        <v>40000</v>
      </c>
      <c r="F187" s="37"/>
      <c r="K187" s="33"/>
      <c r="L187" s="12" t="s">
        <v>29</v>
      </c>
      <c r="M187" s="9">
        <v>1</v>
      </c>
      <c r="N187" s="10">
        <v>100000</v>
      </c>
      <c r="O187" s="10">
        <f t="shared" si="27"/>
        <v>100000</v>
      </c>
      <c r="P187" s="42"/>
    </row>
    <row r="188" spans="1:16" ht="14.5">
      <c r="A188" s="33"/>
      <c r="B188" s="8" t="s">
        <v>22</v>
      </c>
      <c r="C188" s="9">
        <v>2</v>
      </c>
      <c r="D188" s="10">
        <v>360000</v>
      </c>
      <c r="E188" s="10">
        <f t="shared" si="28"/>
        <v>720000</v>
      </c>
      <c r="F188" s="37"/>
      <c r="K188" s="33"/>
      <c r="L188" s="12" t="s">
        <v>31</v>
      </c>
      <c r="M188" s="9">
        <v>6</v>
      </c>
      <c r="N188" s="10">
        <v>24000</v>
      </c>
      <c r="O188" s="10">
        <f t="shared" si="27"/>
        <v>144000</v>
      </c>
      <c r="P188" s="42"/>
    </row>
    <row r="189" spans="1:16" ht="14.5">
      <c r="A189" s="33"/>
      <c r="B189" s="8" t="s">
        <v>41</v>
      </c>
      <c r="C189" s="9">
        <v>1</v>
      </c>
      <c r="D189" s="10">
        <v>100000</v>
      </c>
      <c r="E189" s="10">
        <f t="shared" si="28"/>
        <v>100000</v>
      </c>
      <c r="F189" s="37"/>
      <c r="K189" s="33"/>
      <c r="L189" s="28" t="s">
        <v>43</v>
      </c>
      <c r="M189" s="27">
        <v>1</v>
      </c>
      <c r="N189" s="24">
        <v>40000</v>
      </c>
      <c r="O189" s="10">
        <f t="shared" si="27"/>
        <v>40000</v>
      </c>
      <c r="P189" s="42"/>
    </row>
    <row r="190" spans="1:16" ht="14.5">
      <c r="A190" s="34"/>
      <c r="B190" s="8" t="s">
        <v>81</v>
      </c>
      <c r="C190" s="9">
        <v>2</v>
      </c>
      <c r="D190" s="10">
        <v>120000</v>
      </c>
      <c r="E190" s="10">
        <f t="shared" si="28"/>
        <v>240000</v>
      </c>
      <c r="F190" s="38"/>
      <c r="K190" s="33"/>
      <c r="L190" s="12" t="s">
        <v>66</v>
      </c>
      <c r="M190" s="9">
        <v>2</v>
      </c>
      <c r="N190" s="10">
        <v>49000</v>
      </c>
      <c r="O190" s="10">
        <f t="shared" si="27"/>
        <v>98000</v>
      </c>
      <c r="P190" s="43"/>
    </row>
    <row r="191" spans="1:16" ht="14.5">
      <c r="A191" s="32">
        <v>45981</v>
      </c>
      <c r="B191" s="8" t="s">
        <v>70</v>
      </c>
      <c r="C191" s="9">
        <v>16</v>
      </c>
      <c r="D191" s="10">
        <v>2000</v>
      </c>
      <c r="E191" s="10">
        <f t="shared" si="28"/>
        <v>32000</v>
      </c>
      <c r="F191" s="36">
        <f>SUM(E191:E212)</f>
        <v>1979000</v>
      </c>
      <c r="K191" s="32">
        <v>45984</v>
      </c>
      <c r="L191" s="12" t="s">
        <v>12</v>
      </c>
      <c r="M191" s="9">
        <v>3</v>
      </c>
      <c r="N191" s="10">
        <v>20000</v>
      </c>
      <c r="O191" s="10">
        <f t="shared" si="27"/>
        <v>60000</v>
      </c>
      <c r="P191" s="41">
        <f>SUM(O191:O198)</f>
        <v>531000</v>
      </c>
    </row>
    <row r="192" spans="1:16" ht="14.5">
      <c r="A192" s="33"/>
      <c r="B192" s="8" t="s">
        <v>114</v>
      </c>
      <c r="C192" s="9">
        <v>3</v>
      </c>
      <c r="D192" s="10">
        <v>70000</v>
      </c>
      <c r="E192" s="10">
        <f t="shared" ref="E192:E212" si="29">C192*D192</f>
        <v>210000</v>
      </c>
      <c r="F192" s="37"/>
      <c r="K192" s="33"/>
      <c r="L192" s="12" t="s">
        <v>126</v>
      </c>
      <c r="M192" s="9">
        <v>5</v>
      </c>
      <c r="N192" s="10">
        <v>10000</v>
      </c>
      <c r="O192" s="10">
        <f t="shared" si="27"/>
        <v>50000</v>
      </c>
      <c r="P192" s="42"/>
    </row>
    <row r="193" spans="1:16" ht="14.5">
      <c r="A193" s="33"/>
      <c r="B193" s="8" t="s">
        <v>146</v>
      </c>
      <c r="C193" s="9">
        <v>2</v>
      </c>
      <c r="D193" s="10">
        <v>58000</v>
      </c>
      <c r="E193" s="10">
        <f t="shared" si="29"/>
        <v>116000</v>
      </c>
      <c r="F193" s="37"/>
      <c r="K193" s="33"/>
      <c r="L193" s="12" t="s">
        <v>56</v>
      </c>
      <c r="M193" s="9">
        <v>1</v>
      </c>
      <c r="N193" s="10">
        <v>15000</v>
      </c>
      <c r="O193" s="10">
        <f t="shared" si="27"/>
        <v>15000</v>
      </c>
      <c r="P193" s="42"/>
    </row>
    <row r="194" spans="1:16" ht="14.5">
      <c r="A194" s="33"/>
      <c r="B194" s="8" t="s">
        <v>100</v>
      </c>
      <c r="C194" s="9">
        <v>5</v>
      </c>
      <c r="D194" s="10">
        <v>25000</v>
      </c>
      <c r="E194" s="10">
        <f t="shared" si="29"/>
        <v>125000</v>
      </c>
      <c r="F194" s="37"/>
      <c r="K194" s="33"/>
      <c r="L194" s="12" t="s">
        <v>31</v>
      </c>
      <c r="M194" s="9">
        <v>6</v>
      </c>
      <c r="N194" s="10">
        <v>24000</v>
      </c>
      <c r="O194" s="10">
        <f t="shared" si="27"/>
        <v>144000</v>
      </c>
      <c r="P194" s="42"/>
    </row>
    <row r="195" spans="1:16" ht="14.5">
      <c r="A195" s="33"/>
      <c r="B195" s="8" t="s">
        <v>121</v>
      </c>
      <c r="C195" s="9">
        <v>2</v>
      </c>
      <c r="D195" s="10">
        <v>275000</v>
      </c>
      <c r="E195" s="10">
        <f t="shared" si="29"/>
        <v>550000</v>
      </c>
      <c r="F195" s="37"/>
      <c r="K195" s="33"/>
      <c r="L195" s="12" t="s">
        <v>43</v>
      </c>
      <c r="M195" s="9">
        <v>1</v>
      </c>
      <c r="N195" s="10">
        <v>40000</v>
      </c>
      <c r="O195" s="10">
        <f t="shared" si="27"/>
        <v>40000</v>
      </c>
      <c r="P195" s="42"/>
    </row>
    <row r="196" spans="1:16" ht="14.5">
      <c r="A196" s="33"/>
      <c r="B196" s="8" t="s">
        <v>31</v>
      </c>
      <c r="C196" s="9">
        <v>3</v>
      </c>
      <c r="D196" s="10">
        <v>22000</v>
      </c>
      <c r="E196" s="10">
        <f t="shared" si="29"/>
        <v>66000</v>
      </c>
      <c r="F196" s="37"/>
      <c r="K196" s="33"/>
      <c r="L196" s="12" t="s">
        <v>66</v>
      </c>
      <c r="M196" s="9">
        <v>1</v>
      </c>
      <c r="N196" s="10">
        <v>49000</v>
      </c>
      <c r="O196" s="10">
        <f t="shared" si="27"/>
        <v>49000</v>
      </c>
      <c r="P196" s="42"/>
    </row>
    <row r="197" spans="1:16" ht="14.5">
      <c r="A197" s="33"/>
      <c r="B197" s="8" t="s">
        <v>24</v>
      </c>
      <c r="C197" s="9">
        <v>1</v>
      </c>
      <c r="D197" s="10">
        <v>90000</v>
      </c>
      <c r="E197" s="10">
        <f t="shared" si="29"/>
        <v>90000</v>
      </c>
      <c r="F197" s="37"/>
      <c r="K197" s="33"/>
      <c r="L197" s="12" t="s">
        <v>48</v>
      </c>
      <c r="M197" s="9">
        <v>6.85</v>
      </c>
      <c r="N197" s="10">
        <v>15000</v>
      </c>
      <c r="O197" s="10">
        <v>103000</v>
      </c>
      <c r="P197" s="42"/>
    </row>
    <row r="198" spans="1:16" ht="14.5">
      <c r="A198" s="33"/>
      <c r="B198" s="8" t="s">
        <v>38</v>
      </c>
      <c r="C198" s="9">
        <v>2</v>
      </c>
      <c r="D198" s="10">
        <v>170000</v>
      </c>
      <c r="E198" s="10">
        <f t="shared" si="29"/>
        <v>340000</v>
      </c>
      <c r="F198" s="37"/>
      <c r="K198" s="34"/>
      <c r="L198" s="12" t="s">
        <v>147</v>
      </c>
      <c r="M198" s="9">
        <v>2</v>
      </c>
      <c r="N198" s="10">
        <v>35000</v>
      </c>
      <c r="O198" s="10">
        <f t="shared" ref="O198:O209" si="30">SUM(M198*N198)</f>
        <v>70000</v>
      </c>
      <c r="P198" s="43"/>
    </row>
    <row r="199" spans="1:16" ht="14.5">
      <c r="A199" s="33"/>
      <c r="B199" s="8" t="s">
        <v>125</v>
      </c>
      <c r="C199" s="9">
        <v>1</v>
      </c>
      <c r="D199" s="10">
        <v>40000</v>
      </c>
      <c r="E199" s="10">
        <f t="shared" si="29"/>
        <v>40000</v>
      </c>
      <c r="F199" s="37"/>
      <c r="K199" s="32">
        <v>45985</v>
      </c>
      <c r="L199" s="12" t="s">
        <v>12</v>
      </c>
      <c r="M199" s="9">
        <v>3</v>
      </c>
      <c r="N199" s="10">
        <v>20000</v>
      </c>
      <c r="O199" s="10">
        <f t="shared" si="30"/>
        <v>60000</v>
      </c>
      <c r="P199" s="41">
        <f>SUM(O199:O210)</f>
        <v>636000</v>
      </c>
    </row>
    <row r="200" spans="1:16" ht="14.5">
      <c r="A200" s="33"/>
      <c r="B200" s="8" t="s">
        <v>80</v>
      </c>
      <c r="C200" s="9">
        <v>1</v>
      </c>
      <c r="D200" s="10">
        <v>30000</v>
      </c>
      <c r="E200" s="10">
        <f t="shared" si="29"/>
        <v>30000</v>
      </c>
      <c r="F200" s="37"/>
      <c r="K200" s="33"/>
      <c r="L200" s="12" t="s">
        <v>51</v>
      </c>
      <c r="M200" s="9">
        <v>0.5</v>
      </c>
      <c r="N200" s="10">
        <v>38000</v>
      </c>
      <c r="O200" s="10">
        <f t="shared" si="30"/>
        <v>19000</v>
      </c>
      <c r="P200" s="42"/>
    </row>
    <row r="201" spans="1:16" ht="14.5">
      <c r="A201" s="33"/>
      <c r="B201" s="8" t="s">
        <v>57</v>
      </c>
      <c r="C201" s="9">
        <v>0.1</v>
      </c>
      <c r="D201" s="10">
        <v>80000</v>
      </c>
      <c r="E201" s="10">
        <f t="shared" si="29"/>
        <v>8000</v>
      </c>
      <c r="F201" s="37"/>
      <c r="K201" s="33"/>
      <c r="L201" s="12" t="s">
        <v>126</v>
      </c>
      <c r="M201" s="9">
        <v>5</v>
      </c>
      <c r="N201" s="10">
        <v>10000</v>
      </c>
      <c r="O201" s="10">
        <f t="shared" si="30"/>
        <v>50000</v>
      </c>
      <c r="P201" s="42"/>
    </row>
    <row r="202" spans="1:16" ht="14.5">
      <c r="A202" s="33"/>
      <c r="B202" s="8" t="s">
        <v>20</v>
      </c>
      <c r="C202" s="9">
        <v>0.1</v>
      </c>
      <c r="D202" s="10">
        <v>60000</v>
      </c>
      <c r="E202" s="10">
        <f t="shared" si="29"/>
        <v>6000</v>
      </c>
      <c r="F202" s="37"/>
      <c r="K202" s="33"/>
      <c r="L202" s="12" t="s">
        <v>56</v>
      </c>
      <c r="M202" s="9">
        <v>1</v>
      </c>
      <c r="N202" s="10">
        <v>15000</v>
      </c>
      <c r="O202" s="10">
        <f t="shared" si="30"/>
        <v>15000</v>
      </c>
      <c r="P202" s="42"/>
    </row>
    <row r="203" spans="1:16" ht="14.5">
      <c r="A203" s="33"/>
      <c r="B203" s="8" t="s">
        <v>120</v>
      </c>
      <c r="C203" s="9">
        <v>2.1779999999999999</v>
      </c>
      <c r="D203" s="10">
        <v>65000</v>
      </c>
      <c r="E203" s="10">
        <v>142000</v>
      </c>
      <c r="F203" s="37"/>
      <c r="K203" s="33"/>
      <c r="L203" s="12" t="s">
        <v>29</v>
      </c>
      <c r="M203" s="9">
        <v>1</v>
      </c>
      <c r="N203" s="10">
        <v>100000</v>
      </c>
      <c r="O203" s="10">
        <f t="shared" si="30"/>
        <v>100000</v>
      </c>
      <c r="P203" s="42"/>
    </row>
    <row r="204" spans="1:16" ht="14.5">
      <c r="A204" s="33"/>
      <c r="B204" s="8" t="s">
        <v>73</v>
      </c>
      <c r="C204" s="9">
        <v>1</v>
      </c>
      <c r="D204" s="10">
        <v>30000</v>
      </c>
      <c r="E204" s="10">
        <f t="shared" si="29"/>
        <v>30000</v>
      </c>
      <c r="F204" s="37"/>
      <c r="K204" s="33"/>
      <c r="L204" s="12" t="s">
        <v>21</v>
      </c>
      <c r="M204" s="9">
        <v>0.3</v>
      </c>
      <c r="N204" s="10">
        <v>20000</v>
      </c>
      <c r="O204" s="10">
        <f t="shared" si="30"/>
        <v>6000</v>
      </c>
      <c r="P204" s="42"/>
    </row>
    <row r="205" spans="1:16" ht="14.5">
      <c r="A205" s="33"/>
      <c r="B205" s="8" t="s">
        <v>98</v>
      </c>
      <c r="C205" s="9">
        <v>1.5</v>
      </c>
      <c r="D205" s="10">
        <v>15000</v>
      </c>
      <c r="E205" s="10">
        <v>23000</v>
      </c>
      <c r="F205" s="37"/>
      <c r="K205" s="33"/>
      <c r="L205" s="12" t="s">
        <v>19</v>
      </c>
      <c r="M205" s="9">
        <v>0.5</v>
      </c>
      <c r="N205" s="10">
        <v>30000</v>
      </c>
      <c r="O205" s="10">
        <f t="shared" si="30"/>
        <v>15000</v>
      </c>
      <c r="P205" s="42"/>
    </row>
    <row r="206" spans="1:16" ht="14.5">
      <c r="A206" s="33"/>
      <c r="B206" s="8" t="s">
        <v>148</v>
      </c>
      <c r="C206" s="9">
        <v>0.53</v>
      </c>
      <c r="D206" s="10">
        <v>60000</v>
      </c>
      <c r="E206" s="10">
        <v>32000</v>
      </c>
      <c r="F206" s="37"/>
      <c r="K206" s="33"/>
      <c r="L206" s="12" t="s">
        <v>58</v>
      </c>
      <c r="M206" s="9">
        <v>1</v>
      </c>
      <c r="N206" s="10">
        <v>48000</v>
      </c>
      <c r="O206" s="10">
        <f t="shared" si="30"/>
        <v>48000</v>
      </c>
      <c r="P206" s="42"/>
    </row>
    <row r="207" spans="1:16" ht="14.5">
      <c r="A207" s="33"/>
      <c r="B207" s="8" t="s">
        <v>149</v>
      </c>
      <c r="C207" s="9">
        <v>0.56000000000000005</v>
      </c>
      <c r="D207" s="10">
        <v>70000</v>
      </c>
      <c r="E207" s="10">
        <v>39000</v>
      </c>
      <c r="F207" s="37"/>
      <c r="K207" s="33"/>
      <c r="L207" s="12" t="s">
        <v>73</v>
      </c>
      <c r="M207" s="9">
        <v>1</v>
      </c>
      <c r="N207" s="10">
        <v>30000</v>
      </c>
      <c r="O207" s="10">
        <f t="shared" si="30"/>
        <v>30000</v>
      </c>
      <c r="P207" s="42"/>
    </row>
    <row r="208" spans="1:16" ht="14.5">
      <c r="A208" s="33"/>
      <c r="B208" s="8" t="s">
        <v>110</v>
      </c>
      <c r="C208" s="9">
        <v>0.3</v>
      </c>
      <c r="D208" s="10">
        <v>100000</v>
      </c>
      <c r="E208" s="10">
        <f t="shared" si="29"/>
        <v>30000</v>
      </c>
      <c r="F208" s="37"/>
      <c r="K208" s="33"/>
      <c r="L208" s="12" t="s">
        <v>31</v>
      </c>
      <c r="M208" s="9">
        <v>6</v>
      </c>
      <c r="N208" s="10">
        <v>24000</v>
      </c>
      <c r="O208" s="10">
        <f t="shared" si="30"/>
        <v>144000</v>
      </c>
      <c r="P208" s="42"/>
    </row>
    <row r="209" spans="1:16" ht="14.5">
      <c r="A209" s="33"/>
      <c r="B209" s="8" t="s">
        <v>150</v>
      </c>
      <c r="C209" s="9">
        <v>0.2</v>
      </c>
      <c r="D209" s="10">
        <v>20000</v>
      </c>
      <c r="E209" s="10">
        <f t="shared" si="29"/>
        <v>4000</v>
      </c>
      <c r="F209" s="37"/>
      <c r="K209" s="33"/>
      <c r="L209" s="12" t="s">
        <v>43</v>
      </c>
      <c r="M209" s="9">
        <v>1</v>
      </c>
      <c r="N209" s="10">
        <v>40000</v>
      </c>
      <c r="O209" s="10">
        <f t="shared" si="30"/>
        <v>40000</v>
      </c>
      <c r="P209" s="42"/>
    </row>
    <row r="210" spans="1:16" ht="14.5">
      <c r="A210" s="33"/>
      <c r="B210" s="8" t="s">
        <v>105</v>
      </c>
      <c r="C210" s="9">
        <v>0.4</v>
      </c>
      <c r="D210" s="10">
        <v>70000</v>
      </c>
      <c r="E210" s="10">
        <f t="shared" si="29"/>
        <v>28000</v>
      </c>
      <c r="F210" s="37"/>
      <c r="K210" s="34"/>
      <c r="L210" s="12" t="s">
        <v>48</v>
      </c>
      <c r="M210" s="9">
        <v>7.27</v>
      </c>
      <c r="N210" s="10">
        <v>15000</v>
      </c>
      <c r="O210" s="10">
        <v>109000</v>
      </c>
      <c r="P210" s="43"/>
    </row>
    <row r="211" spans="1:16" ht="14.5">
      <c r="A211" s="33"/>
      <c r="B211" s="8" t="s">
        <v>106</v>
      </c>
      <c r="C211" s="9">
        <v>0.4</v>
      </c>
      <c r="D211" s="10">
        <v>80000</v>
      </c>
      <c r="E211" s="10">
        <f t="shared" si="29"/>
        <v>32000</v>
      </c>
      <c r="F211" s="37"/>
      <c r="K211" s="32">
        <v>45986</v>
      </c>
      <c r="L211" s="12" t="s">
        <v>51</v>
      </c>
      <c r="M211" s="9">
        <v>0.5</v>
      </c>
      <c r="N211" s="10">
        <v>38000</v>
      </c>
      <c r="O211" s="10">
        <f t="shared" ref="O211:O226" si="31">SUM(M211*N211)</f>
        <v>19000</v>
      </c>
      <c r="P211" s="41">
        <f>SUM(O211:O219)</f>
        <v>422000</v>
      </c>
    </row>
    <row r="212" spans="1:16" ht="14.5">
      <c r="A212" s="34"/>
      <c r="B212" s="8" t="s">
        <v>19</v>
      </c>
      <c r="C212" s="9">
        <v>0.2</v>
      </c>
      <c r="D212" s="10">
        <v>30000</v>
      </c>
      <c r="E212" s="10">
        <f t="shared" si="29"/>
        <v>6000</v>
      </c>
      <c r="F212" s="38"/>
      <c r="K212" s="33"/>
      <c r="L212" s="12" t="s">
        <v>12</v>
      </c>
      <c r="M212" s="9">
        <v>3</v>
      </c>
      <c r="N212" s="10">
        <v>20000</v>
      </c>
      <c r="O212" s="10">
        <f t="shared" si="31"/>
        <v>60000</v>
      </c>
      <c r="P212" s="42"/>
    </row>
    <row r="213" spans="1:16" ht="14.5">
      <c r="A213" s="32">
        <v>45982</v>
      </c>
      <c r="B213" s="8" t="s">
        <v>151</v>
      </c>
      <c r="C213" s="9">
        <v>2</v>
      </c>
      <c r="D213" s="10">
        <v>30000</v>
      </c>
      <c r="E213" s="10">
        <f t="shared" ref="E213:E228" si="32">C213*D213</f>
        <v>60000</v>
      </c>
      <c r="F213" s="36">
        <f>SUM(E213:E228)</f>
        <v>2447000</v>
      </c>
      <c r="K213" s="33"/>
      <c r="L213" s="12" t="s">
        <v>16</v>
      </c>
      <c r="M213" s="9">
        <v>1</v>
      </c>
      <c r="N213" s="10">
        <v>75000</v>
      </c>
      <c r="O213" s="10">
        <f t="shared" si="31"/>
        <v>75000</v>
      </c>
      <c r="P213" s="42"/>
    </row>
    <row r="214" spans="1:16" ht="14.5">
      <c r="A214" s="33"/>
      <c r="B214" s="8" t="s">
        <v>152</v>
      </c>
      <c r="C214" s="9">
        <v>2</v>
      </c>
      <c r="D214" s="10">
        <v>25000</v>
      </c>
      <c r="E214" s="10">
        <f t="shared" si="32"/>
        <v>50000</v>
      </c>
      <c r="F214" s="37"/>
      <c r="K214" s="33"/>
      <c r="L214" s="12" t="s">
        <v>62</v>
      </c>
      <c r="M214" s="9">
        <v>0.5</v>
      </c>
      <c r="N214" s="10">
        <v>80000</v>
      </c>
      <c r="O214" s="10">
        <f t="shared" si="31"/>
        <v>40000</v>
      </c>
      <c r="P214" s="42"/>
    </row>
    <row r="215" spans="1:16" ht="14.5">
      <c r="A215" s="33"/>
      <c r="B215" s="8" t="s">
        <v>41</v>
      </c>
      <c r="C215" s="9">
        <v>1</v>
      </c>
      <c r="D215" s="10">
        <v>100000</v>
      </c>
      <c r="E215" s="10">
        <f t="shared" si="32"/>
        <v>100000</v>
      </c>
      <c r="F215" s="37"/>
      <c r="K215" s="33"/>
      <c r="L215" s="12" t="s">
        <v>25</v>
      </c>
      <c r="M215" s="9">
        <v>2</v>
      </c>
      <c r="N215" s="10">
        <v>38000</v>
      </c>
      <c r="O215" s="10">
        <f t="shared" si="31"/>
        <v>76000</v>
      </c>
      <c r="P215" s="42"/>
    </row>
    <row r="216" spans="1:16" ht="14.5">
      <c r="A216" s="33"/>
      <c r="B216" s="8" t="s">
        <v>153</v>
      </c>
      <c r="C216" s="9">
        <v>1</v>
      </c>
      <c r="D216" s="10">
        <v>60000</v>
      </c>
      <c r="E216" s="10">
        <f t="shared" si="32"/>
        <v>60000</v>
      </c>
      <c r="F216" s="37"/>
      <c r="K216" s="33"/>
      <c r="L216" s="12" t="s">
        <v>66</v>
      </c>
      <c r="M216" s="9">
        <v>1</v>
      </c>
      <c r="N216" s="10">
        <v>49000</v>
      </c>
      <c r="O216" s="10">
        <f t="shared" si="31"/>
        <v>49000</v>
      </c>
      <c r="P216" s="42"/>
    </row>
    <row r="217" spans="1:16" ht="14.5">
      <c r="A217" s="33"/>
      <c r="B217" s="8" t="s">
        <v>26</v>
      </c>
      <c r="C217" s="9">
        <v>2</v>
      </c>
      <c r="D217" s="10">
        <v>35000</v>
      </c>
      <c r="E217" s="10">
        <f t="shared" si="32"/>
        <v>70000</v>
      </c>
      <c r="F217" s="37"/>
      <c r="K217" s="33"/>
      <c r="L217" s="12" t="s">
        <v>37</v>
      </c>
      <c r="M217" s="9">
        <v>1</v>
      </c>
      <c r="N217" s="10">
        <v>35000</v>
      </c>
      <c r="O217" s="10">
        <f t="shared" si="31"/>
        <v>35000</v>
      </c>
      <c r="P217" s="42"/>
    </row>
    <row r="218" spans="1:16" ht="14.5">
      <c r="A218" s="33"/>
      <c r="B218" s="8" t="s">
        <v>31</v>
      </c>
      <c r="C218" s="9">
        <v>1</v>
      </c>
      <c r="D218" s="10">
        <v>22000</v>
      </c>
      <c r="E218" s="10">
        <f t="shared" si="32"/>
        <v>22000</v>
      </c>
      <c r="F218" s="37"/>
      <c r="K218" s="33"/>
      <c r="L218" s="12" t="s">
        <v>78</v>
      </c>
      <c r="M218" s="9">
        <v>1</v>
      </c>
      <c r="N218" s="10">
        <v>20000</v>
      </c>
      <c r="O218" s="10">
        <f t="shared" si="31"/>
        <v>20000</v>
      </c>
      <c r="P218" s="42"/>
    </row>
    <row r="219" spans="1:16" ht="14.5">
      <c r="A219" s="33"/>
      <c r="B219" s="8" t="s">
        <v>24</v>
      </c>
      <c r="C219" s="9">
        <v>3</v>
      </c>
      <c r="D219" s="10">
        <v>90000</v>
      </c>
      <c r="E219" s="10">
        <f t="shared" si="32"/>
        <v>270000</v>
      </c>
      <c r="F219" s="37"/>
      <c r="K219" s="34"/>
      <c r="L219" s="12" t="s">
        <v>31</v>
      </c>
      <c r="M219" s="9">
        <v>2</v>
      </c>
      <c r="N219" s="10">
        <v>24000</v>
      </c>
      <c r="O219" s="10">
        <f t="shared" si="31"/>
        <v>48000</v>
      </c>
      <c r="P219" s="43"/>
    </row>
    <row r="220" spans="1:16" ht="14.5">
      <c r="A220" s="33"/>
      <c r="B220" s="8" t="s">
        <v>154</v>
      </c>
      <c r="C220" s="9">
        <v>2</v>
      </c>
      <c r="D220" s="10">
        <v>90000</v>
      </c>
      <c r="E220" s="10">
        <f t="shared" si="32"/>
        <v>180000</v>
      </c>
      <c r="F220" s="37"/>
      <c r="K220" s="32">
        <v>45987</v>
      </c>
      <c r="L220" s="12" t="s">
        <v>12</v>
      </c>
      <c r="M220" s="9">
        <v>3</v>
      </c>
      <c r="N220" s="10">
        <v>20000</v>
      </c>
      <c r="O220" s="10">
        <f t="shared" si="31"/>
        <v>60000</v>
      </c>
      <c r="P220" s="41">
        <f>SUM(O220:O230)</f>
        <v>957000</v>
      </c>
    </row>
    <row r="221" spans="1:16" ht="14.5">
      <c r="A221" s="33"/>
      <c r="B221" s="8" t="s">
        <v>92</v>
      </c>
      <c r="C221" s="9">
        <v>1</v>
      </c>
      <c r="D221" s="10">
        <v>45000</v>
      </c>
      <c r="E221" s="10">
        <f t="shared" si="32"/>
        <v>45000</v>
      </c>
      <c r="F221" s="37"/>
      <c r="K221" s="33"/>
      <c r="L221" s="12" t="s">
        <v>16</v>
      </c>
      <c r="M221" s="9">
        <v>4</v>
      </c>
      <c r="N221" s="10">
        <v>75000</v>
      </c>
      <c r="O221" s="10">
        <f t="shared" si="31"/>
        <v>300000</v>
      </c>
      <c r="P221" s="42"/>
    </row>
    <row r="222" spans="1:16" ht="14.5">
      <c r="A222" s="33"/>
      <c r="B222" s="8" t="s">
        <v>47</v>
      </c>
      <c r="C222" s="9">
        <v>2</v>
      </c>
      <c r="D222" s="10">
        <v>170000</v>
      </c>
      <c r="E222" s="10">
        <f t="shared" si="32"/>
        <v>340000</v>
      </c>
      <c r="F222" s="37"/>
      <c r="K222" s="33"/>
      <c r="L222" s="12" t="s">
        <v>51</v>
      </c>
      <c r="M222" s="9">
        <v>1</v>
      </c>
      <c r="N222" s="10">
        <v>38000</v>
      </c>
      <c r="O222" s="10">
        <f t="shared" si="31"/>
        <v>38000</v>
      </c>
      <c r="P222" s="42"/>
    </row>
    <row r="223" spans="1:16" ht="14.5">
      <c r="A223" s="33"/>
      <c r="B223" s="8" t="s">
        <v>81</v>
      </c>
      <c r="C223" s="9">
        <v>2</v>
      </c>
      <c r="D223" s="10">
        <v>60000</v>
      </c>
      <c r="E223" s="10">
        <f t="shared" si="32"/>
        <v>120000</v>
      </c>
      <c r="F223" s="37"/>
      <c r="K223" s="33"/>
      <c r="L223" s="12" t="s">
        <v>23</v>
      </c>
      <c r="M223" s="9">
        <v>8</v>
      </c>
      <c r="N223" s="10">
        <v>10000</v>
      </c>
      <c r="O223" s="10">
        <f t="shared" si="31"/>
        <v>80000</v>
      </c>
      <c r="P223" s="42"/>
    </row>
    <row r="224" spans="1:16" ht="14.5">
      <c r="A224" s="33"/>
      <c r="B224" s="8" t="s">
        <v>82</v>
      </c>
      <c r="C224" s="9">
        <v>2</v>
      </c>
      <c r="D224" s="10">
        <v>200000</v>
      </c>
      <c r="E224" s="10">
        <f t="shared" si="32"/>
        <v>400000</v>
      </c>
      <c r="F224" s="37"/>
      <c r="K224" s="33"/>
      <c r="L224" s="12" t="s">
        <v>21</v>
      </c>
      <c r="M224" s="9">
        <v>1</v>
      </c>
      <c r="N224" s="10">
        <v>20000</v>
      </c>
      <c r="O224" s="10">
        <f t="shared" si="31"/>
        <v>20000</v>
      </c>
      <c r="P224" s="42"/>
    </row>
    <row r="225" spans="1:16" ht="14.5">
      <c r="A225" s="33"/>
      <c r="B225" s="8" t="s">
        <v>16</v>
      </c>
      <c r="C225" s="9">
        <v>2</v>
      </c>
      <c r="D225" s="10">
        <v>75000</v>
      </c>
      <c r="E225" s="10">
        <f t="shared" si="32"/>
        <v>150000</v>
      </c>
      <c r="F225" s="37"/>
      <c r="K225" s="33"/>
      <c r="L225" s="12" t="s">
        <v>75</v>
      </c>
      <c r="M225" s="9">
        <v>1</v>
      </c>
      <c r="N225" s="10">
        <v>45000</v>
      </c>
      <c r="O225" s="10">
        <f t="shared" si="31"/>
        <v>45000</v>
      </c>
      <c r="P225" s="42"/>
    </row>
    <row r="226" spans="1:16" ht="14.5">
      <c r="A226" s="33"/>
      <c r="B226" s="8" t="s">
        <v>124</v>
      </c>
      <c r="C226" s="9">
        <v>0.3</v>
      </c>
      <c r="D226" s="10">
        <v>100000</v>
      </c>
      <c r="E226" s="10">
        <f t="shared" si="32"/>
        <v>30000</v>
      </c>
      <c r="F226" s="37"/>
      <c r="K226" s="33"/>
      <c r="L226" s="12" t="s">
        <v>58</v>
      </c>
      <c r="M226" s="9">
        <v>2</v>
      </c>
      <c r="N226" s="10">
        <v>48000</v>
      </c>
      <c r="O226" s="10">
        <f t="shared" si="31"/>
        <v>96000</v>
      </c>
      <c r="P226" s="42"/>
    </row>
    <row r="227" spans="1:16" ht="14.5">
      <c r="A227" s="33"/>
      <c r="B227" s="8" t="s">
        <v>49</v>
      </c>
      <c r="C227" s="9">
        <v>1</v>
      </c>
      <c r="D227" s="10">
        <v>330000</v>
      </c>
      <c r="E227" s="10">
        <f t="shared" si="32"/>
        <v>330000</v>
      </c>
      <c r="F227" s="37"/>
      <c r="K227" s="33"/>
      <c r="L227" s="12" t="s">
        <v>25</v>
      </c>
      <c r="M227" s="9">
        <v>1.36</v>
      </c>
      <c r="N227" s="10">
        <v>38000</v>
      </c>
      <c r="O227" s="10">
        <v>52000</v>
      </c>
      <c r="P227" s="42"/>
    </row>
    <row r="228" spans="1:16" ht="14.5">
      <c r="A228" s="34"/>
      <c r="B228" s="8" t="s">
        <v>155</v>
      </c>
      <c r="C228" s="9">
        <v>1</v>
      </c>
      <c r="D228" s="10">
        <v>220000</v>
      </c>
      <c r="E228" s="10">
        <f t="shared" si="32"/>
        <v>220000</v>
      </c>
      <c r="F228" s="38"/>
      <c r="K228" s="33"/>
      <c r="L228" s="12" t="s">
        <v>29</v>
      </c>
      <c r="M228" s="9">
        <v>0.5</v>
      </c>
      <c r="N228" s="10">
        <v>100000</v>
      </c>
      <c r="O228" s="10">
        <f t="shared" ref="O228:O236" si="33">SUM(M228*N228)</f>
        <v>50000</v>
      </c>
      <c r="P228" s="42"/>
    </row>
    <row r="229" spans="1:16" ht="14.5">
      <c r="A229" s="32">
        <v>45983</v>
      </c>
      <c r="B229" s="8" t="s">
        <v>125</v>
      </c>
      <c r="C229" s="9">
        <v>1.1299999999999999</v>
      </c>
      <c r="D229" s="10">
        <v>40000</v>
      </c>
      <c r="E229" s="10">
        <v>45000</v>
      </c>
      <c r="F229" s="36">
        <f>SUM(E229:E242)</f>
        <v>1543000</v>
      </c>
      <c r="K229" s="33"/>
      <c r="L229" s="12" t="s">
        <v>31</v>
      </c>
      <c r="M229" s="9">
        <v>4</v>
      </c>
      <c r="N229" s="10">
        <v>24000</v>
      </c>
      <c r="O229" s="10">
        <f t="shared" si="33"/>
        <v>96000</v>
      </c>
      <c r="P229" s="42"/>
    </row>
    <row r="230" spans="1:16" ht="14.5">
      <c r="A230" s="33"/>
      <c r="B230" s="8" t="s">
        <v>100</v>
      </c>
      <c r="C230" s="9">
        <v>5</v>
      </c>
      <c r="D230" s="10">
        <v>25000</v>
      </c>
      <c r="E230" s="10">
        <f t="shared" ref="E229:E246" si="34">C230*D230</f>
        <v>125000</v>
      </c>
      <c r="F230" s="37"/>
      <c r="K230" s="34"/>
      <c r="L230" s="12" t="s">
        <v>43</v>
      </c>
      <c r="M230" s="9">
        <v>3</v>
      </c>
      <c r="N230" s="10">
        <v>40000</v>
      </c>
      <c r="O230" s="10">
        <f t="shared" si="33"/>
        <v>120000</v>
      </c>
      <c r="P230" s="43"/>
    </row>
    <row r="231" spans="1:16" ht="14.5">
      <c r="A231" s="33"/>
      <c r="B231" s="8" t="s">
        <v>20</v>
      </c>
      <c r="C231" s="9">
        <v>0.1</v>
      </c>
      <c r="D231" s="10">
        <v>60000</v>
      </c>
      <c r="E231" s="10">
        <f t="shared" si="34"/>
        <v>6000</v>
      </c>
      <c r="F231" s="37"/>
      <c r="K231" s="32">
        <v>45988</v>
      </c>
      <c r="L231" s="12" t="s">
        <v>12</v>
      </c>
      <c r="M231" s="9">
        <v>3</v>
      </c>
      <c r="N231" s="10">
        <v>20000</v>
      </c>
      <c r="O231" s="10">
        <f t="shared" si="33"/>
        <v>60000</v>
      </c>
      <c r="P231" s="41">
        <f>SUM(O231:O241)</f>
        <v>828000</v>
      </c>
    </row>
    <row r="232" spans="1:16" ht="14.5">
      <c r="A232" s="33"/>
      <c r="B232" s="8" t="s">
        <v>24</v>
      </c>
      <c r="C232" s="9">
        <v>4</v>
      </c>
      <c r="D232" s="10">
        <v>90000</v>
      </c>
      <c r="E232" s="10">
        <f t="shared" si="34"/>
        <v>360000</v>
      </c>
      <c r="F232" s="37"/>
      <c r="K232" s="33"/>
      <c r="L232" s="12" t="s">
        <v>16</v>
      </c>
      <c r="M232" s="9">
        <v>4</v>
      </c>
      <c r="N232" s="10">
        <v>75000</v>
      </c>
      <c r="O232" s="10">
        <f t="shared" si="33"/>
        <v>300000</v>
      </c>
      <c r="P232" s="42"/>
    </row>
    <row r="233" spans="1:16" ht="14.5">
      <c r="A233" s="33"/>
      <c r="B233" s="8" t="s">
        <v>31</v>
      </c>
      <c r="C233" s="9">
        <v>6</v>
      </c>
      <c r="D233" s="10">
        <v>22000</v>
      </c>
      <c r="E233" s="10">
        <f t="shared" si="34"/>
        <v>132000</v>
      </c>
      <c r="F233" s="37"/>
      <c r="K233" s="33"/>
      <c r="L233" s="12" t="s">
        <v>126</v>
      </c>
      <c r="M233" s="9">
        <v>6</v>
      </c>
      <c r="N233" s="10">
        <v>10000</v>
      </c>
      <c r="O233" s="10">
        <f t="shared" si="33"/>
        <v>60000</v>
      </c>
      <c r="P233" s="42"/>
    </row>
    <row r="234" spans="1:16" ht="14.5">
      <c r="A234" s="33"/>
      <c r="B234" s="8" t="s">
        <v>28</v>
      </c>
      <c r="C234" s="9">
        <v>10</v>
      </c>
      <c r="D234" s="10">
        <v>15000</v>
      </c>
      <c r="E234" s="10">
        <f t="shared" si="34"/>
        <v>150000</v>
      </c>
      <c r="F234" s="37"/>
      <c r="K234" s="33"/>
      <c r="L234" s="12" t="s">
        <v>58</v>
      </c>
      <c r="M234" s="9">
        <v>1</v>
      </c>
      <c r="N234" s="10">
        <v>48000</v>
      </c>
      <c r="O234" s="10">
        <f t="shared" si="33"/>
        <v>48000</v>
      </c>
      <c r="P234" s="42"/>
    </row>
    <row r="235" spans="1:16" ht="14.5">
      <c r="A235" s="33"/>
      <c r="B235" s="8" t="s">
        <v>44</v>
      </c>
      <c r="C235" s="9">
        <v>2</v>
      </c>
      <c r="D235" s="10">
        <v>90000</v>
      </c>
      <c r="E235" s="10">
        <f t="shared" si="34"/>
        <v>180000</v>
      </c>
      <c r="F235" s="37"/>
      <c r="K235" s="33"/>
      <c r="L235" s="12" t="s">
        <v>73</v>
      </c>
      <c r="M235" s="9">
        <v>1</v>
      </c>
      <c r="N235" s="10">
        <v>30000</v>
      </c>
      <c r="O235" s="10">
        <f t="shared" si="33"/>
        <v>30000</v>
      </c>
      <c r="P235" s="42"/>
    </row>
    <row r="236" spans="1:16" ht="14.5">
      <c r="A236" s="33"/>
      <c r="B236" s="8" t="s">
        <v>88</v>
      </c>
      <c r="C236" s="9">
        <v>5</v>
      </c>
      <c r="D236" s="10">
        <v>25000</v>
      </c>
      <c r="E236" s="10">
        <f t="shared" si="34"/>
        <v>125000</v>
      </c>
      <c r="F236" s="37"/>
      <c r="K236" s="33"/>
      <c r="L236" s="12" t="s">
        <v>19</v>
      </c>
      <c r="M236" s="9">
        <v>0.3</v>
      </c>
      <c r="N236" s="10">
        <v>20000</v>
      </c>
      <c r="O236" s="10">
        <f t="shared" si="33"/>
        <v>6000</v>
      </c>
      <c r="P236" s="42"/>
    </row>
    <row r="237" spans="1:16" ht="14.5">
      <c r="A237" s="33"/>
      <c r="B237" s="8" t="s">
        <v>156</v>
      </c>
      <c r="C237" s="9">
        <v>3</v>
      </c>
      <c r="D237" s="10">
        <v>25000</v>
      </c>
      <c r="E237" s="10">
        <f t="shared" si="34"/>
        <v>75000</v>
      </c>
      <c r="F237" s="37"/>
      <c r="K237" s="33"/>
      <c r="L237" s="12" t="s">
        <v>29</v>
      </c>
      <c r="M237" s="9">
        <v>0.5</v>
      </c>
      <c r="N237" s="10">
        <v>95000</v>
      </c>
      <c r="O237" s="10">
        <v>48000</v>
      </c>
      <c r="P237" s="42"/>
    </row>
    <row r="238" spans="1:16" ht="14.5">
      <c r="A238" s="33"/>
      <c r="B238" s="8" t="s">
        <v>157</v>
      </c>
      <c r="C238" s="9">
        <v>2</v>
      </c>
      <c r="D238" s="10">
        <v>30000</v>
      </c>
      <c r="E238" s="10">
        <f t="shared" si="34"/>
        <v>60000</v>
      </c>
      <c r="F238" s="37"/>
      <c r="K238" s="33"/>
      <c r="L238" s="12" t="s">
        <v>57</v>
      </c>
      <c r="M238" s="9">
        <v>0.3</v>
      </c>
      <c r="N238" s="10">
        <v>100000</v>
      </c>
      <c r="O238" s="10">
        <f t="shared" ref="O238:O246" si="35">SUM(M238*N238)</f>
        <v>30000</v>
      </c>
      <c r="P238" s="42"/>
    </row>
    <row r="239" spans="1:16" ht="14.5">
      <c r="A239" s="33"/>
      <c r="B239" s="8" t="s">
        <v>158</v>
      </c>
      <c r="C239" s="9">
        <v>1</v>
      </c>
      <c r="D239" s="10">
        <v>100000</v>
      </c>
      <c r="E239" s="10">
        <f t="shared" si="34"/>
        <v>100000</v>
      </c>
      <c r="F239" s="37"/>
      <c r="K239" s="33"/>
      <c r="L239" s="12" t="s">
        <v>159</v>
      </c>
      <c r="M239" s="9">
        <v>1</v>
      </c>
      <c r="N239" s="10">
        <v>90000</v>
      </c>
      <c r="O239" s="10">
        <f t="shared" si="35"/>
        <v>90000</v>
      </c>
      <c r="P239" s="42"/>
    </row>
    <row r="240" spans="1:16" ht="14.5">
      <c r="A240" s="33"/>
      <c r="B240" s="8" t="s">
        <v>160</v>
      </c>
      <c r="C240" s="9">
        <v>1</v>
      </c>
      <c r="D240" s="10">
        <v>30000</v>
      </c>
      <c r="E240" s="10">
        <f t="shared" si="34"/>
        <v>30000</v>
      </c>
      <c r="F240" s="37"/>
      <c r="K240" s="33"/>
      <c r="L240" s="12" t="s">
        <v>161</v>
      </c>
      <c r="M240" s="9">
        <v>2</v>
      </c>
      <c r="N240" s="10">
        <v>30000</v>
      </c>
      <c r="O240" s="10">
        <f t="shared" si="35"/>
        <v>60000</v>
      </c>
      <c r="P240" s="42"/>
    </row>
    <row r="241" spans="1:16" ht="14.5">
      <c r="A241" s="33"/>
      <c r="B241" s="8" t="s">
        <v>93</v>
      </c>
      <c r="C241" s="9">
        <v>1</v>
      </c>
      <c r="D241" s="10">
        <v>25000</v>
      </c>
      <c r="E241" s="10">
        <f t="shared" si="34"/>
        <v>25000</v>
      </c>
      <c r="F241" s="37"/>
      <c r="K241" s="34"/>
      <c r="L241" s="12" t="s">
        <v>31</v>
      </c>
      <c r="M241" s="9">
        <v>4</v>
      </c>
      <c r="N241" s="10">
        <v>24000</v>
      </c>
      <c r="O241" s="10">
        <f t="shared" si="35"/>
        <v>96000</v>
      </c>
      <c r="P241" s="43"/>
    </row>
    <row r="242" spans="1:16" ht="14.5">
      <c r="A242" s="34"/>
      <c r="B242" s="8" t="s">
        <v>162</v>
      </c>
      <c r="C242" s="9">
        <v>1</v>
      </c>
      <c r="D242" s="10">
        <v>130000</v>
      </c>
      <c r="E242" s="10">
        <f t="shared" si="34"/>
        <v>130000</v>
      </c>
      <c r="F242" s="38"/>
      <c r="K242" s="32">
        <v>45989</v>
      </c>
      <c r="L242" s="12" t="s">
        <v>12</v>
      </c>
      <c r="M242" s="9">
        <v>4</v>
      </c>
      <c r="N242" s="10">
        <v>20000</v>
      </c>
      <c r="O242" s="10">
        <f t="shared" si="35"/>
        <v>80000</v>
      </c>
      <c r="P242" s="41">
        <f>SUM(O242:O252)</f>
        <v>906000</v>
      </c>
    </row>
    <row r="243" spans="1:16" ht="14.5">
      <c r="A243" s="32">
        <v>45983</v>
      </c>
      <c r="B243" s="8" t="s">
        <v>154</v>
      </c>
      <c r="C243" s="9">
        <v>1</v>
      </c>
      <c r="D243" s="10">
        <v>90000</v>
      </c>
      <c r="E243" s="10">
        <f t="shared" si="34"/>
        <v>90000</v>
      </c>
      <c r="F243" s="36">
        <f>SUM(E243:E246)</f>
        <v>198000</v>
      </c>
      <c r="K243" s="33"/>
      <c r="L243" s="12" t="s">
        <v>16</v>
      </c>
      <c r="M243" s="9">
        <v>4</v>
      </c>
      <c r="N243" s="10">
        <v>75000</v>
      </c>
      <c r="O243" s="10">
        <f t="shared" si="35"/>
        <v>300000</v>
      </c>
      <c r="P243" s="42"/>
    </row>
    <row r="244" spans="1:16" ht="14.5">
      <c r="A244" s="33"/>
      <c r="B244" s="8" t="s">
        <v>163</v>
      </c>
      <c r="C244" s="9">
        <v>14</v>
      </c>
      <c r="D244" s="10">
        <v>2000</v>
      </c>
      <c r="E244" s="10">
        <f t="shared" si="34"/>
        <v>28000</v>
      </c>
      <c r="F244" s="37"/>
      <c r="K244" s="33"/>
      <c r="L244" s="12" t="s">
        <v>126</v>
      </c>
      <c r="M244" s="9">
        <v>8</v>
      </c>
      <c r="N244" s="10">
        <v>10000</v>
      </c>
      <c r="O244" s="10">
        <f t="shared" si="35"/>
        <v>80000</v>
      </c>
      <c r="P244" s="42"/>
    </row>
    <row r="245" spans="1:16" ht="14.5">
      <c r="A245" s="33"/>
      <c r="B245" s="8" t="s">
        <v>125</v>
      </c>
      <c r="C245" s="9">
        <v>1</v>
      </c>
      <c r="D245" s="10">
        <v>40000</v>
      </c>
      <c r="E245" s="10">
        <f t="shared" si="34"/>
        <v>40000</v>
      </c>
      <c r="F245" s="37"/>
      <c r="K245" s="33"/>
      <c r="L245" s="12" t="s">
        <v>21</v>
      </c>
      <c r="M245" s="9">
        <v>0.5</v>
      </c>
      <c r="N245" s="10">
        <v>20000</v>
      </c>
      <c r="O245" s="10">
        <f t="shared" si="35"/>
        <v>10000</v>
      </c>
      <c r="P245" s="42"/>
    </row>
    <row r="246" spans="1:16" ht="14.5">
      <c r="A246" s="34"/>
      <c r="B246" s="8" t="s">
        <v>164</v>
      </c>
      <c r="C246" s="9">
        <v>1</v>
      </c>
      <c r="D246" s="10">
        <v>40000</v>
      </c>
      <c r="E246" s="10">
        <f t="shared" si="34"/>
        <v>40000</v>
      </c>
      <c r="F246" s="38"/>
      <c r="K246" s="33"/>
      <c r="L246" s="12" t="s">
        <v>58</v>
      </c>
      <c r="M246" s="9">
        <v>2</v>
      </c>
      <c r="N246" s="10">
        <v>48000</v>
      </c>
      <c r="O246" s="10">
        <f t="shared" si="35"/>
        <v>96000</v>
      </c>
      <c r="P246" s="42"/>
    </row>
    <row r="247" spans="1:16" ht="14.5">
      <c r="A247" s="32">
        <v>45984</v>
      </c>
      <c r="B247" s="8" t="s">
        <v>65</v>
      </c>
      <c r="C247" s="9">
        <v>2</v>
      </c>
      <c r="D247" s="10">
        <v>225000</v>
      </c>
      <c r="E247" s="10">
        <f t="shared" ref="E247:E258" si="36">C247*D247</f>
        <v>450000</v>
      </c>
      <c r="F247" s="36">
        <f>SUM(E247:E258)</f>
        <v>1378000</v>
      </c>
      <c r="K247" s="33"/>
      <c r="L247" s="12" t="s">
        <v>25</v>
      </c>
      <c r="M247" s="9">
        <v>1.2</v>
      </c>
      <c r="N247" s="10">
        <v>38000</v>
      </c>
      <c r="O247" s="10">
        <v>46000</v>
      </c>
      <c r="P247" s="42"/>
    </row>
    <row r="248" spans="1:16" ht="14.5">
      <c r="A248" s="33"/>
      <c r="B248" s="8" t="s">
        <v>165</v>
      </c>
      <c r="C248" s="9">
        <v>2</v>
      </c>
      <c r="D248" s="10">
        <v>30000</v>
      </c>
      <c r="E248" s="10">
        <f t="shared" si="36"/>
        <v>60000</v>
      </c>
      <c r="F248" s="37"/>
      <c r="K248" s="33"/>
      <c r="L248" s="12" t="s">
        <v>73</v>
      </c>
      <c r="M248" s="9">
        <v>1</v>
      </c>
      <c r="N248" s="10">
        <v>30000</v>
      </c>
      <c r="O248" s="10">
        <f t="shared" ref="O248:O257" si="37">SUM(M248*N248)</f>
        <v>30000</v>
      </c>
      <c r="P248" s="42"/>
    </row>
    <row r="249" spans="1:16" ht="14.5">
      <c r="A249" s="33"/>
      <c r="B249" s="8" t="s">
        <v>30</v>
      </c>
      <c r="C249" s="9">
        <v>3</v>
      </c>
      <c r="D249" s="10">
        <v>40000</v>
      </c>
      <c r="E249" s="10">
        <f t="shared" si="36"/>
        <v>120000</v>
      </c>
      <c r="F249" s="37"/>
      <c r="K249" s="33"/>
      <c r="L249" s="12" t="s">
        <v>29</v>
      </c>
      <c r="M249" s="9">
        <v>1</v>
      </c>
      <c r="N249" s="10">
        <v>100000</v>
      </c>
      <c r="O249" s="10">
        <v>48000</v>
      </c>
      <c r="P249" s="42"/>
    </row>
    <row r="250" spans="1:16" ht="14.5">
      <c r="A250" s="33"/>
      <c r="B250" s="8" t="s">
        <v>42</v>
      </c>
      <c r="C250" s="9">
        <v>1</v>
      </c>
      <c r="D250" s="10">
        <v>160000</v>
      </c>
      <c r="E250" s="10">
        <f t="shared" si="36"/>
        <v>160000</v>
      </c>
      <c r="F250" s="37"/>
      <c r="K250" s="33"/>
      <c r="L250" s="12" t="s">
        <v>31</v>
      </c>
      <c r="M250" s="9">
        <v>4</v>
      </c>
      <c r="N250" s="10">
        <v>24000</v>
      </c>
      <c r="O250" s="10">
        <f t="shared" si="37"/>
        <v>96000</v>
      </c>
      <c r="P250" s="42"/>
    </row>
    <row r="251" spans="1:16" ht="14.5">
      <c r="A251" s="33"/>
      <c r="B251" s="8" t="s">
        <v>39</v>
      </c>
      <c r="C251" s="9">
        <v>1</v>
      </c>
      <c r="D251" s="10">
        <v>170000</v>
      </c>
      <c r="E251" s="10">
        <f t="shared" si="36"/>
        <v>170000</v>
      </c>
      <c r="F251" s="37"/>
      <c r="K251" s="33"/>
      <c r="L251" s="12" t="s">
        <v>43</v>
      </c>
      <c r="M251" s="9">
        <v>1</v>
      </c>
      <c r="N251" s="10">
        <v>40000</v>
      </c>
      <c r="O251" s="10">
        <f t="shared" si="37"/>
        <v>40000</v>
      </c>
      <c r="P251" s="42"/>
    </row>
    <row r="252" spans="1:16" ht="14.5">
      <c r="A252" s="33"/>
      <c r="B252" s="8" t="s">
        <v>50</v>
      </c>
      <c r="C252" s="9">
        <v>1</v>
      </c>
      <c r="D252" s="10">
        <v>170000</v>
      </c>
      <c r="E252" s="10">
        <f t="shared" si="36"/>
        <v>170000</v>
      </c>
      <c r="F252" s="37"/>
      <c r="K252" s="34"/>
      <c r="L252" s="12" t="s">
        <v>78</v>
      </c>
      <c r="M252" s="9">
        <v>4</v>
      </c>
      <c r="N252" s="10">
        <v>20000</v>
      </c>
      <c r="O252" s="10">
        <f t="shared" si="37"/>
        <v>80000</v>
      </c>
      <c r="P252" s="43"/>
    </row>
    <row r="253" spans="1:16" ht="14.5">
      <c r="A253" s="33"/>
      <c r="B253" s="8" t="s">
        <v>117</v>
      </c>
      <c r="C253" s="9">
        <v>1</v>
      </c>
      <c r="D253" s="10">
        <v>90000</v>
      </c>
      <c r="E253" s="10">
        <f t="shared" si="36"/>
        <v>90000</v>
      </c>
      <c r="F253" s="37"/>
      <c r="K253" s="32">
        <v>45990</v>
      </c>
      <c r="L253" s="12" t="s">
        <v>12</v>
      </c>
      <c r="M253" s="9">
        <v>2</v>
      </c>
      <c r="N253" s="10">
        <v>20000</v>
      </c>
      <c r="O253" s="10">
        <f t="shared" si="37"/>
        <v>40000</v>
      </c>
      <c r="P253" s="41">
        <f>SUM(O253:O262)</f>
        <v>610000</v>
      </c>
    </row>
    <row r="254" spans="1:16" ht="14.5">
      <c r="A254" s="33"/>
      <c r="B254" s="8" t="s">
        <v>70</v>
      </c>
      <c r="C254" s="9">
        <v>13</v>
      </c>
      <c r="D254" s="10">
        <v>2000</v>
      </c>
      <c r="E254" s="10">
        <f t="shared" si="36"/>
        <v>26000</v>
      </c>
      <c r="F254" s="37"/>
      <c r="K254" s="33"/>
      <c r="L254" s="12" t="s">
        <v>16</v>
      </c>
      <c r="M254" s="9">
        <v>1</v>
      </c>
      <c r="N254" s="10">
        <v>70000</v>
      </c>
      <c r="O254" s="10">
        <f t="shared" si="37"/>
        <v>70000</v>
      </c>
      <c r="P254" s="42"/>
    </row>
    <row r="255" spans="1:16" ht="14.5">
      <c r="A255" s="33"/>
      <c r="B255" s="8" t="s">
        <v>110</v>
      </c>
      <c r="C255" s="9">
        <v>0.3</v>
      </c>
      <c r="D255" s="10">
        <v>100000</v>
      </c>
      <c r="E255" s="10">
        <f t="shared" si="36"/>
        <v>30000</v>
      </c>
      <c r="F255" s="37"/>
      <c r="K255" s="33"/>
      <c r="L255" s="12" t="s">
        <v>126</v>
      </c>
      <c r="M255" s="9">
        <v>6</v>
      </c>
      <c r="N255" s="10">
        <v>10000</v>
      </c>
      <c r="O255" s="10">
        <f t="shared" si="37"/>
        <v>60000</v>
      </c>
      <c r="P255" s="42"/>
    </row>
    <row r="256" spans="1:16" ht="14.5">
      <c r="A256" s="33"/>
      <c r="B256" s="8" t="s">
        <v>166</v>
      </c>
      <c r="C256" s="9">
        <v>2</v>
      </c>
      <c r="D256" s="10">
        <v>15000</v>
      </c>
      <c r="E256" s="10">
        <f t="shared" si="36"/>
        <v>30000</v>
      </c>
      <c r="F256" s="37"/>
      <c r="K256" s="33"/>
      <c r="L256" s="12" t="s">
        <v>21</v>
      </c>
      <c r="M256" s="9">
        <v>0.3</v>
      </c>
      <c r="N256" s="10">
        <v>20000</v>
      </c>
      <c r="O256" s="10">
        <f t="shared" si="37"/>
        <v>6000</v>
      </c>
      <c r="P256" s="42"/>
    </row>
    <row r="257" spans="1:16" ht="14.5">
      <c r="A257" s="33"/>
      <c r="B257" s="8" t="s">
        <v>167</v>
      </c>
      <c r="C257" s="9">
        <v>2</v>
      </c>
      <c r="D257" s="10">
        <v>20000</v>
      </c>
      <c r="E257" s="10">
        <f t="shared" si="36"/>
        <v>40000</v>
      </c>
      <c r="F257" s="37"/>
      <c r="K257" s="33"/>
      <c r="L257" s="12" t="s">
        <v>58</v>
      </c>
      <c r="M257" s="9">
        <v>1</v>
      </c>
      <c r="N257" s="10">
        <v>48000</v>
      </c>
      <c r="O257" s="10">
        <f t="shared" si="37"/>
        <v>48000</v>
      </c>
      <c r="P257" s="42"/>
    </row>
    <row r="258" spans="1:16" ht="14.5">
      <c r="A258" s="34"/>
      <c r="B258" s="8" t="s">
        <v>70</v>
      </c>
      <c r="C258" s="9">
        <v>16</v>
      </c>
      <c r="D258" s="10">
        <v>2000</v>
      </c>
      <c r="E258" s="10">
        <f t="shared" si="36"/>
        <v>32000</v>
      </c>
      <c r="F258" s="38"/>
      <c r="K258" s="33"/>
      <c r="L258" s="12" t="s">
        <v>29</v>
      </c>
      <c r="M258" s="9">
        <v>1</v>
      </c>
      <c r="N258" s="10">
        <v>100000</v>
      </c>
      <c r="O258" s="10">
        <f>M258*N258</f>
        <v>100000</v>
      </c>
      <c r="P258" s="42"/>
    </row>
    <row r="259" spans="1:16" ht="14.5">
      <c r="A259" s="32">
        <v>45985</v>
      </c>
      <c r="B259" s="8" t="s">
        <v>16</v>
      </c>
      <c r="C259" s="9">
        <v>1.5</v>
      </c>
      <c r="D259" s="10">
        <v>75000</v>
      </c>
      <c r="E259" s="10">
        <v>113000</v>
      </c>
      <c r="F259" s="36">
        <f>SUM(E259:E274)</f>
        <v>3439000</v>
      </c>
      <c r="K259" s="33"/>
      <c r="L259" s="12" t="s">
        <v>31</v>
      </c>
      <c r="M259" s="9">
        <v>2</v>
      </c>
      <c r="N259" s="10">
        <v>24000</v>
      </c>
      <c r="O259" s="10">
        <f t="shared" ref="O259:O268" si="38">SUM(M259*N259)</f>
        <v>48000</v>
      </c>
      <c r="P259" s="42"/>
    </row>
    <row r="260" spans="1:16" ht="14.5">
      <c r="A260" s="33"/>
      <c r="B260" s="8" t="s">
        <v>168</v>
      </c>
      <c r="C260" s="9">
        <v>2</v>
      </c>
      <c r="D260" s="10">
        <v>330000</v>
      </c>
      <c r="E260" s="10">
        <f t="shared" ref="E260:E274" si="39">C260*D260</f>
        <v>660000</v>
      </c>
      <c r="F260" s="37"/>
      <c r="K260" s="33"/>
      <c r="L260" s="12" t="s">
        <v>43</v>
      </c>
      <c r="M260" s="9">
        <v>1</v>
      </c>
      <c r="N260" s="10">
        <v>40000</v>
      </c>
      <c r="O260" s="10">
        <f t="shared" si="38"/>
        <v>40000</v>
      </c>
      <c r="P260" s="42"/>
    </row>
    <row r="261" spans="1:16" ht="14.5">
      <c r="A261" s="33"/>
      <c r="B261" s="8" t="s">
        <v>47</v>
      </c>
      <c r="C261" s="9">
        <v>2</v>
      </c>
      <c r="D261" s="10">
        <v>170000</v>
      </c>
      <c r="E261" s="10">
        <f t="shared" si="39"/>
        <v>340000</v>
      </c>
      <c r="F261" s="37"/>
      <c r="K261" s="33"/>
      <c r="L261" s="12" t="s">
        <v>66</v>
      </c>
      <c r="M261" s="9">
        <v>2</v>
      </c>
      <c r="N261" s="10">
        <v>49000</v>
      </c>
      <c r="O261" s="10">
        <f t="shared" si="38"/>
        <v>98000</v>
      </c>
      <c r="P261" s="42"/>
    </row>
    <row r="262" spans="1:16" ht="14.5">
      <c r="A262" s="33"/>
      <c r="B262" s="8" t="s">
        <v>121</v>
      </c>
      <c r="C262" s="9">
        <v>2</v>
      </c>
      <c r="D262" s="10">
        <v>275000</v>
      </c>
      <c r="E262" s="10">
        <f t="shared" si="39"/>
        <v>550000</v>
      </c>
      <c r="F262" s="37"/>
      <c r="K262" s="34"/>
      <c r="L262" s="12" t="s">
        <v>97</v>
      </c>
      <c r="M262" s="9">
        <v>5</v>
      </c>
      <c r="N262" s="10">
        <v>20000</v>
      </c>
      <c r="O262" s="10">
        <f t="shared" si="38"/>
        <v>100000</v>
      </c>
      <c r="P262" s="43"/>
    </row>
    <row r="263" spans="1:16">
      <c r="A263" s="33"/>
      <c r="B263" s="8" t="s">
        <v>31</v>
      </c>
      <c r="C263" s="9">
        <v>3</v>
      </c>
      <c r="D263" s="10">
        <v>22000</v>
      </c>
      <c r="E263" s="10">
        <f t="shared" si="39"/>
        <v>66000</v>
      </c>
      <c r="F263" s="37"/>
      <c r="K263" s="18">
        <v>45990</v>
      </c>
      <c r="L263" s="12" t="s">
        <v>56</v>
      </c>
      <c r="M263" s="9">
        <v>2</v>
      </c>
      <c r="N263" s="10">
        <v>15000</v>
      </c>
      <c r="O263" s="10">
        <f t="shared" si="38"/>
        <v>30000</v>
      </c>
      <c r="P263" s="25">
        <f>SUM(O263)</f>
        <v>30000</v>
      </c>
    </row>
    <row r="264" spans="1:16" ht="14.5">
      <c r="A264" s="33"/>
      <c r="B264" s="8" t="s">
        <v>24</v>
      </c>
      <c r="C264" s="9">
        <v>5</v>
      </c>
      <c r="D264" s="10">
        <v>90000</v>
      </c>
      <c r="E264" s="10">
        <f t="shared" si="39"/>
        <v>450000</v>
      </c>
      <c r="F264" s="37"/>
      <c r="K264" s="32">
        <v>45991</v>
      </c>
      <c r="L264" s="12" t="s">
        <v>12</v>
      </c>
      <c r="M264" s="9">
        <v>3</v>
      </c>
      <c r="N264" s="10">
        <v>20000</v>
      </c>
      <c r="O264" s="10">
        <f t="shared" si="38"/>
        <v>60000</v>
      </c>
      <c r="P264" s="41">
        <f>SUM(O264:O274)</f>
        <v>906000</v>
      </c>
    </row>
    <row r="265" spans="1:16" ht="14.5">
      <c r="A265" s="33"/>
      <c r="B265" s="8" t="s">
        <v>169</v>
      </c>
      <c r="C265" s="9">
        <v>2</v>
      </c>
      <c r="D265" s="10">
        <v>70000</v>
      </c>
      <c r="E265" s="10">
        <f t="shared" si="39"/>
        <v>140000</v>
      </c>
      <c r="F265" s="37"/>
      <c r="K265" s="33"/>
      <c r="L265" s="12" t="s">
        <v>16</v>
      </c>
      <c r="M265" s="9">
        <v>4</v>
      </c>
      <c r="N265" s="10">
        <v>75000</v>
      </c>
      <c r="O265" s="10">
        <f t="shared" si="38"/>
        <v>300000</v>
      </c>
      <c r="P265" s="42"/>
    </row>
    <row r="266" spans="1:16" ht="14.5">
      <c r="A266" s="33"/>
      <c r="B266" s="8" t="s">
        <v>117</v>
      </c>
      <c r="C266" s="9">
        <v>2</v>
      </c>
      <c r="D266" s="10">
        <v>90000</v>
      </c>
      <c r="E266" s="10">
        <f t="shared" si="39"/>
        <v>180000</v>
      </c>
      <c r="F266" s="37"/>
      <c r="K266" s="33"/>
      <c r="L266" s="12" t="s">
        <v>126</v>
      </c>
      <c r="M266" s="9">
        <v>8</v>
      </c>
      <c r="N266" s="10">
        <v>10000</v>
      </c>
      <c r="O266" s="10">
        <f t="shared" si="38"/>
        <v>80000</v>
      </c>
      <c r="P266" s="42"/>
    </row>
    <row r="267" spans="1:16" ht="14.5">
      <c r="A267" s="33"/>
      <c r="B267" s="8" t="s">
        <v>39</v>
      </c>
      <c r="C267" s="9">
        <v>1</v>
      </c>
      <c r="D267" s="10">
        <v>170000</v>
      </c>
      <c r="E267" s="10">
        <f t="shared" si="39"/>
        <v>170000</v>
      </c>
      <c r="F267" s="37"/>
      <c r="K267" s="33"/>
      <c r="L267" s="12" t="s">
        <v>21</v>
      </c>
      <c r="M267" s="9">
        <v>0.3</v>
      </c>
      <c r="N267" s="10">
        <v>20000</v>
      </c>
      <c r="O267" s="10">
        <f t="shared" si="38"/>
        <v>6000</v>
      </c>
      <c r="P267" s="42"/>
    </row>
    <row r="268" spans="1:16" ht="14.5">
      <c r="A268" s="33"/>
      <c r="B268" s="8" t="s">
        <v>50</v>
      </c>
      <c r="C268" s="9">
        <v>1</v>
      </c>
      <c r="D268" s="10">
        <v>170000</v>
      </c>
      <c r="E268" s="10">
        <f t="shared" si="39"/>
        <v>170000</v>
      </c>
      <c r="F268" s="37"/>
      <c r="K268" s="33"/>
      <c r="L268" s="12" t="s">
        <v>58</v>
      </c>
      <c r="M268" s="9">
        <v>1</v>
      </c>
      <c r="N268" s="10">
        <v>48000</v>
      </c>
      <c r="O268" s="10">
        <f t="shared" si="38"/>
        <v>48000</v>
      </c>
      <c r="P268" s="42"/>
    </row>
    <row r="269" spans="1:16" ht="14.5">
      <c r="A269" s="33"/>
      <c r="B269" s="8" t="s">
        <v>73</v>
      </c>
      <c r="C269" s="9">
        <v>1</v>
      </c>
      <c r="D269" s="10">
        <v>30000</v>
      </c>
      <c r="E269" s="10">
        <f t="shared" si="39"/>
        <v>30000</v>
      </c>
      <c r="F269" s="37"/>
      <c r="K269" s="33"/>
      <c r="L269" s="12" t="s">
        <v>29</v>
      </c>
      <c r="M269" s="9">
        <v>1</v>
      </c>
      <c r="N269" s="10">
        <v>100000</v>
      </c>
      <c r="O269" s="10">
        <f>M269*N269</f>
        <v>100000</v>
      </c>
      <c r="P269" s="42"/>
    </row>
    <row r="270" spans="1:16" ht="14.5">
      <c r="A270" s="33"/>
      <c r="B270" s="8" t="s">
        <v>95</v>
      </c>
      <c r="C270" s="9">
        <v>1</v>
      </c>
      <c r="D270" s="10">
        <v>35000</v>
      </c>
      <c r="E270" s="10">
        <f t="shared" si="39"/>
        <v>35000</v>
      </c>
      <c r="F270" s="37"/>
      <c r="K270" s="33"/>
      <c r="L270" s="12" t="s">
        <v>31</v>
      </c>
      <c r="M270" s="9">
        <v>5</v>
      </c>
      <c r="N270" s="10">
        <v>24000</v>
      </c>
      <c r="O270" s="10">
        <f t="shared" ref="O270:O274" si="40">SUM(M270*N270)</f>
        <v>120000</v>
      </c>
      <c r="P270" s="42"/>
    </row>
    <row r="271" spans="1:16" ht="14.5">
      <c r="A271" s="33"/>
      <c r="B271" s="8" t="s">
        <v>46</v>
      </c>
      <c r="C271" s="9">
        <v>0.5</v>
      </c>
      <c r="D271" s="10">
        <v>100000</v>
      </c>
      <c r="E271" s="10">
        <f t="shared" si="39"/>
        <v>50000</v>
      </c>
      <c r="F271" s="37"/>
      <c r="K271" s="33"/>
      <c r="L271" s="12" t="s">
        <v>43</v>
      </c>
      <c r="M271" s="9">
        <v>1</v>
      </c>
      <c r="N271" s="10">
        <v>40000</v>
      </c>
      <c r="O271" s="10">
        <f t="shared" si="40"/>
        <v>40000</v>
      </c>
      <c r="P271" s="42"/>
    </row>
    <row r="272" spans="1:16" ht="14.5">
      <c r="A272" s="33"/>
      <c r="B272" s="8" t="s">
        <v>170</v>
      </c>
      <c r="C272" s="9">
        <v>3</v>
      </c>
      <c r="D272" s="10">
        <v>120000</v>
      </c>
      <c r="E272" s="10">
        <f t="shared" si="39"/>
        <v>360000</v>
      </c>
      <c r="F272" s="37"/>
      <c r="K272" s="33"/>
      <c r="L272" s="12" t="s">
        <v>66</v>
      </c>
      <c r="M272" s="9">
        <v>2</v>
      </c>
      <c r="N272" s="10">
        <v>49000</v>
      </c>
      <c r="O272" s="10">
        <f t="shared" si="40"/>
        <v>98000</v>
      </c>
      <c r="P272" s="42"/>
    </row>
    <row r="273" spans="1:16" ht="14.5">
      <c r="A273" s="33"/>
      <c r="B273" s="8" t="s">
        <v>113</v>
      </c>
      <c r="C273" s="9">
        <v>2</v>
      </c>
      <c r="D273" s="10">
        <v>55000</v>
      </c>
      <c r="E273" s="10">
        <f t="shared" si="39"/>
        <v>110000</v>
      </c>
      <c r="F273" s="37"/>
      <c r="K273" s="33"/>
      <c r="L273" s="12" t="s">
        <v>62</v>
      </c>
      <c r="M273" s="9">
        <v>0.3</v>
      </c>
      <c r="N273" s="10">
        <v>80000</v>
      </c>
      <c r="O273" s="10">
        <f t="shared" si="40"/>
        <v>24000</v>
      </c>
      <c r="P273" s="42"/>
    </row>
    <row r="274" spans="1:16" ht="14.5">
      <c r="A274" s="34"/>
      <c r="B274" s="8" t="s">
        <v>171</v>
      </c>
      <c r="C274" s="9">
        <v>1</v>
      </c>
      <c r="D274" s="10">
        <v>15000</v>
      </c>
      <c r="E274" s="10">
        <f t="shared" si="39"/>
        <v>15000</v>
      </c>
      <c r="F274" s="38"/>
      <c r="K274" s="34"/>
      <c r="L274" s="12" t="s">
        <v>19</v>
      </c>
      <c r="M274" s="9">
        <v>1</v>
      </c>
      <c r="N274" s="10">
        <v>30000</v>
      </c>
      <c r="O274" s="10">
        <f t="shared" si="40"/>
        <v>30000</v>
      </c>
      <c r="P274" s="43"/>
    </row>
    <row r="275" spans="1:16" ht="14.5">
      <c r="A275" s="32">
        <v>45986</v>
      </c>
      <c r="B275" s="8" t="s">
        <v>172</v>
      </c>
      <c r="C275" s="9">
        <v>3</v>
      </c>
      <c r="D275" s="10">
        <v>55000</v>
      </c>
      <c r="E275" s="10">
        <f t="shared" ref="E275:E298" si="41">C275*D275</f>
        <v>165000</v>
      </c>
      <c r="F275" s="36">
        <f>SUM(E275:E298)</f>
        <v>4009000</v>
      </c>
      <c r="K275" s="29"/>
      <c r="M275" s="30"/>
      <c r="P275" s="25">
        <f>SUM(P2:P274)</f>
        <v>19433000</v>
      </c>
    </row>
    <row r="276" spans="1:16" ht="14.5">
      <c r="A276" s="33"/>
      <c r="B276" s="8" t="s">
        <v>132</v>
      </c>
      <c r="C276" s="9">
        <v>1</v>
      </c>
      <c r="D276" s="10">
        <v>60000</v>
      </c>
      <c r="E276" s="10">
        <f t="shared" si="41"/>
        <v>60000</v>
      </c>
      <c r="F276" s="37"/>
    </row>
    <row r="277" spans="1:16" ht="14.5">
      <c r="A277" s="33"/>
      <c r="B277" s="8" t="s">
        <v>102</v>
      </c>
      <c r="C277" s="9">
        <v>2</v>
      </c>
      <c r="D277" s="10">
        <v>210000</v>
      </c>
      <c r="E277" s="10">
        <f t="shared" si="41"/>
        <v>420000</v>
      </c>
      <c r="F277" s="37"/>
    </row>
    <row r="278" spans="1:16" ht="14.5">
      <c r="A278" s="33"/>
      <c r="B278" s="8" t="s">
        <v>100</v>
      </c>
      <c r="C278" s="9">
        <v>6</v>
      </c>
      <c r="D278" s="10">
        <v>25000</v>
      </c>
      <c r="E278" s="10">
        <f t="shared" si="41"/>
        <v>150000</v>
      </c>
      <c r="F278" s="37"/>
    </row>
    <row r="279" spans="1:16" ht="14.5">
      <c r="A279" s="33"/>
      <c r="B279" s="8" t="s">
        <v>30</v>
      </c>
      <c r="C279" s="9">
        <v>3</v>
      </c>
      <c r="D279" s="10">
        <v>40000</v>
      </c>
      <c r="E279" s="10">
        <f t="shared" si="41"/>
        <v>120000</v>
      </c>
      <c r="F279" s="37"/>
    </row>
    <row r="280" spans="1:16" ht="14.5">
      <c r="A280" s="33"/>
      <c r="B280" s="8" t="s">
        <v>152</v>
      </c>
      <c r="C280" s="9">
        <v>2</v>
      </c>
      <c r="D280" s="10">
        <v>25000</v>
      </c>
      <c r="E280" s="10">
        <f t="shared" si="41"/>
        <v>50000</v>
      </c>
      <c r="F280" s="37"/>
    </row>
    <row r="281" spans="1:16" ht="14.5">
      <c r="A281" s="33"/>
      <c r="B281" s="8" t="s">
        <v>89</v>
      </c>
      <c r="C281" s="9">
        <v>2</v>
      </c>
      <c r="D281" s="10">
        <v>35000</v>
      </c>
      <c r="E281" s="10">
        <f t="shared" si="41"/>
        <v>70000</v>
      </c>
      <c r="F281" s="37"/>
    </row>
    <row r="282" spans="1:16" ht="14.5">
      <c r="A282" s="33"/>
      <c r="B282" s="8" t="s">
        <v>31</v>
      </c>
      <c r="C282" s="9">
        <v>2</v>
      </c>
      <c r="D282" s="10">
        <v>22000</v>
      </c>
      <c r="E282" s="10">
        <f t="shared" si="41"/>
        <v>44000</v>
      </c>
      <c r="F282" s="37"/>
    </row>
    <row r="283" spans="1:16" ht="14.5">
      <c r="A283" s="33"/>
      <c r="B283" s="8" t="s">
        <v>24</v>
      </c>
      <c r="C283" s="9">
        <v>3</v>
      </c>
      <c r="D283" s="10">
        <v>90000</v>
      </c>
      <c r="E283" s="10">
        <f t="shared" si="41"/>
        <v>270000</v>
      </c>
      <c r="F283" s="37"/>
    </row>
    <row r="284" spans="1:16" ht="14.5">
      <c r="A284" s="33"/>
      <c r="B284" s="8" t="s">
        <v>42</v>
      </c>
      <c r="C284" s="9">
        <v>2</v>
      </c>
      <c r="D284" s="10">
        <v>160000</v>
      </c>
      <c r="E284" s="10">
        <f t="shared" si="41"/>
        <v>320000</v>
      </c>
      <c r="F284" s="37"/>
    </row>
    <row r="285" spans="1:16" ht="14.5">
      <c r="A285" s="33"/>
      <c r="B285" s="8" t="s">
        <v>50</v>
      </c>
      <c r="C285" s="9">
        <v>2</v>
      </c>
      <c r="D285" s="10">
        <v>170000</v>
      </c>
      <c r="E285" s="10">
        <f t="shared" si="41"/>
        <v>340000</v>
      </c>
      <c r="F285" s="37"/>
    </row>
    <row r="286" spans="1:16" ht="14.5">
      <c r="A286" s="33"/>
      <c r="B286" s="8" t="s">
        <v>168</v>
      </c>
      <c r="C286" s="9">
        <v>2</v>
      </c>
      <c r="D286" s="10">
        <v>165000</v>
      </c>
      <c r="E286" s="10">
        <f t="shared" si="41"/>
        <v>330000</v>
      </c>
      <c r="F286" s="37"/>
    </row>
    <row r="287" spans="1:16" ht="14.5">
      <c r="A287" s="33"/>
      <c r="B287" s="8" t="s">
        <v>122</v>
      </c>
      <c r="C287" s="9">
        <v>2</v>
      </c>
      <c r="D287" s="10">
        <v>200000</v>
      </c>
      <c r="E287" s="10">
        <f t="shared" si="41"/>
        <v>400000</v>
      </c>
      <c r="F287" s="37"/>
    </row>
    <row r="288" spans="1:16" ht="14.5">
      <c r="A288" s="33"/>
      <c r="B288" s="8" t="s">
        <v>16</v>
      </c>
      <c r="C288" s="9">
        <v>1</v>
      </c>
      <c r="D288" s="10">
        <v>75000</v>
      </c>
      <c r="E288" s="10">
        <f t="shared" si="41"/>
        <v>75000</v>
      </c>
      <c r="F288" s="37"/>
    </row>
    <row r="289" spans="1:6" ht="14.5">
      <c r="A289" s="33"/>
      <c r="B289" s="8" t="s">
        <v>13</v>
      </c>
      <c r="C289" s="9">
        <v>0.3</v>
      </c>
      <c r="D289" s="10">
        <v>100000</v>
      </c>
      <c r="E289" s="10">
        <f t="shared" si="41"/>
        <v>30000</v>
      </c>
      <c r="F289" s="37"/>
    </row>
    <row r="290" spans="1:6" ht="14.5">
      <c r="A290" s="33"/>
      <c r="B290" s="8" t="s">
        <v>47</v>
      </c>
      <c r="C290" s="9">
        <v>2</v>
      </c>
      <c r="D290" s="10">
        <v>170000</v>
      </c>
      <c r="E290" s="10">
        <f t="shared" si="41"/>
        <v>340000</v>
      </c>
      <c r="F290" s="37"/>
    </row>
    <row r="291" spans="1:6" ht="14.5">
      <c r="A291" s="33"/>
      <c r="B291" s="8" t="s">
        <v>173</v>
      </c>
      <c r="C291" s="9">
        <v>2</v>
      </c>
      <c r="D291" s="10">
        <v>15000</v>
      </c>
      <c r="E291" s="10">
        <f t="shared" si="41"/>
        <v>30000</v>
      </c>
      <c r="F291" s="37"/>
    </row>
    <row r="292" spans="1:6" ht="14.5">
      <c r="A292" s="33"/>
      <c r="B292" s="8" t="s">
        <v>174</v>
      </c>
      <c r="C292" s="9">
        <v>2</v>
      </c>
      <c r="D292" s="10">
        <v>30000</v>
      </c>
      <c r="E292" s="10">
        <f t="shared" si="41"/>
        <v>60000</v>
      </c>
      <c r="F292" s="37"/>
    </row>
    <row r="293" spans="1:6" ht="14.5">
      <c r="A293" s="33"/>
      <c r="B293" s="8" t="s">
        <v>82</v>
      </c>
      <c r="C293" s="9">
        <v>2</v>
      </c>
      <c r="D293" s="10">
        <v>200000</v>
      </c>
      <c r="E293" s="10">
        <f t="shared" si="41"/>
        <v>400000</v>
      </c>
      <c r="F293" s="37"/>
    </row>
    <row r="294" spans="1:6" ht="14.5">
      <c r="A294" s="33"/>
      <c r="B294" s="8" t="s">
        <v>97</v>
      </c>
      <c r="C294" s="9">
        <v>3</v>
      </c>
      <c r="D294" s="10">
        <v>20000</v>
      </c>
      <c r="E294" s="10">
        <f t="shared" si="41"/>
        <v>60000</v>
      </c>
      <c r="F294" s="37"/>
    </row>
    <row r="295" spans="1:6" ht="14.5">
      <c r="A295" s="33"/>
      <c r="B295" s="8" t="s">
        <v>175</v>
      </c>
      <c r="C295" s="9">
        <v>1</v>
      </c>
      <c r="D295" s="10">
        <v>40000</v>
      </c>
      <c r="E295" s="10">
        <f t="shared" si="41"/>
        <v>40000</v>
      </c>
      <c r="F295" s="37"/>
    </row>
    <row r="296" spans="1:6" ht="14.5">
      <c r="A296" s="33"/>
      <c r="B296" s="8" t="s">
        <v>176</v>
      </c>
      <c r="C296" s="9">
        <v>4</v>
      </c>
      <c r="D296" s="10">
        <v>25000</v>
      </c>
      <c r="E296" s="10">
        <f t="shared" si="41"/>
        <v>100000</v>
      </c>
      <c r="F296" s="37"/>
    </row>
    <row r="297" spans="1:6" ht="14.5">
      <c r="A297" s="33"/>
      <c r="B297" s="8" t="s">
        <v>107</v>
      </c>
      <c r="C297" s="9">
        <v>1</v>
      </c>
      <c r="D297" s="10">
        <v>65000</v>
      </c>
      <c r="E297" s="10">
        <f t="shared" si="41"/>
        <v>65000</v>
      </c>
      <c r="F297" s="37"/>
    </row>
    <row r="298" spans="1:6" ht="14.5">
      <c r="A298" s="34"/>
      <c r="B298" s="8" t="s">
        <v>177</v>
      </c>
      <c r="C298" s="9">
        <v>1</v>
      </c>
      <c r="D298" s="10">
        <v>70000</v>
      </c>
      <c r="E298" s="10">
        <f t="shared" si="41"/>
        <v>70000</v>
      </c>
      <c r="F298" s="38"/>
    </row>
    <row r="299" spans="1:6" ht="14.5">
      <c r="A299" s="32">
        <v>45987</v>
      </c>
      <c r="B299" s="8" t="s">
        <v>162</v>
      </c>
      <c r="C299" s="9">
        <v>2</v>
      </c>
      <c r="D299" s="10">
        <v>130000</v>
      </c>
      <c r="E299" s="10">
        <f t="shared" ref="E299:E306" si="42">C299*D299</f>
        <v>260000</v>
      </c>
      <c r="F299" s="36">
        <f>SUM(E299:E306)</f>
        <v>1949000</v>
      </c>
    </row>
    <row r="300" spans="1:6" ht="14.5">
      <c r="A300" s="33"/>
      <c r="B300" s="8" t="s">
        <v>178</v>
      </c>
      <c r="C300" s="9">
        <v>3</v>
      </c>
      <c r="D300" s="10">
        <v>120000</v>
      </c>
      <c r="E300" s="10">
        <f t="shared" si="42"/>
        <v>360000</v>
      </c>
      <c r="F300" s="37"/>
    </row>
    <row r="301" spans="1:6" ht="14.5">
      <c r="A301" s="33"/>
      <c r="B301" s="8" t="s">
        <v>179</v>
      </c>
      <c r="C301" s="9">
        <v>3</v>
      </c>
      <c r="D301" s="10">
        <v>200000</v>
      </c>
      <c r="E301" s="10">
        <f t="shared" si="42"/>
        <v>600000</v>
      </c>
      <c r="F301" s="37"/>
    </row>
    <row r="302" spans="1:6" ht="14.5">
      <c r="A302" s="33"/>
      <c r="B302" s="8" t="s">
        <v>24</v>
      </c>
      <c r="C302" s="9">
        <v>3</v>
      </c>
      <c r="D302" s="10">
        <v>90000</v>
      </c>
      <c r="E302" s="10">
        <f t="shared" si="42"/>
        <v>270000</v>
      </c>
      <c r="F302" s="37"/>
    </row>
    <row r="303" spans="1:6" ht="14.5">
      <c r="A303" s="33"/>
      <c r="B303" s="8" t="s">
        <v>61</v>
      </c>
      <c r="C303" s="9">
        <v>2</v>
      </c>
      <c r="D303" s="10">
        <v>100000</v>
      </c>
      <c r="E303" s="10">
        <f t="shared" si="42"/>
        <v>200000</v>
      </c>
      <c r="F303" s="37"/>
    </row>
    <row r="304" spans="1:6" ht="14.5">
      <c r="A304" s="33"/>
      <c r="B304" s="8" t="s">
        <v>154</v>
      </c>
      <c r="C304" s="9">
        <v>2</v>
      </c>
      <c r="D304" s="10">
        <v>90000</v>
      </c>
      <c r="E304" s="10">
        <f t="shared" si="42"/>
        <v>180000</v>
      </c>
      <c r="F304" s="37"/>
    </row>
    <row r="305" spans="1:8" ht="14.5">
      <c r="A305" s="33"/>
      <c r="B305" s="8" t="s">
        <v>26</v>
      </c>
      <c r="C305" s="9">
        <v>1</v>
      </c>
      <c r="D305" s="10">
        <v>35000</v>
      </c>
      <c r="E305" s="10">
        <f t="shared" si="42"/>
        <v>35000</v>
      </c>
      <c r="F305" s="37"/>
    </row>
    <row r="306" spans="1:8" ht="14.5">
      <c r="A306" s="34"/>
      <c r="B306" s="8" t="s">
        <v>31</v>
      </c>
      <c r="C306" s="9">
        <v>2</v>
      </c>
      <c r="D306" s="10">
        <v>22000</v>
      </c>
      <c r="E306" s="10">
        <f t="shared" si="42"/>
        <v>44000</v>
      </c>
      <c r="F306" s="37"/>
    </row>
    <row r="307" spans="1:8" ht="14.5">
      <c r="A307" s="32">
        <v>45988</v>
      </c>
      <c r="B307" s="8" t="s">
        <v>23</v>
      </c>
      <c r="C307" s="9">
        <v>2</v>
      </c>
      <c r="D307" s="10">
        <v>10000</v>
      </c>
      <c r="E307" s="10">
        <f t="shared" ref="E307:E314" si="43">C307*D307</f>
        <v>20000</v>
      </c>
      <c r="F307" s="39">
        <f>SUM(E307:E314)</f>
        <v>1044000</v>
      </c>
    </row>
    <row r="308" spans="1:8" ht="14.5">
      <c r="A308" s="33"/>
      <c r="B308" s="8" t="s">
        <v>31</v>
      </c>
      <c r="C308" s="9">
        <v>2</v>
      </c>
      <c r="D308" s="10">
        <v>22000</v>
      </c>
      <c r="E308" s="10">
        <f t="shared" si="43"/>
        <v>44000</v>
      </c>
      <c r="F308" s="39"/>
    </row>
    <row r="309" spans="1:8" ht="14.5">
      <c r="A309" s="33"/>
      <c r="B309" s="8" t="s">
        <v>24</v>
      </c>
      <c r="C309" s="9">
        <v>4</v>
      </c>
      <c r="D309" s="10">
        <v>90000</v>
      </c>
      <c r="E309" s="10">
        <f t="shared" si="43"/>
        <v>360000</v>
      </c>
      <c r="F309" s="39"/>
      <c r="H309" s="14"/>
    </row>
    <row r="310" spans="1:8" ht="14.5">
      <c r="A310" s="33"/>
      <c r="B310" s="8" t="s">
        <v>46</v>
      </c>
      <c r="C310" s="9">
        <v>0.5</v>
      </c>
      <c r="D310" s="10">
        <v>60000</v>
      </c>
      <c r="E310" s="10">
        <f t="shared" si="43"/>
        <v>30000</v>
      </c>
      <c r="F310" s="39"/>
    </row>
    <row r="311" spans="1:8" ht="14.5">
      <c r="A311" s="33"/>
      <c r="B311" s="8" t="s">
        <v>16</v>
      </c>
      <c r="C311" s="9">
        <v>2</v>
      </c>
      <c r="D311" s="10">
        <v>70000</v>
      </c>
      <c r="E311" s="10">
        <f t="shared" si="43"/>
        <v>140000</v>
      </c>
      <c r="F311" s="39"/>
    </row>
    <row r="312" spans="1:8" ht="14.5">
      <c r="A312" s="33"/>
      <c r="B312" s="8" t="s">
        <v>162</v>
      </c>
      <c r="C312" s="9">
        <v>2</v>
      </c>
      <c r="D312" s="10">
        <v>130000</v>
      </c>
      <c r="E312" s="10">
        <f t="shared" si="43"/>
        <v>260000</v>
      </c>
      <c r="F312" s="39"/>
    </row>
    <row r="313" spans="1:8" ht="14.5">
      <c r="A313" s="33"/>
      <c r="B313" s="8" t="s">
        <v>180</v>
      </c>
      <c r="C313" s="9">
        <v>1</v>
      </c>
      <c r="D313" s="10">
        <v>70000</v>
      </c>
      <c r="E313" s="10">
        <f t="shared" si="43"/>
        <v>70000</v>
      </c>
      <c r="F313" s="39"/>
    </row>
    <row r="314" spans="1:8" ht="14.5">
      <c r="A314" s="34"/>
      <c r="B314" s="8" t="s">
        <v>30</v>
      </c>
      <c r="C314" s="9">
        <v>3</v>
      </c>
      <c r="D314" s="10">
        <v>40000</v>
      </c>
      <c r="E314" s="10">
        <f t="shared" si="43"/>
        <v>120000</v>
      </c>
      <c r="F314" s="39"/>
    </row>
    <row r="315" spans="1:8" ht="14.5">
      <c r="A315" s="32">
        <v>45989</v>
      </c>
      <c r="B315" s="8" t="s">
        <v>31</v>
      </c>
      <c r="C315" s="9">
        <v>2</v>
      </c>
      <c r="D315" s="10">
        <v>22000</v>
      </c>
      <c r="E315" s="10">
        <f t="shared" ref="E315:E326" si="44">C315*D315</f>
        <v>44000</v>
      </c>
      <c r="F315" s="36">
        <f>SUM(E315:E326)</f>
        <v>2750000</v>
      </c>
    </row>
    <row r="316" spans="1:8" ht="14.5">
      <c r="A316" s="33"/>
      <c r="B316" s="8" t="s">
        <v>24</v>
      </c>
      <c r="C316" s="9">
        <v>4</v>
      </c>
      <c r="D316" s="10">
        <v>90000</v>
      </c>
      <c r="E316" s="10">
        <f t="shared" si="44"/>
        <v>360000</v>
      </c>
      <c r="F316" s="37"/>
    </row>
    <row r="317" spans="1:8" ht="14.5">
      <c r="A317" s="33"/>
      <c r="B317" s="8" t="s">
        <v>44</v>
      </c>
      <c r="C317" s="9">
        <v>4</v>
      </c>
      <c r="D317" s="10">
        <v>90000</v>
      </c>
      <c r="E317" s="10">
        <f t="shared" si="44"/>
        <v>360000</v>
      </c>
      <c r="F317" s="37"/>
    </row>
    <row r="318" spans="1:8" ht="14.5">
      <c r="A318" s="33"/>
      <c r="B318" s="8" t="s">
        <v>65</v>
      </c>
      <c r="C318" s="9">
        <v>2</v>
      </c>
      <c r="D318" s="10">
        <v>220000</v>
      </c>
      <c r="E318" s="10">
        <f t="shared" si="44"/>
        <v>440000</v>
      </c>
      <c r="F318" s="37"/>
    </row>
    <row r="319" spans="1:8" ht="14.5">
      <c r="A319" s="33"/>
      <c r="B319" s="8" t="s">
        <v>88</v>
      </c>
      <c r="C319" s="9">
        <v>4</v>
      </c>
      <c r="D319" s="10">
        <v>25000</v>
      </c>
      <c r="E319" s="10">
        <f t="shared" si="44"/>
        <v>100000</v>
      </c>
      <c r="F319" s="37"/>
    </row>
    <row r="320" spans="1:8" ht="14.5">
      <c r="A320" s="33"/>
      <c r="B320" s="8" t="s">
        <v>116</v>
      </c>
      <c r="C320" s="9">
        <v>1</v>
      </c>
      <c r="D320" s="10">
        <v>50000</v>
      </c>
      <c r="E320" s="10">
        <f t="shared" si="44"/>
        <v>50000</v>
      </c>
      <c r="F320" s="37"/>
    </row>
    <row r="321" spans="1:6" ht="14.5">
      <c r="A321" s="33"/>
      <c r="B321" s="8" t="s">
        <v>168</v>
      </c>
      <c r="C321" s="9">
        <v>2</v>
      </c>
      <c r="D321" s="10">
        <v>330000</v>
      </c>
      <c r="E321" s="10">
        <f t="shared" si="44"/>
        <v>660000</v>
      </c>
      <c r="F321" s="37"/>
    </row>
    <row r="322" spans="1:6" ht="14.5">
      <c r="A322" s="33"/>
      <c r="B322" s="8" t="s">
        <v>138</v>
      </c>
      <c r="C322" s="9">
        <v>1</v>
      </c>
      <c r="D322" s="10">
        <v>180000</v>
      </c>
      <c r="E322" s="10">
        <f t="shared" si="44"/>
        <v>180000</v>
      </c>
      <c r="F322" s="37"/>
    </row>
    <row r="323" spans="1:6" ht="14.5">
      <c r="A323" s="33"/>
      <c r="B323" s="8" t="s">
        <v>50</v>
      </c>
      <c r="C323" s="9">
        <v>2</v>
      </c>
      <c r="D323" s="10">
        <v>170000</v>
      </c>
      <c r="E323" s="10">
        <f t="shared" si="44"/>
        <v>340000</v>
      </c>
      <c r="F323" s="37"/>
    </row>
    <row r="324" spans="1:6" ht="14.5">
      <c r="A324" s="33"/>
      <c r="B324" s="8" t="s">
        <v>39</v>
      </c>
      <c r="C324" s="9">
        <v>1</v>
      </c>
      <c r="D324" s="10">
        <v>170000</v>
      </c>
      <c r="E324" s="10">
        <f t="shared" si="44"/>
        <v>170000</v>
      </c>
      <c r="F324" s="37"/>
    </row>
    <row r="325" spans="1:6" ht="14.5">
      <c r="A325" s="33"/>
      <c r="B325" s="8" t="s">
        <v>110</v>
      </c>
      <c r="C325" s="9">
        <v>0.4</v>
      </c>
      <c r="D325" s="10">
        <v>95000</v>
      </c>
      <c r="E325" s="10">
        <f t="shared" si="44"/>
        <v>38000</v>
      </c>
      <c r="F325" s="37"/>
    </row>
    <row r="326" spans="1:6" ht="14.5">
      <c r="A326" s="34"/>
      <c r="B326" s="8" t="s">
        <v>62</v>
      </c>
      <c r="C326" s="9">
        <v>0.1</v>
      </c>
      <c r="D326" s="10">
        <v>80000</v>
      </c>
      <c r="E326" s="10">
        <f t="shared" si="44"/>
        <v>8000</v>
      </c>
      <c r="F326" s="38"/>
    </row>
    <row r="327" spans="1:6" ht="14.5">
      <c r="A327" s="32">
        <v>45989</v>
      </c>
      <c r="B327" s="8" t="s">
        <v>48</v>
      </c>
      <c r="C327" s="9">
        <v>7.23</v>
      </c>
      <c r="D327" s="10">
        <v>15000</v>
      </c>
      <c r="E327" s="10">
        <v>108000</v>
      </c>
      <c r="F327" s="36">
        <f>SUM(E327:E336)</f>
        <v>376000</v>
      </c>
    </row>
    <row r="328" spans="1:6" ht="14.5">
      <c r="A328" s="33"/>
      <c r="B328" s="8" t="s">
        <v>23</v>
      </c>
      <c r="C328" s="9">
        <v>4</v>
      </c>
      <c r="D328" s="10">
        <v>10000</v>
      </c>
      <c r="E328" s="10">
        <f t="shared" ref="E328:E336" si="45">C328*D328</f>
        <v>40000</v>
      </c>
      <c r="F328" s="37"/>
    </row>
    <row r="329" spans="1:6" ht="14.5">
      <c r="A329" s="33"/>
      <c r="B329" s="8" t="s">
        <v>105</v>
      </c>
      <c r="C329" s="9">
        <v>0.5</v>
      </c>
      <c r="D329" s="10">
        <v>70000</v>
      </c>
      <c r="E329" s="10">
        <f t="shared" si="45"/>
        <v>35000</v>
      </c>
      <c r="F329" s="37"/>
    </row>
    <row r="330" spans="1:6" ht="14.5">
      <c r="A330" s="33"/>
      <c r="B330" s="8" t="s">
        <v>106</v>
      </c>
      <c r="C330" s="9">
        <v>0.5</v>
      </c>
      <c r="D330" s="10">
        <v>80000</v>
      </c>
      <c r="E330" s="10">
        <f t="shared" si="45"/>
        <v>40000</v>
      </c>
      <c r="F330" s="37"/>
    </row>
    <row r="331" spans="1:6" ht="14.5">
      <c r="A331" s="33"/>
      <c r="B331" s="8" t="s">
        <v>57</v>
      </c>
      <c r="C331" s="9">
        <v>0.1</v>
      </c>
      <c r="D331" s="10">
        <v>100000</v>
      </c>
      <c r="E331" s="10">
        <f t="shared" si="45"/>
        <v>10000</v>
      </c>
      <c r="F331" s="37"/>
    </row>
    <row r="332" spans="1:6" ht="14.5">
      <c r="A332" s="33"/>
      <c r="B332" s="8" t="s">
        <v>144</v>
      </c>
      <c r="C332" s="9">
        <v>0.3</v>
      </c>
      <c r="D332" s="10">
        <v>55000</v>
      </c>
      <c r="E332" s="10">
        <v>17000</v>
      </c>
      <c r="F332" s="37"/>
    </row>
    <row r="333" spans="1:6" ht="14.5">
      <c r="A333" s="33"/>
      <c r="B333" s="8" t="s">
        <v>46</v>
      </c>
      <c r="C333" s="9">
        <v>0.5</v>
      </c>
      <c r="D333" s="10">
        <v>80000</v>
      </c>
      <c r="E333" s="10">
        <f t="shared" si="45"/>
        <v>40000</v>
      </c>
      <c r="F333" s="37"/>
    </row>
    <row r="334" spans="1:6" ht="14.5">
      <c r="A334" s="33"/>
      <c r="B334" s="8" t="s">
        <v>148</v>
      </c>
      <c r="C334" s="9">
        <v>0.5</v>
      </c>
      <c r="D334" s="10">
        <v>60000</v>
      </c>
      <c r="E334" s="10">
        <f t="shared" si="45"/>
        <v>30000</v>
      </c>
      <c r="F334" s="37"/>
    </row>
    <row r="335" spans="1:6" ht="14.5">
      <c r="A335" s="33"/>
      <c r="B335" s="8" t="s">
        <v>125</v>
      </c>
      <c r="C335" s="9">
        <v>1</v>
      </c>
      <c r="D335" s="10">
        <v>38000</v>
      </c>
      <c r="E335" s="10">
        <f t="shared" si="45"/>
        <v>38000</v>
      </c>
      <c r="F335" s="37"/>
    </row>
    <row r="336" spans="1:6" ht="14.5">
      <c r="A336" s="34"/>
      <c r="B336" s="8" t="s">
        <v>181</v>
      </c>
      <c r="C336" s="9">
        <v>0.3</v>
      </c>
      <c r="D336" s="10">
        <v>60000</v>
      </c>
      <c r="E336" s="10">
        <f t="shared" si="45"/>
        <v>18000</v>
      </c>
      <c r="F336" s="38"/>
    </row>
    <row r="337" spans="1:6" ht="14.5">
      <c r="A337" s="32">
        <v>45990</v>
      </c>
      <c r="B337" s="8" t="s">
        <v>28</v>
      </c>
      <c r="C337" s="9">
        <v>15</v>
      </c>
      <c r="D337" s="10">
        <v>15000</v>
      </c>
      <c r="E337" s="10">
        <f t="shared" ref="E337:E348" si="46">C337*D337</f>
        <v>225000</v>
      </c>
      <c r="F337" s="36">
        <f>SUM(E337:E347)</f>
        <v>1238000</v>
      </c>
    </row>
    <row r="338" spans="1:6" ht="14.5">
      <c r="A338" s="33"/>
      <c r="B338" s="8" t="s">
        <v>30</v>
      </c>
      <c r="C338" s="9">
        <v>3</v>
      </c>
      <c r="D338" s="10">
        <v>40000</v>
      </c>
      <c r="E338" s="10">
        <f t="shared" si="46"/>
        <v>120000</v>
      </c>
      <c r="F338" s="37"/>
    </row>
    <row r="339" spans="1:6" ht="14.5">
      <c r="A339" s="33"/>
      <c r="B339" s="8" t="s">
        <v>151</v>
      </c>
      <c r="C339" s="9">
        <v>5</v>
      </c>
      <c r="D339" s="10">
        <v>25000</v>
      </c>
      <c r="E339" s="10">
        <f t="shared" si="46"/>
        <v>125000</v>
      </c>
      <c r="F339" s="37"/>
    </row>
    <row r="340" spans="1:6" ht="14.5">
      <c r="A340" s="33"/>
      <c r="B340" s="8" t="s">
        <v>97</v>
      </c>
      <c r="C340" s="9">
        <v>3</v>
      </c>
      <c r="D340" s="10">
        <v>20000</v>
      </c>
      <c r="E340" s="10">
        <f t="shared" si="46"/>
        <v>60000</v>
      </c>
      <c r="F340" s="37"/>
    </row>
    <row r="341" spans="1:6" ht="14.5">
      <c r="A341" s="33"/>
      <c r="B341" s="8" t="s">
        <v>182</v>
      </c>
      <c r="C341" s="9">
        <v>1</v>
      </c>
      <c r="D341" s="10">
        <v>70000</v>
      </c>
      <c r="E341" s="10">
        <f t="shared" si="46"/>
        <v>70000</v>
      </c>
      <c r="F341" s="37"/>
    </row>
    <row r="342" spans="1:6" ht="14.5">
      <c r="A342" s="33"/>
      <c r="B342" s="8" t="s">
        <v>173</v>
      </c>
      <c r="C342" s="9">
        <v>2</v>
      </c>
      <c r="D342" s="10">
        <v>15000</v>
      </c>
      <c r="E342" s="10">
        <f t="shared" si="46"/>
        <v>30000</v>
      </c>
      <c r="F342" s="37"/>
    </row>
    <row r="343" spans="1:6" ht="14.5">
      <c r="A343" s="33"/>
      <c r="B343" s="8" t="s">
        <v>52</v>
      </c>
      <c r="C343" s="9">
        <v>4</v>
      </c>
      <c r="D343" s="10">
        <v>48000</v>
      </c>
      <c r="E343" s="10">
        <f t="shared" si="46"/>
        <v>192000</v>
      </c>
      <c r="F343" s="37"/>
    </row>
    <row r="344" spans="1:6" ht="14.5">
      <c r="A344" s="33"/>
      <c r="B344" s="8" t="s">
        <v>130</v>
      </c>
      <c r="C344" s="9">
        <v>1</v>
      </c>
      <c r="D344" s="10">
        <v>95000</v>
      </c>
      <c r="E344" s="10">
        <f t="shared" si="46"/>
        <v>95000</v>
      </c>
      <c r="F344" s="37"/>
    </row>
    <row r="345" spans="1:6" ht="14.5">
      <c r="A345" s="33"/>
      <c r="B345" s="8" t="s">
        <v>110</v>
      </c>
      <c r="C345" s="9">
        <v>0.25</v>
      </c>
      <c r="D345" s="10">
        <v>95000</v>
      </c>
      <c r="E345" s="10">
        <v>24000</v>
      </c>
      <c r="F345" s="37"/>
    </row>
    <row r="346" spans="1:6" ht="14.5">
      <c r="A346" s="33"/>
      <c r="B346" s="8" t="s">
        <v>25</v>
      </c>
      <c r="C346" s="9">
        <v>1.5</v>
      </c>
      <c r="D346" s="10">
        <v>38000</v>
      </c>
      <c r="E346" s="10">
        <f t="shared" si="46"/>
        <v>57000</v>
      </c>
      <c r="F346" s="37"/>
    </row>
    <row r="347" spans="1:6" ht="14.5">
      <c r="A347" s="34"/>
      <c r="B347" s="8" t="s">
        <v>183</v>
      </c>
      <c r="C347" s="9">
        <v>2</v>
      </c>
      <c r="D347" s="10">
        <v>120000</v>
      </c>
      <c r="E347" s="10">
        <f t="shared" si="46"/>
        <v>240000</v>
      </c>
      <c r="F347" s="38"/>
    </row>
    <row r="348" spans="1:6">
      <c r="A348" s="18">
        <v>45991</v>
      </c>
      <c r="B348" s="8" t="s">
        <v>31</v>
      </c>
      <c r="C348" s="9">
        <v>2</v>
      </c>
      <c r="D348" s="10">
        <v>22000</v>
      </c>
      <c r="E348" s="10">
        <f t="shared" si="46"/>
        <v>44000</v>
      </c>
      <c r="F348" s="21">
        <f>SUM(E348)</f>
        <v>44000</v>
      </c>
    </row>
    <row r="349" spans="1:6">
      <c r="A349" s="31"/>
      <c r="B349" s="8"/>
      <c r="C349" s="12"/>
      <c r="D349" s="12"/>
      <c r="E349" s="12"/>
      <c r="F349" s="21">
        <f>SUM(F2:F348)</f>
        <v>49034000</v>
      </c>
    </row>
    <row r="412" spans="7:7">
      <c r="G412" s="14"/>
    </row>
    <row r="463" spans="7:7">
      <c r="G463" s="14"/>
    </row>
  </sheetData>
  <mergeCells count="108">
    <mergeCell ref="P175:P190"/>
    <mergeCell ref="P191:P198"/>
    <mergeCell ref="P199:P210"/>
    <mergeCell ref="P211:P219"/>
    <mergeCell ref="P220:P230"/>
    <mergeCell ref="P231:P241"/>
    <mergeCell ref="P242:P252"/>
    <mergeCell ref="P253:P262"/>
    <mergeCell ref="P264:P274"/>
    <mergeCell ref="K199:K210"/>
    <mergeCell ref="K211:K219"/>
    <mergeCell ref="K220:K230"/>
    <mergeCell ref="K231:K241"/>
    <mergeCell ref="K242:K252"/>
    <mergeCell ref="K253:K262"/>
    <mergeCell ref="K264:K274"/>
    <mergeCell ref="P2:P12"/>
    <mergeCell ref="P13:P19"/>
    <mergeCell ref="P20:P35"/>
    <mergeCell ref="P36:P41"/>
    <mergeCell ref="P42:P47"/>
    <mergeCell ref="P48:P56"/>
    <mergeCell ref="P57:P71"/>
    <mergeCell ref="P72:P83"/>
    <mergeCell ref="P84:P90"/>
    <mergeCell ref="P91:P105"/>
    <mergeCell ref="P106:P121"/>
    <mergeCell ref="P123:P127"/>
    <mergeCell ref="P128:P134"/>
    <mergeCell ref="P135:P142"/>
    <mergeCell ref="P143:P149"/>
    <mergeCell ref="P150:P159"/>
    <mergeCell ref="P160:P173"/>
    <mergeCell ref="F299:F306"/>
    <mergeCell ref="F307:F314"/>
    <mergeCell ref="F315:F326"/>
    <mergeCell ref="F327:F336"/>
    <mergeCell ref="F337:F347"/>
    <mergeCell ref="K2:K12"/>
    <mergeCell ref="K13:K19"/>
    <mergeCell ref="K20:K35"/>
    <mergeCell ref="K36:K41"/>
    <mergeCell ref="K42:K47"/>
    <mergeCell ref="K48:K56"/>
    <mergeCell ref="K57:K71"/>
    <mergeCell ref="K72:K83"/>
    <mergeCell ref="K84:K90"/>
    <mergeCell ref="K91:K105"/>
    <mergeCell ref="K106:K121"/>
    <mergeCell ref="K123:K127"/>
    <mergeCell ref="K128:K134"/>
    <mergeCell ref="K135:K142"/>
    <mergeCell ref="K143:K149"/>
    <mergeCell ref="K150:K159"/>
    <mergeCell ref="K160:K173"/>
    <mergeCell ref="K175:K190"/>
    <mergeCell ref="K191:K198"/>
    <mergeCell ref="A337:A347"/>
    <mergeCell ref="F2:F15"/>
    <mergeCell ref="F16:F26"/>
    <mergeCell ref="F27:F44"/>
    <mergeCell ref="F45:F46"/>
    <mergeCell ref="F47:F65"/>
    <mergeCell ref="F66:F87"/>
    <mergeCell ref="F88:F90"/>
    <mergeCell ref="F91:F103"/>
    <mergeCell ref="F106:F117"/>
    <mergeCell ref="F118:F127"/>
    <mergeCell ref="F128:F137"/>
    <mergeCell ref="F138:F149"/>
    <mergeCell ref="F151:F153"/>
    <mergeCell ref="F154:F165"/>
    <mergeCell ref="F166:F180"/>
    <mergeCell ref="F182:F190"/>
    <mergeCell ref="F191:F212"/>
    <mergeCell ref="F213:F228"/>
    <mergeCell ref="F229:F242"/>
    <mergeCell ref="F243:F246"/>
    <mergeCell ref="F247:F258"/>
    <mergeCell ref="F259:F274"/>
    <mergeCell ref="F275:F298"/>
    <mergeCell ref="A229:A242"/>
    <mergeCell ref="A243:A246"/>
    <mergeCell ref="A247:A258"/>
    <mergeCell ref="A259:A274"/>
    <mergeCell ref="A275:A298"/>
    <mergeCell ref="A299:A306"/>
    <mergeCell ref="A307:A314"/>
    <mergeCell ref="A315:A326"/>
    <mergeCell ref="A327:A336"/>
    <mergeCell ref="A118:A127"/>
    <mergeCell ref="A128:A137"/>
    <mergeCell ref="A138:A149"/>
    <mergeCell ref="A151:A153"/>
    <mergeCell ref="A154:A165"/>
    <mergeCell ref="A166:A180"/>
    <mergeCell ref="A182:A190"/>
    <mergeCell ref="A191:A212"/>
    <mergeCell ref="A213:A228"/>
    <mergeCell ref="A2:A15"/>
    <mergeCell ref="A16:A26"/>
    <mergeCell ref="A27:A44"/>
    <mergeCell ref="A45:A46"/>
    <mergeCell ref="A47:A65"/>
    <mergeCell ref="A66:A87"/>
    <mergeCell ref="A88:A90"/>
    <mergeCell ref="A91:A103"/>
    <mergeCell ref="A106:A11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 BUNGA (Groceries)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Accounting Buyan Lakeside</cp:lastModifiedBy>
  <dcterms:created xsi:type="dcterms:W3CDTF">2025-01-20T00:20:00Z</dcterms:created>
  <dcterms:modified xsi:type="dcterms:W3CDTF">2025-12-02T03:01:17Z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681904DB34F748D6A06A134C0A5051D5_13</vt:lpwstr>
  </property>
  <property fmtid="{D5CDD505-2E9C-101B-9397-08002B2CF9AE}" pid="3" name="KSOProductBuildVer">
    <vt:lpwstr>1033-12.2.0.23155</vt:lpwstr>
  </property>
</Properties>
</file>