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<sst xmlns="http://schemas.openxmlformats.org/spreadsheetml/2006/main" count="16" uniqueCount="16">
  <si>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DATE</t>
  </si>
  <si>
    <t>INV NO.</t>
  </si>
  <si>
    <t>DESCRIPTIONS</t>
  </si>
  <si>
    <t>AMOUNT</t>
  </si>
  <si>
    <t>BILLS</t>
  </si>
  <si>
    <t>PRICE</t>
  </si>
  <si>
    <t>SUBTOTAL</t>
  </si>
  <si>
    <t>TOTAL</t>
  </si>
  <si>
    <t>Thermal paper 80 x 80</t>
  </si>
  <si>
    <t>Nota kontan 2 play</t>
  </si>
  <si>
    <t>Nota kontan 3 play</t>
  </si>
  <si>
    <t>Hand Gloves Black M</t>
  </si>
  <si>
    <t>Plastic rope</t>
  </si>
  <si>
    <t>Lunch box L brown</t>
  </si>
  <si>
    <t>Paper cup 12 Oz Brown</t>
  </si>
  <si>
    <t>Hot Lid PLA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</si>
</sst>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_ [$IDR]\ * #,##0_ ;_ [$IDR]\ * \-#,##0_ ;_ [$IDR]\ * &quot;-&quot;_ ;_ @_ "/>
    <numFmt numFmtId="180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79" fontId="1" fillId="3" borderId="1" xfId="0" applyNumberFormat="1" applyFont="1" applyFill="1" applyBorder="1" applyAlignment="1">
      <alignment horizontal="center" vertical="center"/>
    </xf>
    <xf numFmtId="179" fontId="1" fillId="3" borderId="1" xfId="0" applyNumberFormat="1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179" fontId="1" fillId="3" borderId="2" xfId="0" applyNumberFormat="1" applyFont="1" applyFill="1" applyBorder="1" applyAlignment="1">
      <alignment horizontal="center" vertical="center"/>
    </xf>
    <xf numFmtId="179" fontId="1" fillId="3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80" fontId="3" fillId="0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48260</xdr:colOff>
      <xdr:row>1</xdr:row>
      <xdr:rowOff>56515</xdr:rowOff>
    </xdr:from>
    <xdr:to>
      <xdr:col>4</xdr:col>
      <xdr:colOff>3888105</xdr:colOff>
      <xdr:row>6</xdr:row>
      <xdr:rowOff>433070</xdr:rowOff>
    </xdr:to>
    <xdr:pic>
      <xdr:nvPicPr>
        <xdr:cNvPr id="2" name="Picture 1" descr="WhatsApp Image 2025-10-22 at 11.38.08_aa41ac9b"/>
        <xdr:cNvPicPr/>
      </xdr:nvPicPr>
      <xdr:blipFill>
        <a:blip r:embed="rId1"/>
        <a:stretch>
          <a:fillRect/>
        </a:stretch>
      </xdr:blipFill>
      <xdr:spPr>
        <a:xfrm rot="16200000">
          <a:off x="6922770" y="-201930"/>
          <a:ext cx="2916555" cy="3839845"/>
        </a:xfrm>
        <a:prstGeom prst="rect">
          <a:avLst/>
        </a:prstGeom>
      </xdr:spPr>
    </xdr:pic>
    <xdr:clientData/>
  </xdr:twoCellAnchor>
  <xdr:twoCellAnchor editAs="oneCell">
    <xdr:from>
      <xdr:col>4</xdr:col>
      <xdr:colOff>27305</xdr:colOff>
      <xdr:row>7</xdr:row>
      <xdr:rowOff>30480</xdr:rowOff>
    </xdr:from>
    <xdr:to>
      <xdr:col>4</xdr:col>
      <xdr:colOff>3928745</xdr:colOff>
      <xdr:row>8</xdr:row>
      <xdr:rowOff>1249680</xdr:rowOff>
    </xdr:to>
    <xdr:pic>
      <xdr:nvPicPr>
        <xdr:cNvPr id="3" name="Picture 2" descr="WhatsApp Image 2025-10-22 at 11.38.08_4064d6c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7146290" y="2575560"/>
          <a:ext cx="2489200" cy="3901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zoomScale="55" zoomScaleNormal="55" workbookViewId="0">
      <selection activeCell="C12" sqref="C12"/>
    </sheetView>
  </sheetViews>
  <sheetFormatPr defaultColWidth="9.14285714285714" defaultRowHeight="18.75"/>
  <cols>
    <col min="1" max="1" width="19.8571428571429" style="2"/>
    <col min="2" max="2" width="18.8571428571429" style="2" customWidth="1"/>
    <col min="3" max="3" width="43.0380952380952" style="2" customWidth="1"/>
    <col min="4" max="4" width="14.4285714285714" style="3" customWidth="1"/>
    <col min="5" max="5" width="58.9619047619048" style="2" customWidth="1"/>
    <col min="6" max="6" width="19.5238095238095" style="2" customWidth="1"/>
    <col min="7" max="8" width="20.8571428571429" style="2" customWidth="1"/>
    <col min="9" max="9" width="12.8571428571429" style="2"/>
    <col min="10" max="16384" width="9.14285714285714" style="2"/>
  </cols>
  <sheetData>
    <row r="1" s="1" customFormat="1" ht="16" customHeight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1" customFormat="1" ht="40" customHeight="1" spans="1:9">
      <c r="A2" s="6">
        <v>45947</v>
      </c>
      <c r="B2" s="7">
        <v>1197</v>
      </c>
      <c r="C2" s="8" t="s">
        <v>8</v>
      </c>
      <c r="D2" s="8">
        <v>50</v>
      </c>
      <c r="E2" s="9"/>
      <c r="F2" s="10">
        <v>15600</v>
      </c>
      <c r="G2" s="11">
        <f t="shared" ref="G2:G9" si="0">D2*F2</f>
        <v>780000</v>
      </c>
      <c r="H2" s="10">
        <f>SUM(G2:G7)</f>
        <v>2415000</v>
      </c>
      <c r="I2" s="1">
        <f>780000/50</f>
        <v>15600</v>
      </c>
    </row>
    <row r="3" s="1" customFormat="1" ht="40" customHeight="1" spans="1:8">
      <c r="A3" s="6"/>
      <c r="B3" s="7"/>
      <c r="C3" s="8" t="s">
        <v>9</v>
      </c>
      <c r="D3" s="8">
        <v>10</v>
      </c>
      <c r="E3" s="12"/>
      <c r="F3" s="10">
        <v>38000</v>
      </c>
      <c r="G3" s="11">
        <f t="shared" si="0"/>
        <v>380000</v>
      </c>
      <c r="H3" s="8"/>
    </row>
    <row r="4" s="1" customFormat="1" ht="40" customHeight="1" spans="1:8">
      <c r="A4" s="6"/>
      <c r="B4" s="7"/>
      <c r="C4" s="8" t="s">
        <v>10</v>
      </c>
      <c r="D4" s="8">
        <v>5</v>
      </c>
      <c r="E4" s="12"/>
      <c r="F4" s="10">
        <v>45000</v>
      </c>
      <c r="G4" s="11">
        <f t="shared" si="0"/>
        <v>225000</v>
      </c>
      <c r="H4" s="8"/>
    </row>
    <row r="5" s="1" customFormat="1" ht="40" customHeight="1" spans="1:8">
      <c r="A5" s="6"/>
      <c r="B5" s="7"/>
      <c r="C5" s="8" t="s">
        <v>11</v>
      </c>
      <c r="D5" s="8">
        <v>10</v>
      </c>
      <c r="E5" s="12"/>
      <c r="F5" s="10">
        <v>55000</v>
      </c>
      <c r="G5" s="11">
        <f t="shared" si="0"/>
        <v>550000</v>
      </c>
      <c r="H5" s="8"/>
    </row>
    <row r="6" s="1" customFormat="1" ht="40" customHeight="1" spans="1:8">
      <c r="A6" s="6"/>
      <c r="B6" s="7"/>
      <c r="C6" s="8" t="s">
        <v>12</v>
      </c>
      <c r="D6" s="8">
        <v>8</v>
      </c>
      <c r="E6" s="12"/>
      <c r="F6" s="10">
        <v>25000</v>
      </c>
      <c r="G6" s="11">
        <f t="shared" si="0"/>
        <v>200000</v>
      </c>
      <c r="H6" s="8"/>
    </row>
    <row r="7" s="1" customFormat="1" ht="40" customHeight="1" spans="1:8">
      <c r="A7" s="6"/>
      <c r="B7" s="7"/>
      <c r="C7" s="13" t="s">
        <v>13</v>
      </c>
      <c r="D7" s="8">
        <v>2</v>
      </c>
      <c r="E7" s="14"/>
      <c r="F7" s="10">
        <v>140000</v>
      </c>
      <c r="G7" s="11">
        <f t="shared" si="0"/>
        <v>280000</v>
      </c>
      <c r="H7" s="8"/>
    </row>
    <row r="8" s="1" customFormat="1" ht="100" customHeight="1" spans="1:8">
      <c r="A8" s="6">
        <v>45948</v>
      </c>
      <c r="B8" s="7">
        <v>1378</v>
      </c>
      <c r="C8" s="13" t="s">
        <v>14</v>
      </c>
      <c r="D8" s="8">
        <v>20</v>
      </c>
      <c r="E8" s="9"/>
      <c r="F8" s="11">
        <v>75000</v>
      </c>
      <c r="G8" s="11">
        <f t="shared" si="0"/>
        <v>1500000</v>
      </c>
      <c r="H8" s="15">
        <f>SUM(G8:G9)</f>
        <v>2300000</v>
      </c>
    </row>
    <row r="9" s="1" customFormat="1" ht="100" customHeight="1" spans="1:8">
      <c r="A9" s="6"/>
      <c r="B9" s="7"/>
      <c r="C9" s="13" t="s">
        <v>15</v>
      </c>
      <c r="D9" s="8">
        <v>20</v>
      </c>
      <c r="E9" s="14"/>
      <c r="F9" s="11">
        <v>40000</v>
      </c>
      <c r="G9" s="11">
        <f t="shared" si="0"/>
        <v>800000</v>
      </c>
      <c r="H9" s="16"/>
    </row>
    <row r="10" s="1" customFormat="1" spans="1:8">
      <c r="A10" s="17"/>
      <c r="B10" s="17"/>
      <c r="C10" s="17"/>
      <c r="D10" s="17"/>
      <c r="E10" s="17"/>
      <c r="F10" s="17"/>
      <c r="G10" s="18"/>
      <c r="H10" s="18">
        <f>SUM(H2:H9)</f>
        <v>4715000</v>
      </c>
    </row>
  </sheetData>
  <mergeCells count="9">
    <mergeCell ref="A10:E10"/>
    <mergeCell ref="A2:A7"/>
    <mergeCell ref="A8:A9"/>
    <mergeCell ref="B2:B7"/>
    <mergeCell ref="B8:B9"/>
    <mergeCell ref="E2:E7"/>
    <mergeCell ref="E8:E9"/>
    <mergeCell ref="H2:H7"/>
    <mergeCell ref="H8:H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2025-10-30T02:50:35Z</dcterms:created>
  <dcterms:modified xsi:type="dcterms:W3CDTF">2025-10-30T02:51:08Z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BBD123808F404B0BA6C1B2833A0B9BCC_11</vt:lpwstr>
  </property>
  <property fmtid="{D5CDD505-2E9C-101B-9397-08002B2CF9AE}" pid="3" name="KSOProductBuildVer">
    <vt:lpwstr>1033-12.2.0.23131</vt:lpwstr>
  </property>
</Properties>
</file>