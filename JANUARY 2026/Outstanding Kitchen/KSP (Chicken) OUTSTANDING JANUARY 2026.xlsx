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00" windowHeight="17020"/>
  </bookViews>
  <sheets>
    <sheet name="KSP (Chicken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<sst xmlns="http://schemas.openxmlformats.org/spreadsheetml/2006/main" count="26" uniqueCount="16">
  <si>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DATE</t>
  </si>
  <si>
    <t>INV NO.</t>
  </si>
  <si>
    <t>DESCRIPTIONS</t>
  </si>
  <si>
    <t>QTY</t>
  </si>
  <si>
    <t>BILLS</t>
  </si>
  <si>
    <t>PRICE</t>
  </si>
  <si>
    <t>SUB TOTAL</t>
  </si>
  <si>
    <t>TOTAL</t>
  </si>
  <si>
    <t>B00026/PRN-R/2026</t>
  </si>
  <si>
    <t>BONELESS BREAST TK SP</t>
  </si>
  <si>
    <t>BONELESS LEG TK SP</t>
  </si>
  <si>
    <t>B00114/PRN-R/2026</t>
  </si>
  <si>
    <t>WINGS TD</t>
  </si>
  <si>
    <t>B00183/PRN-R/2026</t>
  </si>
  <si>
    <t>BO0224/PRN-R/2026</t>
  </si>
  <si>
    <t>BO0313/PRN-N/2026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</si>
</sst>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_-&quot;Rp&quot;* #,##0_-;\-&quot;Rp&quot;* #,##0_-;_-&quot;Rp&quot;* &quot;-&quot;??_-;_-@_-"/>
    <numFmt numFmtId="177" formatCode="dd\-mmm"/>
    <numFmt numFmtId="178" formatCode="_ [$IDR]\ * #,##0_ ;_ [$IDR]\ * \-#,##0_ ;_ [$IDR]\ * &quot;-&quot;_ ;_ @_ "/>
  </numFmts>
  <fonts count="22">
    <font>
      <sz val="11"/>
      <color theme="1"/>
      <name val="Calibri"/>
      <charset val="134"/>
      <scheme val="minor"/>
    </font>
    <font>
      <sz val="14"/>
      <color theme="1"/>
      <name val="Garamond"/>
      <charset val="134"/>
    </font>
    <font>
      <sz val="11"/>
      <color theme="1"/>
      <name val="Calibri Ligh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7" fontId="0" fillId="3" borderId="2" xfId="0" applyNumberForma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177" fontId="0" fillId="3" borderId="3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vertical="center" wrapText="1"/>
    </xf>
    <xf numFmtId="0" fontId="0" fillId="3" borderId="1" xfId="0" applyNumberFormat="1" applyFill="1" applyBorder="1" applyAlignment="1">
      <alignment horizontal="center" vertical="center" wrapText="1"/>
    </xf>
    <xf numFmtId="177" fontId="0" fillId="3" borderId="4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vertical="center"/>
    </xf>
    <xf numFmtId="177" fontId="0" fillId="3" borderId="3" xfId="0" applyNumberFormat="1" applyFill="1" applyBorder="1" applyAlignment="1">
      <alignment vertical="center"/>
    </xf>
    <xf numFmtId="177" fontId="0" fillId="3" borderId="1" xfId="0" applyNumberFormat="1" applyFill="1" applyBorder="1" applyAlignment="1">
      <alignment vertical="center"/>
    </xf>
    <xf numFmtId="176" fontId="0" fillId="3" borderId="3" xfId="0" applyNumberFormat="1" applyFill="1" applyBorder="1" applyAlignment="1">
      <alignment horizontal="center" vertical="center" wrapText="1"/>
    </xf>
    <xf numFmtId="0" fontId="0" fillId="3" borderId="3" xfId="0" applyNumberForma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178" fontId="0" fillId="0" borderId="1" xfId="0" applyNumberFormat="1" applyBorder="1" applyAlignment="1">
      <alignment vertical="center"/>
    </xf>
    <xf numFmtId="178" fontId="0" fillId="0" borderId="2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/>
    </xf>
    <xf numFmtId="176" fontId="0" fillId="0" borderId="1" xfId="0" applyNumberFormat="1" applyBorder="1" applyAlignment="1">
      <alignment vertical="center"/>
    </xf>
    <xf numFmtId="176" fontId="0" fillId="0" borderId="2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3" xfId="0" applyNumberFormat="1" applyBorder="1" applyAlignment="1">
      <alignment vertical="center"/>
    </xf>
    <xf numFmtId="176" fontId="0" fillId="0" borderId="3" xfId="0" applyNumberFormat="1" applyBorder="1" applyAlignment="1">
      <alignment vertical="center"/>
    </xf>
    <xf numFmtId="0" fontId="0" fillId="0" borderId="1" xfId="0" applyNumberFormat="1" applyBorder="1" applyAlignment="1">
      <alignment vertical="center"/>
    </xf>
    <xf numFmtId="176" fontId="0" fillId="0" borderId="1" xfId="0" applyNumberFormat="1" applyBorder="1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93027</xdr:colOff>
      <xdr:row>1</xdr:row>
      <xdr:rowOff>25082</xdr:rowOff>
    </xdr:from>
    <xdr:to>
      <xdr:col>4</xdr:col>
      <xdr:colOff>2769552</xdr:colOff>
      <xdr:row>2</xdr:row>
      <xdr:rowOff>809307</xdr:rowOff>
    </xdr:to>
    <xdr:pic>
      <xdr:nvPicPr>
        <xdr:cNvPr id="2" name="ID_E806AFC912C64647B993492A2712506F" descr="PHOTO-2026-01-06-16-53-0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16200000">
          <a:off x="6225540" y="-304800"/>
          <a:ext cx="1609725" cy="2675890"/>
        </a:xfrm>
        <a:prstGeom prst="rect">
          <a:avLst/>
        </a:prstGeom>
      </xdr:spPr>
    </xdr:pic>
    <xdr:clientData/>
  </xdr:twoCellAnchor>
  <xdr:twoCellAnchor editAs="oneCell">
    <xdr:from>
      <xdr:col>4</xdr:col>
      <xdr:colOff>33020</xdr:colOff>
      <xdr:row>3</xdr:row>
      <xdr:rowOff>44450</xdr:rowOff>
    </xdr:from>
    <xdr:to>
      <xdr:col>4</xdr:col>
      <xdr:colOff>2831465</xdr:colOff>
      <xdr:row>5</xdr:row>
      <xdr:rowOff>603885</xdr:rowOff>
    </xdr:to>
    <xdr:pic>
      <xdr:nvPicPr>
        <xdr:cNvPr id="3" name="ID_DFA83C72BD3B4AC3A29ACE2C63BC0A1F" descr="PHOTO-2026-01-13-11-18-35"/>
        <xdr:cNvPicPr>
          <a:picLocks noChangeAspect="1"/>
        </xdr:cNvPicPr>
      </xdr:nvPicPr>
      <xdr:blipFill>
        <a:blip r:embed="rId2"/>
        <a:srcRect t="8049"/>
        <a:stretch>
          <a:fillRect/>
        </a:stretch>
      </xdr:blipFill>
      <xdr:spPr>
        <a:xfrm rot="16200000">
          <a:off x="6116955" y="1414145"/>
          <a:ext cx="1829435" cy="2798445"/>
        </a:xfrm>
        <a:prstGeom prst="rect">
          <a:avLst/>
        </a:prstGeom>
      </xdr:spPr>
    </xdr:pic>
    <xdr:clientData/>
  </xdr:twoCellAnchor>
  <xdr:twoCellAnchor editAs="oneCell">
    <xdr:from>
      <xdr:col>4</xdr:col>
      <xdr:colOff>35242</xdr:colOff>
      <xdr:row>6</xdr:row>
      <xdr:rowOff>25082</xdr:rowOff>
    </xdr:from>
    <xdr:to>
      <xdr:col>4</xdr:col>
      <xdr:colOff>2828607</xdr:colOff>
      <xdr:row>8</xdr:row>
      <xdr:rowOff>559752</xdr:rowOff>
    </xdr:to>
    <xdr:pic>
      <xdr:nvPicPr>
        <xdr:cNvPr id="4" name="ID_0169FD9FA6344DBCBB91C391017F2227" descr="PHOTO-2026-01-20-12-48-3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 rot="16200000">
          <a:off x="6191885" y="3225800"/>
          <a:ext cx="1677670" cy="2793365"/>
        </a:xfrm>
        <a:prstGeom prst="rect">
          <a:avLst/>
        </a:prstGeom>
      </xdr:spPr>
    </xdr:pic>
    <xdr:clientData/>
  </xdr:twoCellAnchor>
  <xdr:twoCellAnchor editAs="oneCell">
    <xdr:from>
      <xdr:col>4</xdr:col>
      <xdr:colOff>87947</xdr:colOff>
      <xdr:row>9</xdr:row>
      <xdr:rowOff>20637</xdr:rowOff>
    </xdr:from>
    <xdr:to>
      <xdr:col>4</xdr:col>
      <xdr:colOff>2780982</xdr:colOff>
      <xdr:row>10</xdr:row>
      <xdr:rowOff>818197</xdr:rowOff>
    </xdr:to>
    <xdr:pic>
      <xdr:nvPicPr>
        <xdr:cNvPr id="5" name="ID_C5C97C2757E94DE793819BC945245CD3" descr="PHOTO-2026-01-23-17-29-5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 rot="16200000">
          <a:off x="6221730" y="4958715"/>
          <a:ext cx="1623060" cy="2693035"/>
        </a:xfrm>
        <a:prstGeom prst="rect">
          <a:avLst/>
        </a:prstGeom>
      </xdr:spPr>
    </xdr:pic>
    <xdr:clientData/>
  </xdr:twoCellAnchor>
  <xdr:twoCellAnchor editAs="oneCell">
    <xdr:from>
      <xdr:col>4</xdr:col>
      <xdr:colOff>30480</xdr:colOff>
      <xdr:row>11</xdr:row>
      <xdr:rowOff>20955</xdr:rowOff>
    </xdr:from>
    <xdr:to>
      <xdr:col>4</xdr:col>
      <xdr:colOff>2838450</xdr:colOff>
      <xdr:row>13</xdr:row>
      <xdr:rowOff>567055</xdr:rowOff>
    </xdr:to>
    <xdr:pic>
      <xdr:nvPicPr>
        <xdr:cNvPr id="6" name="ID_08CC5F6BB55D4B81AFD3494C84754981" descr="PHOTO-2026-01-31-12-46-4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 rot="16200000">
          <a:off x="6189345" y="6586220"/>
          <a:ext cx="1689100" cy="28079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tabSelected="1" zoomScale="122" zoomScaleNormal="122" topLeftCell="E1" workbookViewId="0">
      <pane ySplit="1" topLeftCell="A9" activePane="bottomLeft" state="frozen"/>
      <selection/>
      <selection pane="bottomLeft" activeCell="H19" sqref="H19"/>
    </sheetView>
  </sheetViews>
  <sheetFormatPr defaultColWidth="9.140625" defaultRowHeight="16.8"/>
  <cols>
    <col min="1" max="1" width="8.8828125" customWidth="1"/>
    <col min="2" max="2" width="20.140625" customWidth="1"/>
    <col min="3" max="3" width="25.140625" style="1" customWidth="1"/>
    <col min="4" max="4" width="14.7265625" style="2" customWidth="1"/>
    <col min="5" max="5" width="35.125" customWidth="1"/>
    <col min="6" max="8" width="20.9921875" customWidth="1"/>
    <col min="9" max="9" width="12.859375"/>
  </cols>
  <sheetData>
    <row r="1" ht="16" customHeight="1" spans="1:8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65" customHeight="1" spans="1:12">
      <c r="A2" s="5">
        <v>46028</v>
      </c>
      <c r="B2" s="5" t="s">
        <v>8</v>
      </c>
      <c r="C2" s="6" t="s">
        <v>9</v>
      </c>
      <c r="D2" s="7">
        <v>5.3</v>
      </c>
      <c r="E2" s="19"/>
      <c r="F2" s="20">
        <v>50000</v>
      </c>
      <c r="G2" s="20">
        <f t="shared" ref="G2:G8" si="0">SUM(D2*F2)</f>
        <v>265000</v>
      </c>
      <c r="H2" s="21">
        <f>SUM(G2:G3)</f>
        <v>1045000</v>
      </c>
      <c r="L2" s="34"/>
    </row>
    <row r="3" ht="65" customHeight="1" spans="1:11">
      <c r="A3" s="8"/>
      <c r="B3" s="8"/>
      <c r="C3" s="9" t="s">
        <v>10</v>
      </c>
      <c r="D3" s="10">
        <v>15.6</v>
      </c>
      <c r="E3" s="22"/>
      <c r="F3" s="20">
        <v>50000</v>
      </c>
      <c r="G3" s="20">
        <f t="shared" si="0"/>
        <v>780000</v>
      </c>
      <c r="H3" s="23"/>
      <c r="K3" s="34"/>
    </row>
    <row r="4" ht="50" customHeight="1" spans="1:11">
      <c r="A4" s="5">
        <v>46035</v>
      </c>
      <c r="B4" s="5" t="s">
        <v>11</v>
      </c>
      <c r="C4" s="9" t="s">
        <v>9</v>
      </c>
      <c r="D4" s="10">
        <v>5.4</v>
      </c>
      <c r="E4" s="19"/>
      <c r="F4" s="20">
        <v>50000</v>
      </c>
      <c r="G4" s="20">
        <f t="shared" si="0"/>
        <v>270000</v>
      </c>
      <c r="H4" s="21">
        <f>SUM(G5:G6)</f>
        <v>920200</v>
      </c>
      <c r="K4" s="34"/>
    </row>
    <row r="5" ht="50" customHeight="1" spans="1:11">
      <c r="A5" s="11"/>
      <c r="B5" s="11"/>
      <c r="C5" s="9" t="s">
        <v>10</v>
      </c>
      <c r="D5" s="10">
        <v>14.4</v>
      </c>
      <c r="E5" s="24"/>
      <c r="F5" s="20">
        <v>49000</v>
      </c>
      <c r="G5" s="20">
        <f t="shared" si="0"/>
        <v>705600</v>
      </c>
      <c r="H5" s="25"/>
      <c r="K5" s="34"/>
    </row>
    <row r="6" ht="50" customHeight="1" spans="1:8">
      <c r="A6" s="8"/>
      <c r="B6" s="8"/>
      <c r="C6" s="9" t="s">
        <v>12</v>
      </c>
      <c r="D6" s="10">
        <v>5.8</v>
      </c>
      <c r="E6" s="22"/>
      <c r="F6" s="26">
        <v>37000</v>
      </c>
      <c r="G6" s="20">
        <f t="shared" si="0"/>
        <v>214600</v>
      </c>
      <c r="H6" s="23"/>
    </row>
    <row r="7" ht="45" customHeight="1" spans="1:8">
      <c r="A7" s="5">
        <v>46042</v>
      </c>
      <c r="B7" s="5" t="s">
        <v>13</v>
      </c>
      <c r="C7" s="12" t="s">
        <v>9</v>
      </c>
      <c r="D7" s="10">
        <v>5.1</v>
      </c>
      <c r="E7" s="19"/>
      <c r="F7" s="26">
        <v>50000</v>
      </c>
      <c r="G7" s="20">
        <f t="shared" si="0"/>
        <v>255000</v>
      </c>
      <c r="H7" s="27">
        <f>SUM(G7:G9)</f>
        <v>894800</v>
      </c>
    </row>
    <row r="8" ht="45" customHeight="1" spans="1:8">
      <c r="A8" s="11"/>
      <c r="B8" s="11"/>
      <c r="C8" s="12" t="s">
        <v>10</v>
      </c>
      <c r="D8" s="10">
        <v>9.7</v>
      </c>
      <c r="E8" s="24"/>
      <c r="F8" s="26">
        <v>49000</v>
      </c>
      <c r="G8" s="20">
        <f t="shared" si="0"/>
        <v>475300</v>
      </c>
      <c r="H8" s="28"/>
    </row>
    <row r="9" ht="45" customHeight="1" spans="1:11">
      <c r="A9" s="8"/>
      <c r="B9" s="8"/>
      <c r="C9" s="9" t="s">
        <v>12</v>
      </c>
      <c r="D9" s="10">
        <v>4.7</v>
      </c>
      <c r="E9" s="22"/>
      <c r="F9" s="26">
        <v>35000</v>
      </c>
      <c r="G9" s="26">
        <f t="shared" ref="G9:G18" si="1">D9*F9</f>
        <v>164500</v>
      </c>
      <c r="H9" s="29"/>
      <c r="K9" s="34"/>
    </row>
    <row r="10" ht="65" customHeight="1" spans="1:11">
      <c r="A10" s="5">
        <v>46045</v>
      </c>
      <c r="B10" s="5" t="s">
        <v>14</v>
      </c>
      <c r="C10" s="9" t="s">
        <v>9</v>
      </c>
      <c r="D10" s="10">
        <v>5.4</v>
      </c>
      <c r="E10" s="19"/>
      <c r="F10" s="26">
        <v>50000</v>
      </c>
      <c r="G10" s="26">
        <f t="shared" si="1"/>
        <v>270000</v>
      </c>
      <c r="H10" s="27">
        <f>SUM(G10:G11)</f>
        <v>995200</v>
      </c>
      <c r="K10" s="34"/>
    </row>
    <row r="11" ht="65" customHeight="1" spans="1:11">
      <c r="A11" s="8"/>
      <c r="B11" s="8"/>
      <c r="C11" s="9" t="s">
        <v>10</v>
      </c>
      <c r="D11" s="10">
        <v>14.8</v>
      </c>
      <c r="E11" s="22"/>
      <c r="F11" s="26">
        <v>49000</v>
      </c>
      <c r="G11" s="26">
        <f t="shared" si="1"/>
        <v>725200</v>
      </c>
      <c r="H11" s="29"/>
      <c r="K11" s="34"/>
    </row>
    <row r="12" ht="45" customHeight="1" spans="1:11">
      <c r="A12" s="11">
        <v>46052</v>
      </c>
      <c r="B12" s="11" t="s">
        <v>15</v>
      </c>
      <c r="C12" s="9" t="s">
        <v>9</v>
      </c>
      <c r="D12" s="10">
        <v>5</v>
      </c>
      <c r="E12" s="24"/>
      <c r="F12" s="26">
        <v>52000</v>
      </c>
      <c r="G12" s="26">
        <f t="shared" si="1"/>
        <v>260000</v>
      </c>
      <c r="H12" s="28">
        <f>SUM(G12:G14)</f>
        <v>1247600</v>
      </c>
      <c r="K12" s="34"/>
    </row>
    <row r="13" ht="45" customHeight="1" spans="1:11">
      <c r="A13" s="11"/>
      <c r="B13" s="11"/>
      <c r="C13" s="9" t="s">
        <v>10</v>
      </c>
      <c r="D13" s="10">
        <v>15.5</v>
      </c>
      <c r="E13" s="24"/>
      <c r="F13" s="26">
        <v>51000</v>
      </c>
      <c r="G13" s="26">
        <f t="shared" si="1"/>
        <v>790500</v>
      </c>
      <c r="H13" s="28"/>
      <c r="K13" s="34"/>
    </row>
    <row r="14" ht="45" customHeight="1" spans="1:11">
      <c r="A14" s="8"/>
      <c r="B14" s="8"/>
      <c r="C14" s="9" t="s">
        <v>12</v>
      </c>
      <c r="D14" s="10">
        <v>5.4</v>
      </c>
      <c r="E14" s="22"/>
      <c r="F14" s="26">
        <v>36500</v>
      </c>
      <c r="G14" s="26">
        <f t="shared" si="1"/>
        <v>197100</v>
      </c>
      <c r="H14" s="29"/>
      <c r="K14" s="34"/>
    </row>
    <row r="15" spans="1:11">
      <c r="A15" s="13"/>
      <c r="B15" s="13"/>
      <c r="C15" s="9"/>
      <c r="D15" s="10"/>
      <c r="E15" s="30"/>
      <c r="F15" s="26"/>
      <c r="G15" s="26">
        <f t="shared" si="1"/>
        <v>0</v>
      </c>
      <c r="H15" s="31"/>
      <c r="K15" s="34"/>
    </row>
    <row r="16" spans="1:11">
      <c r="A16" s="13"/>
      <c r="B16" s="13"/>
      <c r="C16" s="9"/>
      <c r="D16" s="10"/>
      <c r="E16" s="30"/>
      <c r="F16" s="26"/>
      <c r="G16" s="26">
        <f t="shared" si="1"/>
        <v>0</v>
      </c>
      <c r="H16" s="31"/>
      <c r="K16" s="34"/>
    </row>
    <row r="17" spans="1:11">
      <c r="A17" s="14"/>
      <c r="B17" s="14"/>
      <c r="C17" s="9"/>
      <c r="D17" s="10"/>
      <c r="E17" s="32"/>
      <c r="F17" s="26"/>
      <c r="G17" s="26">
        <f t="shared" si="1"/>
        <v>0</v>
      </c>
      <c r="H17" s="26"/>
      <c r="K17" s="34"/>
    </row>
    <row r="18" spans="1:11">
      <c r="A18" s="13"/>
      <c r="B18" s="13"/>
      <c r="C18" s="15"/>
      <c r="D18" s="16"/>
      <c r="E18" s="30"/>
      <c r="F18" s="31"/>
      <c r="G18" s="26">
        <f t="shared" si="1"/>
        <v>0</v>
      </c>
      <c r="H18" s="31"/>
      <c r="K18" s="34"/>
    </row>
    <row r="19" ht="15" customHeight="1" spans="1:8">
      <c r="A19" s="17"/>
      <c r="B19" s="17"/>
      <c r="C19" s="17"/>
      <c r="D19" s="18"/>
      <c r="E19" s="33"/>
      <c r="F19" s="33"/>
      <c r="G19" s="26"/>
      <c r="H19" s="33">
        <f>SUM(H2:H18)</f>
        <v>5102800</v>
      </c>
    </row>
  </sheetData>
  <mergeCells count="21">
    <mergeCell ref="A19:C19"/>
    <mergeCell ref="A2:A3"/>
    <mergeCell ref="A4:A6"/>
    <mergeCell ref="A7:A9"/>
    <mergeCell ref="A10:A11"/>
    <mergeCell ref="A12:A14"/>
    <mergeCell ref="B2:B3"/>
    <mergeCell ref="B4:B6"/>
    <mergeCell ref="B7:B9"/>
    <mergeCell ref="B10:B11"/>
    <mergeCell ref="B12:B14"/>
    <mergeCell ref="E2:E3"/>
    <mergeCell ref="E4:E6"/>
    <mergeCell ref="E7:E9"/>
    <mergeCell ref="E10:E11"/>
    <mergeCell ref="E12:E14"/>
    <mergeCell ref="H2:H3"/>
    <mergeCell ref="H4:H6"/>
    <mergeCell ref="H7:H9"/>
    <mergeCell ref="H10:H11"/>
    <mergeCell ref="H12:H1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KSP (Chicken)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andreal</dc:creator>
  <cp:lastModifiedBy>andika putra</cp:lastModifiedBy>
  <dcterms:created xsi:type="dcterms:W3CDTF">2026-02-03T11:44:46Z</dcterms:created>
  <dcterms:modified xsi:type="dcterms:W3CDTF">2026-02-03T11:45:24Z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AE451C960EF322D92E6F81693FA692A5_41</vt:lpwstr>
  </property>
  <property fmtid="{D5CDD505-2E9C-101B-9397-08002B2CF9AE}" pid="3" name="KSOProductBuildVer">
    <vt:lpwstr>1033-12.1.23155.23155</vt:lpwstr>
  </property>
</Properties>
</file>