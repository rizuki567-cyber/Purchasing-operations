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<sst xmlns="http://schemas.openxmlformats.org/spreadsheetml/2006/main" count="14" uniqueCount="12">
  <si>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DATE</t>
  </si>
  <si>
    <t>INV NO.</t>
  </si>
  <si>
    <t>DESCRIPTIONS</t>
  </si>
  <si>
    <t>QTY</t>
  </si>
  <si>
    <t>BILLS</t>
  </si>
  <si>
    <t>PRICE</t>
  </si>
  <si>
    <t>TOTAL</t>
  </si>
  <si>
    <t>PLM-INV4742/2025</t>
  </si>
  <si>
    <t>ISOLA RISERVA SYRAH 750ML</t>
  </si>
  <si>
    <t>SUBTOTAL</t>
  </si>
  <si>
    <t>PPN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</si>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</sst>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dd\-mmm"/>
    <numFmt numFmtId="178" formatCode="_-&quot;Rp&quot;* #,##0_-;\-&quot;Rp&quot;* #,##0_-;_-&quot;Rp&quot;* &quot;-&quot;??_-;_-@_-"/>
    <numFmt numFmtId="179" formatCode="_ [$IDR]\ * #,##0_ ;_ [$IDR]\ * \-#,##0_ ;_ [$IDR]\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9" fontId="2" fillId="3" borderId="1" xfId="0" applyNumberFormat="1" applyFont="1" applyFill="1" applyBorder="1">
      <alignment vertical="center"/>
    </xf>
    <xf numFmtId="179" fontId="0" fillId="3" borderId="1" xfId="0" applyNumberFormat="1" applyFill="1" applyBorder="1">
      <alignment vertical="center"/>
    </xf>
    <xf numFmtId="178" fontId="3" fillId="3" borderId="1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3" fillId="3" borderId="2" xfId="0" applyNumberFormat="1" applyFont="1" applyFill="1" applyBorder="1" applyAlignment="1">
      <alignment horizontal="center" vertical="center"/>
    </xf>
    <xf numFmtId="178" fontId="3" fillId="3" borderId="3" xfId="0" applyNumberFormat="1" applyFont="1" applyFill="1" applyBorder="1" applyAlignment="1">
      <alignment horizontal="center" vertical="center"/>
    </xf>
    <xf numFmtId="178" fontId="3" fillId="3" borderId="4" xfId="0" applyNumberFormat="1" applyFont="1" applyFill="1" applyBorder="1" applyAlignment="1">
      <alignment horizontal="center" vertical="center"/>
    </xf>
    <xf numFmtId="178" fontId="6" fillId="4" borderId="2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19685</xdr:colOff>
      <xdr:row>1</xdr:row>
      <xdr:rowOff>19050</xdr:rowOff>
    </xdr:from>
    <xdr:to>
      <xdr:col>4</xdr:col>
      <xdr:colOff>1885315</xdr:colOff>
      <xdr:row>1</xdr:row>
      <xdr:rowOff>2428875</xdr:rowOff>
    </xdr:to>
    <xdr:pic>
      <xdr:nvPicPr>
        <xdr:cNvPr id="2" name="ID_1DE107EB69034E6486322C3E32AA9A1B" descr="WhatsApp Image 2025-12-10 at 18.30.29_577ea6f4"/>
        <xdr:cNvPicPr>
          <a:picLocks noChangeAspect="1"/>
        </xdr:cNvPicPr>
      </xdr:nvPicPr>
      <xdr:blipFill>
        <a:blip r:embed="rId1"/>
        <a:srcRect l="2190" t="15814" r="1471" b="14394"/>
        <a:stretch>
          <a:fillRect/>
        </a:stretch>
      </xdr:blipFill>
      <xdr:spPr>
        <a:xfrm>
          <a:off x="5810885" y="222250"/>
          <a:ext cx="1865630" cy="2409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zoomScale="76" zoomScaleNormal="76" workbookViewId="0">
      <selection activeCell="H10" sqref="$A1:$XFD1048576"/>
    </sheetView>
  </sheetViews>
  <sheetFormatPr defaultColWidth="9.140625" defaultRowHeight="16.8" outlineLevelRow="7" outlineLevelCol="6"/>
  <cols>
    <col min="1" max="1" width="13.3984375" customWidth="1"/>
    <col min="2" max="2" width="20.7109375" customWidth="1"/>
    <col min="3" max="4" width="18.5703125" customWidth="1"/>
    <col min="5" max="5" width="28.4296875" customWidth="1"/>
    <col min="6" max="7" width="17.9609375" customWidth="1"/>
  </cols>
  <sheetData>
    <row r="1" customFormat="1" ht="16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1" ht="192.1" customHeight="1" spans="1:7">
      <c r="A2" s="3">
        <v>45999</v>
      </c>
      <c r="B2" s="4" t="s">
        <v>7</v>
      </c>
      <c r="C2" s="5" t="s">
        <v>8</v>
      </c>
      <c r="D2" s="6">
        <v>3</v>
      </c>
      <c r="E2" s="15"/>
      <c r="F2" s="16">
        <v>275000</v>
      </c>
      <c r="G2" s="17">
        <f>SUM(D2*F2)</f>
        <v>825000</v>
      </c>
    </row>
    <row r="3" customFormat="1" ht="26" spans="1:7">
      <c r="A3" s="7" t="s">
        <v>9</v>
      </c>
      <c r="B3" s="8"/>
      <c r="C3" s="9"/>
      <c r="D3" s="10">
        <f>SUM(D2)</f>
        <v>3</v>
      </c>
      <c r="E3" s="18"/>
      <c r="F3" s="18" t="s">
        <v>10</v>
      </c>
      <c r="G3" s="19">
        <f>G2*11%</f>
        <v>90750</v>
      </c>
    </row>
    <row r="4" customFormat="1" ht="26" spans="1:7">
      <c r="A4" s="7" t="s">
        <v>6</v>
      </c>
      <c r="B4" s="8"/>
      <c r="C4" s="8"/>
      <c r="D4" s="8"/>
      <c r="E4" s="20">
        <f>SUM(G2:G3)</f>
        <v>915750</v>
      </c>
      <c r="F4" s="21"/>
      <c r="G4" s="22"/>
    </row>
    <row r="5" customFormat="1" ht="168" customHeight="1" spans="1:7">
      <c r="A5" s="3"/>
      <c r="B5" s="4"/>
      <c r="C5" s="5"/>
      <c r="D5" s="6"/>
      <c r="E5" s="15"/>
      <c r="F5" s="16"/>
      <c r="G5" s="17"/>
    </row>
    <row r="6" customFormat="1" ht="26" spans="1:7">
      <c r="A6" s="7"/>
      <c r="B6" s="8"/>
      <c r="C6" s="9"/>
      <c r="D6" s="11"/>
      <c r="E6" s="18"/>
      <c r="F6" s="18"/>
      <c r="G6" s="19"/>
    </row>
    <row r="7" customFormat="1" ht="26" spans="1:7">
      <c r="A7" s="7" t="s">
        <v>6</v>
      </c>
      <c r="B7" s="8"/>
      <c r="C7" s="8"/>
      <c r="D7" s="8"/>
      <c r="E7" s="20">
        <f>SUM(G5:G6)</f>
        <v>0</v>
      </c>
      <c r="F7" s="21"/>
      <c r="G7" s="22"/>
    </row>
    <row r="8" customFormat="1" ht="26" customHeight="1" spans="1:7">
      <c r="A8" s="12" t="s">
        <v>11</v>
      </c>
      <c r="B8" s="13"/>
      <c r="C8" s="13"/>
      <c r="D8" s="14"/>
      <c r="E8" s="23">
        <f>E4+E7</f>
        <v>915750</v>
      </c>
      <c r="F8" s="24"/>
      <c r="G8" s="25"/>
    </row>
  </sheetData>
  <mergeCells count="8">
    <mergeCell ref="A3:C3"/>
    <mergeCell ref="A4:D4"/>
    <mergeCell ref="E4:G4"/>
    <mergeCell ref="A6:C6"/>
    <mergeCell ref="A7:D7"/>
    <mergeCell ref="E7:G7"/>
    <mergeCell ref="A8:D8"/>
    <mergeCell ref="E8:G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2025-12-18T08:10:00Z</dcterms:created>
  <dcterms:modified xsi:type="dcterms:W3CDTF">2026-01-03T05:54:36Z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