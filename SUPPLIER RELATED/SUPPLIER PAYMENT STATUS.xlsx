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980" windowHeight="17020"/>
  </bookViews>
  <sheets>
    <sheet name="SUPPLIER PAYMENT STAT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<sst xmlns="http://schemas.openxmlformats.org/spreadsheetml/2006/main" count="345" uniqueCount="98">
  <si>
    <t>DIVISION</t>
  </si>
  <si>
    <t>SUPPLIER NAME</t>
  </si>
  <si>
    <t>SEPTEMBER</t>
  </si>
  <si>
    <t>AMOUNT</t>
  </si>
  <si>
    <t>OCTOBER</t>
  </si>
  <si>
    <t>NOVEMBER</t>
  </si>
  <si>
    <t>DECEMBER</t>
  </si>
  <si>
    <t>JANUARY</t>
  </si>
  <si>
    <t>DUE DATE</t>
  </si>
  <si>
    <t>STATUS</t>
  </si>
  <si>
    <t>FEBRUARY</t>
  </si>
  <si>
    <t>KITCHEN</t>
  </si>
  <si>
    <t>BUK BUNGA (GROCERIES)</t>
  </si>
  <si>
    <t>PAID 1/2</t>
  </si>
  <si>
    <t>PAID 1st</t>
  </si>
  <si>
    <t>&gt;&gt;&gt;</t>
  </si>
  <si>
    <t>PAID</t>
  </si>
  <si>
    <t>15th JAN</t>
  </si>
  <si>
    <t>OUTSTANDING CONFIRMED</t>
  </si>
  <si>
    <t>PAID 2/2</t>
  </si>
  <si>
    <t>PAID 2nd</t>
  </si>
  <si>
    <t>MAKER</t>
  </si>
  <si>
    <t>25th JAN</t>
  </si>
  <si>
    <t>SEDANA JAYA (GROCERIES)</t>
  </si>
  <si>
    <t>N/A</t>
  </si>
  <si>
    <t>AD (GROCERIES)</t>
  </si>
  <si>
    <t>RAFI SEAFOOD (SEAFOOD)</t>
  </si>
  <si>
    <t>MAMA RADA PRODUCTION</t>
  </si>
  <si>
    <t>N/O</t>
  </si>
  <si>
    <t>KSP (CHICKEN)</t>
  </si>
  <si>
    <t>SURYA CIPTA NIAGA (STEAK MEAT)</t>
  </si>
  <si>
    <t>BAYU AGNI (LPG GAS)</t>
  </si>
  <si>
    <t>JOY GREEN</t>
  </si>
  <si>
    <t>CELEBRITY BAKERY</t>
  </si>
  <si>
    <t>KROP (EDIBLE FLOWER)</t>
  </si>
  <si>
    <t>BOILER (DUMPLINGS)</t>
  </si>
  <si>
    <t>LAUNCHED</t>
  </si>
  <si>
    <t>DAILY BAGUETTE (BREAD)</t>
  </si>
  <si>
    <t>ABISEKA (FRESH MILK)</t>
  </si>
  <si>
    <t>KEMANG FOOD</t>
  </si>
  <si>
    <t>SURBLED</t>
  </si>
  <si>
    <t>PAID 1ST</t>
  </si>
  <si>
    <t>PAID 2ND</t>
  </si>
  <si>
    <t>PAID 3RD</t>
  </si>
  <si>
    <t>BAR</t>
  </si>
  <si>
    <t>WARUNG EKA (GALLOONS &amp; MINERAL WATER)</t>
  </si>
  <si>
    <t>DEWATA COCONUT</t>
  </si>
  <si>
    <t>NEVER ANSWERED</t>
  </si>
  <si>
    <t>PNB (ALCOHOL)</t>
  </si>
  <si>
    <t>DSP (ALCOHOL)</t>
  </si>
  <si>
    <t>DSP ARYA BIMA (ALCOHOL)</t>
  </si>
  <si>
    <t>SELERA (STIR UP SYRUP)</t>
  </si>
  <si>
    <t>DW BALI (ALCOHOL) GROUP 1</t>
  </si>
  <si>
    <t>DDB (ALCOHOL) GROUP 1</t>
  </si>
  <si>
    <t>NANO DEWATA (ALCOHOL)</t>
  </si>
  <si>
    <t>BALI PERMATA JAYA (CORONA)</t>
  </si>
  <si>
    <t>BLACKLIST COFFEE ROASTERS (COFFEE BEANS)</t>
  </si>
  <si>
    <t>PAY-U ROASTERY (DECAF COFFEE)</t>
  </si>
  <si>
    <t>PT. PRASIDA LANTUR MAJU (ISOLA WINE)</t>
  </si>
  <si>
    <t>PT. LOVINA BEACH BREWERY</t>
  </si>
  <si>
    <t>CHAI CHITAI (TEA)</t>
  </si>
  <si>
    <t>NOTED</t>
  </si>
  <si>
    <t>DEWATA KENCANA DISTRIBUSI (ICELAND)</t>
  </si>
  <si>
    <t>INDOBEV MENTARI SEJAHTERA (TRIPLE SEC)</t>
  </si>
  <si>
    <t>EXPAT 8 (MATCHA)</t>
  </si>
  <si>
    <t>FLOOR</t>
  </si>
  <si>
    <t>ANUGRAH (TKW GOODS)</t>
  </si>
  <si>
    <t>UD. ABDI JAYA (TKW GOODS)</t>
  </si>
  <si>
    <t>PT. SUPARMA JAYA TBK. (TISSUE)</t>
  </si>
  <si>
    <t>VICKEL LAUNDRY</t>
  </si>
  <si>
    <t>DISHY SOAP (CHEMICALS)</t>
  </si>
  <si>
    <t>MISCELLANEOUS</t>
  </si>
  <si>
    <t>CLOTHES PRINTING</t>
  </si>
  <si>
    <t>AC MAINTENANCE (AIRCOND BALI SOL)</t>
  </si>
  <si>
    <t>COFFEE MACHINE MAINTENANCE</t>
  </si>
  <si>
    <t>INITIAL</t>
  </si>
  <si>
    <t>TWIN PACK MINI &amp; ANT KILLER (TKP)</t>
  </si>
  <si>
    <t>GLASS TISSUE BOX (TKP)</t>
  </si>
  <si>
    <t>UNPAID</t>
  </si>
  <si>
    <t>BLANKET, FLOOR MOP, TISSUE (TKP)</t>
  </si>
  <si>
    <t>PURCHASE MCB</t>
  </si>
  <si>
    <t>GALLERY EX HOTEL DEPOSIT</t>
  </si>
  <si>
    <t>GALLERY EX HOTEL</t>
  </si>
  <si>
    <t>BAR CHILLER MAINTENANCE</t>
  </si>
  <si>
    <t>PIZZA BOX (CUSTOM)</t>
  </si>
  <si>
    <t>PURCHASE WHEY PROTEIN 4.5 KG</t>
  </si>
  <si>
    <t>PURCHASE BAR GLASSES</t>
  </si>
  <si>
    <t>PURCHASE TIRAMISU CUP</t>
  </si>
  <si>
    <t>TIRAMISU CUP TOKOPEDIA</t>
  </si>
  <si>
    <t>2 pcs of receipt spike, 6 pcs of tissue box, 3 pcs of lamp dimmer, 3 pcs of crumbing down for table.</t>
  </si>
  <si>
    <t>PURCHASE HEAVY DUTY TROLLEY, COFFEE GRINDER, LAPTOP ON TOKPED</t>
  </si>
  <si>
    <t>MAINTENANCE OF LETTERSIGN NEON</t>
  </si>
  <si>
    <t>MAINTENANCE OF WATER PURIFIER (ADVANCE)</t>
  </si>
  <si>
    <t>MAINTENANCE ELECTROLUX TEKNIK SERVICE</t>
  </si>
  <si>
    <t>LEGEND:</t>
  </si>
  <si>
    <t>NO ORDER</t>
  </si>
  <si>
    <t>GROUP</t>
  </si>
  <si>
    <t>SHOUL BE PAID TOGETHER TO AVOID LOCK ORDER ON 1 OF IT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</si>
</sst>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[$-409]d\-mmm\-yyyy;@"/>
    <numFmt numFmtId="181" formatCode="_-&quot;Rp&quot;* #,##0_-;\-&quot;Rp&quot;* #,##0_-;_-&quot;Rp&quot;* &quot;-&quot;??_-;_-@_-"/>
    <numFmt numFmtId="182" formatCode="[$Rp-421]#,##0.00;[Red][$Rp-421]#,##0.00"/>
    <numFmt numFmtId="183" formatCode="[$-809]dd\ mmmm\ yyyy;@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5" borderId="2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5" applyNumberFormat="0" applyFill="0" applyAlignment="0" applyProtection="0">
      <alignment vertical="center"/>
    </xf>
    <xf numFmtId="0" fontId="12" fillId="0" borderId="25" applyNumberFormat="0" applyFill="0" applyAlignment="0" applyProtection="0">
      <alignment vertical="center"/>
    </xf>
    <xf numFmtId="0" fontId="13" fillId="0" borderId="2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6" borderId="27" applyNumberFormat="0" applyAlignment="0" applyProtection="0">
      <alignment vertical="center"/>
    </xf>
    <xf numFmtId="0" fontId="15" fillId="17" borderId="28" applyNumberFormat="0" applyAlignment="0" applyProtection="0">
      <alignment vertical="center"/>
    </xf>
    <xf numFmtId="0" fontId="16" fillId="17" borderId="27" applyNumberFormat="0" applyAlignment="0" applyProtection="0">
      <alignment vertical="center"/>
    </xf>
    <xf numFmtId="0" fontId="17" fillId="18" borderId="29" applyNumberFormat="0" applyAlignment="0" applyProtection="0">
      <alignment vertical="center"/>
    </xf>
    <xf numFmtId="0" fontId="18" fillId="0" borderId="30" applyNumberFormat="0" applyFill="0" applyAlignment="0" applyProtection="0">
      <alignment vertical="center"/>
    </xf>
    <xf numFmtId="0" fontId="19" fillId="0" borderId="31" applyNumberFormat="0" applyFill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</cellStyleXfs>
  <cellXfs count="124">
    <xf numFmtId="0" fontId="0" fillId="0" borderId="0" xfId="0">
      <alignment vertical="center"/>
    </xf>
    <xf numFmtId="0" fontId="1" fillId="0" borderId="0" xfId="0" applyFont="1">
      <alignment vertical="center"/>
    </xf>
    <xf numFmtId="180" fontId="2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82" fontId="0" fillId="0" borderId="0" xfId="0" applyNumberFormat="1" applyAlignment="1">
      <alignment vertical="center"/>
    </xf>
    <xf numFmtId="180" fontId="0" fillId="0" borderId="0" xfId="0" applyNumberFormat="1" applyFill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180" fontId="0" fillId="0" borderId="0" xfId="0" applyNumberFormat="1">
      <alignment vertical="center"/>
    </xf>
    <xf numFmtId="180" fontId="2" fillId="2" borderId="1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81" fontId="1" fillId="3" borderId="3" xfId="0" applyNumberFormat="1" applyFont="1" applyFill="1" applyBorder="1" applyAlignment="1">
      <alignment horizontal="center" vertical="center"/>
    </xf>
    <xf numFmtId="180" fontId="2" fillId="4" borderId="4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181" fontId="3" fillId="6" borderId="5" xfId="0" applyNumberFormat="1" applyFont="1" applyFill="1" applyBorder="1" applyAlignment="1">
      <alignment horizontal="center" vertical="center"/>
    </xf>
    <xf numFmtId="180" fontId="2" fillId="4" borderId="6" xfId="0" applyNumberFormat="1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181" fontId="3" fillId="6" borderId="9" xfId="0" applyNumberFormat="1" applyFont="1" applyFill="1" applyBorder="1" applyAlignment="1">
      <alignment horizontal="center"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0" fillId="0" borderId="11" xfId="0" applyFont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181" fontId="0" fillId="6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181" fontId="0" fillId="0" borderId="11" xfId="0" applyNumberFormat="1" applyFill="1" applyBorder="1" applyAlignment="1">
      <alignment horizontal="center" vertical="center"/>
    </xf>
    <xf numFmtId="0" fontId="0" fillId="0" borderId="12" xfId="0" applyFont="1" applyBorder="1" applyAlignment="1">
      <alignment horizontal="left" vertical="center"/>
    </xf>
    <xf numFmtId="0" fontId="0" fillId="5" borderId="12" xfId="0" applyFill="1" applyBorder="1" applyAlignment="1">
      <alignment horizontal="center" vertical="center"/>
    </xf>
    <xf numFmtId="181" fontId="0" fillId="6" borderId="12" xfId="0" applyNumberFormat="1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0" borderId="13" xfId="0" applyFont="1" applyBorder="1" applyAlignment="1">
      <alignment vertical="center"/>
    </xf>
    <xf numFmtId="180" fontId="2" fillId="4" borderId="14" xfId="0" applyNumberFormat="1" applyFont="1" applyFill="1" applyBorder="1" applyAlignment="1">
      <alignment horizontal="center" vertical="center"/>
    </xf>
    <xf numFmtId="0" fontId="0" fillId="0" borderId="15" xfId="0" applyFont="1" applyBorder="1" applyAlignment="1">
      <alignment vertical="center"/>
    </xf>
    <xf numFmtId="0" fontId="0" fillId="0" borderId="13" xfId="0" applyFill="1" applyBorder="1" applyAlignment="1">
      <alignment horizontal="center" vertical="center"/>
    </xf>
    <xf numFmtId="181" fontId="0" fillId="6" borderId="13" xfId="0" applyNumberFormat="1" applyFill="1" applyBorder="1" applyAlignment="1">
      <alignment horizontal="center" vertical="center"/>
    </xf>
    <xf numFmtId="0" fontId="0" fillId="0" borderId="15" xfId="0" applyFont="1" applyBorder="1" applyAlignment="1">
      <alignment horizontal="left" vertical="center"/>
    </xf>
    <xf numFmtId="180" fontId="2" fillId="4" borderId="16" xfId="0" applyNumberFormat="1" applyFont="1" applyFill="1" applyBorder="1" applyAlignment="1">
      <alignment horizontal="center" vertical="center"/>
    </xf>
    <xf numFmtId="0" fontId="0" fillId="0" borderId="17" xfId="0" applyFont="1" applyBorder="1" applyAlignment="1">
      <alignment horizontal="left" vertical="center"/>
    </xf>
    <xf numFmtId="0" fontId="0" fillId="0" borderId="17" xfId="0" applyFill="1" applyBorder="1" applyAlignment="1">
      <alignment horizontal="center" vertical="center"/>
    </xf>
    <xf numFmtId="181" fontId="0" fillId="6" borderId="17" xfId="0" applyNumberFormat="1" applyFill="1" applyBorder="1" applyAlignment="1">
      <alignment horizontal="center" vertical="center"/>
    </xf>
    <xf numFmtId="180" fontId="2" fillId="4" borderId="18" xfId="0" applyNumberFormat="1" applyFont="1" applyFill="1" applyBorder="1" applyAlignment="1">
      <alignment horizontal="center" vertical="center"/>
    </xf>
    <xf numFmtId="0" fontId="0" fillId="8" borderId="12" xfId="0" applyFont="1" applyFill="1" applyBorder="1" applyAlignment="1">
      <alignment horizontal="left" vertical="center"/>
    </xf>
    <xf numFmtId="0" fontId="0" fillId="0" borderId="13" xfId="0" applyFont="1" applyBorder="1" applyAlignment="1">
      <alignment vertical="center" wrapText="1"/>
    </xf>
    <xf numFmtId="0" fontId="0" fillId="0" borderId="13" xfId="0" applyFont="1" applyBorder="1" applyAlignment="1">
      <alignment horizontal="left" vertical="center"/>
    </xf>
    <xf numFmtId="0" fontId="0" fillId="7" borderId="12" xfId="0" applyFont="1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181" fontId="0" fillId="0" borderId="12" xfId="0" applyNumberFormat="1" applyFill="1" applyBorder="1" applyAlignment="1">
      <alignment horizontal="center" vertical="center"/>
    </xf>
    <xf numFmtId="180" fontId="2" fillId="4" borderId="19" xfId="0" applyNumberFormat="1" applyFont="1" applyFill="1" applyBorder="1" applyAlignment="1">
      <alignment horizontal="center" vertical="center"/>
    </xf>
    <xf numFmtId="0" fontId="0" fillId="0" borderId="5" xfId="0" applyFont="1" applyBorder="1" applyAlignment="1">
      <alignment horizontal="left" vertical="center"/>
    </xf>
    <xf numFmtId="0" fontId="0" fillId="5" borderId="13" xfId="0" applyFill="1" applyBorder="1" applyAlignment="1">
      <alignment horizontal="center" vertical="center"/>
    </xf>
    <xf numFmtId="180" fontId="2" fillId="4" borderId="0" xfId="0" applyNumberFormat="1" applyFont="1" applyFill="1" applyBorder="1" applyAlignment="1">
      <alignment horizontal="center" vertical="center"/>
    </xf>
    <xf numFmtId="180" fontId="2" fillId="4" borderId="20" xfId="0" applyNumberFormat="1" applyFont="1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5" xfId="0" applyFill="1" applyBorder="1">
      <alignment vertical="center"/>
    </xf>
    <xf numFmtId="180" fontId="2" fillId="4" borderId="0" xfId="0" applyNumberFormat="1" applyFont="1" applyFill="1" applyAlignment="1">
      <alignment horizontal="center" vertical="center"/>
    </xf>
    <xf numFmtId="0" fontId="0" fillId="0" borderId="12" xfId="0" applyFill="1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3" xfId="0" applyBorder="1" applyAlignment="1">
      <alignment horizontal="center" vertical="center"/>
    </xf>
    <xf numFmtId="0" fontId="0" fillId="0" borderId="13" xfId="0" applyBorder="1">
      <alignment vertical="center"/>
    </xf>
    <xf numFmtId="0" fontId="0" fillId="0" borderId="13" xfId="0" applyFont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/>
    </xf>
    <xf numFmtId="181" fontId="1" fillId="2" borderId="3" xfId="0" applyNumberFormat="1" applyFont="1" applyFill="1" applyBorder="1" applyAlignment="1">
      <alignment horizontal="center" vertical="center"/>
    </xf>
    <xf numFmtId="181" fontId="1" fillId="3" borderId="21" xfId="0" applyNumberFormat="1" applyFont="1" applyFill="1" applyBorder="1" applyAlignment="1">
      <alignment horizontal="center" vertical="center"/>
    </xf>
    <xf numFmtId="181" fontId="3" fillId="6" borderId="17" xfId="0" applyNumberFormat="1" applyFont="1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181" fontId="0" fillId="0" borderId="13" xfId="0" applyNumberFormat="1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181" fontId="0" fillId="6" borderId="22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81" fontId="0" fillId="6" borderId="5" xfId="0" applyNumberFormat="1" applyFill="1" applyBorder="1" applyAlignment="1">
      <alignment horizontal="center" vertical="center"/>
    </xf>
    <xf numFmtId="181" fontId="0" fillId="0" borderId="5" xfId="0" applyNumberFormat="1" applyFill="1" applyBorder="1" applyAlignment="1">
      <alignment horizontal="center" vertical="center"/>
    </xf>
    <xf numFmtId="181" fontId="0" fillId="0" borderId="12" xfId="0" applyNumberFormat="1" applyBorder="1" applyAlignment="1">
      <alignment horizontal="center" vertical="center"/>
    </xf>
    <xf numFmtId="181" fontId="0" fillId="0" borderId="13" xfId="0" applyNumberFormat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182" fontId="1" fillId="3" borderId="12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0" fontId="1" fillId="2" borderId="12" xfId="0" applyNumberFormat="1" applyFont="1" applyFill="1" applyBorder="1" applyAlignment="1">
      <alignment horizontal="center" vertical="center"/>
    </xf>
    <xf numFmtId="0" fontId="3" fillId="5" borderId="5" xfId="0" applyNumberFormat="1" applyFont="1" applyFill="1" applyBorder="1" applyAlignment="1">
      <alignment horizontal="center" vertical="center"/>
    </xf>
    <xf numFmtId="182" fontId="3" fillId="6" borderId="12" xfId="0" applyNumberFormat="1" applyFont="1" applyFill="1" applyBorder="1" applyAlignment="1">
      <alignment vertical="center"/>
    </xf>
    <xf numFmtId="180" fontId="3" fillId="0" borderId="0" xfId="0" applyNumberFormat="1" applyFont="1" applyFill="1" applyBorder="1" applyAlignment="1">
      <alignment horizontal="center" vertical="center"/>
    </xf>
    <xf numFmtId="0" fontId="0" fillId="5" borderId="12" xfId="0" applyNumberFormat="1" applyFill="1" applyBorder="1" applyAlignment="1">
      <alignment horizontal="center" vertical="center"/>
    </xf>
    <xf numFmtId="0" fontId="3" fillId="5" borderId="12" xfId="0" applyNumberFormat="1" applyFont="1" applyFill="1" applyBorder="1" applyAlignment="1">
      <alignment horizontal="center" vertical="center"/>
    </xf>
    <xf numFmtId="0" fontId="3" fillId="9" borderId="11" xfId="0" applyNumberFormat="1" applyFont="1" applyFill="1" applyBorder="1" applyAlignment="1">
      <alignment horizontal="center" vertical="center"/>
    </xf>
    <xf numFmtId="182" fontId="0" fillId="6" borderId="12" xfId="0" applyNumberFormat="1" applyFill="1" applyBorder="1" applyAlignment="1">
      <alignment vertical="center"/>
    </xf>
    <xf numFmtId="0" fontId="0" fillId="0" borderId="15" xfId="0" applyNumberFormat="1" applyFill="1" applyBorder="1" applyAlignment="1">
      <alignment horizontal="center" vertical="center"/>
    </xf>
    <xf numFmtId="0" fontId="0" fillId="5" borderId="13" xfId="0" applyNumberFormat="1" applyFill="1" applyBorder="1" applyAlignment="1">
      <alignment horizontal="center" vertical="center"/>
    </xf>
    <xf numFmtId="0" fontId="0" fillId="7" borderId="12" xfId="0" applyNumberFormat="1" applyFill="1" applyBorder="1" applyAlignment="1">
      <alignment horizontal="center" vertical="center"/>
    </xf>
    <xf numFmtId="0" fontId="0" fillId="0" borderId="13" xfId="0" applyNumberFormat="1" applyFill="1" applyBorder="1" applyAlignment="1">
      <alignment horizontal="center" vertical="center"/>
    </xf>
    <xf numFmtId="0" fontId="0" fillId="5" borderId="17" xfId="0" applyNumberFormat="1" applyFill="1" applyBorder="1" applyAlignment="1">
      <alignment horizontal="center" vertical="center"/>
    </xf>
    <xf numFmtId="0" fontId="0" fillId="9" borderId="12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 vertical="center"/>
    </xf>
    <xf numFmtId="0" fontId="0" fillId="5" borderId="15" xfId="0" applyNumberFormat="1" applyFill="1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182" fontId="0" fillId="0" borderId="12" xfId="0" applyNumberFormat="1" applyFill="1" applyBorder="1" applyAlignment="1">
      <alignment vertical="center"/>
    </xf>
    <xf numFmtId="0" fontId="0" fillId="0" borderId="12" xfId="0" applyNumberFormat="1" applyFill="1" applyBorder="1" applyAlignment="1">
      <alignment horizontal="center" vertical="center"/>
    </xf>
    <xf numFmtId="0" fontId="0" fillId="0" borderId="12" xfId="0" applyNumberFormat="1" applyBorder="1" applyAlignment="1">
      <alignment horizontal="center" vertical="center"/>
    </xf>
    <xf numFmtId="182" fontId="0" fillId="0" borderId="12" xfId="0" applyNumberFormat="1" applyBorder="1" applyAlignment="1">
      <alignment vertical="center"/>
    </xf>
    <xf numFmtId="182" fontId="1" fillId="3" borderId="21" xfId="0" applyNumberFormat="1" applyFont="1" applyFill="1" applyBorder="1" applyAlignment="1">
      <alignment horizontal="center" vertical="center"/>
    </xf>
    <xf numFmtId="183" fontId="1" fillId="2" borderId="23" xfId="0" applyNumberFormat="1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81" fontId="0" fillId="0" borderId="12" xfId="0" applyNumberFormat="1" applyFont="1" applyFill="1" applyBorder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181" fontId="0" fillId="0" borderId="0" xfId="0" applyNumberForma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181" fontId="0" fillId="11" borderId="12" xfId="0" applyNumberFormat="1" applyFill="1" applyBorder="1">
      <alignment vertical="center"/>
    </xf>
    <xf numFmtId="0" fontId="0" fillId="11" borderId="12" xfId="0" applyFill="1" applyBorder="1">
      <alignment vertical="center"/>
    </xf>
    <xf numFmtId="181" fontId="0" fillId="12" borderId="12" xfId="0" applyNumberFormat="1" applyFill="1" applyBorder="1">
      <alignment vertical="center"/>
    </xf>
    <xf numFmtId="0" fontId="0" fillId="5" borderId="12" xfId="0" applyFill="1" applyBorder="1">
      <alignment vertical="center"/>
    </xf>
    <xf numFmtId="181" fontId="0" fillId="13" borderId="12" xfId="0" applyNumberFormat="1" applyFill="1" applyBorder="1">
      <alignment vertical="center"/>
    </xf>
    <xf numFmtId="0" fontId="0" fillId="14" borderId="12" xfId="0" applyFill="1" applyBorder="1">
      <alignment vertical="center"/>
    </xf>
    <xf numFmtId="180" fontId="1" fillId="2" borderId="23" xfId="0" applyNumberFormat="1" applyFont="1" applyFill="1" applyBorder="1" applyAlignment="1">
      <alignment horizontal="center" vertical="center"/>
    </xf>
    <xf numFmtId="0" fontId="3" fillId="0" borderId="13" xfId="0" applyNumberFormat="1" applyFont="1" applyFill="1" applyBorder="1" applyAlignment="1">
      <alignment horizontal="center" vertical="center"/>
    </xf>
    <xf numFmtId="0" fontId="3" fillId="0" borderId="11" xfId="0" applyNumberFormat="1" applyFont="1" applyFill="1" applyBorder="1" applyAlignment="1">
      <alignment horizontal="center" vertical="center"/>
    </xf>
    <xf numFmtId="180" fontId="5" fillId="8" borderId="0" xfId="0" applyNumberFormat="1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67"/>
  <sheetViews>
    <sheetView tabSelected="1" zoomScale="85" zoomScaleNormal="85" topLeftCell="A7" workbookViewId="0">
      <pane xSplit="2" topLeftCell="N1" activePane="topRight" state="frozen"/>
      <selection/>
      <selection pane="topRight" activeCell="T60" sqref="T60"/>
    </sheetView>
  </sheetViews>
  <sheetFormatPr defaultColWidth="9.1640625" defaultRowHeight="17.6"/>
  <cols>
    <col min="1" max="1" width="18.4375" style="2" customWidth="1"/>
    <col min="2" max="2" width="33.8515625" style="3" customWidth="1"/>
    <col min="3" max="3" width="14.3359375" style="4" customWidth="1"/>
    <col min="4" max="4" width="14.3359375" customWidth="1"/>
    <col min="5" max="5" width="12.5703125" style="4" customWidth="1"/>
    <col min="6" max="7" width="13.6640625" customWidth="1"/>
    <col min="8" max="8" width="13.6640625" style="5" customWidth="1"/>
    <col min="9" max="9" width="14.3359375" style="6"/>
    <col min="10" max="10" width="17.7109375" style="7" customWidth="1"/>
    <col min="11" max="11" width="14.3359375" style="8"/>
    <col min="12" max="12" width="14.3359375" style="6"/>
    <col min="13" max="13" width="17.7109375" style="7" customWidth="1"/>
    <col min="14" max="14" width="17.3125" style="9"/>
    <col min="15" max="15" width="26.125" style="4" customWidth="1"/>
    <col min="16" max="16" width="7.9375" customWidth="1"/>
    <col min="18" max="18" width="14.3359375" style="6"/>
    <col min="19" max="19" width="17.7109375" style="7" customWidth="1"/>
    <col min="20" max="20" width="12.0625" style="10" customWidth="1"/>
    <col min="21" max="21" width="14.1875" customWidth="1"/>
    <col min="22" max="22" width="7.9375" customWidth="1"/>
  </cols>
  <sheetData>
    <row r="1" s="1" customFormat="1" ht="18.35" spans="1:21">
      <c r="A1" s="11" t="s">
        <v>0</v>
      </c>
      <c r="B1" s="12" t="s">
        <v>1</v>
      </c>
      <c r="C1" s="13" t="s">
        <v>2</v>
      </c>
      <c r="D1" s="14" t="s">
        <v>3</v>
      </c>
      <c r="E1" s="64" t="s">
        <v>4</v>
      </c>
      <c r="F1" s="14" t="s">
        <v>3</v>
      </c>
      <c r="G1" s="65" t="s">
        <v>5</v>
      </c>
      <c r="H1" s="66" t="s">
        <v>3</v>
      </c>
      <c r="I1" s="78" t="s">
        <v>6</v>
      </c>
      <c r="J1" s="79" t="s">
        <v>3</v>
      </c>
      <c r="K1" s="80">
        <v>2026</v>
      </c>
      <c r="L1" s="81" t="s">
        <v>7</v>
      </c>
      <c r="M1" s="102" t="s">
        <v>3</v>
      </c>
      <c r="N1" s="103" t="s">
        <v>8</v>
      </c>
      <c r="O1" s="104" t="s">
        <v>9</v>
      </c>
      <c r="R1" s="81" t="s">
        <v>10</v>
      </c>
      <c r="S1" s="102" t="s">
        <v>3</v>
      </c>
      <c r="T1" s="120" t="s">
        <v>8</v>
      </c>
      <c r="U1" s="104" t="s">
        <v>9</v>
      </c>
    </row>
    <row r="2" ht="17.55" spans="1:19">
      <c r="A2" s="15" t="s">
        <v>11</v>
      </c>
      <c r="B2" s="16" t="s">
        <v>12</v>
      </c>
      <c r="C2" s="17" t="s">
        <v>13</v>
      </c>
      <c r="D2" s="18">
        <v>33417500</v>
      </c>
      <c r="E2" s="17" t="s">
        <v>13</v>
      </c>
      <c r="F2" s="18">
        <v>39738000</v>
      </c>
      <c r="G2" s="17" t="s">
        <v>13</v>
      </c>
      <c r="H2" s="18">
        <v>34233500</v>
      </c>
      <c r="I2" s="82" t="s">
        <v>14</v>
      </c>
      <c r="J2" s="83">
        <v>42310500</v>
      </c>
      <c r="K2" s="84" t="s">
        <v>15</v>
      </c>
      <c r="L2" s="85" t="s">
        <v>16</v>
      </c>
      <c r="M2" s="105">
        <v>41876500</v>
      </c>
      <c r="N2" s="9" t="s">
        <v>17</v>
      </c>
      <c r="O2" s="106" t="s">
        <v>18</v>
      </c>
      <c r="R2" s="121"/>
      <c r="S2" s="105"/>
    </row>
    <row r="3" ht="17.55" spans="1:19">
      <c r="A3" s="19"/>
      <c r="B3" s="20"/>
      <c r="C3" s="21" t="s">
        <v>19</v>
      </c>
      <c r="D3" s="22">
        <v>33417500</v>
      </c>
      <c r="E3" s="21" t="s">
        <v>19</v>
      </c>
      <c r="F3" s="22">
        <v>39738000</v>
      </c>
      <c r="G3" s="21" t="s">
        <v>19</v>
      </c>
      <c r="H3" s="67">
        <v>34233500</v>
      </c>
      <c r="I3" s="86" t="s">
        <v>20</v>
      </c>
      <c r="J3" s="83">
        <v>42310500</v>
      </c>
      <c r="K3" s="84"/>
      <c r="L3" s="87" t="s">
        <v>21</v>
      </c>
      <c r="M3" s="105">
        <v>41876500</v>
      </c>
      <c r="N3" s="9" t="s">
        <v>22</v>
      </c>
      <c r="O3" s="106"/>
      <c r="R3" s="122"/>
      <c r="S3" s="105"/>
    </row>
    <row r="4" ht="16.8" spans="1:19">
      <c r="A4" s="23"/>
      <c r="B4" s="24" t="s">
        <v>23</v>
      </c>
      <c r="C4" s="25" t="s">
        <v>16</v>
      </c>
      <c r="D4" s="26">
        <v>45478060</v>
      </c>
      <c r="E4" s="25" t="s">
        <v>16</v>
      </c>
      <c r="F4" s="26">
        <v>39027410</v>
      </c>
      <c r="G4" s="68" t="s">
        <v>16</v>
      </c>
      <c r="H4" s="26">
        <v>45303890</v>
      </c>
      <c r="I4" s="85" t="s">
        <v>16</v>
      </c>
      <c r="J4" s="88">
        <v>48169400</v>
      </c>
      <c r="L4" s="85" t="s">
        <v>16</v>
      </c>
      <c r="M4" s="105">
        <v>58561720</v>
      </c>
      <c r="N4" s="9" t="s">
        <v>24</v>
      </c>
      <c r="O4" s="106" t="s">
        <v>18</v>
      </c>
      <c r="R4" s="99"/>
      <c r="S4" s="105"/>
    </row>
    <row r="5" ht="16.8" spans="1:19">
      <c r="A5" s="23"/>
      <c r="B5" s="24" t="s">
        <v>25</v>
      </c>
      <c r="C5" s="27"/>
      <c r="D5" s="28"/>
      <c r="E5" s="27"/>
      <c r="F5" s="28"/>
      <c r="G5" s="69"/>
      <c r="H5" s="28"/>
      <c r="I5" s="89"/>
      <c r="J5" s="88"/>
      <c r="L5" s="85" t="s">
        <v>16</v>
      </c>
      <c r="M5" s="105">
        <v>2744000</v>
      </c>
      <c r="N5" s="9" t="s">
        <v>24</v>
      </c>
      <c r="O5" s="106" t="s">
        <v>18</v>
      </c>
      <c r="R5" s="99"/>
      <c r="S5" s="105"/>
    </row>
    <row r="6" ht="16.8" spans="1:19">
      <c r="A6" s="23"/>
      <c r="B6" s="29" t="s">
        <v>26</v>
      </c>
      <c r="C6" s="30" t="s">
        <v>16</v>
      </c>
      <c r="D6" s="31">
        <v>29900100</v>
      </c>
      <c r="E6" s="30" t="s">
        <v>16</v>
      </c>
      <c r="F6" s="31">
        <v>20617200</v>
      </c>
      <c r="G6" s="30" t="s">
        <v>16</v>
      </c>
      <c r="H6" s="31">
        <v>21943450</v>
      </c>
      <c r="I6" s="90" t="s">
        <v>16</v>
      </c>
      <c r="J6" s="88">
        <v>36138000</v>
      </c>
      <c r="L6" s="85" t="s">
        <v>16</v>
      </c>
      <c r="M6" s="105">
        <v>39288400</v>
      </c>
      <c r="N6" s="9" t="s">
        <v>24</v>
      </c>
      <c r="O6" s="106" t="s">
        <v>18</v>
      </c>
      <c r="R6" s="99"/>
      <c r="S6" s="105"/>
    </row>
    <row r="7" ht="16.8" spans="1:19">
      <c r="A7" s="23"/>
      <c r="B7" s="29" t="s">
        <v>27</v>
      </c>
      <c r="C7" s="30" t="s">
        <v>16</v>
      </c>
      <c r="D7" s="31">
        <v>4400000</v>
      </c>
      <c r="E7" s="30" t="s">
        <v>16</v>
      </c>
      <c r="F7" s="31">
        <v>5560000</v>
      </c>
      <c r="G7" s="30" t="s">
        <v>16</v>
      </c>
      <c r="H7" s="31">
        <v>320000</v>
      </c>
      <c r="I7" s="91" t="s">
        <v>28</v>
      </c>
      <c r="J7" s="88"/>
      <c r="L7" s="91" t="s">
        <v>28</v>
      </c>
      <c r="M7" s="105">
        <v>0</v>
      </c>
      <c r="R7" s="91"/>
      <c r="S7" s="105"/>
    </row>
    <row r="8" ht="16.8" spans="1:19">
      <c r="A8" s="23"/>
      <c r="B8" s="29" t="s">
        <v>29</v>
      </c>
      <c r="C8" s="30" t="s">
        <v>16</v>
      </c>
      <c r="D8" s="31">
        <v>5610900</v>
      </c>
      <c r="E8" s="30" t="s">
        <v>16</v>
      </c>
      <c r="F8" s="31">
        <v>3578050</v>
      </c>
      <c r="G8" s="30" t="s">
        <v>16</v>
      </c>
      <c r="H8" s="31">
        <v>5069850</v>
      </c>
      <c r="I8" s="85" t="s">
        <v>16</v>
      </c>
      <c r="J8" s="88">
        <v>6026050</v>
      </c>
      <c r="L8" s="85" t="s">
        <v>16</v>
      </c>
      <c r="M8" s="105">
        <v>5377500</v>
      </c>
      <c r="N8" s="9" t="s">
        <v>24</v>
      </c>
      <c r="O8" s="106" t="s">
        <v>18</v>
      </c>
      <c r="R8" s="99"/>
      <c r="S8" s="105"/>
    </row>
    <row r="9" ht="16.8" spans="1:20">
      <c r="A9" s="23"/>
      <c r="B9" s="29" t="s">
        <v>30</v>
      </c>
      <c r="C9" s="30" t="s">
        <v>16</v>
      </c>
      <c r="D9" s="31">
        <v>3663300</v>
      </c>
      <c r="E9" s="30" t="s">
        <v>16</v>
      </c>
      <c r="F9" s="31">
        <v>1983600</v>
      </c>
      <c r="G9" s="30" t="s">
        <v>16</v>
      </c>
      <c r="H9" s="31">
        <v>13417600</v>
      </c>
      <c r="I9" s="90" t="s">
        <v>16</v>
      </c>
      <c r="J9" s="88">
        <v>9006800</v>
      </c>
      <c r="L9" s="85" t="s">
        <v>16</v>
      </c>
      <c r="M9" s="105">
        <v>6271600</v>
      </c>
      <c r="N9" s="9">
        <v>46044</v>
      </c>
      <c r="O9" s="106" t="s">
        <v>18</v>
      </c>
      <c r="R9" s="85" t="s">
        <v>16</v>
      </c>
      <c r="S9" s="105">
        <v>8553600</v>
      </c>
      <c r="T9" s="10">
        <v>46066</v>
      </c>
    </row>
    <row r="10" ht="16.8" spans="1:19">
      <c r="A10" s="23"/>
      <c r="B10" s="29" t="s">
        <v>31</v>
      </c>
      <c r="C10" s="30" t="s">
        <v>16</v>
      </c>
      <c r="D10" s="31">
        <v>8775000</v>
      </c>
      <c r="E10" s="30" t="s">
        <v>16</v>
      </c>
      <c r="F10" s="31">
        <v>7800000</v>
      </c>
      <c r="G10" s="30" t="s">
        <v>16</v>
      </c>
      <c r="H10" s="31">
        <v>5850000</v>
      </c>
      <c r="I10" s="85" t="s">
        <v>16</v>
      </c>
      <c r="J10" s="88">
        <v>8775000</v>
      </c>
      <c r="L10" s="85" t="s">
        <v>16</v>
      </c>
      <c r="M10" s="105">
        <v>12675000</v>
      </c>
      <c r="O10" s="106" t="s">
        <v>18</v>
      </c>
      <c r="R10" s="99"/>
      <c r="S10" s="105"/>
    </row>
    <row r="11" ht="16.8" spans="1:19">
      <c r="A11" s="23"/>
      <c r="B11" s="29" t="s">
        <v>32</v>
      </c>
      <c r="C11" s="32" t="s">
        <v>28</v>
      </c>
      <c r="D11" s="31"/>
      <c r="E11" s="32" t="s">
        <v>28</v>
      </c>
      <c r="F11" s="31"/>
      <c r="G11" s="32" t="s">
        <v>28</v>
      </c>
      <c r="H11" s="31"/>
      <c r="I11" s="91" t="s">
        <v>28</v>
      </c>
      <c r="J11" s="88"/>
      <c r="L11" s="91" t="s">
        <v>28</v>
      </c>
      <c r="M11" s="105">
        <v>0</v>
      </c>
      <c r="R11" s="91"/>
      <c r="S11" s="105"/>
    </row>
    <row r="12" ht="16.8" spans="1:19">
      <c r="A12" s="23"/>
      <c r="B12" s="29" t="s">
        <v>33</v>
      </c>
      <c r="C12" s="32" t="s">
        <v>28</v>
      </c>
      <c r="D12" s="31"/>
      <c r="E12" s="32" t="s">
        <v>28</v>
      </c>
      <c r="F12" s="31"/>
      <c r="G12" s="32" t="s">
        <v>28</v>
      </c>
      <c r="H12" s="31"/>
      <c r="I12" s="90" t="s">
        <v>16</v>
      </c>
      <c r="J12" s="88">
        <v>160000</v>
      </c>
      <c r="L12" s="85" t="s">
        <v>16</v>
      </c>
      <c r="M12" s="105">
        <v>140000</v>
      </c>
      <c r="O12" s="106" t="s">
        <v>18</v>
      </c>
      <c r="R12" s="99"/>
      <c r="S12" s="105"/>
    </row>
    <row r="13" ht="16.8" spans="1:19">
      <c r="A13" s="23"/>
      <c r="B13" s="29" t="s">
        <v>34</v>
      </c>
      <c r="C13" s="32" t="s">
        <v>28</v>
      </c>
      <c r="D13" s="31"/>
      <c r="E13" s="30" t="s">
        <v>16</v>
      </c>
      <c r="F13" s="31">
        <v>326000</v>
      </c>
      <c r="G13" s="30" t="s">
        <v>16</v>
      </c>
      <c r="H13" s="31">
        <v>152000</v>
      </c>
      <c r="I13" s="90" t="s">
        <v>16</v>
      </c>
      <c r="J13" s="88">
        <v>329000</v>
      </c>
      <c r="L13" s="91" t="s">
        <v>28</v>
      </c>
      <c r="M13" s="105">
        <v>0</v>
      </c>
      <c r="O13" s="107"/>
      <c r="R13" s="91"/>
      <c r="S13" s="105"/>
    </row>
    <row r="14" ht="16.8" spans="1:19">
      <c r="A14" s="23"/>
      <c r="B14" s="33" t="s">
        <v>35</v>
      </c>
      <c r="C14" s="30" t="s">
        <v>16</v>
      </c>
      <c r="D14" s="31"/>
      <c r="E14" s="30" t="s">
        <v>16</v>
      </c>
      <c r="F14" s="31">
        <v>924000</v>
      </c>
      <c r="G14" s="30" t="s">
        <v>16</v>
      </c>
      <c r="H14" s="31">
        <v>594000</v>
      </c>
      <c r="I14" s="90" t="s">
        <v>16</v>
      </c>
      <c r="J14" s="88">
        <v>319000</v>
      </c>
      <c r="L14" s="85" t="s">
        <v>16</v>
      </c>
      <c r="M14" s="105">
        <v>638000</v>
      </c>
      <c r="N14" s="8">
        <v>46036</v>
      </c>
      <c r="O14" s="106" t="s">
        <v>18</v>
      </c>
      <c r="R14" s="99" t="s">
        <v>36</v>
      </c>
      <c r="S14" s="105">
        <v>574200</v>
      </c>
    </row>
    <row r="15" ht="16.8" spans="1:19">
      <c r="A15" s="23"/>
      <c r="B15" s="29" t="s">
        <v>37</v>
      </c>
      <c r="C15" s="30" t="s">
        <v>16</v>
      </c>
      <c r="D15" s="31"/>
      <c r="E15" s="30" t="s">
        <v>16</v>
      </c>
      <c r="F15" s="31">
        <v>2320000</v>
      </c>
      <c r="G15" s="30" t="s">
        <v>16</v>
      </c>
      <c r="H15" s="31">
        <v>2996000</v>
      </c>
      <c r="I15" s="85" t="s">
        <v>16</v>
      </c>
      <c r="J15" s="88">
        <v>1044000</v>
      </c>
      <c r="L15" s="85" t="s">
        <v>16</v>
      </c>
      <c r="M15" s="105">
        <v>1962000</v>
      </c>
      <c r="N15" s="9" t="s">
        <v>24</v>
      </c>
      <c r="O15" s="108"/>
      <c r="R15" s="99"/>
      <c r="S15" s="105"/>
    </row>
    <row r="16" ht="16.8" spans="1:20">
      <c r="A16" s="34"/>
      <c r="B16" s="35" t="s">
        <v>38</v>
      </c>
      <c r="C16" s="36"/>
      <c r="D16" s="37"/>
      <c r="E16" s="36"/>
      <c r="F16" s="70"/>
      <c r="G16" s="36"/>
      <c r="H16" s="37"/>
      <c r="I16" s="92"/>
      <c r="J16" s="88"/>
      <c r="L16" s="85" t="s">
        <v>16</v>
      </c>
      <c r="M16" s="98">
        <v>405000</v>
      </c>
      <c r="N16" s="9">
        <v>46060</v>
      </c>
      <c r="O16" s="106" t="s">
        <v>18</v>
      </c>
      <c r="R16" s="85" t="s">
        <v>16</v>
      </c>
      <c r="S16" s="98">
        <v>1010000</v>
      </c>
      <c r="T16" s="10">
        <v>46043</v>
      </c>
    </row>
    <row r="17" ht="16.8" spans="1:19">
      <c r="A17" s="34"/>
      <c r="B17" s="35"/>
      <c r="C17" s="36"/>
      <c r="D17" s="37"/>
      <c r="E17" s="36"/>
      <c r="F17" s="70"/>
      <c r="G17" s="36"/>
      <c r="H17" s="70"/>
      <c r="I17" s="92"/>
      <c r="J17" s="88"/>
      <c r="L17" s="85" t="s">
        <v>16</v>
      </c>
      <c r="M17" s="98">
        <v>1745000</v>
      </c>
      <c r="N17" s="9">
        <v>46054</v>
      </c>
      <c r="O17" s="109"/>
      <c r="R17" s="99"/>
      <c r="S17" s="98"/>
    </row>
    <row r="18" ht="16.8" spans="1:19">
      <c r="A18" s="34"/>
      <c r="B18" s="38" t="s">
        <v>39</v>
      </c>
      <c r="C18" s="36"/>
      <c r="D18" s="37"/>
      <c r="E18" s="36"/>
      <c r="F18" s="70"/>
      <c r="G18" s="36"/>
      <c r="H18" s="70"/>
      <c r="I18" s="92"/>
      <c r="J18" s="88"/>
      <c r="L18" s="85" t="s">
        <v>16</v>
      </c>
      <c r="M18" s="98">
        <v>620987</v>
      </c>
      <c r="O18" s="109"/>
      <c r="R18" s="99"/>
      <c r="S18" s="98"/>
    </row>
    <row r="19" ht="17.55" spans="1:19">
      <c r="A19" s="39"/>
      <c r="B19" s="40" t="s">
        <v>40</v>
      </c>
      <c r="C19" s="41"/>
      <c r="D19" s="42"/>
      <c r="E19" s="71" t="s">
        <v>41</v>
      </c>
      <c r="F19" s="42">
        <v>10000000</v>
      </c>
      <c r="G19" s="71" t="s">
        <v>42</v>
      </c>
      <c r="H19" s="42">
        <v>10000000</v>
      </c>
      <c r="I19" s="93" t="s">
        <v>43</v>
      </c>
      <c r="J19" s="88">
        <v>10000000</v>
      </c>
      <c r="L19" s="94" t="s">
        <v>21</v>
      </c>
      <c r="M19" s="98">
        <v>10000000</v>
      </c>
      <c r="N19" s="9" t="s">
        <v>24</v>
      </c>
      <c r="O19" s="110"/>
      <c r="R19" s="99"/>
      <c r="S19" s="98"/>
    </row>
    <row r="20" ht="16.8" spans="1:19">
      <c r="A20" s="43" t="s">
        <v>44</v>
      </c>
      <c r="B20" s="24" t="s">
        <v>45</v>
      </c>
      <c r="C20" s="25" t="s">
        <v>16</v>
      </c>
      <c r="D20" s="26">
        <v>20669000</v>
      </c>
      <c r="E20" s="25" t="s">
        <v>16</v>
      </c>
      <c r="F20" s="26">
        <v>13909500</v>
      </c>
      <c r="G20" s="25" t="s">
        <v>16</v>
      </c>
      <c r="H20" s="26">
        <v>12478500</v>
      </c>
      <c r="I20" s="95" t="s">
        <v>16</v>
      </c>
      <c r="J20" s="88">
        <v>14051500</v>
      </c>
      <c r="L20" s="85" t="s">
        <v>16</v>
      </c>
      <c r="M20" s="105">
        <v>14045000</v>
      </c>
      <c r="N20" s="111" t="s">
        <v>24</v>
      </c>
      <c r="O20" s="106" t="s">
        <v>18</v>
      </c>
      <c r="R20" s="99"/>
      <c r="S20" s="105"/>
    </row>
    <row r="21" ht="16.8" spans="1:19">
      <c r="A21" s="43"/>
      <c r="B21" s="29" t="s">
        <v>46</v>
      </c>
      <c r="C21" s="30" t="s">
        <v>16</v>
      </c>
      <c r="D21" s="31">
        <v>3230000</v>
      </c>
      <c r="E21" s="30" t="s">
        <v>16</v>
      </c>
      <c r="F21" s="31">
        <v>2415000</v>
      </c>
      <c r="G21" s="30" t="s">
        <v>16</v>
      </c>
      <c r="H21" s="31">
        <v>1800000</v>
      </c>
      <c r="I21" s="90" t="s">
        <v>16</v>
      </c>
      <c r="J21" s="88">
        <v>2860000</v>
      </c>
      <c r="L21" s="85" t="s">
        <v>16</v>
      </c>
      <c r="M21" s="105">
        <v>2690000</v>
      </c>
      <c r="N21" s="111" t="s">
        <v>24</v>
      </c>
      <c r="O21" s="112" t="s">
        <v>47</v>
      </c>
      <c r="R21" s="99"/>
      <c r="S21" s="105"/>
    </row>
    <row r="22" ht="16.8" spans="1:19">
      <c r="A22" s="43"/>
      <c r="B22" s="29" t="s">
        <v>48</v>
      </c>
      <c r="C22" s="30" t="s">
        <v>16</v>
      </c>
      <c r="D22" s="31">
        <v>10775000</v>
      </c>
      <c r="E22" s="30" t="s">
        <v>16</v>
      </c>
      <c r="F22" s="31">
        <v>10000000</v>
      </c>
      <c r="G22" s="30" t="s">
        <v>16</v>
      </c>
      <c r="H22" s="31">
        <v>7025000</v>
      </c>
      <c r="I22" s="90" t="s">
        <v>16</v>
      </c>
      <c r="J22" s="88">
        <v>4175000</v>
      </c>
      <c r="L22" s="85" t="s">
        <v>16</v>
      </c>
      <c r="M22" s="105">
        <v>2000000</v>
      </c>
      <c r="O22" s="106" t="s">
        <v>18</v>
      </c>
      <c r="R22" s="99"/>
      <c r="S22" s="105"/>
    </row>
    <row r="23" ht="16.8" spans="1:19">
      <c r="A23" s="43"/>
      <c r="B23" s="29" t="s">
        <v>49</v>
      </c>
      <c r="C23" s="30" t="s">
        <v>16</v>
      </c>
      <c r="D23" s="31">
        <v>10023000</v>
      </c>
      <c r="E23" s="30" t="s">
        <v>16</v>
      </c>
      <c r="F23" s="31">
        <v>6637500</v>
      </c>
      <c r="G23" s="30" t="s">
        <v>16</v>
      </c>
      <c r="H23" s="31">
        <v>12023500</v>
      </c>
      <c r="I23" s="85" t="s">
        <v>16</v>
      </c>
      <c r="J23" s="88">
        <v>18173500</v>
      </c>
      <c r="L23" s="85" t="s">
        <v>16</v>
      </c>
      <c r="M23" s="105">
        <v>6354000</v>
      </c>
      <c r="O23" s="106" t="s">
        <v>18</v>
      </c>
      <c r="R23" s="99"/>
      <c r="S23" s="105"/>
    </row>
    <row r="24" ht="16.8" spans="1:19">
      <c r="A24" s="43"/>
      <c r="B24" s="29" t="s">
        <v>50</v>
      </c>
      <c r="C24" s="32" t="s">
        <v>28</v>
      </c>
      <c r="D24" s="31"/>
      <c r="E24" s="32" t="s">
        <v>28</v>
      </c>
      <c r="F24" s="31"/>
      <c r="G24" s="32" t="s">
        <v>28</v>
      </c>
      <c r="H24" s="31"/>
      <c r="I24" s="90" t="s">
        <v>16</v>
      </c>
      <c r="J24" s="88">
        <v>3633750</v>
      </c>
      <c r="L24" s="85" t="s">
        <v>16</v>
      </c>
      <c r="M24" s="105">
        <v>1310000</v>
      </c>
      <c r="O24" s="106" t="s">
        <v>18</v>
      </c>
      <c r="R24" s="99"/>
      <c r="S24" s="105"/>
    </row>
    <row r="25" ht="16.8" spans="1:19">
      <c r="A25" s="43"/>
      <c r="B25" s="29" t="s">
        <v>51</v>
      </c>
      <c r="C25" s="30" t="s">
        <v>16</v>
      </c>
      <c r="D25" s="31">
        <v>3663000</v>
      </c>
      <c r="E25" s="30" t="s">
        <v>16</v>
      </c>
      <c r="F25" s="31">
        <v>1998000</v>
      </c>
      <c r="G25" s="30" t="s">
        <v>16</v>
      </c>
      <c r="H25" s="31">
        <v>1665000</v>
      </c>
      <c r="I25" s="90" t="s">
        <v>16</v>
      </c>
      <c r="J25" s="88">
        <v>3552000</v>
      </c>
      <c r="L25" s="85" t="s">
        <v>16</v>
      </c>
      <c r="M25" s="105">
        <v>2220000</v>
      </c>
      <c r="O25" s="106" t="s">
        <v>18</v>
      </c>
      <c r="R25" s="99"/>
      <c r="S25" s="105"/>
    </row>
    <row r="26" ht="16.8" spans="1:19">
      <c r="A26" s="43"/>
      <c r="B26" s="44" t="s">
        <v>52</v>
      </c>
      <c r="C26" s="30" t="s">
        <v>16</v>
      </c>
      <c r="D26" s="31">
        <v>2410000</v>
      </c>
      <c r="E26" s="32" t="s">
        <v>28</v>
      </c>
      <c r="F26" s="31"/>
      <c r="G26" s="30" t="s">
        <v>16</v>
      </c>
      <c r="H26" s="31">
        <v>2110000</v>
      </c>
      <c r="I26" s="85" t="s">
        <v>16</v>
      </c>
      <c r="J26" s="88">
        <v>12065000</v>
      </c>
      <c r="L26" s="85" t="s">
        <v>16</v>
      </c>
      <c r="M26" s="105">
        <v>5650000</v>
      </c>
      <c r="O26" s="106" t="s">
        <v>18</v>
      </c>
      <c r="R26" s="99"/>
      <c r="S26" s="105"/>
    </row>
    <row r="27" ht="16.8" spans="1:19">
      <c r="A27" s="43"/>
      <c r="B27" s="44" t="s">
        <v>53</v>
      </c>
      <c r="C27" s="30" t="s">
        <v>16</v>
      </c>
      <c r="D27" s="31">
        <v>2447502</v>
      </c>
      <c r="E27" s="30" t="s">
        <v>16</v>
      </c>
      <c r="F27" s="31">
        <v>1312502</v>
      </c>
      <c r="G27" s="30" t="s">
        <v>16</v>
      </c>
      <c r="H27" s="31">
        <v>1750003</v>
      </c>
      <c r="I27" s="90" t="s">
        <v>16</v>
      </c>
      <c r="J27" s="88">
        <v>1837503</v>
      </c>
      <c r="L27" s="85" t="s">
        <v>16</v>
      </c>
      <c r="M27" s="105">
        <v>2450005.32</v>
      </c>
      <c r="O27" s="106" t="s">
        <v>18</v>
      </c>
      <c r="R27" s="99"/>
      <c r="S27" s="105"/>
    </row>
    <row r="28" ht="16.8" spans="1:19">
      <c r="A28" s="43"/>
      <c r="B28" s="29" t="s">
        <v>54</v>
      </c>
      <c r="C28" s="32" t="s">
        <v>28</v>
      </c>
      <c r="D28" s="31"/>
      <c r="E28" s="30" t="s">
        <v>16</v>
      </c>
      <c r="F28" s="31">
        <v>2280000</v>
      </c>
      <c r="G28" s="32" t="s">
        <v>28</v>
      </c>
      <c r="H28" s="31"/>
      <c r="I28" s="91" t="s">
        <v>28</v>
      </c>
      <c r="J28" s="88"/>
      <c r="L28" s="91" t="s">
        <v>28</v>
      </c>
      <c r="M28" s="105">
        <v>0</v>
      </c>
      <c r="R28" s="91"/>
      <c r="S28" s="105"/>
    </row>
    <row r="29" ht="16.8" spans="1:19">
      <c r="A29" s="43"/>
      <c r="B29" s="29" t="s">
        <v>55</v>
      </c>
      <c r="C29" s="30" t="s">
        <v>16</v>
      </c>
      <c r="D29" s="31">
        <v>4760036</v>
      </c>
      <c r="E29" s="30" t="s">
        <v>16</v>
      </c>
      <c r="F29" s="31">
        <v>4760036</v>
      </c>
      <c r="G29" s="30" t="s">
        <v>16</v>
      </c>
      <c r="H29" s="31">
        <v>1190009</v>
      </c>
      <c r="I29" s="90" t="s">
        <v>16</v>
      </c>
      <c r="J29" s="88">
        <v>2380013</v>
      </c>
      <c r="L29" s="85" t="s">
        <v>16</v>
      </c>
      <c r="M29" s="105">
        <v>2380000.0176</v>
      </c>
      <c r="O29" s="106" t="s">
        <v>18</v>
      </c>
      <c r="R29" s="99"/>
      <c r="S29" s="105"/>
    </row>
    <row r="30" ht="16.8" customHeight="1" spans="1:19">
      <c r="A30" s="43"/>
      <c r="B30" s="45" t="s">
        <v>56</v>
      </c>
      <c r="C30" s="30" t="s">
        <v>16</v>
      </c>
      <c r="D30" s="31">
        <v>5600000</v>
      </c>
      <c r="E30" s="30" t="s">
        <v>16</v>
      </c>
      <c r="F30" s="31">
        <v>5600000</v>
      </c>
      <c r="G30" s="30" t="s">
        <v>16</v>
      </c>
      <c r="H30" s="31">
        <v>5600000</v>
      </c>
      <c r="I30" s="90" t="s">
        <v>16</v>
      </c>
      <c r="J30" s="88">
        <v>5600000</v>
      </c>
      <c r="L30" s="85" t="s">
        <v>16</v>
      </c>
      <c r="M30" s="105">
        <v>5600000</v>
      </c>
      <c r="N30" s="8">
        <v>46036</v>
      </c>
      <c r="O30" s="106" t="s">
        <v>18</v>
      </c>
      <c r="R30" s="92"/>
      <c r="S30" s="105"/>
    </row>
    <row r="31" ht="16.8" spans="1:19">
      <c r="A31" s="43"/>
      <c r="B31" s="46" t="s">
        <v>57</v>
      </c>
      <c r="C31" s="30"/>
      <c r="D31" s="31"/>
      <c r="E31" s="30"/>
      <c r="F31" s="31"/>
      <c r="G31" s="30"/>
      <c r="H31" s="31"/>
      <c r="I31" s="90"/>
      <c r="J31" s="88"/>
      <c r="L31" s="85" t="s">
        <v>16</v>
      </c>
      <c r="M31" s="105">
        <v>350000</v>
      </c>
      <c r="O31" s="106"/>
      <c r="R31" s="92"/>
      <c r="S31" s="105"/>
    </row>
    <row r="32" ht="16.8" spans="1:19">
      <c r="A32" s="43"/>
      <c r="B32" s="29" t="s">
        <v>58</v>
      </c>
      <c r="C32" s="30" t="s">
        <v>16</v>
      </c>
      <c r="D32" s="31">
        <v>1225000</v>
      </c>
      <c r="E32" s="30" t="s">
        <v>16</v>
      </c>
      <c r="F32" s="31">
        <v>915750</v>
      </c>
      <c r="G32" s="30" t="s">
        <v>16</v>
      </c>
      <c r="H32" s="31">
        <v>600000</v>
      </c>
      <c r="I32" s="90" t="s">
        <v>16</v>
      </c>
      <c r="J32" s="88">
        <v>915750</v>
      </c>
      <c r="L32" s="85" t="s">
        <v>16</v>
      </c>
      <c r="M32" s="105">
        <v>1010500</v>
      </c>
      <c r="O32" s="106" t="s">
        <v>18</v>
      </c>
      <c r="R32" s="99"/>
      <c r="S32" s="105"/>
    </row>
    <row r="33" ht="16.8" spans="1:19">
      <c r="A33" s="43"/>
      <c r="B33" s="29" t="s">
        <v>59</v>
      </c>
      <c r="C33" s="47" t="s">
        <v>28</v>
      </c>
      <c r="D33" s="31"/>
      <c r="E33" s="32" t="s">
        <v>28</v>
      </c>
      <c r="F33" s="31"/>
      <c r="G33" s="32" t="s">
        <v>28</v>
      </c>
      <c r="H33" s="31"/>
      <c r="I33" s="91" t="s">
        <v>28</v>
      </c>
      <c r="J33" s="88"/>
      <c r="L33" s="91" t="s">
        <v>28</v>
      </c>
      <c r="M33" s="105">
        <v>0</v>
      </c>
      <c r="R33" s="91"/>
      <c r="S33" s="105"/>
    </row>
    <row r="34" ht="16.8" spans="1:19">
      <c r="A34" s="43"/>
      <c r="B34" s="29" t="s">
        <v>60</v>
      </c>
      <c r="C34" s="30" t="s">
        <v>16</v>
      </c>
      <c r="D34" s="31">
        <v>3948000</v>
      </c>
      <c r="E34" s="32" t="s">
        <v>28</v>
      </c>
      <c r="F34" s="31"/>
      <c r="G34" s="32" t="s">
        <v>28</v>
      </c>
      <c r="H34" s="31"/>
      <c r="I34" s="91" t="s">
        <v>28</v>
      </c>
      <c r="J34" s="88"/>
      <c r="L34" s="85" t="s">
        <v>16</v>
      </c>
      <c r="M34" s="105">
        <v>5628000</v>
      </c>
      <c r="O34" s="106" t="s">
        <v>18</v>
      </c>
      <c r="R34" s="99" t="s">
        <v>61</v>
      </c>
      <c r="S34" s="105">
        <v>1229000</v>
      </c>
    </row>
    <row r="35" ht="16.8" spans="1:19">
      <c r="A35" s="43"/>
      <c r="B35" s="29" t="s">
        <v>62</v>
      </c>
      <c r="C35" s="47" t="s">
        <v>28</v>
      </c>
      <c r="D35" s="31"/>
      <c r="E35" s="32" t="s">
        <v>28</v>
      </c>
      <c r="F35" s="31"/>
      <c r="G35" s="32" t="s">
        <v>28</v>
      </c>
      <c r="H35" s="31"/>
      <c r="I35" s="90" t="s">
        <v>16</v>
      </c>
      <c r="J35" s="88">
        <v>975300</v>
      </c>
      <c r="L35" s="85" t="s">
        <v>16</v>
      </c>
      <c r="M35" s="105">
        <v>487650</v>
      </c>
      <c r="O35" s="106" t="s">
        <v>18</v>
      </c>
      <c r="R35" s="99"/>
      <c r="S35" s="105"/>
    </row>
    <row r="36" ht="16.8" spans="1:19">
      <c r="A36" s="43"/>
      <c r="B36" s="29" t="s">
        <v>63</v>
      </c>
      <c r="C36" s="47" t="s">
        <v>28</v>
      </c>
      <c r="D36" s="31"/>
      <c r="E36" s="32" t="s">
        <v>28</v>
      </c>
      <c r="F36" s="31"/>
      <c r="G36" s="32" t="s">
        <v>28</v>
      </c>
      <c r="H36" s="31"/>
      <c r="I36" s="90" t="s">
        <v>16</v>
      </c>
      <c r="J36" s="88">
        <v>1600000</v>
      </c>
      <c r="L36" s="91" t="s">
        <v>28</v>
      </c>
      <c r="M36" s="105">
        <v>0</v>
      </c>
      <c r="O36" s="107"/>
      <c r="R36" s="91"/>
      <c r="S36" s="105"/>
    </row>
    <row r="37" ht="17.55" spans="1:19">
      <c r="A37" s="43"/>
      <c r="B37" s="35" t="s">
        <v>64</v>
      </c>
      <c r="C37" s="48"/>
      <c r="D37" s="49"/>
      <c r="E37" s="48"/>
      <c r="F37" s="49"/>
      <c r="G37" s="48"/>
      <c r="H37" s="72"/>
      <c r="I37" s="90" t="s">
        <v>16</v>
      </c>
      <c r="J37" s="88">
        <v>1198800</v>
      </c>
      <c r="L37" s="85" t="s">
        <v>16</v>
      </c>
      <c r="M37" s="98">
        <v>1198800</v>
      </c>
      <c r="N37" s="9">
        <v>46051</v>
      </c>
      <c r="O37" s="106" t="s">
        <v>18</v>
      </c>
      <c r="R37" s="99"/>
      <c r="S37" s="98"/>
    </row>
    <row r="38" ht="17.55" spans="1:19">
      <c r="A38" s="50" t="s">
        <v>65</v>
      </c>
      <c r="B38" s="51" t="s">
        <v>66</v>
      </c>
      <c r="C38" s="25" t="s">
        <v>16</v>
      </c>
      <c r="D38" s="26">
        <v>4897000</v>
      </c>
      <c r="E38" s="25" t="s">
        <v>16</v>
      </c>
      <c r="F38" s="26">
        <v>8368100</v>
      </c>
      <c r="G38" s="25" t="s">
        <v>16</v>
      </c>
      <c r="H38" s="26">
        <v>4047600</v>
      </c>
      <c r="I38" s="96" t="s">
        <v>16</v>
      </c>
      <c r="J38" s="88">
        <v>1897000</v>
      </c>
      <c r="L38" s="85" t="s">
        <v>16</v>
      </c>
      <c r="M38" s="105">
        <v>267000</v>
      </c>
      <c r="N38" s="9" t="s">
        <v>24</v>
      </c>
      <c r="O38" s="106" t="s">
        <v>18</v>
      </c>
      <c r="R38" s="99"/>
      <c r="S38" s="105"/>
    </row>
    <row r="39" ht="16.8" spans="1:19">
      <c r="A39" s="23"/>
      <c r="B39" s="29" t="s">
        <v>67</v>
      </c>
      <c r="C39" s="30" t="s">
        <v>16</v>
      </c>
      <c r="D39" s="31">
        <v>4375000</v>
      </c>
      <c r="E39" s="73" t="s">
        <v>16</v>
      </c>
      <c r="F39" s="31">
        <v>4715000</v>
      </c>
      <c r="G39" s="30" t="s">
        <v>16</v>
      </c>
      <c r="H39" s="31">
        <v>2585000</v>
      </c>
      <c r="I39" s="90" t="s">
        <v>16</v>
      </c>
      <c r="J39" s="88">
        <v>27100000</v>
      </c>
      <c r="L39" s="85" t="s">
        <v>16</v>
      </c>
      <c r="M39" s="105">
        <v>6099000</v>
      </c>
      <c r="N39" s="9" t="s">
        <v>24</v>
      </c>
      <c r="O39" s="106" t="s">
        <v>18</v>
      </c>
      <c r="R39" s="99"/>
      <c r="S39" s="105"/>
    </row>
    <row r="40" ht="16.8" spans="1:19">
      <c r="A40" s="23"/>
      <c r="B40" s="29" t="s">
        <v>68</v>
      </c>
      <c r="C40" s="30" t="s">
        <v>16</v>
      </c>
      <c r="D40" s="31">
        <v>1007480.64</v>
      </c>
      <c r="E40" s="30" t="s">
        <v>16</v>
      </c>
      <c r="F40" s="31">
        <v>638483</v>
      </c>
      <c r="G40" s="52" t="s">
        <v>16</v>
      </c>
      <c r="H40" s="31">
        <v>269482</v>
      </c>
      <c r="I40" s="91" t="s">
        <v>28</v>
      </c>
      <c r="J40" s="88"/>
      <c r="L40" s="85" t="s">
        <v>16</v>
      </c>
      <c r="M40" s="105">
        <v>1212671.36216</v>
      </c>
      <c r="O40" s="106" t="s">
        <v>18</v>
      </c>
      <c r="R40" s="99"/>
      <c r="S40" s="105"/>
    </row>
    <row r="41" ht="16.8" spans="1:19">
      <c r="A41" s="34"/>
      <c r="B41" s="46" t="s">
        <v>69</v>
      </c>
      <c r="C41" s="52" t="s">
        <v>16</v>
      </c>
      <c r="D41" s="37">
        <v>1168000</v>
      </c>
      <c r="E41" s="52" t="s">
        <v>16</v>
      </c>
      <c r="F41" s="37">
        <v>893000</v>
      </c>
      <c r="G41" s="52" t="s">
        <v>16</v>
      </c>
      <c r="H41" s="37">
        <v>847000</v>
      </c>
      <c r="I41" s="90" t="s">
        <v>16</v>
      </c>
      <c r="J41" s="88">
        <v>944000</v>
      </c>
      <c r="L41" s="85" t="s">
        <v>16</v>
      </c>
      <c r="M41" s="105">
        <v>1441000</v>
      </c>
      <c r="N41" s="9">
        <v>46058</v>
      </c>
      <c r="O41" s="106" t="s">
        <v>18</v>
      </c>
      <c r="R41" s="99"/>
      <c r="S41" s="105"/>
    </row>
    <row r="42" ht="18.35" spans="1:19">
      <c r="A42" s="53"/>
      <c r="B42" s="29" t="s">
        <v>70</v>
      </c>
      <c r="C42" s="30" t="s">
        <v>16</v>
      </c>
      <c r="D42" s="31"/>
      <c r="E42" s="52" t="s">
        <v>16</v>
      </c>
      <c r="F42" s="31">
        <v>1525000</v>
      </c>
      <c r="G42" s="30" t="s">
        <v>16</v>
      </c>
      <c r="H42" s="31">
        <v>995000</v>
      </c>
      <c r="I42" s="90" t="s">
        <v>16</v>
      </c>
      <c r="J42" s="88">
        <v>2855000</v>
      </c>
      <c r="L42" s="85" t="s">
        <v>16</v>
      </c>
      <c r="M42" s="105">
        <v>1425000</v>
      </c>
      <c r="N42" s="9" t="s">
        <v>24</v>
      </c>
      <c r="O42" s="106" t="s">
        <v>18</v>
      </c>
      <c r="R42" s="99"/>
      <c r="S42" s="105"/>
    </row>
    <row r="43" ht="16.8" spans="1:19">
      <c r="A43" s="54" t="s">
        <v>71</v>
      </c>
      <c r="B43" s="51" t="s">
        <v>72</v>
      </c>
      <c r="C43" s="55"/>
      <c r="D43" s="56"/>
      <c r="E43" s="73" t="s">
        <v>16</v>
      </c>
      <c r="F43" s="74">
        <v>1020000</v>
      </c>
      <c r="G43" s="56"/>
      <c r="H43" s="75"/>
      <c r="I43" s="97"/>
      <c r="J43" s="98"/>
      <c r="L43" s="99"/>
      <c r="M43" s="105"/>
      <c r="R43" s="99"/>
      <c r="S43" s="105"/>
    </row>
    <row r="44" ht="16.8" spans="1:22">
      <c r="A44" s="57"/>
      <c r="B44" s="29" t="s">
        <v>73</v>
      </c>
      <c r="C44" s="48"/>
      <c r="D44" s="58"/>
      <c r="E44" s="30" t="s">
        <v>16</v>
      </c>
      <c r="F44" s="31">
        <v>1350000</v>
      </c>
      <c r="G44" s="30" t="s">
        <v>16</v>
      </c>
      <c r="H44" s="49">
        <v>1800000</v>
      </c>
      <c r="I44" s="85" t="s">
        <v>16</v>
      </c>
      <c r="J44" s="98">
        <v>1850000</v>
      </c>
      <c r="L44" s="99"/>
      <c r="M44" s="105"/>
      <c r="O44" s="113" t="str">
        <f>"TOTAL "&amp;L1&amp;"'S BILLS"</f>
        <v>TOTAL JANUARY'S BILLS</v>
      </c>
      <c r="P44" s="113"/>
      <c r="R44" s="99" t="s">
        <v>36</v>
      </c>
      <c r="S44" s="105">
        <v>600000</v>
      </c>
      <c r="U44" s="113" t="str">
        <f>"TOTAL "&amp;R1&amp;"'S BILLS"</f>
        <v>TOTAL FEBRUARY'S BILLS</v>
      </c>
      <c r="V44" s="113"/>
    </row>
    <row r="45" ht="16.8" spans="1:22">
      <c r="A45" s="57"/>
      <c r="B45" s="29" t="s">
        <v>74</v>
      </c>
      <c r="C45" s="48"/>
      <c r="D45" s="58"/>
      <c r="E45" s="30" t="s">
        <v>16</v>
      </c>
      <c r="F45" s="31">
        <v>600000</v>
      </c>
      <c r="G45" s="58"/>
      <c r="H45" s="49"/>
      <c r="I45" s="100"/>
      <c r="J45" s="98"/>
      <c r="L45" s="85" t="s">
        <v>16</v>
      </c>
      <c r="M45" s="98">
        <v>200000</v>
      </c>
      <c r="O45" s="114">
        <f>SUM(M:M)</f>
        <v>289360757.69976</v>
      </c>
      <c r="P45" s="115" t="s">
        <v>75</v>
      </c>
      <c r="R45" s="99"/>
      <c r="S45" s="98"/>
      <c r="U45" s="114">
        <f>SUM(S:S)</f>
        <v>19246354</v>
      </c>
      <c r="V45" s="115" t="s">
        <v>75</v>
      </c>
    </row>
    <row r="46" ht="16.8" spans="1:22">
      <c r="A46" s="57"/>
      <c r="B46" s="29" t="s">
        <v>76</v>
      </c>
      <c r="C46" s="48"/>
      <c r="D46" s="58"/>
      <c r="E46" s="30" t="s">
        <v>16</v>
      </c>
      <c r="F46" s="31">
        <v>318134</v>
      </c>
      <c r="G46" s="58"/>
      <c r="H46" s="49"/>
      <c r="I46" s="100"/>
      <c r="J46" s="98"/>
      <c r="L46" s="99"/>
      <c r="M46" s="105"/>
      <c r="N46" s="4"/>
      <c r="O46" s="116">
        <f>SUMIFS(M:M,L:L,"PAID*")</f>
        <v>237484257.69976</v>
      </c>
      <c r="P46" s="117" t="s">
        <v>16</v>
      </c>
      <c r="R46" s="99"/>
      <c r="S46" s="105"/>
      <c r="U46" s="116">
        <f>SUMIFS(S:S,R:R,"PAID*")</f>
        <v>16843154</v>
      </c>
      <c r="V46" s="117" t="s">
        <v>16</v>
      </c>
    </row>
    <row r="47" ht="16.8" spans="1:22">
      <c r="A47" s="57"/>
      <c r="B47" s="29" t="s">
        <v>77</v>
      </c>
      <c r="C47" s="48"/>
      <c r="D47" s="58"/>
      <c r="E47" s="30" t="s">
        <v>16</v>
      </c>
      <c r="F47" s="31">
        <v>248700</v>
      </c>
      <c r="G47" s="58"/>
      <c r="H47" s="49"/>
      <c r="I47" s="100"/>
      <c r="J47" s="98"/>
      <c r="L47" s="99"/>
      <c r="M47" s="105"/>
      <c r="O47" s="118">
        <f>O45-O46</f>
        <v>51876500</v>
      </c>
      <c r="P47" s="119" t="s">
        <v>78</v>
      </c>
      <c r="R47" s="99"/>
      <c r="S47" s="105"/>
      <c r="U47" s="118">
        <f>U45-U46</f>
        <v>2403200</v>
      </c>
      <c r="V47" s="119" t="s">
        <v>78</v>
      </c>
    </row>
    <row r="48" ht="16.8" spans="1:19">
      <c r="A48" s="57"/>
      <c r="B48" s="29" t="s">
        <v>79</v>
      </c>
      <c r="C48" s="48"/>
      <c r="D48" s="58"/>
      <c r="E48" s="30" t="s">
        <v>16</v>
      </c>
      <c r="F48" s="31">
        <v>1029180</v>
      </c>
      <c r="G48" s="58"/>
      <c r="H48" s="49"/>
      <c r="I48" s="100"/>
      <c r="J48" s="98"/>
      <c r="L48" s="99"/>
      <c r="M48" s="105"/>
      <c r="R48" s="99"/>
      <c r="S48" s="105"/>
    </row>
    <row r="49" ht="16.8" spans="1:19">
      <c r="A49" s="57"/>
      <c r="B49" s="29" t="s">
        <v>80</v>
      </c>
      <c r="C49" s="48"/>
      <c r="D49" s="58"/>
      <c r="E49" s="30" t="s">
        <v>16</v>
      </c>
      <c r="F49" s="31">
        <v>270000</v>
      </c>
      <c r="G49" s="58"/>
      <c r="H49" s="49"/>
      <c r="I49" s="100"/>
      <c r="J49" s="98"/>
      <c r="L49" s="99"/>
      <c r="M49" s="105"/>
      <c r="R49" s="99"/>
      <c r="S49" s="105"/>
    </row>
    <row r="50" ht="16.8" spans="1:19">
      <c r="A50" s="57"/>
      <c r="B50" s="29" t="s">
        <v>81</v>
      </c>
      <c r="C50" s="48"/>
      <c r="D50" s="58"/>
      <c r="E50" s="30" t="s">
        <v>16</v>
      </c>
      <c r="F50" s="31">
        <v>1000000</v>
      </c>
      <c r="G50" s="58"/>
      <c r="H50" s="49"/>
      <c r="I50" s="100"/>
      <c r="J50" s="98"/>
      <c r="L50" s="99"/>
      <c r="M50" s="105"/>
      <c r="R50" s="99"/>
      <c r="S50" s="105"/>
    </row>
    <row r="51" ht="16.8" spans="1:19">
      <c r="A51" s="57"/>
      <c r="B51" s="29" t="s">
        <v>82</v>
      </c>
      <c r="C51" s="48"/>
      <c r="D51" s="58"/>
      <c r="E51" s="30" t="s">
        <v>16</v>
      </c>
      <c r="F51" s="31">
        <v>3000000</v>
      </c>
      <c r="G51" s="58"/>
      <c r="H51" s="49"/>
      <c r="I51" s="100"/>
      <c r="J51" s="98"/>
      <c r="L51" s="99"/>
      <c r="M51" s="105"/>
      <c r="R51" s="99"/>
      <c r="S51" s="105"/>
    </row>
    <row r="52" ht="16.8" spans="1:19">
      <c r="A52" s="57"/>
      <c r="B52" s="29" t="s">
        <v>83</v>
      </c>
      <c r="C52" s="48"/>
      <c r="D52" s="58"/>
      <c r="E52" s="30" t="s">
        <v>16</v>
      </c>
      <c r="F52" s="31">
        <v>1800000</v>
      </c>
      <c r="G52" s="58"/>
      <c r="H52" s="49"/>
      <c r="I52" s="100"/>
      <c r="J52" s="98"/>
      <c r="L52" s="99"/>
      <c r="M52" s="105"/>
      <c r="R52" s="99"/>
      <c r="S52" s="105"/>
    </row>
    <row r="53" ht="16.8" spans="1:19">
      <c r="A53" s="57"/>
      <c r="B53" s="29" t="s">
        <v>84</v>
      </c>
      <c r="C53" s="59"/>
      <c r="D53" s="60"/>
      <c r="E53" s="59"/>
      <c r="F53" s="76"/>
      <c r="G53" s="30" t="s">
        <v>16</v>
      </c>
      <c r="H53" s="76">
        <v>2450000</v>
      </c>
      <c r="I53" s="100"/>
      <c r="J53" s="98"/>
      <c r="L53" s="99"/>
      <c r="M53" s="105"/>
      <c r="R53" s="99"/>
      <c r="S53" s="105"/>
    </row>
    <row r="54" ht="16.8" spans="1:19">
      <c r="A54" s="57"/>
      <c r="B54" s="29" t="s">
        <v>85</v>
      </c>
      <c r="C54" s="59"/>
      <c r="D54" s="60"/>
      <c r="E54" s="59"/>
      <c r="F54" s="76"/>
      <c r="G54" s="60"/>
      <c r="H54" s="76"/>
      <c r="I54" s="85" t="s">
        <v>16</v>
      </c>
      <c r="J54" s="98">
        <v>860800</v>
      </c>
      <c r="L54" s="99"/>
      <c r="M54" s="105"/>
      <c r="R54" s="99"/>
      <c r="S54" s="105"/>
    </row>
    <row r="55" ht="16.8" spans="1:19">
      <c r="A55" s="57"/>
      <c r="B55" s="46" t="s">
        <v>86</v>
      </c>
      <c r="C55" s="61"/>
      <c r="D55" s="62"/>
      <c r="E55" s="61"/>
      <c r="F55" s="77"/>
      <c r="G55" s="62"/>
      <c r="H55" s="77"/>
      <c r="I55" s="90" t="s">
        <v>16</v>
      </c>
      <c r="J55" s="98">
        <v>1046500</v>
      </c>
      <c r="L55" s="99"/>
      <c r="M55" s="105"/>
      <c r="R55" s="99"/>
      <c r="S55" s="105"/>
    </row>
    <row r="56" ht="16.8" spans="1:19">
      <c r="A56" s="57"/>
      <c r="B56" s="46" t="s">
        <v>87</v>
      </c>
      <c r="C56" s="61"/>
      <c r="D56" s="62"/>
      <c r="E56" s="61"/>
      <c r="F56" s="77"/>
      <c r="G56" s="62"/>
      <c r="H56" s="77"/>
      <c r="I56" s="90" t="s">
        <v>16</v>
      </c>
      <c r="J56" s="101">
        <v>1159924</v>
      </c>
      <c r="L56" s="99"/>
      <c r="M56" s="105"/>
      <c r="R56" s="99"/>
      <c r="S56" s="105"/>
    </row>
    <row r="57" ht="16.8" spans="1:19">
      <c r="A57" s="57"/>
      <c r="B57" s="46" t="s">
        <v>88</v>
      </c>
      <c r="C57" s="61"/>
      <c r="D57" s="62"/>
      <c r="E57" s="61"/>
      <c r="F57" s="77"/>
      <c r="G57" s="62"/>
      <c r="H57" s="77"/>
      <c r="I57" s="92"/>
      <c r="J57" s="101"/>
      <c r="L57" s="85" t="s">
        <v>16</v>
      </c>
      <c r="M57" s="105">
        <v>1159924</v>
      </c>
      <c r="R57" s="99"/>
      <c r="S57" s="105"/>
    </row>
    <row r="58" ht="18" customHeight="1" spans="1:19">
      <c r="A58" s="57"/>
      <c r="B58" s="63" t="s">
        <v>89</v>
      </c>
      <c r="C58" s="61"/>
      <c r="D58" s="62"/>
      <c r="E58" s="61"/>
      <c r="F58" s="77"/>
      <c r="G58" s="62"/>
      <c r="H58" s="77"/>
      <c r="I58" s="92"/>
      <c r="J58" s="101"/>
      <c r="L58" s="99"/>
      <c r="M58" s="105"/>
      <c r="R58" s="85" t="s">
        <v>16</v>
      </c>
      <c r="S58" s="105">
        <v>1426248</v>
      </c>
    </row>
    <row r="59" ht="16.8" spans="1:19">
      <c r="A59" s="57"/>
      <c r="B59" s="46" t="s">
        <v>90</v>
      </c>
      <c r="C59" s="61"/>
      <c r="D59" s="62"/>
      <c r="E59" s="61"/>
      <c r="F59" s="77"/>
      <c r="G59" s="62"/>
      <c r="H59" s="77"/>
      <c r="I59" s="92"/>
      <c r="J59" s="101"/>
      <c r="L59" s="99"/>
      <c r="M59" s="105"/>
      <c r="R59" s="85" t="s">
        <v>16</v>
      </c>
      <c r="S59" s="105">
        <v>3853306</v>
      </c>
    </row>
    <row r="60" ht="16.8" spans="1:19">
      <c r="A60" s="57"/>
      <c r="B60" s="46" t="s">
        <v>91</v>
      </c>
      <c r="C60" s="61"/>
      <c r="D60" s="62"/>
      <c r="E60" s="61"/>
      <c r="F60" s="77"/>
      <c r="G60" s="62"/>
      <c r="H60" s="77"/>
      <c r="I60" s="92"/>
      <c r="J60" s="101"/>
      <c r="L60" s="99"/>
      <c r="M60" s="105"/>
      <c r="R60" s="85" t="s">
        <v>16</v>
      </c>
      <c r="S60" s="105">
        <v>400000</v>
      </c>
    </row>
    <row r="61" ht="16.8" spans="1:19">
      <c r="A61" s="57"/>
      <c r="B61" s="46" t="s">
        <v>92</v>
      </c>
      <c r="C61" s="61"/>
      <c r="D61" s="62"/>
      <c r="E61" s="61"/>
      <c r="F61" s="77"/>
      <c r="G61" s="62"/>
      <c r="H61" s="77"/>
      <c r="I61" s="92"/>
      <c r="J61" s="101"/>
      <c r="L61" s="99"/>
      <c r="M61" s="105"/>
      <c r="R61" s="85" t="s">
        <v>16</v>
      </c>
      <c r="S61" s="105">
        <v>1000000</v>
      </c>
    </row>
    <row r="62" ht="16.8" spans="1:19">
      <c r="A62" s="57"/>
      <c r="B62" s="29" t="s">
        <v>93</v>
      </c>
      <c r="C62" s="59"/>
      <c r="D62" s="60"/>
      <c r="E62" s="59"/>
      <c r="F62" s="76"/>
      <c r="G62" s="60"/>
      <c r="H62" s="76"/>
      <c r="I62" s="90" t="s">
        <v>16</v>
      </c>
      <c r="J62" s="101">
        <v>600000</v>
      </c>
      <c r="L62" s="99"/>
      <c r="M62" s="105"/>
      <c r="R62" s="85" t="s">
        <v>16</v>
      </c>
      <c r="S62" s="105">
        <v>600000</v>
      </c>
    </row>
    <row r="63" spans="6:6">
      <c r="F63" s="5"/>
    </row>
    <row r="64" spans="1:6">
      <c r="A64" s="2" t="s">
        <v>94</v>
      </c>
      <c r="F64" s="5"/>
    </row>
    <row r="65" ht="16.8" spans="1:6">
      <c r="A65" s="47" t="s">
        <v>28</v>
      </c>
      <c r="B65" s="3" t="s">
        <v>95</v>
      </c>
      <c r="F65" s="5"/>
    </row>
    <row r="67" spans="1:2">
      <c r="A67" s="123" t="s">
        <v>96</v>
      </c>
      <c r="B67" s="3" t="s">
        <v>97</v>
      </c>
    </row>
  </sheetData>
  <mergeCells count="10">
    <mergeCell ref="O44:P44"/>
    <mergeCell ref="U44:V44"/>
    <mergeCell ref="A2:A19"/>
    <mergeCell ref="A20:A37"/>
    <mergeCell ref="A38:A41"/>
    <mergeCell ref="A43:A62"/>
    <mergeCell ref="B2:B3"/>
    <mergeCell ref="B16:B17"/>
    <mergeCell ref="O2:O3"/>
    <mergeCell ref="R2:R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SUPPLIER PAYMENT STATUS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2025-11-30T08:04:00Z</dcterms:created>
  <dcterms:modified xsi:type="dcterms:W3CDTF">2026-02-17T17:53:26Z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0C4B7F977C8A4B5194A725417380B6D8_11</vt:lpwstr>
  </property>
  <property fmtid="{D5CDD505-2E9C-101B-9397-08002B2CF9AE}" pid="3" name="KSOProductBuildVer">
    <vt:lpwstr>1033-12.1.23155.23155</vt:lpwstr>
  </property>
</Properties>
</file>