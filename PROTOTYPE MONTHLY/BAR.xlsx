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7020" firstSheet="17" activeTab="18"/>
  </bookViews>
  <sheets>
    <sheet name="BUK BUNGA BAR (Groceries)" sheetId="28" r:id="rId1"/>
    <sheet name="WARUNG EKA (Drinks, Etc)" sheetId="10" r:id="rId2"/>
    <sheet name="DEWATA COCONUT (Coconut)" sheetId="29" r:id="rId3"/>
    <sheet name="SEDANA JAYA" sheetId="43" r:id="rId4"/>
    <sheet name="PNB (Alcohol)" sheetId="4" r:id="rId5"/>
    <sheet name="DSP (Alcohol)" sheetId="5" r:id="rId6"/>
    <sheet name="DSP ARYA BIMA (Alcohol)" sheetId="40" r:id="rId7"/>
    <sheet name="SELERA OR STIR UP (Syrup)" sheetId="6" r:id="rId8"/>
    <sheet name="DW BALI (Alcohol)" sheetId="32" r:id="rId9"/>
    <sheet name="DDB (Alcohol)" sheetId="26" r:id="rId10"/>
    <sheet name="NANO DEWATA (Alcohol)" sheetId="42" r:id="rId11"/>
    <sheet name="BALI PERMATA JAYA (Corona Beer)" sheetId="37" r:id="rId12"/>
    <sheet name="BLACK COFFEE ROASTERS (Coffee)" sheetId="13" r:id="rId13"/>
    <sheet name="PT. PRASIDA LANTUR MAJU (Wine)" sheetId="33" r:id="rId14"/>
    <sheet name="PT LOVINA BEACH BREWERY" sheetId="38" r:id="rId15"/>
    <sheet name="CHAI CHITAI (Tea Leaf,etc)" sheetId="15" r:id="rId16"/>
    <sheet name="MULIA JAYA (Passion Fruit)" sheetId="39" r:id="rId17"/>
    <sheet name="Dewata Kencana Distribusi (Vdka" sheetId="41" r:id="rId18"/>
    <sheet name="TOTAL" sheetId="35" r:id="rId19"/>
  </sheets>
  <definedNames>
    <definedName name="_xlnm._FilterDatabase" localSheetId="1" hidden="1">'WARUNG EKA (Drinks, Etc)'!$A$1:$G$93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<sst xmlns="http://schemas.openxmlformats.org/spreadsheetml/2006/main" count="212" uniqueCount="45">
  <si>
    <t>DATE</t>
  </si>
  <si>
    <t>ITEM</t>
  </si>
  <si>
    <t>QYT</t>
  </si>
  <si>
    <t>PRICE</t>
  </si>
  <si>
    <t>SUB TOTAL</t>
  </si>
  <si>
    <t>TOTAL</t>
  </si>
  <si>
    <t>INV NO</t>
  </si>
  <si>
    <t>SUBTOTAL</t>
  </si>
  <si>
    <t>TOTALPRICE</t>
  </si>
  <si>
    <t>GRAND TOTAL</t>
  </si>
  <si>
    <t>INV NO.</t>
  </si>
  <si>
    <t>DESCRIPTIONS</t>
  </si>
  <si>
    <t>AMOUNT</t>
  </si>
  <si>
    <t>BILLS</t>
  </si>
  <si>
    <t>TOTAL PRICE</t>
  </si>
  <si>
    <t>QTY</t>
  </si>
  <si>
    <t>UNIT PRICE</t>
  </si>
  <si>
    <t>DISCOUNT</t>
  </si>
  <si>
    <t>BILL</t>
  </si>
  <si>
    <t>PPN (11%)</t>
  </si>
  <si>
    <t>PPN</t>
  </si>
  <si>
    <t>STATUS</t>
  </si>
  <si>
    <t>DUE DATE</t>
  </si>
  <si>
    <t>Total</t>
  </si>
  <si>
    <t>TAX</t>
  </si>
  <si>
    <t>NO</t>
  </si>
  <si>
    <t>SUPPLIER</t>
  </si>
  <si>
    <t>BUK BUNGA</t>
  </si>
  <si>
    <t>TOKO EKA WHOLESALE</t>
  </si>
  <si>
    <t>DEWATA COCONUT</t>
  </si>
  <si>
    <t>SEDANA JAYA</t>
  </si>
  <si>
    <t>PNB</t>
  </si>
  <si>
    <t>DSP</t>
  </si>
  <si>
    <t>DSP ARYA BIMA</t>
  </si>
  <si>
    <t>SELERA (SYRUP)</t>
  </si>
  <si>
    <t>DW BALI</t>
  </si>
  <si>
    <t>DDB</t>
  </si>
  <si>
    <t>NANO DEWATA</t>
  </si>
  <si>
    <t>BALI PERMATA JAYA</t>
  </si>
  <si>
    <t>BLACK COFFEE ROASTERY</t>
  </si>
  <si>
    <t>PRASIDA LANTUR MAJU</t>
  </si>
  <si>
    <t>PT. LOVINA BEACH BREWERY</t>
  </si>
  <si>
    <t>CHAI CHITAI</t>
  </si>
  <si>
    <t>MULIA JAYA</t>
  </si>
  <si>
    <t>DEWATA KENCANA DISTRIBUSI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</si>
</sst>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_-&quot;Rp&quot;* #,##0_-;\-&quot;Rp&quot;* #,##0_-;_-&quot;Rp&quot;* &quot;-&quot;??_-;_-@_-"/>
    <numFmt numFmtId="181" formatCode="[$-409]d\-mmm\-yyyy;@"/>
    <numFmt numFmtId="182" formatCode="_ [$IDR]\ * #,##0_ ;_ [$IDR]\ * \-#,##0_ ;_ [$IDR]\ * &quot;-&quot;_ ;_ @_ "/>
    <numFmt numFmtId="183" formatCode="[$Rp-421]#,##0.00;[Red][$Rp-421]#,##0.00"/>
    <numFmt numFmtId="184" formatCode="dd\-mmm"/>
    <numFmt numFmtId="185" formatCode="_-[$Rp-421]* #,##0_-;\-[$Rp-421]* #,##0_-;_-[$Rp-421]* &quot;-&quot;_-;_-@_-"/>
    <numFmt numFmtId="186" formatCode="[$-809]dd\ mmmm\ yyyy;@"/>
    <numFmt numFmtId="187" formatCode="[$Rp-421]#,##0;[Red][$Rp-421]#,##0"/>
  </numFmts>
  <fonts count="50">
    <font>
      <sz val="11"/>
      <color theme="1"/>
      <name val="Calibri"/>
      <charset val="134"/>
      <scheme val="minor"/>
    </font>
    <font>
      <sz val="14"/>
      <color theme="1"/>
      <name val="Garamond"/>
      <charset val="134"/>
    </font>
    <font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sz val="12"/>
      <color theme="1"/>
      <name val="Garamond"/>
      <charset val="134"/>
    </font>
    <font>
      <b/>
      <sz val="18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6"/>
      <color theme="1"/>
      <name val="Calibri"/>
      <charset val="134"/>
    </font>
    <font>
      <b/>
      <sz val="16"/>
      <color theme="1"/>
      <name val="Calibri"/>
      <charset val="134"/>
    </font>
    <font>
      <b/>
      <i/>
      <sz val="16"/>
      <color theme="1"/>
      <name val="Calibri"/>
      <charset val="134"/>
    </font>
    <font>
      <sz val="20"/>
      <color theme="1"/>
      <name val="Garamond"/>
      <charset val="134"/>
    </font>
    <font>
      <sz val="16"/>
      <color theme="1"/>
      <name val="Arial Narrow"/>
      <charset val="134"/>
    </font>
    <font>
      <sz val="18"/>
      <color theme="1"/>
      <name val="Cambria"/>
      <charset val="134"/>
    </font>
    <font>
      <sz val="20"/>
      <color theme="1"/>
      <name val="Calibri"/>
      <charset val="134"/>
      <scheme val="minor"/>
    </font>
    <font>
      <sz val="11"/>
      <color theme="1"/>
      <name val="Calibri"/>
      <charset val="134"/>
    </font>
    <font>
      <sz val="20"/>
      <color theme="1"/>
      <name val="Calibri"/>
      <charset val="134"/>
    </font>
    <font>
      <sz val="26"/>
      <color theme="1"/>
      <name val="Calibri"/>
      <charset val="134"/>
      <scheme val="minor"/>
    </font>
    <font>
      <sz val="18"/>
      <color theme="1"/>
      <name val="Cambria Math"/>
      <charset val="134"/>
    </font>
    <font>
      <b/>
      <sz val="14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1"/>
      <color theme="1"/>
      <name val="Cambria"/>
      <charset val="134"/>
    </font>
    <font>
      <sz val="12"/>
      <name val="Cambria"/>
      <charset val="134"/>
    </font>
    <font>
      <sz val="12"/>
      <color theme="1"/>
      <name val="Cambria"/>
      <charset val="134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10" borderId="14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1" borderId="17" applyNumberFormat="0" applyAlignment="0" applyProtection="0">
      <alignment vertical="center"/>
    </xf>
    <xf numFmtId="0" fontId="40" fillId="12" borderId="18" applyNumberFormat="0" applyAlignment="0" applyProtection="0">
      <alignment vertical="center"/>
    </xf>
    <xf numFmtId="0" fontId="41" fillId="12" borderId="17" applyNumberFormat="0" applyAlignment="0" applyProtection="0">
      <alignment vertical="center"/>
    </xf>
    <xf numFmtId="0" fontId="42" fillId="13" borderId="19" applyNumberFormat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</cellStyleXfs>
  <cellXfs count="28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180" fontId="0" fillId="4" borderId="2" xfId="0" applyNumberFormat="1" applyFill="1" applyBorder="1" applyAlignment="1">
      <alignment horizontal="left" vertical="center"/>
    </xf>
    <xf numFmtId="0" fontId="0" fillId="0" borderId="2" xfId="0" applyFill="1" applyBorder="1">
      <alignment vertical="center"/>
    </xf>
    <xf numFmtId="180" fontId="0" fillId="4" borderId="2" xfId="0" applyNumberFormat="1" applyFill="1" applyBorder="1" applyAlignment="1">
      <alignment horizontal="center" vertical="center"/>
    </xf>
    <xf numFmtId="180" fontId="0" fillId="4" borderId="2" xfId="0" applyNumberFormat="1" applyFill="1" applyBorder="1">
      <alignment vertical="center"/>
    </xf>
    <xf numFmtId="0" fontId="0" fillId="2" borderId="2" xfId="0" applyFill="1" applyBorder="1">
      <alignment vertical="center"/>
    </xf>
    <xf numFmtId="180" fontId="0" fillId="2" borderId="2" xfId="0" applyNumberFormat="1" applyFill="1" applyBorder="1">
      <alignment vertical="center"/>
    </xf>
    <xf numFmtId="0" fontId="0" fillId="0" borderId="0" xfId="0" applyNumberFormat="1">
      <alignment vertical="center"/>
    </xf>
    <xf numFmtId="0" fontId="1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81" fontId="2" fillId="4" borderId="2" xfId="0" applyNumberFormat="1" applyFont="1" applyFill="1" applyBorder="1">
      <alignment vertical="center"/>
    </xf>
    <xf numFmtId="180" fontId="2" fillId="4" borderId="2" xfId="0" applyNumberFormat="1" applyFont="1" applyFill="1" applyBorder="1" applyAlignment="1">
      <alignment horizontal="left" vertical="center" wrapText="1"/>
    </xf>
    <xf numFmtId="0" fontId="2" fillId="4" borderId="2" xfId="0" applyNumberFormat="1" applyFont="1" applyFill="1" applyBorder="1" applyAlignment="1">
      <alignment horizontal="center" vertical="center" wrapText="1"/>
    </xf>
    <xf numFmtId="0" fontId="0" fillId="4" borderId="2" xfId="0" applyFill="1" applyBorder="1">
      <alignment vertical="center"/>
    </xf>
    <xf numFmtId="0" fontId="0" fillId="4" borderId="3" xfId="0" applyNumberFormat="1" applyFill="1" applyBorder="1" applyAlignment="1">
      <alignment horizontal="center" vertical="center"/>
    </xf>
    <xf numFmtId="0" fontId="0" fillId="4" borderId="4" xfId="0" applyNumberFormat="1" applyFill="1" applyBorder="1" applyAlignment="1">
      <alignment horizontal="center" vertical="center"/>
    </xf>
    <xf numFmtId="0" fontId="0" fillId="4" borderId="5" xfId="0" applyNumberFormat="1" applyFill="1" applyBorder="1" applyAlignment="1">
      <alignment horizontal="center" vertical="center"/>
    </xf>
    <xf numFmtId="182" fontId="0" fillId="4" borderId="2" xfId="0" applyNumberFormat="1" applyFill="1" applyBorder="1">
      <alignment vertical="center"/>
    </xf>
    <xf numFmtId="180" fontId="0" fillId="4" borderId="3" xfId="0" applyNumberFormat="1" applyFill="1" applyBorder="1" applyAlignment="1">
      <alignment horizontal="center" vertical="center"/>
    </xf>
    <xf numFmtId="180" fontId="0" fillId="4" borderId="4" xfId="0" applyNumberFormat="1" applyFill="1" applyBorder="1" applyAlignment="1">
      <alignment horizontal="center" vertical="center"/>
    </xf>
    <xf numFmtId="180" fontId="0" fillId="4" borderId="5" xfId="0" applyNumberFormat="1" applyFill="1" applyBorder="1" applyAlignment="1">
      <alignment horizontal="center" vertical="center"/>
    </xf>
    <xf numFmtId="181" fontId="0" fillId="4" borderId="2" xfId="0" applyNumberFormat="1" applyFill="1" applyBorder="1" applyAlignment="1">
      <alignment horizontal="center" vertical="center"/>
    </xf>
    <xf numFmtId="180" fontId="3" fillId="4" borderId="2" xfId="0" applyNumberFormat="1" applyFont="1" applyFill="1" applyBorder="1" applyAlignment="1">
      <alignment horizontal="left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80" fontId="5" fillId="4" borderId="3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80" fontId="5" fillId="4" borderId="4" xfId="0" applyNumberFormat="1" applyFont="1" applyFill="1" applyBorder="1" applyAlignment="1">
      <alignment horizontal="center" vertical="center"/>
    </xf>
    <xf numFmtId="180" fontId="5" fillId="4" borderId="5" xfId="0" applyNumberFormat="1" applyFont="1" applyFill="1" applyBorder="1" applyAlignment="1">
      <alignment horizontal="center" vertical="center"/>
    </xf>
    <xf numFmtId="183" fontId="0" fillId="0" borderId="0" xfId="0" applyNumberFormat="1">
      <alignment vertical="center"/>
    </xf>
    <xf numFmtId="183" fontId="0" fillId="0" borderId="0" xfId="0" applyNumberFormat="1" applyAlignment="1">
      <alignment vertical="center"/>
    </xf>
    <xf numFmtId="0" fontId="6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81" fontId="0" fillId="4" borderId="1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180" fontId="0" fillId="4" borderId="2" xfId="0" applyNumberFormat="1" applyFill="1" applyBorder="1" applyAlignment="1">
      <alignment horizontal="center" vertical="center" wrapText="1"/>
    </xf>
    <xf numFmtId="0" fontId="0" fillId="4" borderId="2" xfId="0" applyNumberFormat="1" applyFill="1" applyBorder="1" applyAlignment="1">
      <alignment horizontal="center" vertical="center" wrapText="1"/>
    </xf>
    <xf numFmtId="181" fontId="0" fillId="4" borderId="6" xfId="0" applyNumberFormat="1" applyFill="1" applyBorder="1" applyAlignment="1">
      <alignment horizontal="center" vertical="center"/>
    </xf>
    <xf numFmtId="0" fontId="0" fillId="4" borderId="6" xfId="0" applyNumberFormat="1" applyFill="1" applyBorder="1" applyAlignment="1">
      <alignment horizontal="center" vertical="center"/>
    </xf>
    <xf numFmtId="180" fontId="0" fillId="4" borderId="1" xfId="0" applyNumberFormat="1" applyFill="1" applyBorder="1" applyAlignment="1">
      <alignment horizontal="center" vertical="center" wrapText="1"/>
    </xf>
    <xf numFmtId="181" fontId="7" fillId="4" borderId="2" xfId="0" applyNumberFormat="1" applyFont="1" applyFill="1" applyBorder="1" applyAlignment="1">
      <alignment horizontal="center" vertical="center"/>
    </xf>
    <xf numFmtId="0" fontId="0" fillId="4" borderId="4" xfId="0" applyNumberForma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181" fontId="0" fillId="4" borderId="2" xfId="0" applyNumberFormat="1" applyFont="1" applyFill="1" applyBorder="1" applyAlignment="1">
      <alignment horizontal="center" vertical="center"/>
    </xf>
    <xf numFmtId="0" fontId="0" fillId="4" borderId="2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83" fontId="6" fillId="5" borderId="2" xfId="0" applyNumberFormat="1" applyFont="1" applyFill="1" applyBorder="1" applyAlignment="1">
      <alignment horizontal="center" vertical="center"/>
    </xf>
    <xf numFmtId="183" fontId="6" fillId="5" borderId="2" xfId="0" applyNumberFormat="1" applyFont="1" applyFill="1" applyBorder="1" applyAlignment="1">
      <alignment vertical="center"/>
    </xf>
    <xf numFmtId="0" fontId="0" fillId="0" borderId="7" xfId="0" applyFill="1" applyBorder="1" applyAlignment="1">
      <alignment horizontal="center" vertical="center"/>
    </xf>
    <xf numFmtId="183" fontId="0" fillId="4" borderId="2" xfId="0" applyNumberFormat="1" applyFill="1" applyBorder="1" applyAlignment="1">
      <alignment horizontal="center" vertical="center"/>
    </xf>
    <xf numFmtId="183" fontId="0" fillId="4" borderId="2" xfId="0" applyNumberFormat="1" applyFill="1" applyBorder="1" applyAlignment="1">
      <alignment vertical="center"/>
    </xf>
    <xf numFmtId="183" fontId="0" fillId="4" borderId="1" xfId="0" applyNumberFormat="1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183" fontId="0" fillId="4" borderId="6" xfId="0" applyNumberFormat="1" applyFill="1" applyBorder="1" applyAlignment="1">
      <alignment vertical="center"/>
    </xf>
    <xf numFmtId="0" fontId="0" fillId="0" borderId="9" xfId="0" applyFill="1" applyBorder="1" applyAlignment="1">
      <alignment horizontal="center" vertical="center"/>
    </xf>
    <xf numFmtId="183" fontId="0" fillId="4" borderId="10" xfId="0" applyNumberFormat="1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183" fontId="8" fillId="4" borderId="2" xfId="0" applyNumberFormat="1" applyFont="1" applyFill="1" applyBorder="1" applyAlignment="1">
      <alignment horizontal="center" vertical="center"/>
    </xf>
    <xf numFmtId="183" fontId="8" fillId="4" borderId="2" xfId="0" applyNumberFormat="1" applyFont="1" applyFill="1" applyBorder="1" applyAlignment="1">
      <alignment vertical="center"/>
    </xf>
    <xf numFmtId="183" fontId="9" fillId="4" borderId="1" xfId="0" applyNumberFormat="1" applyFont="1" applyFill="1" applyBorder="1" applyAlignment="1">
      <alignment vertical="center"/>
    </xf>
    <xf numFmtId="183" fontId="0" fillId="4" borderId="1" xfId="0" applyNumberFormat="1" applyFont="1" applyFill="1" applyBorder="1" applyAlignment="1">
      <alignment vertical="center"/>
    </xf>
    <xf numFmtId="0" fontId="0" fillId="4" borderId="9" xfId="0" applyFill="1" applyBorder="1" applyAlignment="1">
      <alignment horizontal="center" vertical="center"/>
    </xf>
    <xf numFmtId="180" fontId="5" fillId="4" borderId="3" xfId="0" applyNumberFormat="1" applyFont="1" applyFill="1" applyBorder="1" applyAlignment="1">
      <alignment vertical="center"/>
    </xf>
    <xf numFmtId="183" fontId="5" fillId="4" borderId="4" xfId="0" applyNumberFormat="1" applyFont="1" applyFill="1" applyBorder="1" applyAlignment="1">
      <alignment vertical="center"/>
    </xf>
    <xf numFmtId="183" fontId="9" fillId="4" borderId="4" xfId="0" applyNumberFormat="1" applyFont="1" applyFill="1" applyBorder="1" applyAlignment="1">
      <alignment vertical="center"/>
    </xf>
    <xf numFmtId="182" fontId="5" fillId="4" borderId="3" xfId="0" applyNumberFormat="1" applyFont="1" applyFill="1" applyBorder="1" applyAlignment="1">
      <alignment horizontal="center" vertical="center"/>
    </xf>
    <xf numFmtId="183" fontId="5" fillId="4" borderId="4" xfId="0" applyNumberFormat="1" applyFont="1" applyFill="1" applyBorder="1" applyAlignment="1">
      <alignment horizontal="center" vertical="center"/>
    </xf>
    <xf numFmtId="183" fontId="9" fillId="4" borderId="2" xfId="0" applyNumberFormat="1" applyFont="1" applyFill="1" applyBorder="1" applyAlignment="1">
      <alignment vertical="center"/>
    </xf>
    <xf numFmtId="183" fontId="5" fillId="4" borderId="5" xfId="0" applyNumberFormat="1" applyFont="1" applyFill="1" applyBorder="1" applyAlignment="1">
      <alignment vertical="center"/>
    </xf>
    <xf numFmtId="181" fontId="0" fillId="4" borderId="2" xfId="0" applyNumberFormat="1" applyFill="1" applyBorder="1">
      <alignment vertical="center"/>
    </xf>
    <xf numFmtId="181" fontId="0" fillId="4" borderId="1" xfId="0" applyNumberFormat="1" applyFill="1" applyBorder="1" applyAlignment="1">
      <alignment vertical="center"/>
    </xf>
    <xf numFmtId="180" fontId="0" fillId="4" borderId="2" xfId="0" applyNumberFormat="1" applyFill="1" applyBorder="1" applyAlignment="1">
      <alignment horizontal="left" vertical="center" wrapText="1"/>
    </xf>
    <xf numFmtId="0" fontId="4" fillId="6" borderId="3" xfId="0" applyNumberFormat="1" applyFont="1" applyFill="1" applyBorder="1" applyAlignment="1">
      <alignment horizontal="center" vertical="center"/>
    </xf>
    <xf numFmtId="184" fontId="4" fillId="6" borderId="4" xfId="0" applyNumberFormat="1" applyFont="1" applyFill="1" applyBorder="1" applyAlignment="1">
      <alignment horizontal="center" vertical="center"/>
    </xf>
    <xf numFmtId="184" fontId="4" fillId="6" borderId="5" xfId="0" applyNumberFormat="1" applyFont="1" applyFill="1" applyBorder="1" applyAlignment="1">
      <alignment horizontal="center" vertical="center"/>
    </xf>
    <xf numFmtId="180" fontId="5" fillId="6" borderId="3" xfId="0" applyNumberFormat="1" applyFont="1" applyFill="1" applyBorder="1" applyAlignment="1">
      <alignment horizontal="center" vertical="center"/>
    </xf>
    <xf numFmtId="180" fontId="5" fillId="6" borderId="4" xfId="0" applyNumberFormat="1" applyFont="1" applyFill="1" applyBorder="1" applyAlignment="1">
      <alignment horizontal="center" vertical="center"/>
    </xf>
    <xf numFmtId="180" fontId="5" fillId="6" borderId="5" xfId="0" applyNumberFormat="1" applyFont="1" applyFill="1" applyBorder="1" applyAlignment="1">
      <alignment horizontal="center" vertical="center"/>
    </xf>
    <xf numFmtId="181" fontId="3" fillId="4" borderId="2" xfId="0" applyNumberFormat="1" applyFont="1" applyFill="1" applyBorder="1" applyAlignment="1">
      <alignment horizontal="center" vertical="center"/>
    </xf>
    <xf numFmtId="184" fontId="3" fillId="4" borderId="2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182" fontId="3" fillId="4" borderId="2" xfId="0" applyNumberFormat="1" applyFont="1" applyFill="1" applyBorder="1">
      <alignment vertical="center"/>
    </xf>
    <xf numFmtId="180" fontId="4" fillId="4" borderId="2" xfId="0" applyNumberFormat="1" applyFont="1" applyFill="1" applyBorder="1" applyAlignment="1">
      <alignment horizontal="center" vertical="center"/>
    </xf>
    <xf numFmtId="180" fontId="3" fillId="4" borderId="2" xfId="0" applyNumberFormat="1" applyFont="1" applyFill="1" applyBorder="1" applyAlignment="1">
      <alignment horizontal="center" vertical="center"/>
    </xf>
    <xf numFmtId="180" fontId="4" fillId="4" borderId="3" xfId="0" applyNumberFormat="1" applyFont="1" applyFill="1" applyBorder="1" applyAlignment="1">
      <alignment horizontal="center" vertical="center"/>
    </xf>
    <xf numFmtId="180" fontId="4" fillId="4" borderId="4" xfId="0" applyNumberFormat="1" applyFont="1" applyFill="1" applyBorder="1" applyAlignment="1">
      <alignment horizontal="center" vertical="center"/>
    </xf>
    <xf numFmtId="180" fontId="4" fillId="4" borderId="5" xfId="0" applyNumberFormat="1" applyFont="1" applyFill="1" applyBorder="1" applyAlignment="1">
      <alignment horizontal="center" vertical="center"/>
    </xf>
    <xf numFmtId="180" fontId="5" fillId="7" borderId="3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4" fontId="0" fillId="4" borderId="2" xfId="0" applyNumberForma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181" fontId="0" fillId="0" borderId="2" xfId="0" applyNumberFormat="1" applyBorder="1" applyAlignment="1">
      <alignment horizontal="center" vertical="center"/>
    </xf>
    <xf numFmtId="180" fontId="11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0" fontId="3" fillId="4" borderId="4" xfId="0" applyNumberFormat="1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4" xfId="0" applyNumberFormat="1" applyFont="1" applyFill="1" applyBorder="1" applyAlignment="1">
      <alignment horizontal="center" vertical="center"/>
    </xf>
    <xf numFmtId="58" fontId="0" fillId="4" borderId="2" xfId="0" applyNumberFormat="1" applyFont="1" applyFill="1" applyBorder="1" applyAlignment="1">
      <alignment horizontal="center" vertical="center"/>
    </xf>
    <xf numFmtId="183" fontId="0" fillId="4" borderId="2" xfId="0" applyNumberFormat="1" applyFill="1" applyBorder="1">
      <alignment vertical="center"/>
    </xf>
    <xf numFmtId="180" fontId="3" fillId="4" borderId="0" xfId="0" applyNumberFormat="1" applyFont="1" applyFill="1" applyBorder="1" applyAlignment="1">
      <alignment horizontal="center" vertical="center"/>
    </xf>
    <xf numFmtId="183" fontId="3" fillId="4" borderId="2" xfId="0" applyNumberFormat="1" applyFont="1" applyFill="1" applyBorder="1" applyAlignment="1">
      <alignment horizontal="center" vertical="center"/>
    </xf>
    <xf numFmtId="183" fontId="0" fillId="4" borderId="2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180" fontId="12" fillId="4" borderId="2" xfId="0" applyNumberFormat="1" applyFont="1" applyFill="1" applyBorder="1" applyAlignment="1">
      <alignment horizontal="center" vertical="center"/>
    </xf>
    <xf numFmtId="183" fontId="12" fillId="4" borderId="2" xfId="0" applyNumberFormat="1" applyFont="1" applyFill="1" applyBorder="1" applyAlignment="1">
      <alignment horizontal="center" vertical="center"/>
    </xf>
    <xf numFmtId="180" fontId="4" fillId="4" borderId="10" xfId="0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183" fontId="4" fillId="4" borderId="2" xfId="0" applyNumberFormat="1" applyFont="1" applyFill="1" applyBorder="1" applyAlignment="1">
      <alignment horizontal="center" vertical="center"/>
    </xf>
    <xf numFmtId="180" fontId="0" fillId="7" borderId="3" xfId="0" applyNumberFormat="1" applyFill="1" applyBorder="1" applyAlignment="1">
      <alignment horizontal="center" vertical="center"/>
    </xf>
    <xf numFmtId="183" fontId="0" fillId="7" borderId="4" xfId="0" applyNumberForma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4" borderId="2" xfId="0" applyNumberFormat="1" applyFill="1" applyBorder="1" applyAlignment="1">
      <alignment horizontal="center" vertical="center"/>
    </xf>
    <xf numFmtId="181" fontId="9" fillId="4" borderId="3" xfId="0" applyNumberFormat="1" applyFont="1" applyFill="1" applyBorder="1" applyAlignment="1">
      <alignment horizontal="center" vertical="center"/>
    </xf>
    <xf numFmtId="181" fontId="9" fillId="4" borderId="4" xfId="0" applyNumberFormat="1" applyFont="1" applyFill="1" applyBorder="1" applyAlignment="1">
      <alignment horizontal="center" vertical="center"/>
    </xf>
    <xf numFmtId="181" fontId="9" fillId="4" borderId="5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82" fontId="13" fillId="4" borderId="2" xfId="0" applyNumberFormat="1" applyFont="1" applyFill="1" applyBorder="1" applyAlignment="1">
      <alignment horizontal="center" vertical="center"/>
    </xf>
    <xf numFmtId="182" fontId="0" fillId="4" borderId="2" xfId="0" applyNumberFormat="1" applyFill="1" applyBorder="1" applyAlignment="1">
      <alignment horizontal="center" vertical="center"/>
    </xf>
    <xf numFmtId="182" fontId="11" fillId="4" borderId="3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180" fontId="13" fillId="4" borderId="2" xfId="0" applyNumberFormat="1" applyFont="1" applyFill="1" applyBorder="1" applyAlignment="1">
      <alignment horizontal="center" vertical="center"/>
    </xf>
    <xf numFmtId="182" fontId="5" fillId="7" borderId="3" xfId="0" applyNumberFormat="1" applyFont="1" applyFill="1" applyBorder="1" applyAlignment="1">
      <alignment horizontal="center" vertical="center"/>
    </xf>
    <xf numFmtId="182" fontId="0" fillId="0" borderId="0" xfId="0" applyNumberFormat="1">
      <alignment vertical="center"/>
    </xf>
    <xf numFmtId="0" fontId="7" fillId="7" borderId="5" xfId="0" applyNumberFormat="1" applyFont="1" applyFill="1" applyBorder="1" applyAlignment="1">
      <alignment horizontal="center" vertical="center"/>
    </xf>
    <xf numFmtId="180" fontId="0" fillId="7" borderId="4" xfId="0" applyNumberFormat="1" applyFill="1" applyBorder="1" applyAlignment="1">
      <alignment horizontal="center" vertical="center"/>
    </xf>
    <xf numFmtId="180" fontId="0" fillId="7" borderId="5" xfId="0" applyNumberFormat="1" applyFill="1" applyBorder="1" applyAlignment="1">
      <alignment horizontal="center" vertical="center"/>
    </xf>
    <xf numFmtId="0" fontId="14" fillId="0" borderId="0" xfId="0" applyNumberFormat="1" applyFont="1">
      <alignment vertical="center"/>
    </xf>
    <xf numFmtId="0" fontId="14" fillId="0" borderId="0" xfId="0" applyFont="1">
      <alignment vertical="center"/>
    </xf>
    <xf numFmtId="0" fontId="14" fillId="5" borderId="2" xfId="0" applyNumberFormat="1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181" fontId="14" fillId="4" borderId="1" xfId="0" applyNumberFormat="1" applyFont="1" applyFill="1" applyBorder="1" applyAlignment="1">
      <alignment horizontal="center" vertical="center"/>
    </xf>
    <xf numFmtId="180" fontId="14" fillId="4" borderId="2" xfId="0" applyNumberFormat="1" applyFont="1" applyFill="1" applyBorder="1" applyAlignment="1">
      <alignment horizontal="left" vertical="center"/>
    </xf>
    <xf numFmtId="0" fontId="14" fillId="4" borderId="2" xfId="0" applyNumberFormat="1" applyFont="1" applyFill="1" applyBorder="1" applyAlignment="1">
      <alignment horizontal="center" vertical="center" wrapText="1"/>
    </xf>
    <xf numFmtId="181" fontId="14" fillId="4" borderId="6" xfId="0" applyNumberFormat="1" applyFont="1" applyFill="1" applyBorder="1" applyAlignment="1">
      <alignment horizontal="center" vertical="center"/>
    </xf>
    <xf numFmtId="180" fontId="14" fillId="4" borderId="1" xfId="0" applyNumberFormat="1" applyFont="1" applyFill="1" applyBorder="1" applyAlignment="1">
      <alignment horizontal="left" vertical="center"/>
    </xf>
    <xf numFmtId="181" fontId="15" fillId="4" borderId="2" xfId="0" applyNumberFormat="1" applyFont="1" applyFill="1" applyBorder="1" applyAlignment="1">
      <alignment horizontal="center" vertical="center"/>
    </xf>
    <xf numFmtId="0" fontId="14" fillId="6" borderId="3" xfId="0" applyNumberFormat="1" applyFont="1" applyFill="1" applyBorder="1" applyAlignment="1">
      <alignment horizontal="center" vertical="center"/>
    </xf>
    <xf numFmtId="184" fontId="14" fillId="6" borderId="4" xfId="0" applyNumberFormat="1" applyFont="1" applyFill="1" applyBorder="1" applyAlignment="1">
      <alignment horizontal="center" vertical="center"/>
    </xf>
    <xf numFmtId="184" fontId="14" fillId="6" borderId="5" xfId="0" applyNumberFormat="1" applyFont="1" applyFill="1" applyBorder="1" applyAlignment="1">
      <alignment horizontal="center" vertical="center"/>
    </xf>
    <xf numFmtId="0" fontId="14" fillId="5" borderId="2" xfId="0" applyFont="1" applyFill="1" applyBorder="1">
      <alignment vertical="center"/>
    </xf>
    <xf numFmtId="0" fontId="14" fillId="4" borderId="2" xfId="0" applyFont="1" applyFill="1" applyBorder="1" applyAlignment="1">
      <alignment horizontal="center" vertical="center"/>
    </xf>
    <xf numFmtId="182" fontId="14" fillId="4" borderId="2" xfId="0" applyNumberFormat="1" applyFont="1" applyFill="1" applyBorder="1" applyAlignment="1">
      <alignment horizontal="center" vertical="center"/>
    </xf>
    <xf numFmtId="182" fontId="14" fillId="4" borderId="2" xfId="0" applyNumberFormat="1" applyFont="1" applyFill="1" applyBorder="1" applyAlignment="1">
      <alignment vertical="center"/>
    </xf>
    <xf numFmtId="182" fontId="14" fillId="0" borderId="1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182" fontId="15" fillId="4" borderId="2" xfId="0" applyNumberFormat="1" applyFont="1" applyFill="1" applyBorder="1" applyAlignment="1">
      <alignment horizontal="center" vertical="center"/>
    </xf>
    <xf numFmtId="183" fontId="16" fillId="4" borderId="3" xfId="0" applyNumberFormat="1" applyFont="1" applyFill="1" applyBorder="1" applyAlignment="1">
      <alignment horizontal="center" vertical="center"/>
    </xf>
    <xf numFmtId="183" fontId="16" fillId="4" borderId="13" xfId="0" applyNumberFormat="1" applyFont="1" applyFill="1" applyBorder="1" applyAlignment="1">
      <alignment horizontal="center" vertical="center"/>
    </xf>
    <xf numFmtId="183" fontId="16" fillId="4" borderId="5" xfId="0" applyNumberFormat="1" applyFont="1" applyFill="1" applyBorder="1" applyAlignment="1">
      <alignment horizontal="center" vertical="center"/>
    </xf>
    <xf numFmtId="180" fontId="15" fillId="6" borderId="2" xfId="0" applyNumberFormat="1" applyFont="1" applyFill="1" applyBorder="1" applyAlignment="1">
      <alignment horizontal="left" vertical="center"/>
    </xf>
    <xf numFmtId="180" fontId="16" fillId="6" borderId="3" xfId="0" applyNumberFormat="1" applyFont="1" applyFill="1" applyBorder="1" applyAlignment="1">
      <alignment horizontal="center" vertical="center"/>
    </xf>
    <xf numFmtId="180" fontId="16" fillId="6" borderId="4" xfId="0" applyNumberFormat="1" applyFont="1" applyFill="1" applyBorder="1" applyAlignment="1">
      <alignment horizontal="center" vertical="center"/>
    </xf>
    <xf numFmtId="180" fontId="16" fillId="6" borderId="5" xfId="0" applyNumberFormat="1" applyFont="1" applyFill="1" applyBorder="1" applyAlignment="1">
      <alignment horizontal="center" vertical="center"/>
    </xf>
    <xf numFmtId="180" fontId="14" fillId="0" borderId="0" xfId="0" applyNumberFormat="1" applyFont="1">
      <alignment vertical="center"/>
    </xf>
    <xf numFmtId="0" fontId="0" fillId="0" borderId="0" xfId="0" applyNumberFormat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5" borderId="2" xfId="0" applyNumberFormat="1" applyFont="1" applyFill="1" applyBorder="1" applyAlignment="1">
      <alignment horizontal="center" vertical="center"/>
    </xf>
    <xf numFmtId="181" fontId="18" fillId="4" borderId="2" xfId="0" applyNumberFormat="1" applyFont="1" applyFill="1" applyBorder="1" applyAlignment="1">
      <alignment horizontal="center" vertical="center"/>
    </xf>
    <xf numFmtId="181" fontId="12" fillId="4" borderId="2" xfId="0" applyNumberFormat="1" applyFont="1" applyFill="1" applyBorder="1" applyAlignment="1">
      <alignment vertical="center"/>
    </xf>
    <xf numFmtId="180" fontId="19" fillId="4" borderId="2" xfId="0" applyNumberFormat="1" applyFont="1" applyFill="1" applyBorder="1" applyAlignment="1">
      <alignment horizontal="left" vertical="center" wrapText="1"/>
    </xf>
    <xf numFmtId="0" fontId="19" fillId="4" borderId="2" xfId="0" applyNumberFormat="1" applyFont="1" applyFill="1" applyBorder="1" applyAlignment="1">
      <alignment horizontal="center" vertical="center" wrapText="1"/>
    </xf>
    <xf numFmtId="184" fontId="20" fillId="4" borderId="4" xfId="0" applyNumberFormat="1" applyFont="1" applyFill="1" applyBorder="1" applyAlignment="1">
      <alignment horizontal="center" vertical="center"/>
    </xf>
    <xf numFmtId="184" fontId="20" fillId="4" borderId="5" xfId="0" applyNumberFormat="1" applyFont="1" applyFill="1" applyBorder="1" applyAlignment="1">
      <alignment horizontal="center" vertical="center"/>
    </xf>
    <xf numFmtId="0" fontId="20" fillId="4" borderId="4" xfId="0" applyNumberFormat="1" applyFont="1" applyFill="1" applyBorder="1" applyAlignment="1">
      <alignment horizontal="center" vertical="center"/>
    </xf>
    <xf numFmtId="182" fontId="4" fillId="4" borderId="2" xfId="0" applyNumberFormat="1" applyFont="1" applyFill="1" applyBorder="1">
      <alignment vertical="center"/>
    </xf>
    <xf numFmtId="0" fontId="21" fillId="0" borderId="0" xfId="0" applyFont="1">
      <alignment vertical="center"/>
    </xf>
    <xf numFmtId="0" fontId="0" fillId="0" borderId="0" xfId="0" applyAlignment="1">
      <alignment vertical="center"/>
    </xf>
    <xf numFmtId="0" fontId="22" fillId="5" borderId="1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180" fontId="19" fillId="4" borderId="5" xfId="0" applyNumberFormat="1" applyFont="1" applyFill="1" applyBorder="1" applyAlignment="1">
      <alignment horizontal="left" vertical="center" wrapText="1"/>
    </xf>
    <xf numFmtId="181" fontId="18" fillId="4" borderId="6" xfId="0" applyNumberFormat="1" applyFont="1" applyFill="1" applyBorder="1" applyAlignment="1">
      <alignment horizontal="center" vertical="center"/>
    </xf>
    <xf numFmtId="181" fontId="12" fillId="4" borderId="6" xfId="0" applyNumberFormat="1" applyFont="1" applyFill="1" applyBorder="1" applyAlignment="1">
      <alignment horizontal="center" vertical="center"/>
    </xf>
    <xf numFmtId="180" fontId="19" fillId="4" borderId="10" xfId="0" applyNumberFormat="1" applyFont="1" applyFill="1" applyBorder="1" applyAlignment="1">
      <alignment horizontal="left" vertical="center" wrapText="1"/>
    </xf>
    <xf numFmtId="0" fontId="19" fillId="4" borderId="10" xfId="0" applyNumberFormat="1" applyFont="1" applyFill="1" applyBorder="1" applyAlignment="1">
      <alignment horizontal="center" vertical="center" wrapText="1"/>
    </xf>
    <xf numFmtId="181" fontId="12" fillId="4" borderId="2" xfId="0" applyNumberFormat="1" applyFont="1" applyFill="1" applyBorder="1" applyAlignment="1">
      <alignment horizontal="center" vertical="center"/>
    </xf>
    <xf numFmtId="181" fontId="18" fillId="4" borderId="2" xfId="0" applyNumberFormat="1" applyFont="1" applyFill="1" applyBorder="1" applyAlignment="1">
      <alignment vertical="center"/>
    </xf>
    <xf numFmtId="184" fontId="12" fillId="4" borderId="2" xfId="0" applyNumberFormat="1" applyFont="1" applyFill="1" applyBorder="1" applyAlignment="1">
      <alignment horizontal="center" vertical="center"/>
    </xf>
    <xf numFmtId="184" fontId="19" fillId="4" borderId="2" xfId="0" applyNumberFormat="1" applyFont="1" applyFill="1" applyBorder="1" applyAlignment="1">
      <alignment horizontal="center" vertical="center" wrapText="1"/>
    </xf>
    <xf numFmtId="181" fontId="12" fillId="4" borderId="2" xfId="0" applyNumberFormat="1" applyFont="1" applyFill="1" applyBorder="1" applyAlignment="1">
      <alignment horizontal="center" vertical="center" wrapText="1"/>
    </xf>
    <xf numFmtId="0" fontId="23" fillId="8" borderId="0" xfId="0" applyFont="1" applyFill="1" applyAlignment="1">
      <alignment horizontal="center" vertical="center"/>
    </xf>
    <xf numFmtId="182" fontId="24" fillId="4" borderId="2" xfId="0" applyNumberFormat="1" applyFont="1" applyFill="1" applyBorder="1">
      <alignment vertical="center"/>
    </xf>
    <xf numFmtId="180" fontId="24" fillId="4" borderId="2" xfId="0" applyNumberFormat="1" applyFont="1" applyFill="1" applyBorder="1" applyAlignment="1">
      <alignment horizontal="center" vertical="center" wrapText="1"/>
    </xf>
    <xf numFmtId="180" fontId="24" fillId="4" borderId="2" xfId="0" applyNumberFormat="1" applyFont="1" applyFill="1" applyBorder="1" applyAlignment="1">
      <alignment vertical="center"/>
    </xf>
    <xf numFmtId="182" fontId="24" fillId="4" borderId="10" xfId="0" applyNumberFormat="1" applyFont="1" applyFill="1" applyBorder="1">
      <alignment vertical="center"/>
    </xf>
    <xf numFmtId="185" fontId="23" fillId="8" borderId="0" xfId="0" applyNumberFormat="1" applyFont="1" applyFill="1" applyAlignment="1">
      <alignment horizontal="center" vertical="center"/>
    </xf>
    <xf numFmtId="180" fontId="24" fillId="4" borderId="2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4" borderId="10" xfId="0" applyFill="1" applyBorder="1">
      <alignment vertical="center"/>
    </xf>
    <xf numFmtId="0" fontId="19" fillId="4" borderId="2" xfId="0" applyNumberFormat="1" applyFont="1" applyFill="1" applyBorder="1" applyAlignment="1">
      <alignment horizontal="center" vertical="center"/>
    </xf>
    <xf numFmtId="181" fontId="2" fillId="4" borderId="2" xfId="0" applyNumberFormat="1" applyFont="1" applyFill="1" applyBorder="1" applyAlignment="1">
      <alignment vertical="center"/>
    </xf>
    <xf numFmtId="180" fontId="2" fillId="4" borderId="2" xfId="0" applyNumberFormat="1" applyFont="1" applyFill="1" applyBorder="1" applyAlignment="1">
      <alignment vertical="center" wrapText="1"/>
    </xf>
    <xf numFmtId="0" fontId="2" fillId="4" borderId="2" xfId="0" applyNumberFormat="1" applyFont="1" applyFill="1" applyBorder="1" applyAlignment="1">
      <alignment vertical="center" wrapText="1"/>
    </xf>
    <xf numFmtId="184" fontId="0" fillId="4" borderId="4" xfId="0" applyNumberFormat="1" applyFill="1" applyBorder="1" applyAlignment="1">
      <alignment horizontal="center" vertical="center"/>
    </xf>
    <xf numFmtId="184" fontId="0" fillId="4" borderId="5" xfId="0" applyNumberFormat="1" applyFill="1" applyBorder="1" applyAlignment="1">
      <alignment horizontal="center" vertical="center"/>
    </xf>
    <xf numFmtId="182" fontId="0" fillId="4" borderId="2" xfId="0" applyNumberFormat="1" applyFill="1" applyBorder="1" applyAlignment="1">
      <alignment vertical="center"/>
    </xf>
    <xf numFmtId="182" fontId="0" fillId="4" borderId="2" xfId="0" applyNumberFormat="1" applyFill="1" applyBorder="1" applyAlignment="1">
      <alignment vertical="center"/>
    </xf>
    <xf numFmtId="0" fontId="3" fillId="0" borderId="0" xfId="0" applyFont="1">
      <alignment vertical="center"/>
    </xf>
    <xf numFmtId="18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81" fontId="25" fillId="5" borderId="2" xfId="0" applyNumberFormat="1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5" fillId="5" borderId="2" xfId="0" applyNumberFormat="1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181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80" fontId="3" fillId="4" borderId="2" xfId="0" applyNumberFormat="1" applyFont="1" applyFill="1" applyBorder="1" applyAlignment="1">
      <alignment vertical="center"/>
    </xf>
    <xf numFmtId="181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180" fontId="3" fillId="0" borderId="2" xfId="0" applyNumberFormat="1" applyFont="1" applyBorder="1" applyAlignment="1">
      <alignment vertical="center"/>
    </xf>
    <xf numFmtId="180" fontId="3" fillId="0" borderId="0" xfId="0" applyNumberFormat="1" applyFont="1">
      <alignment vertical="center"/>
    </xf>
    <xf numFmtId="180" fontId="3" fillId="0" borderId="2" xfId="0" applyNumberFormat="1" applyFont="1" applyBorder="1">
      <alignment vertical="center"/>
    </xf>
    <xf numFmtId="186" fontId="0" fillId="0" borderId="0" xfId="0" applyNumberFormat="1">
      <alignment vertical="center"/>
    </xf>
    <xf numFmtId="186" fontId="1" fillId="5" borderId="2" xfId="0" applyNumberFormat="1" applyFont="1" applyFill="1" applyBorder="1" applyAlignment="1">
      <alignment horizontal="center" vertical="center"/>
    </xf>
    <xf numFmtId="186" fontId="0" fillId="4" borderId="2" xfId="0" applyNumberFormat="1" applyFill="1" applyBorder="1" applyAlignment="1">
      <alignment horizontal="center" vertical="center"/>
    </xf>
    <xf numFmtId="186" fontId="4" fillId="6" borderId="4" xfId="0" applyNumberFormat="1" applyFont="1" applyFill="1" applyBorder="1" applyAlignment="1">
      <alignment horizontal="center" vertical="center"/>
    </xf>
    <xf numFmtId="180" fontId="4" fillId="6" borderId="4" xfId="0" applyNumberFormat="1" applyFont="1" applyFill="1" applyBorder="1" applyAlignment="1">
      <alignment horizontal="center" vertical="center"/>
    </xf>
    <xf numFmtId="182" fontId="0" fillId="0" borderId="2" xfId="0" applyNumberFormat="1" applyBorder="1">
      <alignment vertical="center"/>
    </xf>
    <xf numFmtId="180" fontId="5" fillId="6" borderId="2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81" fontId="0" fillId="0" borderId="0" xfId="0" applyNumberFormat="1" applyFill="1" applyAlignment="1">
      <alignment horizontal="center" vertical="center"/>
    </xf>
    <xf numFmtId="0" fontId="27" fillId="0" borderId="0" xfId="0" applyFont="1" applyFill="1" applyAlignment="1">
      <alignment horizontal="left" vertical="center"/>
    </xf>
    <xf numFmtId="0" fontId="0" fillId="0" borderId="0" xfId="0" applyNumberFormat="1" applyFill="1" applyAlignment="1">
      <alignment horizontal="center" vertical="center"/>
    </xf>
    <xf numFmtId="180" fontId="0" fillId="0" borderId="0" xfId="0" applyNumberFormat="1" applyFill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181" fontId="29" fillId="5" borderId="2" xfId="0" applyNumberFormat="1" applyFont="1" applyFill="1" applyBorder="1" applyAlignment="1">
      <alignment horizontal="center" vertical="center"/>
    </xf>
    <xf numFmtId="0" fontId="29" fillId="5" borderId="2" xfId="0" applyFont="1" applyFill="1" applyBorder="1" applyAlignment="1">
      <alignment horizontal="center" vertical="center"/>
    </xf>
    <xf numFmtId="0" fontId="29" fillId="5" borderId="2" xfId="0" applyNumberFormat="1" applyFont="1" applyFill="1" applyBorder="1" applyAlignment="1">
      <alignment horizontal="center" vertical="center"/>
    </xf>
    <xf numFmtId="0" fontId="0" fillId="4" borderId="2" xfId="0" applyNumberFormat="1" applyFill="1" applyBorder="1" applyAlignment="1">
      <alignment vertical="center"/>
    </xf>
    <xf numFmtId="181" fontId="0" fillId="4" borderId="2" xfId="0" applyNumberFormat="1" applyFill="1" applyBorder="1" applyAlignment="1">
      <alignment vertical="center"/>
    </xf>
    <xf numFmtId="0" fontId="27" fillId="4" borderId="2" xfId="0" applyFont="1" applyFill="1" applyBorder="1" applyAlignment="1">
      <alignment vertical="center"/>
    </xf>
    <xf numFmtId="180" fontId="27" fillId="4" borderId="2" xfId="0" applyNumberFormat="1" applyFont="1" applyFill="1" applyBorder="1" applyAlignment="1">
      <alignment vertical="center"/>
    </xf>
    <xf numFmtId="180" fontId="29" fillId="5" borderId="2" xfId="0" applyNumberFormat="1" applyFont="1" applyFill="1" applyBorder="1" applyAlignment="1">
      <alignment horizontal="center" vertical="center"/>
    </xf>
    <xf numFmtId="187" fontId="9" fillId="4" borderId="0" xfId="0" applyNumberFormat="1" applyFont="1" applyFill="1" applyAlignment="1">
      <alignment vertical="center"/>
    </xf>
    <xf numFmtId="180" fontId="0" fillId="4" borderId="2" xfId="0" applyNumberFormat="1" applyFill="1" applyBorder="1" applyAlignment="1">
      <alignment vertical="center"/>
    </xf>
    <xf numFmtId="180" fontId="9" fillId="9" borderId="2" xfId="0" applyNumberFormat="1" applyFont="1" applyFill="1" applyBorder="1" applyAlignment="1">
      <alignment vertical="center"/>
    </xf>
    <xf numFmtId="180" fontId="9" fillId="4" borderId="2" xfId="0" applyNumberFormat="1" applyFont="1" applyFill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180" fontId="0" fillId="0" borderId="0" xfId="0" applyNumberFormat="1" applyFill="1" applyAlignment="1">
      <alignment vertical="center"/>
    </xf>
    <xf numFmtId="180" fontId="9" fillId="4" borderId="2" xfId="0" applyNumberFormat="1" applyFont="1" applyFill="1" applyBorder="1" applyAlignment="1">
      <alignment horizontal="center" vertical="center"/>
    </xf>
    <xf numFmtId="181" fontId="30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180" fontId="0" fillId="0" borderId="0" xfId="0" applyNumberFormat="1" applyFill="1" applyBorder="1" applyAlignment="1">
      <alignment horizontal="center" vertical="center"/>
    </xf>
    <xf numFmtId="181" fontId="30" fillId="0" borderId="0" xfId="0" applyNumberFormat="1" applyFont="1" applyFill="1" applyBorder="1" applyAlignment="1">
      <alignment vertical="center"/>
    </xf>
    <xf numFmtId="180" fontId="0" fillId="0" borderId="0" xfId="0" applyNumberFormat="1" applyFill="1" applyBorder="1" applyAlignment="1">
      <alignment vertical="center"/>
    </xf>
    <xf numFmtId="181" fontId="30" fillId="4" borderId="2" xfId="0" applyNumberFormat="1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2" xfId="0" applyNumberFormat="1" applyFill="1" applyBorder="1" applyAlignment="1">
      <alignment vertical="center"/>
    </xf>
    <xf numFmtId="0" fontId="27" fillId="5" borderId="2" xfId="0" applyFont="1" applyFill="1" applyBorder="1" applyAlignment="1">
      <alignment horizontal="center" vertical="center"/>
    </xf>
    <xf numFmtId="187" fontId="9" fillId="6" borderId="0" xfId="0" applyNumberFormat="1" applyFont="1" applyFill="1" applyAlignment="1">
      <alignment vertical="center"/>
    </xf>
    <xf numFmtId="181" fontId="30" fillId="4" borderId="2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80" fontId="0" fillId="4" borderId="1" xfId="0" applyNumberFormat="1" applyFill="1" applyBorder="1" applyAlignment="1">
      <alignment vertical="center"/>
    </xf>
    <xf numFmtId="180" fontId="0" fillId="4" borderId="8" xfId="0" applyNumberFormat="1" applyFill="1" applyBorder="1" applyAlignment="1">
      <alignment horizontal="center" vertical="center"/>
    </xf>
    <xf numFmtId="180" fontId="0" fillId="4" borderId="0" xfId="0" applyNumberForma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2"/>
  <sheetViews>
    <sheetView zoomScale="90" zoomScaleNormal="90" workbookViewId="0">
      <pane xSplit="1" ySplit="1" topLeftCell="B2" activePane="bottomRight" state="frozen"/>
      <selection/>
      <selection pane="topRight"/>
      <selection pane="bottomLeft"/>
      <selection pane="bottomRight" activeCell="B53" sqref="B53"/>
    </sheetView>
  </sheetViews>
  <sheetFormatPr defaultColWidth="9.140625" defaultRowHeight="16.8" outlineLevelCol="7"/>
  <cols>
    <col min="1" max="1" width="17.5703125" style="247" customWidth="1"/>
    <col min="2" max="2" width="30.5703125" style="245" customWidth="1"/>
    <col min="3" max="3" width="9.140625" style="246"/>
    <col min="4" max="4" width="15.859375" style="245" customWidth="1"/>
    <col min="5" max="5" width="13.7109375" style="245" customWidth="1"/>
    <col min="6" max="6" width="25.8671875" style="245" customWidth="1"/>
    <col min="7" max="8" width="13.140625" style="245"/>
    <col min="9" max="16384" width="9.140625" style="245"/>
  </cols>
  <sheetData>
    <row r="1" s="245" customFormat="1" ht="20" customHeight="1" spans="1:7">
      <c r="A1" s="252" t="s">
        <v>0</v>
      </c>
      <c r="B1" s="253" t="s">
        <v>1</v>
      </c>
      <c r="C1" s="254" t="s">
        <v>2</v>
      </c>
      <c r="D1" s="253" t="s">
        <v>3</v>
      </c>
      <c r="E1" s="253" t="s">
        <v>4</v>
      </c>
      <c r="F1" s="276" t="s">
        <v>5</v>
      </c>
      <c r="G1" s="277">
        <f>SUM(F:F)</f>
        <v>0</v>
      </c>
    </row>
    <row r="2" s="245" customFormat="1" ht="14" customHeight="1" spans="1:6">
      <c r="A2" s="273"/>
      <c r="B2" s="274"/>
      <c r="C2" s="275"/>
      <c r="D2" s="261"/>
      <c r="E2" s="261"/>
      <c r="F2" s="261"/>
    </row>
    <row r="3" s="245" customFormat="1" ht="14" customHeight="1" spans="1:6">
      <c r="A3" s="273"/>
      <c r="B3" s="274"/>
      <c r="C3" s="275"/>
      <c r="D3" s="261"/>
      <c r="E3" s="261"/>
      <c r="F3" s="261"/>
    </row>
    <row r="4" s="245" customFormat="1" ht="14" customHeight="1" spans="1:6">
      <c r="A4" s="273"/>
      <c r="B4" s="274"/>
      <c r="C4" s="275"/>
      <c r="D4" s="261"/>
      <c r="E4" s="261"/>
      <c r="F4" s="261"/>
    </row>
    <row r="5" s="245" customFormat="1" ht="14" customHeight="1" spans="1:6">
      <c r="A5" s="273"/>
      <c r="B5" s="274"/>
      <c r="C5" s="275"/>
      <c r="D5" s="261"/>
      <c r="E5" s="261"/>
      <c r="F5" s="261"/>
    </row>
    <row r="6" s="245" customFormat="1" ht="14" customHeight="1" spans="1:6">
      <c r="A6" s="273"/>
      <c r="B6" s="274"/>
      <c r="C6" s="275"/>
      <c r="D6" s="261"/>
      <c r="E6" s="261"/>
      <c r="F6" s="261"/>
    </row>
    <row r="7" s="245" customFormat="1" ht="14" customHeight="1" spans="1:6">
      <c r="A7" s="273"/>
      <c r="B7" s="274"/>
      <c r="C7" s="275"/>
      <c r="D7" s="261"/>
      <c r="E7" s="261"/>
      <c r="F7" s="261"/>
    </row>
    <row r="8" s="245" customFormat="1" ht="14" customHeight="1" spans="1:6">
      <c r="A8" s="273"/>
      <c r="B8" s="274"/>
      <c r="C8" s="275"/>
      <c r="D8" s="261"/>
      <c r="E8" s="261"/>
      <c r="F8" s="261"/>
    </row>
    <row r="9" s="245" customFormat="1" ht="14" customHeight="1" spans="1:6">
      <c r="A9" s="273"/>
      <c r="B9" s="274"/>
      <c r="C9" s="275"/>
      <c r="D9" s="261"/>
      <c r="E9" s="261"/>
      <c r="F9" s="261"/>
    </row>
    <row r="10" s="245" customFormat="1" ht="14" customHeight="1" spans="1:6">
      <c r="A10" s="273"/>
      <c r="B10" s="274"/>
      <c r="C10" s="275"/>
      <c r="D10" s="261"/>
      <c r="E10" s="261"/>
      <c r="F10" s="261"/>
    </row>
    <row r="11" s="245" customFormat="1" ht="14" customHeight="1" spans="1:6">
      <c r="A11" s="273"/>
      <c r="B11" s="274"/>
      <c r="C11" s="275"/>
      <c r="D11" s="261"/>
      <c r="E11" s="261"/>
      <c r="F11" s="261"/>
    </row>
    <row r="12" s="245" customFormat="1" ht="14" customHeight="1" spans="1:6">
      <c r="A12" s="273"/>
      <c r="B12" s="274"/>
      <c r="C12" s="275"/>
      <c r="D12" s="261"/>
      <c r="E12" s="261"/>
      <c r="F12" s="261"/>
    </row>
    <row r="13" s="245" customFormat="1" ht="14" customHeight="1" spans="1:6">
      <c r="A13" s="273"/>
      <c r="B13" s="274"/>
      <c r="C13" s="275"/>
      <c r="D13" s="261"/>
      <c r="E13" s="261"/>
      <c r="F13" s="261"/>
    </row>
    <row r="14" s="245" customFormat="1" ht="14" customHeight="1" spans="1:6">
      <c r="A14" s="273"/>
      <c r="B14" s="274"/>
      <c r="C14" s="275"/>
      <c r="D14" s="261"/>
      <c r="E14" s="261"/>
      <c r="F14" s="261"/>
    </row>
    <row r="15" s="245" customFormat="1" ht="14" customHeight="1" spans="1:6">
      <c r="A15" s="273"/>
      <c r="B15" s="274"/>
      <c r="C15" s="275"/>
      <c r="D15" s="261"/>
      <c r="E15" s="261"/>
      <c r="F15" s="261"/>
    </row>
    <row r="16" s="245" customFormat="1" ht="14" customHeight="1" spans="1:6">
      <c r="A16" s="273"/>
      <c r="B16" s="274"/>
      <c r="C16" s="275"/>
      <c r="D16" s="261"/>
      <c r="E16" s="261"/>
      <c r="F16" s="261"/>
    </row>
    <row r="17" s="245" customFormat="1" ht="14" customHeight="1" spans="1:6">
      <c r="A17" s="273"/>
      <c r="B17" s="274"/>
      <c r="C17" s="275"/>
      <c r="D17" s="261"/>
      <c r="E17" s="261"/>
      <c r="F17" s="261"/>
    </row>
    <row r="18" s="245" customFormat="1" ht="14" customHeight="1" spans="1:6">
      <c r="A18" s="273"/>
      <c r="B18" s="274"/>
      <c r="C18" s="275"/>
      <c r="D18" s="261"/>
      <c r="E18" s="261"/>
      <c r="F18" s="261"/>
    </row>
    <row r="19" s="245" customFormat="1" ht="14" customHeight="1" spans="1:6">
      <c r="A19" s="273"/>
      <c r="B19" s="274"/>
      <c r="C19" s="275"/>
      <c r="D19" s="261"/>
      <c r="E19" s="261"/>
      <c r="F19" s="261"/>
    </row>
    <row r="20" s="245" customFormat="1" ht="14" customHeight="1" spans="1:6">
      <c r="A20" s="273"/>
      <c r="B20" s="274"/>
      <c r="C20" s="275"/>
      <c r="D20" s="261"/>
      <c r="E20" s="261"/>
      <c r="F20" s="261"/>
    </row>
    <row r="21" s="245" customFormat="1" ht="14" customHeight="1" spans="1:6">
      <c r="A21" s="273"/>
      <c r="B21" s="274"/>
      <c r="C21" s="275"/>
      <c r="D21" s="261"/>
      <c r="E21" s="261"/>
      <c r="F21" s="261"/>
    </row>
    <row r="22" s="245" customFormat="1" ht="14" customHeight="1" spans="1:6">
      <c r="A22" s="273"/>
      <c r="B22" s="274"/>
      <c r="C22" s="275"/>
      <c r="D22" s="261"/>
      <c r="E22" s="261"/>
      <c r="F22" s="261"/>
    </row>
    <row r="23" s="245" customFormat="1" ht="14" customHeight="1" spans="1:6">
      <c r="A23" s="273"/>
      <c r="B23" s="274"/>
      <c r="C23" s="275"/>
      <c r="D23" s="261"/>
      <c r="E23" s="261"/>
      <c r="F23" s="261"/>
    </row>
    <row r="24" s="245" customFormat="1" ht="14" customHeight="1" spans="1:6">
      <c r="A24" s="273"/>
      <c r="B24" s="274"/>
      <c r="C24" s="275"/>
      <c r="D24" s="261"/>
      <c r="E24" s="261"/>
      <c r="F24" s="261"/>
    </row>
    <row r="25" s="245" customFormat="1" ht="14" customHeight="1" spans="1:6">
      <c r="A25" s="273"/>
      <c r="B25" s="274"/>
      <c r="C25" s="275"/>
      <c r="D25" s="261"/>
      <c r="E25" s="261"/>
      <c r="F25" s="261"/>
    </row>
    <row r="26" s="245" customFormat="1" ht="14" customHeight="1" spans="1:6">
      <c r="A26" s="273"/>
      <c r="B26" s="274"/>
      <c r="C26" s="275"/>
      <c r="D26" s="261"/>
      <c r="E26" s="261"/>
      <c r="F26" s="261"/>
    </row>
    <row r="27" s="245" customFormat="1" ht="14" customHeight="1" spans="1:6">
      <c r="A27" s="273"/>
      <c r="B27" s="274"/>
      <c r="C27" s="275"/>
      <c r="D27" s="261"/>
      <c r="E27" s="261"/>
      <c r="F27" s="261"/>
    </row>
    <row r="28" s="245" customFormat="1" ht="14" customHeight="1" spans="1:6">
      <c r="A28" s="273"/>
      <c r="B28" s="274"/>
      <c r="C28" s="275"/>
      <c r="D28" s="261"/>
      <c r="E28" s="261"/>
      <c r="F28" s="261"/>
    </row>
    <row r="29" s="245" customFormat="1" ht="14" customHeight="1" spans="1:6">
      <c r="A29" s="273"/>
      <c r="B29" s="274"/>
      <c r="C29" s="275"/>
      <c r="D29" s="261"/>
      <c r="E29" s="261"/>
      <c r="F29" s="261"/>
    </row>
    <row r="30" s="245" customFormat="1" ht="14" customHeight="1" spans="1:6">
      <c r="A30" s="273"/>
      <c r="B30" s="274"/>
      <c r="C30" s="275"/>
      <c r="D30" s="261"/>
      <c r="E30" s="261"/>
      <c r="F30" s="261"/>
    </row>
    <row r="31" s="245" customFormat="1" ht="14" customHeight="1" spans="1:6">
      <c r="A31" s="273"/>
      <c r="B31" s="274"/>
      <c r="C31" s="275"/>
      <c r="D31" s="261"/>
      <c r="E31" s="261"/>
      <c r="F31" s="261"/>
    </row>
    <row r="32" s="245" customFormat="1" ht="14" customHeight="1" spans="1:6">
      <c r="A32" s="273"/>
      <c r="B32" s="274"/>
      <c r="C32" s="275"/>
      <c r="D32" s="261"/>
      <c r="E32" s="261"/>
      <c r="F32" s="261"/>
    </row>
    <row r="33" s="245" customFormat="1" ht="14" customHeight="1" spans="1:6">
      <c r="A33" s="273"/>
      <c r="B33" s="274"/>
      <c r="C33" s="275"/>
      <c r="D33" s="261"/>
      <c r="E33" s="261"/>
      <c r="F33" s="261"/>
    </row>
    <row r="34" s="245" customFormat="1" ht="14" customHeight="1" spans="1:6">
      <c r="A34" s="273"/>
      <c r="B34" s="274"/>
      <c r="C34" s="275"/>
      <c r="D34" s="261"/>
      <c r="E34" s="261"/>
      <c r="F34" s="261"/>
    </row>
    <row r="35" s="245" customFormat="1" ht="14" customHeight="1" spans="1:6">
      <c r="A35" s="273"/>
      <c r="B35" s="274"/>
      <c r="C35" s="275"/>
      <c r="D35" s="261"/>
      <c r="E35" s="261"/>
      <c r="F35" s="261"/>
    </row>
    <row r="36" s="245" customFormat="1" ht="14" customHeight="1" spans="1:6">
      <c r="A36" s="273"/>
      <c r="B36" s="274"/>
      <c r="C36" s="275"/>
      <c r="D36" s="261"/>
      <c r="E36" s="261"/>
      <c r="F36" s="261"/>
    </row>
    <row r="37" s="245" customFormat="1" ht="14" customHeight="1" spans="1:6">
      <c r="A37" s="273"/>
      <c r="B37" s="274"/>
      <c r="C37" s="275"/>
      <c r="D37" s="261"/>
      <c r="E37" s="261"/>
      <c r="F37" s="261"/>
    </row>
    <row r="38" s="245" customFormat="1" ht="14" customHeight="1" spans="1:6">
      <c r="A38" s="273"/>
      <c r="B38" s="274"/>
      <c r="C38" s="275"/>
      <c r="D38" s="261"/>
      <c r="E38" s="261"/>
      <c r="F38" s="261"/>
    </row>
    <row r="39" s="245" customFormat="1" ht="14" customHeight="1" spans="1:6">
      <c r="A39" s="273"/>
      <c r="B39" s="274"/>
      <c r="C39" s="275"/>
      <c r="D39" s="261"/>
      <c r="E39" s="261"/>
      <c r="F39" s="261"/>
    </row>
    <row r="40" s="245" customFormat="1" ht="14" customHeight="1" spans="1:6">
      <c r="A40" s="273"/>
      <c r="B40" s="274"/>
      <c r="C40" s="275"/>
      <c r="D40" s="261"/>
      <c r="E40" s="261"/>
      <c r="F40" s="261"/>
    </row>
    <row r="41" s="245" customFormat="1" ht="14" customHeight="1" spans="1:6">
      <c r="A41" s="273"/>
      <c r="B41" s="274"/>
      <c r="C41" s="275"/>
      <c r="D41" s="261"/>
      <c r="E41" s="261"/>
      <c r="F41" s="261"/>
    </row>
    <row r="42" s="245" customFormat="1" ht="14" customHeight="1" spans="1:6">
      <c r="A42" s="273"/>
      <c r="B42" s="274"/>
      <c r="C42" s="275"/>
      <c r="D42" s="261"/>
      <c r="E42" s="261"/>
      <c r="F42" s="261"/>
    </row>
    <row r="43" s="245" customFormat="1" ht="14" customHeight="1" spans="1:6">
      <c r="A43" s="273"/>
      <c r="B43" s="274"/>
      <c r="C43" s="275"/>
      <c r="D43" s="261"/>
      <c r="E43" s="261"/>
      <c r="F43" s="261"/>
    </row>
    <row r="44" s="245" customFormat="1" ht="14" customHeight="1" spans="1:6">
      <c r="A44" s="273"/>
      <c r="B44" s="274"/>
      <c r="C44" s="275"/>
      <c r="D44" s="261"/>
      <c r="E44" s="261"/>
      <c r="F44" s="261"/>
    </row>
    <row r="45" s="245" customFormat="1" ht="14" customHeight="1" spans="1:6">
      <c r="A45" s="273"/>
      <c r="B45" s="274"/>
      <c r="C45" s="275"/>
      <c r="D45" s="261"/>
      <c r="E45" s="261"/>
      <c r="F45" s="261"/>
    </row>
    <row r="46" s="245" customFormat="1" ht="14" customHeight="1" spans="1:6">
      <c r="A46" s="273"/>
      <c r="B46" s="274"/>
      <c r="C46" s="275"/>
      <c r="D46" s="261"/>
      <c r="E46" s="261"/>
      <c r="F46" s="261"/>
    </row>
    <row r="47" s="245" customFormat="1" ht="14" customHeight="1" spans="1:6">
      <c r="A47" s="273"/>
      <c r="B47" s="274"/>
      <c r="C47" s="275"/>
      <c r="D47" s="261"/>
      <c r="E47" s="261"/>
      <c r="F47" s="261"/>
    </row>
    <row r="48" s="245" customFormat="1" ht="14" customHeight="1" spans="1:6">
      <c r="A48" s="273"/>
      <c r="B48" s="274"/>
      <c r="C48" s="275"/>
      <c r="D48" s="261"/>
      <c r="E48" s="261"/>
      <c r="F48" s="261"/>
    </row>
    <row r="49" s="245" customFormat="1" ht="14" customHeight="1" spans="1:6">
      <c r="A49" s="273"/>
      <c r="B49" s="274"/>
      <c r="C49" s="275"/>
      <c r="D49" s="261"/>
      <c r="E49" s="261"/>
      <c r="F49" s="261"/>
    </row>
    <row r="50" s="245" customFormat="1" ht="14" customHeight="1" spans="1:6">
      <c r="A50" s="273"/>
      <c r="B50" s="274"/>
      <c r="C50" s="275"/>
      <c r="D50" s="261"/>
      <c r="E50" s="261"/>
      <c r="F50" s="261"/>
    </row>
    <row r="51" s="245" customFormat="1" ht="14" customHeight="1" spans="1:6">
      <c r="A51" s="273"/>
      <c r="B51" s="274"/>
      <c r="C51" s="275"/>
      <c r="D51" s="261"/>
      <c r="E51" s="261"/>
      <c r="F51" s="261"/>
    </row>
    <row r="52" s="245" customFormat="1" ht="14" customHeight="1" spans="1:6">
      <c r="A52" s="273"/>
      <c r="B52" s="274"/>
      <c r="C52" s="275"/>
      <c r="D52" s="261"/>
      <c r="E52" s="261"/>
      <c r="F52" s="261"/>
    </row>
    <row r="53" s="245" customFormat="1" ht="14" customHeight="1" spans="1:6">
      <c r="A53" s="273"/>
      <c r="B53" s="274"/>
      <c r="C53" s="275"/>
      <c r="D53" s="261"/>
      <c r="E53" s="261"/>
      <c r="F53" s="261"/>
    </row>
    <row r="54" s="245" customFormat="1" ht="14" customHeight="1" spans="1:6">
      <c r="A54" s="273"/>
      <c r="B54" s="274"/>
      <c r="C54" s="275"/>
      <c r="D54" s="261"/>
      <c r="E54" s="261"/>
      <c r="F54" s="261"/>
    </row>
    <row r="55" s="245" customFormat="1" ht="14" customHeight="1" spans="1:6">
      <c r="A55" s="273"/>
      <c r="B55" s="274"/>
      <c r="C55" s="275"/>
      <c r="D55" s="261"/>
      <c r="E55" s="261"/>
      <c r="F55" s="261"/>
    </row>
    <row r="56" s="245" customFormat="1" ht="14" customHeight="1" spans="1:6">
      <c r="A56" s="273"/>
      <c r="B56" s="274"/>
      <c r="C56" s="275"/>
      <c r="D56" s="261"/>
      <c r="E56" s="261"/>
      <c r="F56" s="261"/>
    </row>
    <row r="57" s="245" customFormat="1" ht="14" customHeight="1" spans="1:6">
      <c r="A57" s="273"/>
      <c r="B57" s="274"/>
      <c r="C57" s="275"/>
      <c r="D57" s="261"/>
      <c r="E57" s="261"/>
      <c r="F57" s="261"/>
    </row>
    <row r="58" s="245" customFormat="1" ht="14" customHeight="1" spans="1:6">
      <c r="A58" s="273"/>
      <c r="B58" s="274"/>
      <c r="C58" s="275"/>
      <c r="D58" s="261"/>
      <c r="E58" s="261"/>
      <c r="F58" s="261"/>
    </row>
    <row r="59" s="245" customFormat="1" ht="14" customHeight="1" spans="1:6">
      <c r="A59" s="273"/>
      <c r="B59" s="274"/>
      <c r="C59" s="275"/>
      <c r="D59" s="261"/>
      <c r="E59" s="261"/>
      <c r="F59" s="261"/>
    </row>
    <row r="60" s="245" customFormat="1" ht="14" customHeight="1" spans="1:6">
      <c r="A60" s="273"/>
      <c r="B60" s="274"/>
      <c r="C60" s="275"/>
      <c r="D60" s="261"/>
      <c r="E60" s="261"/>
      <c r="F60" s="261"/>
    </row>
    <row r="61" s="245" customFormat="1" ht="14" customHeight="1" spans="1:6">
      <c r="A61" s="273"/>
      <c r="B61" s="274"/>
      <c r="C61" s="275"/>
      <c r="D61" s="261"/>
      <c r="E61" s="261"/>
      <c r="F61" s="261"/>
    </row>
    <row r="62" s="245" customFormat="1" ht="14" customHeight="1" spans="1:6">
      <c r="A62" s="273"/>
      <c r="B62" s="274"/>
      <c r="C62" s="275"/>
      <c r="D62" s="261"/>
      <c r="E62" s="261"/>
      <c r="F62" s="261"/>
    </row>
    <row r="63" s="245" customFormat="1" ht="14" customHeight="1" spans="1:6">
      <c r="A63" s="273"/>
      <c r="B63" s="274"/>
      <c r="C63" s="275"/>
      <c r="D63" s="261"/>
      <c r="E63" s="261"/>
      <c r="F63" s="261"/>
    </row>
    <row r="64" s="245" customFormat="1" ht="14" customHeight="1" spans="1:6">
      <c r="A64" s="273"/>
      <c r="B64" s="274"/>
      <c r="C64" s="275"/>
      <c r="D64" s="261"/>
      <c r="E64" s="261"/>
      <c r="F64" s="261"/>
    </row>
    <row r="65" s="245" customFormat="1" ht="14" customHeight="1" spans="1:6">
      <c r="A65" s="273"/>
      <c r="B65" s="274"/>
      <c r="C65" s="275"/>
      <c r="D65" s="261"/>
      <c r="E65" s="261"/>
      <c r="F65" s="261"/>
    </row>
    <row r="66" s="245" customFormat="1" ht="14" customHeight="1" spans="1:6">
      <c r="A66" s="273"/>
      <c r="B66" s="274"/>
      <c r="C66" s="275"/>
      <c r="D66" s="261"/>
      <c r="E66" s="261"/>
      <c r="F66" s="261"/>
    </row>
    <row r="67" s="245" customFormat="1" ht="14" customHeight="1" spans="1:6">
      <c r="A67" s="273"/>
      <c r="B67" s="274"/>
      <c r="C67" s="275"/>
      <c r="D67" s="261"/>
      <c r="E67" s="261"/>
      <c r="F67" s="261"/>
    </row>
    <row r="68" s="245" customFormat="1" ht="14" customHeight="1" spans="1:6">
      <c r="A68" s="273"/>
      <c r="B68" s="274"/>
      <c r="C68" s="275"/>
      <c r="D68" s="261"/>
      <c r="E68" s="261"/>
      <c r="F68" s="261"/>
    </row>
    <row r="69" s="245" customFormat="1" ht="14" customHeight="1" spans="1:6">
      <c r="A69" s="273"/>
      <c r="B69" s="274"/>
      <c r="C69" s="275"/>
      <c r="D69" s="261"/>
      <c r="E69" s="261"/>
      <c r="F69" s="261"/>
    </row>
    <row r="70" s="245" customFormat="1" ht="14" customHeight="1" spans="1:6">
      <c r="A70" s="273"/>
      <c r="B70" s="274"/>
      <c r="C70" s="275"/>
      <c r="D70" s="261"/>
      <c r="E70" s="261"/>
      <c r="F70" s="261"/>
    </row>
    <row r="71" s="245" customFormat="1" ht="14" customHeight="1" spans="1:6">
      <c r="A71" s="273"/>
      <c r="B71" s="274"/>
      <c r="C71" s="275"/>
      <c r="D71" s="261"/>
      <c r="E71" s="261"/>
      <c r="F71" s="261"/>
    </row>
    <row r="72" s="245" customFormat="1" ht="14" customHeight="1" spans="1:6">
      <c r="A72" s="273"/>
      <c r="B72" s="274"/>
      <c r="C72" s="275"/>
      <c r="D72" s="261"/>
      <c r="E72" s="261"/>
      <c r="F72" s="261"/>
    </row>
    <row r="73" s="245" customFormat="1" ht="14" customHeight="1" spans="1:6">
      <c r="A73" s="273"/>
      <c r="B73" s="274"/>
      <c r="C73" s="275"/>
      <c r="D73" s="261"/>
      <c r="E73" s="261"/>
      <c r="F73" s="261"/>
    </row>
    <row r="74" s="245" customFormat="1" ht="14" customHeight="1" spans="1:8">
      <c r="A74" s="273"/>
      <c r="B74" s="274"/>
      <c r="C74" s="275"/>
      <c r="D74" s="261"/>
      <c r="E74" s="261"/>
      <c r="F74" s="261"/>
      <c r="H74" s="265"/>
    </row>
    <row r="75" s="245" customFormat="1" ht="14" customHeight="1" spans="1:6">
      <c r="A75" s="273"/>
      <c r="B75" s="274"/>
      <c r="C75" s="275"/>
      <c r="D75" s="261"/>
      <c r="E75" s="261"/>
      <c r="F75" s="261"/>
    </row>
    <row r="76" s="245" customFormat="1" ht="14" customHeight="1" spans="1:6">
      <c r="A76" s="273"/>
      <c r="B76" s="274"/>
      <c r="C76" s="275"/>
      <c r="D76" s="261"/>
      <c r="E76" s="261"/>
      <c r="F76" s="261"/>
    </row>
    <row r="77" s="245" customFormat="1" ht="14" customHeight="1" spans="1:6">
      <c r="A77" s="273"/>
      <c r="B77" s="274"/>
      <c r="C77" s="275"/>
      <c r="D77" s="261"/>
      <c r="E77" s="261"/>
      <c r="F77" s="261"/>
    </row>
    <row r="78" s="245" customFormat="1" ht="14" customHeight="1" spans="1:6">
      <c r="A78" s="273"/>
      <c r="B78" s="274"/>
      <c r="C78" s="275"/>
      <c r="D78" s="261"/>
      <c r="E78" s="261"/>
      <c r="F78" s="261"/>
    </row>
    <row r="79" s="245" customFormat="1" ht="14" customHeight="1" spans="1:6">
      <c r="A79" s="273"/>
      <c r="B79" s="274"/>
      <c r="C79" s="275"/>
      <c r="D79" s="261"/>
      <c r="E79" s="261"/>
      <c r="F79" s="261"/>
    </row>
    <row r="80" s="245" customFormat="1" ht="14" customHeight="1" spans="1:6">
      <c r="A80" s="273"/>
      <c r="B80" s="274"/>
      <c r="C80" s="275"/>
      <c r="D80" s="261"/>
      <c r="E80" s="261"/>
      <c r="F80" s="261"/>
    </row>
    <row r="81" s="245" customFormat="1" ht="14" customHeight="1" spans="1:6">
      <c r="A81" s="273"/>
      <c r="B81" s="274"/>
      <c r="C81" s="275"/>
      <c r="D81" s="261"/>
      <c r="E81" s="261"/>
      <c r="F81" s="261"/>
    </row>
    <row r="82" s="245" customFormat="1" ht="14" customHeight="1" spans="1:6">
      <c r="A82" s="273"/>
      <c r="B82" s="274"/>
      <c r="C82" s="275"/>
      <c r="D82" s="261"/>
      <c r="E82" s="261"/>
      <c r="F82" s="261"/>
    </row>
    <row r="83" s="245" customFormat="1" ht="14" customHeight="1" spans="1:6">
      <c r="A83" s="273"/>
      <c r="B83" s="274"/>
      <c r="C83" s="275"/>
      <c r="D83" s="261"/>
      <c r="E83" s="261"/>
      <c r="F83" s="261"/>
    </row>
    <row r="84" s="245" customFormat="1" ht="14" customHeight="1" spans="1:6">
      <c r="A84" s="273"/>
      <c r="B84" s="274"/>
      <c r="C84" s="275"/>
      <c r="D84" s="261"/>
      <c r="E84" s="261"/>
      <c r="F84" s="261"/>
    </row>
    <row r="85" s="245" customFormat="1" ht="14" customHeight="1" spans="1:6">
      <c r="A85" s="273"/>
      <c r="B85" s="274"/>
      <c r="C85" s="275"/>
      <c r="D85" s="261"/>
      <c r="E85" s="261"/>
      <c r="F85" s="261"/>
    </row>
    <row r="86" s="245" customFormat="1" ht="14" customHeight="1" spans="1:6">
      <c r="A86" s="273"/>
      <c r="B86" s="274"/>
      <c r="C86" s="275"/>
      <c r="D86" s="261"/>
      <c r="E86" s="261"/>
      <c r="F86" s="261"/>
    </row>
    <row r="87" s="245" customFormat="1" ht="14" customHeight="1" spans="1:6">
      <c r="A87" s="273"/>
      <c r="B87" s="274"/>
      <c r="C87" s="274"/>
      <c r="D87" s="261"/>
      <c r="E87" s="261"/>
      <c r="F87" s="261"/>
    </row>
    <row r="88" s="245" customFormat="1" ht="14" customHeight="1" spans="1:6">
      <c r="A88" s="273"/>
      <c r="B88" s="274"/>
      <c r="C88" s="274"/>
      <c r="D88" s="261"/>
      <c r="E88" s="261"/>
      <c r="F88" s="261"/>
    </row>
    <row r="89" s="245" customFormat="1" ht="14" customHeight="1" spans="1:6">
      <c r="A89" s="273"/>
      <c r="B89" s="274"/>
      <c r="C89" s="274"/>
      <c r="D89" s="261"/>
      <c r="E89" s="261"/>
      <c r="F89" s="261"/>
    </row>
    <row r="90" s="245" customFormat="1" ht="14" customHeight="1" spans="1:6">
      <c r="A90" s="273"/>
      <c r="B90" s="274"/>
      <c r="C90" s="274"/>
      <c r="D90" s="261"/>
      <c r="E90" s="261"/>
      <c r="F90" s="261"/>
    </row>
    <row r="91" s="245" customFormat="1" ht="14" customHeight="1" spans="1:6">
      <c r="A91" s="273"/>
      <c r="B91" s="274"/>
      <c r="C91" s="274"/>
      <c r="D91" s="261"/>
      <c r="E91" s="261"/>
      <c r="F91" s="261"/>
    </row>
    <row r="92" s="245" customFormat="1" ht="14" customHeight="1" spans="1:6">
      <c r="A92" s="273"/>
      <c r="B92" s="274"/>
      <c r="C92" s="274"/>
      <c r="D92" s="261"/>
      <c r="E92" s="261"/>
      <c r="F92" s="261"/>
    </row>
    <row r="93" s="245" customFormat="1" ht="14" customHeight="1" spans="1:6">
      <c r="A93" s="273"/>
      <c r="B93" s="274"/>
      <c r="C93" s="274"/>
      <c r="D93" s="261"/>
      <c r="E93" s="261"/>
      <c r="F93" s="261"/>
    </row>
    <row r="94" s="245" customFormat="1" ht="14" customHeight="1" spans="1:6">
      <c r="A94" s="273"/>
      <c r="B94" s="274"/>
      <c r="C94" s="274"/>
      <c r="D94" s="261"/>
      <c r="E94" s="261"/>
      <c r="F94" s="261"/>
    </row>
    <row r="95" s="245" customFormat="1" ht="14" customHeight="1" spans="1:6">
      <c r="A95" s="273"/>
      <c r="B95" s="274"/>
      <c r="C95" s="274"/>
      <c r="D95" s="261"/>
      <c r="E95" s="261"/>
      <c r="F95" s="261"/>
    </row>
    <row r="96" s="245" customFormat="1" ht="14" customHeight="1" spans="1:6">
      <c r="A96" s="273"/>
      <c r="B96" s="274"/>
      <c r="C96" s="274"/>
      <c r="D96" s="261"/>
      <c r="E96" s="261"/>
      <c r="F96" s="261"/>
    </row>
    <row r="97" s="245" customFormat="1" ht="14" customHeight="1" spans="1:6">
      <c r="A97" s="273"/>
      <c r="B97" s="274"/>
      <c r="C97" s="274"/>
      <c r="D97" s="261"/>
      <c r="E97" s="261"/>
      <c r="F97" s="261"/>
    </row>
    <row r="98" s="245" customFormat="1" ht="14" customHeight="1" spans="1:6">
      <c r="A98" s="273"/>
      <c r="B98" s="274"/>
      <c r="C98" s="274"/>
      <c r="D98" s="261"/>
      <c r="E98" s="261"/>
      <c r="F98" s="261"/>
    </row>
    <row r="99" s="245" customFormat="1" ht="14" customHeight="1" spans="1:6">
      <c r="A99" s="273"/>
      <c r="B99" s="274"/>
      <c r="C99" s="274"/>
      <c r="D99" s="261"/>
      <c r="E99" s="261"/>
      <c r="F99" s="261"/>
    </row>
    <row r="100" s="245" customFormat="1" ht="14" customHeight="1" spans="1:6">
      <c r="A100" s="273"/>
      <c r="B100" s="274"/>
      <c r="C100" s="274"/>
      <c r="D100" s="261"/>
      <c r="E100" s="261"/>
      <c r="F100" s="261"/>
    </row>
    <row r="101" s="245" customFormat="1" ht="14" customHeight="1" spans="1:6">
      <c r="A101" s="273"/>
      <c r="B101" s="274"/>
      <c r="C101" s="274"/>
      <c r="D101" s="261"/>
      <c r="E101" s="261"/>
      <c r="F101" s="261"/>
    </row>
    <row r="102" s="245" customFormat="1" ht="14" customHeight="1" spans="1:6">
      <c r="A102" s="273"/>
      <c r="B102" s="274"/>
      <c r="C102" s="274"/>
      <c r="D102" s="261"/>
      <c r="E102" s="261"/>
      <c r="F102" s="261"/>
    </row>
    <row r="103" s="245" customFormat="1" ht="14" customHeight="1" spans="1:6">
      <c r="A103" s="273"/>
      <c r="B103" s="274"/>
      <c r="C103" s="274"/>
      <c r="D103" s="261"/>
      <c r="E103" s="261"/>
      <c r="F103" s="261"/>
    </row>
    <row r="104" s="245" customFormat="1" ht="14" customHeight="1" spans="1:6">
      <c r="A104" s="273"/>
      <c r="B104" s="274"/>
      <c r="C104" s="274"/>
      <c r="D104" s="261"/>
      <c r="E104" s="261"/>
      <c r="F104" s="261"/>
    </row>
    <row r="105" s="245" customFormat="1" ht="14" customHeight="1" spans="1:6">
      <c r="A105" s="273"/>
      <c r="B105" s="274"/>
      <c r="C105" s="274"/>
      <c r="D105" s="261"/>
      <c r="E105" s="261"/>
      <c r="F105" s="261"/>
    </row>
    <row r="106" s="245" customFormat="1" ht="14" customHeight="1" spans="1:6">
      <c r="A106" s="273"/>
      <c r="B106" s="274"/>
      <c r="C106" s="274"/>
      <c r="D106" s="261"/>
      <c r="E106" s="261"/>
      <c r="F106" s="261"/>
    </row>
    <row r="107" s="245" customFormat="1" ht="14" customHeight="1" spans="1:6">
      <c r="A107" s="273"/>
      <c r="B107" s="274"/>
      <c r="C107" s="274"/>
      <c r="D107" s="261"/>
      <c r="E107" s="261"/>
      <c r="F107" s="261"/>
    </row>
    <row r="108" s="245" customFormat="1" ht="14" customHeight="1" spans="1:6">
      <c r="A108" s="273"/>
      <c r="B108" s="274"/>
      <c r="C108" s="274"/>
      <c r="D108" s="261"/>
      <c r="E108" s="261"/>
      <c r="F108" s="261"/>
    </row>
    <row r="109" s="245" customFormat="1" ht="14" customHeight="1" spans="1:6">
      <c r="A109" s="273"/>
      <c r="B109" s="274"/>
      <c r="C109" s="274"/>
      <c r="D109" s="261"/>
      <c r="E109" s="261"/>
      <c r="F109" s="261"/>
    </row>
    <row r="110" s="245" customFormat="1" ht="14" customHeight="1" spans="1:6">
      <c r="A110" s="273"/>
      <c r="B110" s="274"/>
      <c r="C110" s="274"/>
      <c r="D110" s="261"/>
      <c r="E110" s="261"/>
      <c r="F110" s="261"/>
    </row>
    <row r="111" s="245" customFormat="1" ht="14" customHeight="1" spans="1:6">
      <c r="A111" s="273"/>
      <c r="B111" s="274"/>
      <c r="C111" s="274"/>
      <c r="D111" s="261"/>
      <c r="E111" s="261"/>
      <c r="F111" s="261"/>
    </row>
    <row r="112" s="245" customFormat="1" ht="14" customHeight="1" spans="1:6">
      <c r="A112" s="273"/>
      <c r="B112" s="274"/>
      <c r="C112" s="274"/>
      <c r="D112" s="261"/>
      <c r="E112" s="261"/>
      <c r="F112" s="261"/>
    </row>
    <row r="113" s="245" customFormat="1" ht="14" customHeight="1" spans="1:6">
      <c r="A113" s="273"/>
      <c r="B113" s="274"/>
      <c r="C113" s="274"/>
      <c r="D113" s="261"/>
      <c r="E113" s="261"/>
      <c r="F113" s="261"/>
    </row>
    <row r="114" s="245" customFormat="1" ht="14" customHeight="1" spans="1:6">
      <c r="A114" s="273"/>
      <c r="B114" s="274"/>
      <c r="C114" s="274"/>
      <c r="D114" s="261"/>
      <c r="E114" s="261"/>
      <c r="F114" s="261"/>
    </row>
    <row r="115" s="245" customFormat="1" ht="14" customHeight="1" spans="1:6">
      <c r="A115" s="273"/>
      <c r="B115" s="274"/>
      <c r="C115" s="274"/>
      <c r="D115" s="261"/>
      <c r="E115" s="261"/>
      <c r="F115" s="261"/>
    </row>
    <row r="116" s="245" customFormat="1" ht="14" customHeight="1" spans="1:6">
      <c r="A116" s="273"/>
      <c r="B116" s="274"/>
      <c r="C116" s="274"/>
      <c r="D116" s="261"/>
      <c r="E116" s="261"/>
      <c r="F116" s="261"/>
    </row>
    <row r="117" s="245" customFormat="1" ht="14" customHeight="1" spans="1:6">
      <c r="A117" s="273"/>
      <c r="B117" s="274"/>
      <c r="C117" s="274"/>
      <c r="D117" s="261"/>
      <c r="E117" s="261"/>
      <c r="F117" s="261"/>
    </row>
    <row r="118" s="245" customFormat="1" ht="14" customHeight="1" spans="1:6">
      <c r="A118" s="273"/>
      <c r="B118" s="274"/>
      <c r="C118" s="274"/>
      <c r="D118" s="261"/>
      <c r="E118" s="261"/>
      <c r="F118" s="261"/>
    </row>
    <row r="119" s="245" customFormat="1" ht="14" customHeight="1" spans="1:6">
      <c r="A119" s="273"/>
      <c r="B119" s="274"/>
      <c r="C119" s="274"/>
      <c r="D119" s="261"/>
      <c r="E119" s="261"/>
      <c r="F119" s="261"/>
    </row>
    <row r="120" s="245" customFormat="1" ht="14" customHeight="1" spans="1:6">
      <c r="A120" s="273"/>
      <c r="B120" s="274"/>
      <c r="C120" s="274"/>
      <c r="D120" s="261"/>
      <c r="E120" s="261"/>
      <c r="F120" s="261"/>
    </row>
    <row r="121" s="245" customFormat="1" ht="14" customHeight="1" spans="1:6">
      <c r="A121" s="273"/>
      <c r="B121" s="274"/>
      <c r="C121" s="274"/>
      <c r="D121" s="261"/>
      <c r="E121" s="261"/>
      <c r="F121" s="261"/>
    </row>
    <row r="122" s="245" customFormat="1" ht="14" customHeight="1" spans="1:6">
      <c r="A122" s="273"/>
      <c r="B122" s="274"/>
      <c r="C122" s="274"/>
      <c r="D122" s="261"/>
      <c r="E122" s="261"/>
      <c r="F122" s="261"/>
    </row>
    <row r="123" s="245" customFormat="1" ht="14" customHeight="1" spans="1:7">
      <c r="A123" s="273"/>
      <c r="B123" s="274"/>
      <c r="C123" s="274"/>
      <c r="D123" s="261"/>
      <c r="E123" s="261"/>
      <c r="F123" s="261"/>
      <c r="G123" s="265"/>
    </row>
    <row r="124" s="245" customFormat="1" spans="1:6">
      <c r="A124" s="273"/>
      <c r="B124" s="274"/>
      <c r="C124" s="274"/>
      <c r="D124" s="261"/>
      <c r="E124" s="261"/>
      <c r="F124" s="261"/>
    </row>
    <row r="125" s="245" customFormat="1" spans="1:6">
      <c r="A125" s="273"/>
      <c r="B125" s="274"/>
      <c r="C125" s="274"/>
      <c r="D125" s="261"/>
      <c r="E125" s="261"/>
      <c r="F125" s="261"/>
    </row>
    <row r="126" s="245" customFormat="1" spans="1:6">
      <c r="A126" s="273"/>
      <c r="B126" s="274"/>
      <c r="C126" s="274"/>
      <c r="D126" s="261"/>
      <c r="E126" s="261"/>
      <c r="F126" s="261"/>
    </row>
    <row r="127" s="245" customFormat="1" spans="1:6">
      <c r="A127" s="273"/>
      <c r="B127" s="274"/>
      <c r="C127" s="274"/>
      <c r="D127" s="261"/>
      <c r="E127" s="261"/>
      <c r="F127" s="261"/>
    </row>
    <row r="128" s="245" customFormat="1" spans="1:6">
      <c r="A128" s="273"/>
      <c r="B128" s="274"/>
      <c r="C128" s="274"/>
      <c r="D128" s="261"/>
      <c r="E128" s="261"/>
      <c r="F128" s="261"/>
    </row>
    <row r="129" s="245" customFormat="1" spans="1:6">
      <c r="A129" s="273"/>
      <c r="B129" s="274"/>
      <c r="C129" s="274"/>
      <c r="D129" s="261"/>
      <c r="E129" s="261"/>
      <c r="F129" s="261"/>
    </row>
    <row r="130" s="245" customFormat="1" spans="1:6">
      <c r="A130" s="273"/>
      <c r="B130" s="274"/>
      <c r="C130" s="274"/>
      <c r="D130" s="261"/>
      <c r="E130" s="261"/>
      <c r="F130" s="261"/>
    </row>
    <row r="131" s="245" customFormat="1" spans="1:6">
      <c r="A131" s="273"/>
      <c r="B131" s="274"/>
      <c r="C131" s="274"/>
      <c r="D131" s="261"/>
      <c r="E131" s="261"/>
      <c r="F131" s="261"/>
    </row>
    <row r="132" s="245" customFormat="1" spans="1:6">
      <c r="A132" s="273"/>
      <c r="B132" s="274"/>
      <c r="C132" s="274"/>
      <c r="D132" s="261"/>
      <c r="E132" s="261"/>
      <c r="F132" s="261"/>
    </row>
    <row r="133" s="245" customFormat="1" spans="1:6">
      <c r="A133" s="273"/>
      <c r="B133" s="274"/>
      <c r="C133" s="274"/>
      <c r="D133" s="261"/>
      <c r="E133" s="261"/>
      <c r="F133" s="261"/>
    </row>
    <row r="134" s="245" customFormat="1" spans="1:6">
      <c r="A134" s="273"/>
      <c r="B134" s="274"/>
      <c r="C134" s="274"/>
      <c r="D134" s="261"/>
      <c r="E134" s="261"/>
      <c r="F134" s="261"/>
    </row>
    <row r="135" s="245" customFormat="1" spans="1:6">
      <c r="A135" s="273"/>
      <c r="B135" s="274"/>
      <c r="C135" s="274"/>
      <c r="D135" s="261"/>
      <c r="E135" s="261"/>
      <c r="F135" s="261"/>
    </row>
    <row r="136" s="245" customFormat="1" spans="1:6">
      <c r="A136" s="273"/>
      <c r="B136" s="274"/>
      <c r="C136" s="274"/>
      <c r="D136" s="261"/>
      <c r="E136" s="261"/>
      <c r="F136" s="261"/>
    </row>
    <row r="137" s="245" customFormat="1" spans="1:6">
      <c r="A137" s="273"/>
      <c r="B137" s="274"/>
      <c r="C137" s="274"/>
      <c r="D137" s="261"/>
      <c r="E137" s="261"/>
      <c r="F137" s="261"/>
    </row>
    <row r="138" s="245" customFormat="1" spans="1:6">
      <c r="A138" s="273"/>
      <c r="B138" s="274"/>
      <c r="C138" s="274"/>
      <c r="D138" s="261"/>
      <c r="E138" s="261"/>
      <c r="F138" s="261"/>
    </row>
    <row r="139" s="245" customFormat="1" spans="1:6">
      <c r="A139" s="273"/>
      <c r="B139" s="274"/>
      <c r="C139" s="274"/>
      <c r="D139" s="261"/>
      <c r="E139" s="261"/>
      <c r="F139" s="261"/>
    </row>
    <row r="140" s="245" customFormat="1" spans="1:6">
      <c r="A140" s="273"/>
      <c r="B140" s="274"/>
      <c r="C140" s="274"/>
      <c r="D140" s="261"/>
      <c r="E140" s="261"/>
      <c r="F140" s="261"/>
    </row>
    <row r="141" s="245" customFormat="1" spans="1:6">
      <c r="A141" s="273"/>
      <c r="B141" s="274"/>
      <c r="C141" s="274"/>
      <c r="D141" s="261"/>
      <c r="E141" s="261"/>
      <c r="F141" s="261"/>
    </row>
    <row r="142" s="245" customFormat="1" spans="1:6">
      <c r="A142" s="273"/>
      <c r="B142" s="274"/>
      <c r="C142" s="274"/>
      <c r="D142" s="261"/>
      <c r="E142" s="261"/>
      <c r="F142" s="261"/>
    </row>
    <row r="143" s="245" customFormat="1" spans="1:6">
      <c r="A143" s="273"/>
      <c r="B143" s="274"/>
      <c r="C143" s="274"/>
      <c r="D143" s="261"/>
      <c r="E143" s="261"/>
      <c r="F143" s="261"/>
    </row>
    <row r="144" s="245" customFormat="1" spans="1:6">
      <c r="A144" s="273"/>
      <c r="B144" s="274"/>
      <c r="C144" s="274"/>
      <c r="D144" s="261"/>
      <c r="E144" s="261"/>
      <c r="F144" s="261"/>
    </row>
    <row r="145" s="245" customFormat="1" spans="1:6">
      <c r="A145" s="273"/>
      <c r="B145" s="274"/>
      <c r="C145" s="274"/>
      <c r="D145" s="261"/>
      <c r="E145" s="261"/>
      <c r="F145" s="261"/>
    </row>
    <row r="146" s="245" customFormat="1" spans="1:6">
      <c r="A146" s="273"/>
      <c r="B146" s="274"/>
      <c r="C146" s="274"/>
      <c r="D146" s="261"/>
      <c r="E146" s="261"/>
      <c r="F146" s="261"/>
    </row>
    <row r="147" s="245" customFormat="1" spans="1:6">
      <c r="A147" s="273"/>
      <c r="B147" s="274"/>
      <c r="C147" s="274"/>
      <c r="D147" s="261"/>
      <c r="E147" s="261"/>
      <c r="F147" s="261"/>
    </row>
    <row r="148" s="245" customFormat="1" spans="1:6">
      <c r="A148" s="273"/>
      <c r="B148" s="274"/>
      <c r="C148" s="274"/>
      <c r="D148" s="261"/>
      <c r="E148" s="261"/>
      <c r="F148" s="261"/>
    </row>
    <row r="149" s="245" customFormat="1" spans="1:6">
      <c r="A149" s="273"/>
      <c r="B149" s="274"/>
      <c r="C149" s="274"/>
      <c r="D149" s="261"/>
      <c r="E149" s="261"/>
      <c r="F149" s="261"/>
    </row>
    <row r="150" s="245" customFormat="1" spans="1:6">
      <c r="A150" s="273"/>
      <c r="B150" s="274"/>
      <c r="C150" s="274"/>
      <c r="D150" s="261"/>
      <c r="E150" s="261"/>
      <c r="F150" s="261"/>
    </row>
    <row r="151" s="245" customFormat="1" spans="1:6">
      <c r="A151" s="273"/>
      <c r="B151" s="274"/>
      <c r="C151" s="274"/>
      <c r="D151" s="261"/>
      <c r="E151" s="261"/>
      <c r="F151" s="261"/>
    </row>
    <row r="152" s="245" customFormat="1" spans="1:6">
      <c r="A152" s="273"/>
      <c r="B152" s="274"/>
      <c r="C152" s="274"/>
      <c r="D152" s="261"/>
      <c r="E152" s="261"/>
      <c r="F152" s="261"/>
    </row>
    <row r="153" s="245" customFormat="1" spans="1:6">
      <c r="A153" s="273"/>
      <c r="B153" s="274"/>
      <c r="C153" s="274"/>
      <c r="D153" s="261"/>
      <c r="E153" s="261"/>
      <c r="F153" s="261"/>
    </row>
    <row r="154" s="245" customFormat="1" spans="1:6">
      <c r="A154" s="273"/>
      <c r="B154" s="274"/>
      <c r="C154" s="274"/>
      <c r="D154" s="261"/>
      <c r="E154" s="261"/>
      <c r="F154" s="261"/>
    </row>
    <row r="155" s="245" customFormat="1" spans="1:6">
      <c r="A155" s="273"/>
      <c r="B155" s="274"/>
      <c r="C155" s="274"/>
      <c r="D155" s="261"/>
      <c r="E155" s="261"/>
      <c r="F155" s="261"/>
    </row>
    <row r="156" s="245" customFormat="1" spans="1:6">
      <c r="A156" s="273"/>
      <c r="B156" s="274"/>
      <c r="C156" s="274"/>
      <c r="D156" s="261"/>
      <c r="E156" s="261"/>
      <c r="F156" s="261"/>
    </row>
    <row r="157" s="245" customFormat="1" spans="1:6">
      <c r="A157" s="273"/>
      <c r="B157" s="274"/>
      <c r="C157" s="274"/>
      <c r="D157" s="261"/>
      <c r="E157" s="261"/>
      <c r="F157" s="261"/>
    </row>
    <row r="158" s="245" customFormat="1" spans="1:6">
      <c r="A158" s="273"/>
      <c r="B158" s="274"/>
      <c r="C158" s="274"/>
      <c r="D158" s="261"/>
      <c r="E158" s="261"/>
      <c r="F158" s="261"/>
    </row>
    <row r="159" s="245" customFormat="1" spans="1:6">
      <c r="A159" s="273"/>
      <c r="B159" s="274"/>
      <c r="C159" s="274"/>
      <c r="D159" s="261"/>
      <c r="E159" s="261"/>
      <c r="F159" s="261"/>
    </row>
    <row r="160" s="245" customFormat="1" spans="1:6">
      <c r="A160" s="273"/>
      <c r="B160" s="274"/>
      <c r="C160" s="274"/>
      <c r="D160" s="261"/>
      <c r="E160" s="261"/>
      <c r="F160" s="261"/>
    </row>
    <row r="161" s="245" customFormat="1" spans="1:6">
      <c r="A161" s="273"/>
      <c r="B161" s="274"/>
      <c r="C161" s="274"/>
      <c r="D161" s="261"/>
      <c r="E161" s="261"/>
      <c r="F161" s="261"/>
    </row>
    <row r="162" s="245" customFormat="1" spans="1:6">
      <c r="A162" s="273"/>
      <c r="B162" s="274"/>
      <c r="C162" s="274"/>
      <c r="D162" s="261"/>
      <c r="E162" s="261"/>
      <c r="F162" s="261"/>
    </row>
    <row r="163" s="245" customFormat="1" spans="1:6">
      <c r="A163" s="273"/>
      <c r="B163" s="274"/>
      <c r="C163" s="274"/>
      <c r="D163" s="261"/>
      <c r="E163" s="261"/>
      <c r="F163" s="261"/>
    </row>
    <row r="164" s="245" customFormat="1" spans="1:6">
      <c r="A164" s="273"/>
      <c r="B164" s="274"/>
      <c r="C164" s="274"/>
      <c r="D164" s="261"/>
      <c r="E164" s="261"/>
      <c r="F164" s="261"/>
    </row>
    <row r="165" s="245" customFormat="1" spans="1:6">
      <c r="A165" s="273"/>
      <c r="B165" s="274"/>
      <c r="C165" s="274"/>
      <c r="D165" s="261"/>
      <c r="E165" s="261"/>
      <c r="F165" s="261"/>
    </row>
    <row r="166" s="245" customFormat="1" spans="1:6">
      <c r="A166" s="273"/>
      <c r="B166" s="274"/>
      <c r="C166" s="274"/>
      <c r="D166" s="261"/>
      <c r="E166" s="261"/>
      <c r="F166" s="261"/>
    </row>
    <row r="167" s="245" customFormat="1" spans="1:6">
      <c r="A167" s="273"/>
      <c r="B167" s="274"/>
      <c r="C167" s="274"/>
      <c r="D167" s="261"/>
      <c r="E167" s="261"/>
      <c r="F167" s="261"/>
    </row>
    <row r="168" s="245" customFormat="1" spans="1:6">
      <c r="A168" s="273"/>
      <c r="B168" s="274"/>
      <c r="C168" s="274"/>
      <c r="D168" s="261"/>
      <c r="E168" s="261"/>
      <c r="F168" s="261"/>
    </row>
    <row r="169" s="245" customFormat="1" spans="1:6">
      <c r="A169" s="273"/>
      <c r="B169" s="274"/>
      <c r="C169" s="274"/>
      <c r="D169" s="261"/>
      <c r="E169" s="261"/>
      <c r="F169" s="261"/>
    </row>
    <row r="170" s="245" customFormat="1" spans="1:6">
      <c r="A170" s="273"/>
      <c r="B170" s="274"/>
      <c r="C170" s="274"/>
      <c r="D170" s="261"/>
      <c r="E170" s="261"/>
      <c r="F170" s="261"/>
    </row>
    <row r="171" s="245" customFormat="1" spans="1:6">
      <c r="A171" s="273"/>
      <c r="B171" s="274"/>
      <c r="C171" s="274"/>
      <c r="D171" s="261"/>
      <c r="E171" s="261"/>
      <c r="F171" s="261"/>
    </row>
    <row r="172" s="245" customFormat="1" spans="1:6">
      <c r="A172" s="273"/>
      <c r="B172" s="274"/>
      <c r="C172" s="274"/>
      <c r="D172" s="261"/>
      <c r="E172" s="261"/>
      <c r="F172" s="261"/>
    </row>
    <row r="173" s="245" customFormat="1" spans="1:6">
      <c r="A173" s="273"/>
      <c r="B173" s="274"/>
      <c r="C173" s="274"/>
      <c r="D173" s="261"/>
      <c r="E173" s="261"/>
      <c r="F173" s="261"/>
    </row>
    <row r="174" s="245" customFormat="1" spans="1:6">
      <c r="A174" s="273"/>
      <c r="B174" s="274"/>
      <c r="C174" s="274"/>
      <c r="D174" s="261"/>
      <c r="E174" s="261"/>
      <c r="F174" s="261"/>
    </row>
    <row r="175" s="245" customFormat="1" spans="1:6">
      <c r="A175" s="273"/>
      <c r="B175" s="274"/>
      <c r="C175" s="274"/>
      <c r="D175" s="261"/>
      <c r="E175" s="261"/>
      <c r="F175" s="261"/>
    </row>
    <row r="176" s="245" customFormat="1" spans="1:6">
      <c r="A176" s="273"/>
      <c r="B176" s="274"/>
      <c r="C176" s="274"/>
      <c r="D176" s="261"/>
      <c r="E176" s="261"/>
      <c r="F176" s="261"/>
    </row>
    <row r="177" s="245" customFormat="1" spans="1:6">
      <c r="A177" s="273"/>
      <c r="B177" s="274"/>
      <c r="C177" s="274"/>
      <c r="D177" s="261"/>
      <c r="E177" s="261"/>
      <c r="F177" s="261"/>
    </row>
    <row r="178" s="245" customFormat="1" spans="1:6">
      <c r="A178" s="273"/>
      <c r="B178" s="274"/>
      <c r="C178" s="274"/>
      <c r="D178" s="261"/>
      <c r="E178" s="261"/>
      <c r="F178" s="261"/>
    </row>
    <row r="179" s="245" customFormat="1" spans="1:6">
      <c r="A179" s="273"/>
      <c r="B179" s="274"/>
      <c r="C179" s="274"/>
      <c r="D179" s="261"/>
      <c r="E179" s="261"/>
      <c r="F179" s="261"/>
    </row>
    <row r="180" s="245" customFormat="1" spans="1:6">
      <c r="A180" s="273"/>
      <c r="B180" s="274"/>
      <c r="C180" s="274"/>
      <c r="D180" s="261"/>
      <c r="E180" s="261"/>
      <c r="F180" s="261"/>
    </row>
    <row r="181" s="245" customFormat="1" spans="1:6">
      <c r="A181" s="273"/>
      <c r="B181" s="274"/>
      <c r="C181" s="274"/>
      <c r="D181" s="261"/>
      <c r="E181" s="261"/>
      <c r="F181" s="261"/>
    </row>
    <row r="182" s="245" customFormat="1" spans="1:6">
      <c r="A182" s="273"/>
      <c r="B182" s="274"/>
      <c r="C182" s="274"/>
      <c r="D182" s="261"/>
      <c r="E182" s="261"/>
      <c r="F182" s="261"/>
    </row>
    <row r="183" s="245" customFormat="1" spans="1:6">
      <c r="A183" s="273"/>
      <c r="B183" s="274"/>
      <c r="C183" s="274"/>
      <c r="D183" s="261"/>
      <c r="E183" s="261"/>
      <c r="F183" s="261"/>
    </row>
    <row r="184" s="245" customFormat="1" spans="1:6">
      <c r="A184" s="273"/>
      <c r="B184" s="274"/>
      <c r="C184" s="274"/>
      <c r="D184" s="261"/>
      <c r="E184" s="261"/>
      <c r="F184" s="261"/>
    </row>
    <row r="185" s="245" customFormat="1" spans="1:6">
      <c r="A185" s="273"/>
      <c r="B185" s="274"/>
      <c r="C185" s="274"/>
      <c r="D185" s="261"/>
      <c r="E185" s="261"/>
      <c r="F185" s="261"/>
    </row>
    <row r="186" s="245" customFormat="1" spans="1:6">
      <c r="A186" s="273"/>
      <c r="B186" s="274"/>
      <c r="C186" s="274"/>
      <c r="D186" s="261"/>
      <c r="E186" s="261"/>
      <c r="F186" s="261"/>
    </row>
    <row r="187" s="245" customFormat="1" spans="1:6">
      <c r="A187" s="273"/>
      <c r="B187" s="274"/>
      <c r="C187" s="274"/>
      <c r="D187" s="261"/>
      <c r="E187" s="261"/>
      <c r="F187" s="261"/>
    </row>
    <row r="188" s="245" customFormat="1" spans="1:6">
      <c r="A188" s="273"/>
      <c r="B188" s="274"/>
      <c r="C188" s="274"/>
      <c r="D188" s="261"/>
      <c r="E188" s="261"/>
      <c r="F188" s="261"/>
    </row>
    <row r="189" s="245" customFormat="1" spans="1:6">
      <c r="A189" s="273"/>
      <c r="B189" s="274"/>
      <c r="C189" s="274"/>
      <c r="D189" s="261"/>
      <c r="E189" s="261"/>
      <c r="F189" s="261"/>
    </row>
    <row r="190" s="245" customFormat="1" spans="1:6">
      <c r="A190" s="273"/>
      <c r="B190" s="274"/>
      <c r="C190" s="274"/>
      <c r="D190" s="261"/>
      <c r="E190" s="261"/>
      <c r="F190" s="261"/>
    </row>
    <row r="191" s="245" customFormat="1" spans="1:6">
      <c r="A191" s="273"/>
      <c r="B191" s="274"/>
      <c r="C191" s="274"/>
      <c r="D191" s="261"/>
      <c r="E191" s="261"/>
      <c r="F191" s="261"/>
    </row>
    <row r="192" s="245" customFormat="1" spans="1:6">
      <c r="A192" s="273"/>
      <c r="B192" s="274"/>
      <c r="C192" s="274"/>
      <c r="D192" s="261"/>
      <c r="E192" s="261"/>
      <c r="F192" s="261"/>
    </row>
    <row r="193" s="245" customFormat="1" spans="1:6">
      <c r="A193" s="273"/>
      <c r="B193" s="274"/>
      <c r="C193" s="274"/>
      <c r="D193" s="261"/>
      <c r="E193" s="261"/>
      <c r="F193" s="261"/>
    </row>
    <row r="194" s="245" customFormat="1" spans="1:6">
      <c r="A194" s="273"/>
      <c r="B194" s="274"/>
      <c r="C194" s="274"/>
      <c r="D194" s="261"/>
      <c r="E194" s="261"/>
      <c r="F194" s="261"/>
    </row>
    <row r="195" s="245" customFormat="1" spans="1:6">
      <c r="A195" s="273"/>
      <c r="B195" s="274"/>
      <c r="C195" s="274"/>
      <c r="D195" s="261"/>
      <c r="E195" s="261"/>
      <c r="F195" s="261"/>
    </row>
    <row r="196" s="245" customFormat="1" spans="1:6">
      <c r="A196" s="273"/>
      <c r="B196" s="274"/>
      <c r="C196" s="274"/>
      <c r="D196" s="261"/>
      <c r="E196" s="261"/>
      <c r="F196" s="261"/>
    </row>
    <row r="197" s="245" customFormat="1" spans="1:6">
      <c r="A197" s="273"/>
      <c r="B197" s="274"/>
      <c r="C197" s="274"/>
      <c r="D197" s="261"/>
      <c r="E197" s="261"/>
      <c r="F197" s="261"/>
    </row>
    <row r="198" s="245" customFormat="1" spans="1:6">
      <c r="A198" s="273"/>
      <c r="B198" s="274"/>
      <c r="C198" s="274"/>
      <c r="D198" s="261"/>
      <c r="E198" s="261"/>
      <c r="F198" s="261"/>
    </row>
    <row r="199" s="245" customFormat="1" spans="1:6">
      <c r="A199" s="273"/>
      <c r="B199" s="274"/>
      <c r="C199" s="274"/>
      <c r="D199" s="261"/>
      <c r="E199" s="261"/>
      <c r="F199" s="261"/>
    </row>
    <row r="200" s="245" customFormat="1" spans="1:6">
      <c r="A200" s="273"/>
      <c r="B200" s="274"/>
      <c r="C200" s="274"/>
      <c r="D200" s="261"/>
      <c r="E200" s="261"/>
      <c r="F200" s="261"/>
    </row>
    <row r="201" s="245" customFormat="1" spans="1:6">
      <c r="A201" s="273"/>
      <c r="B201" s="274"/>
      <c r="C201" s="274"/>
      <c r="D201" s="261"/>
      <c r="E201" s="261"/>
      <c r="F201" s="261"/>
    </row>
    <row r="202" s="245" customFormat="1" spans="1:6">
      <c r="A202" s="273"/>
      <c r="B202" s="274"/>
      <c r="C202" s="274"/>
      <c r="D202" s="261"/>
      <c r="E202" s="261"/>
      <c r="F202" s="261"/>
    </row>
    <row r="203" s="245" customFormat="1" spans="1:6">
      <c r="A203" s="273"/>
      <c r="B203" s="274"/>
      <c r="C203" s="274"/>
      <c r="D203" s="261"/>
      <c r="E203" s="261"/>
      <c r="F203" s="261"/>
    </row>
    <row r="204" s="245" customFormat="1" spans="1:6">
      <c r="A204" s="273"/>
      <c r="B204" s="274"/>
      <c r="C204" s="274"/>
      <c r="D204" s="261"/>
      <c r="E204" s="261"/>
      <c r="F204" s="261"/>
    </row>
    <row r="205" s="245" customFormat="1" spans="1:6">
      <c r="A205" s="273"/>
      <c r="B205" s="274"/>
      <c r="C205" s="274"/>
      <c r="D205" s="261"/>
      <c r="E205" s="261"/>
      <c r="F205" s="261"/>
    </row>
    <row r="206" s="245" customFormat="1" spans="1:6">
      <c r="A206" s="273"/>
      <c r="B206" s="274"/>
      <c r="C206" s="274"/>
      <c r="D206" s="261"/>
      <c r="E206" s="261"/>
      <c r="F206" s="261"/>
    </row>
    <row r="207" s="245" customFormat="1" spans="1:6">
      <c r="A207" s="273"/>
      <c r="B207" s="274"/>
      <c r="C207" s="274"/>
      <c r="D207" s="261"/>
      <c r="E207" s="261"/>
      <c r="F207" s="261"/>
    </row>
    <row r="208" s="245" customFormat="1" spans="1:6">
      <c r="A208" s="273"/>
      <c r="B208" s="274"/>
      <c r="C208" s="274"/>
      <c r="D208" s="261"/>
      <c r="E208" s="261"/>
      <c r="F208" s="261"/>
    </row>
    <row r="209" s="245" customFormat="1" spans="1:6">
      <c r="A209" s="273"/>
      <c r="B209" s="274"/>
      <c r="C209" s="274"/>
      <c r="D209" s="261"/>
      <c r="E209" s="261"/>
      <c r="F209" s="261"/>
    </row>
    <row r="210" s="245" customFormat="1" spans="1:6">
      <c r="A210" s="273"/>
      <c r="B210" s="274"/>
      <c r="C210" s="274"/>
      <c r="D210" s="261"/>
      <c r="E210" s="261"/>
      <c r="F210" s="261"/>
    </row>
    <row r="211" s="245" customFormat="1" spans="1:6">
      <c r="A211" s="273"/>
      <c r="B211" s="274"/>
      <c r="C211" s="274"/>
      <c r="D211" s="261"/>
      <c r="E211" s="261"/>
      <c r="F211" s="261"/>
    </row>
    <row r="212" s="245" customFormat="1" spans="1:6">
      <c r="A212" s="273"/>
      <c r="B212" s="274"/>
      <c r="C212" s="274"/>
      <c r="D212" s="261"/>
      <c r="E212" s="261"/>
      <c r="F212" s="261"/>
    </row>
    <row r="213" s="245" customFormat="1" spans="1:6">
      <c r="A213" s="273"/>
      <c r="B213" s="274"/>
      <c r="C213" s="274"/>
      <c r="D213" s="261"/>
      <c r="E213" s="261"/>
      <c r="F213" s="261"/>
    </row>
    <row r="214" s="245" customFormat="1" spans="1:6">
      <c r="A214" s="273"/>
      <c r="B214" s="274"/>
      <c r="C214" s="274"/>
      <c r="D214" s="261"/>
      <c r="E214" s="261"/>
      <c r="F214" s="261"/>
    </row>
    <row r="215" s="245" customFormat="1" spans="1:6">
      <c r="A215" s="273"/>
      <c r="B215" s="274"/>
      <c r="C215" s="274"/>
      <c r="D215" s="261"/>
      <c r="E215" s="261"/>
      <c r="F215" s="261"/>
    </row>
    <row r="216" s="245" customFormat="1" spans="1:6">
      <c r="A216" s="273"/>
      <c r="B216" s="274"/>
      <c r="C216" s="274"/>
      <c r="D216" s="261"/>
      <c r="E216" s="261"/>
      <c r="F216" s="261"/>
    </row>
    <row r="217" s="245" customFormat="1" spans="1:6">
      <c r="A217" s="273"/>
      <c r="B217" s="274"/>
      <c r="C217" s="274"/>
      <c r="D217" s="261"/>
      <c r="E217" s="261"/>
      <c r="F217" s="261"/>
    </row>
    <row r="218" s="245" customFormat="1" spans="1:6">
      <c r="A218" s="273"/>
      <c r="B218" s="274"/>
      <c r="C218" s="274"/>
      <c r="D218" s="261"/>
      <c r="E218" s="261"/>
      <c r="F218" s="261"/>
    </row>
    <row r="219" s="245" customFormat="1" spans="1:6">
      <c r="A219" s="273"/>
      <c r="B219" s="274"/>
      <c r="C219" s="274"/>
      <c r="D219" s="261"/>
      <c r="E219" s="261"/>
      <c r="F219" s="261"/>
    </row>
    <row r="220" s="245" customFormat="1" spans="1:6">
      <c r="A220" s="273"/>
      <c r="B220" s="274"/>
      <c r="C220" s="274"/>
      <c r="D220" s="261"/>
      <c r="E220" s="261"/>
      <c r="F220" s="261"/>
    </row>
    <row r="221" s="245" customFormat="1" spans="1:6">
      <c r="A221" s="273"/>
      <c r="B221" s="274"/>
      <c r="C221" s="274"/>
      <c r="D221" s="261"/>
      <c r="E221" s="261"/>
      <c r="F221" s="261"/>
    </row>
    <row r="222" s="245" customFormat="1" spans="1:6">
      <c r="A222" s="273"/>
      <c r="B222" s="274"/>
      <c r="C222" s="274"/>
      <c r="D222" s="261"/>
      <c r="E222" s="261"/>
      <c r="F222" s="261"/>
    </row>
    <row r="223" s="245" customFormat="1" spans="1:6">
      <c r="A223" s="273"/>
      <c r="B223" s="274"/>
      <c r="C223" s="274"/>
      <c r="D223" s="261"/>
      <c r="E223" s="261"/>
      <c r="F223" s="261"/>
    </row>
    <row r="224" s="245" customFormat="1" spans="1:6">
      <c r="A224" s="273"/>
      <c r="B224" s="274"/>
      <c r="C224" s="274"/>
      <c r="D224" s="261"/>
      <c r="E224" s="261"/>
      <c r="F224" s="261"/>
    </row>
    <row r="225" s="245" customFormat="1" spans="1:6">
      <c r="A225" s="273"/>
      <c r="B225" s="274"/>
      <c r="C225" s="274"/>
      <c r="D225" s="261"/>
      <c r="E225" s="261"/>
      <c r="F225" s="261"/>
    </row>
    <row r="226" s="245" customFormat="1" spans="1:6">
      <c r="A226" s="273"/>
      <c r="B226" s="274"/>
      <c r="C226" s="274"/>
      <c r="D226" s="261"/>
      <c r="E226" s="261"/>
      <c r="F226" s="261"/>
    </row>
    <row r="227" s="245" customFormat="1" spans="1:6">
      <c r="A227" s="273"/>
      <c r="B227" s="274"/>
      <c r="C227" s="274"/>
      <c r="D227" s="261"/>
      <c r="E227" s="261"/>
      <c r="F227" s="261"/>
    </row>
    <row r="228" s="245" customFormat="1" spans="1:6">
      <c r="A228" s="273"/>
      <c r="B228" s="274"/>
      <c r="C228" s="274"/>
      <c r="D228" s="261"/>
      <c r="E228" s="261"/>
      <c r="F228" s="261"/>
    </row>
    <row r="229" s="245" customFormat="1" spans="1:6">
      <c r="A229" s="273"/>
      <c r="B229" s="274"/>
      <c r="C229" s="274"/>
      <c r="D229" s="261"/>
      <c r="E229" s="261"/>
      <c r="F229" s="261"/>
    </row>
    <row r="230" s="245" customFormat="1" spans="1:6">
      <c r="A230" s="273"/>
      <c r="B230" s="274"/>
      <c r="C230" s="274"/>
      <c r="D230" s="261"/>
      <c r="E230" s="261"/>
      <c r="F230" s="261"/>
    </row>
    <row r="231" s="245" customFormat="1" spans="1:6">
      <c r="A231" s="273"/>
      <c r="B231" s="274"/>
      <c r="C231" s="274"/>
      <c r="D231" s="261"/>
      <c r="E231" s="261"/>
      <c r="F231" s="261"/>
    </row>
    <row r="232" s="245" customFormat="1" spans="1:6">
      <c r="A232" s="273"/>
      <c r="B232" s="274"/>
      <c r="C232" s="274"/>
      <c r="D232" s="261"/>
      <c r="E232" s="261"/>
      <c r="F232" s="261"/>
    </row>
    <row r="233" s="245" customFormat="1" spans="1:6">
      <c r="A233" s="273"/>
      <c r="B233" s="274"/>
      <c r="C233" s="274"/>
      <c r="D233" s="261"/>
      <c r="E233" s="261"/>
      <c r="F233" s="261"/>
    </row>
    <row r="234" s="245" customFormat="1" spans="1:6">
      <c r="A234" s="273"/>
      <c r="B234" s="274"/>
      <c r="C234" s="274"/>
      <c r="D234" s="261"/>
      <c r="E234" s="261"/>
      <c r="F234" s="261"/>
    </row>
    <row r="235" s="245" customFormat="1" spans="1:6">
      <c r="A235" s="273"/>
      <c r="B235" s="274"/>
      <c r="C235" s="274"/>
      <c r="D235" s="261"/>
      <c r="E235" s="261"/>
      <c r="F235" s="261"/>
    </row>
    <row r="236" s="245" customFormat="1" spans="1:6">
      <c r="A236" s="273"/>
      <c r="B236" s="274"/>
      <c r="C236" s="274"/>
      <c r="D236" s="261"/>
      <c r="E236" s="261"/>
      <c r="F236" s="261"/>
    </row>
    <row r="237" s="245" customFormat="1" spans="1:6">
      <c r="A237" s="273"/>
      <c r="B237" s="274"/>
      <c r="C237" s="274"/>
      <c r="D237" s="261"/>
      <c r="E237" s="261"/>
      <c r="F237" s="261"/>
    </row>
    <row r="238" s="245" customFormat="1" spans="1:6">
      <c r="A238" s="273"/>
      <c r="B238" s="274"/>
      <c r="C238" s="274"/>
      <c r="D238" s="261"/>
      <c r="E238" s="261"/>
      <c r="F238" s="261"/>
    </row>
    <row r="239" s="245" customFormat="1" spans="1:6">
      <c r="A239" s="273"/>
      <c r="B239" s="274"/>
      <c r="C239" s="274"/>
      <c r="D239" s="261"/>
      <c r="E239" s="261"/>
      <c r="F239" s="261"/>
    </row>
    <row r="240" s="245" customFormat="1" spans="1:6">
      <c r="A240" s="273"/>
      <c r="B240" s="274"/>
      <c r="C240" s="274"/>
      <c r="D240" s="261"/>
      <c r="E240" s="261"/>
      <c r="F240" s="261"/>
    </row>
    <row r="241" s="245" customFormat="1" spans="1:6">
      <c r="A241" s="273"/>
      <c r="B241" s="274"/>
      <c r="C241" s="274"/>
      <c r="D241" s="261"/>
      <c r="E241" s="261"/>
      <c r="F241" s="261"/>
    </row>
    <row r="242" s="245" customFormat="1" spans="1:6">
      <c r="A242" s="273"/>
      <c r="B242" s="274"/>
      <c r="C242" s="274"/>
      <c r="D242" s="261"/>
      <c r="E242" s="261"/>
      <c r="F242" s="261"/>
    </row>
    <row r="243" s="245" customFormat="1" spans="1:6">
      <c r="A243" s="273"/>
      <c r="B243" s="274"/>
      <c r="C243" s="274"/>
      <c r="D243" s="261"/>
      <c r="E243" s="261"/>
      <c r="F243" s="261"/>
    </row>
    <row r="244" s="245" customFormat="1" spans="1:6">
      <c r="A244" s="273"/>
      <c r="B244" s="274"/>
      <c r="C244" s="274"/>
      <c r="D244" s="261"/>
      <c r="E244" s="261"/>
      <c r="F244" s="261"/>
    </row>
    <row r="245" s="245" customFormat="1" spans="1:6">
      <c r="A245" s="273"/>
      <c r="B245" s="274"/>
      <c r="C245" s="274"/>
      <c r="D245" s="261"/>
      <c r="E245" s="261"/>
      <c r="F245" s="261"/>
    </row>
    <row r="246" s="245" customFormat="1" spans="1:6">
      <c r="A246" s="273"/>
      <c r="B246" s="274"/>
      <c r="C246" s="274"/>
      <c r="D246" s="261"/>
      <c r="E246" s="261"/>
      <c r="F246" s="261"/>
    </row>
    <row r="247" s="245" customFormat="1" spans="1:6">
      <c r="A247" s="273"/>
      <c r="B247" s="274"/>
      <c r="C247" s="274"/>
      <c r="D247" s="261"/>
      <c r="E247" s="261"/>
      <c r="F247" s="261"/>
    </row>
    <row r="248" s="245" customFormat="1" spans="1:6">
      <c r="A248" s="273"/>
      <c r="B248" s="274"/>
      <c r="C248" s="274"/>
      <c r="D248" s="261"/>
      <c r="E248" s="261"/>
      <c r="F248" s="261"/>
    </row>
    <row r="249" s="245" customFormat="1" spans="1:6">
      <c r="A249" s="273"/>
      <c r="B249" s="274"/>
      <c r="C249" s="274"/>
      <c r="D249" s="261"/>
      <c r="E249" s="261"/>
      <c r="F249" s="261"/>
    </row>
    <row r="250" s="245" customFormat="1" spans="1:6">
      <c r="A250" s="273"/>
      <c r="B250" s="274"/>
      <c r="C250" s="274"/>
      <c r="D250" s="261"/>
      <c r="E250" s="261"/>
      <c r="F250" s="261"/>
    </row>
    <row r="251" s="245" customFormat="1" spans="1:6">
      <c r="A251" s="273"/>
      <c r="B251" s="274"/>
      <c r="C251" s="274"/>
      <c r="D251" s="261"/>
      <c r="E251" s="261"/>
      <c r="F251" s="261"/>
    </row>
    <row r="252" s="245" customFormat="1" spans="1:6">
      <c r="A252" s="273"/>
      <c r="B252" s="274"/>
      <c r="C252" s="274"/>
      <c r="D252" s="261"/>
      <c r="E252" s="261"/>
      <c r="F252" s="261"/>
    </row>
    <row r="253" s="245" customFormat="1" spans="1:6">
      <c r="A253" s="273"/>
      <c r="B253" s="274"/>
      <c r="C253" s="274"/>
      <c r="D253" s="261"/>
      <c r="E253" s="261"/>
      <c r="F253" s="261"/>
    </row>
    <row r="254" s="245" customFormat="1" spans="1:6">
      <c r="A254" s="273"/>
      <c r="B254" s="274"/>
      <c r="C254" s="274"/>
      <c r="D254" s="261"/>
      <c r="E254" s="261"/>
      <c r="F254" s="261"/>
    </row>
    <row r="255" s="245" customFormat="1" spans="1:6">
      <c r="A255" s="273"/>
      <c r="B255" s="274"/>
      <c r="C255" s="274"/>
      <c r="D255" s="261"/>
      <c r="E255" s="261"/>
      <c r="F255" s="261"/>
    </row>
    <row r="256" s="245" customFormat="1" spans="1:6">
      <c r="A256" s="273"/>
      <c r="B256" s="274"/>
      <c r="C256" s="274"/>
      <c r="D256" s="261"/>
      <c r="E256" s="261"/>
      <c r="F256" s="261"/>
    </row>
    <row r="257" s="245" customFormat="1" spans="1:6">
      <c r="A257" s="273"/>
      <c r="B257" s="274"/>
      <c r="C257" s="274"/>
      <c r="D257" s="261"/>
      <c r="E257" s="261"/>
      <c r="F257" s="261"/>
    </row>
    <row r="258" s="245" customFormat="1" spans="1:6">
      <c r="A258" s="273"/>
      <c r="B258" s="274"/>
      <c r="C258" s="274"/>
      <c r="D258" s="261"/>
      <c r="E258" s="261"/>
      <c r="F258" s="261"/>
    </row>
    <row r="259" s="245" customFormat="1" spans="1:6">
      <c r="A259" s="273"/>
      <c r="B259" s="274"/>
      <c r="C259" s="274"/>
      <c r="D259" s="261"/>
      <c r="E259" s="261"/>
      <c r="F259" s="261"/>
    </row>
    <row r="260" s="245" customFormat="1" spans="1:6">
      <c r="A260" s="273"/>
      <c r="B260" s="274"/>
      <c r="C260" s="274"/>
      <c r="D260" s="261"/>
      <c r="E260" s="261"/>
      <c r="F260" s="261"/>
    </row>
    <row r="261" s="245" customFormat="1" spans="1:6">
      <c r="A261" s="273"/>
      <c r="B261" s="274"/>
      <c r="C261" s="274"/>
      <c r="D261" s="261"/>
      <c r="E261" s="261"/>
      <c r="F261" s="261"/>
    </row>
    <row r="262" s="245" customFormat="1" spans="1:6">
      <c r="A262" s="273"/>
      <c r="B262" s="274"/>
      <c r="C262" s="274"/>
      <c r="D262" s="261"/>
      <c r="E262" s="261"/>
      <c r="F262" s="261"/>
    </row>
    <row r="263" s="245" customFormat="1" spans="1:6">
      <c r="A263" s="273"/>
      <c r="B263" s="274"/>
      <c r="C263" s="274"/>
      <c r="D263" s="261"/>
      <c r="E263" s="261"/>
      <c r="F263" s="261"/>
    </row>
    <row r="264" s="245" customFormat="1" spans="1:6">
      <c r="A264" s="273"/>
      <c r="B264" s="274"/>
      <c r="C264" s="274"/>
      <c r="D264" s="261"/>
      <c r="E264" s="261"/>
      <c r="F264" s="261"/>
    </row>
    <row r="265" s="245" customFormat="1" spans="1:6">
      <c r="A265" s="273"/>
      <c r="B265" s="274"/>
      <c r="C265" s="274"/>
      <c r="D265" s="261"/>
      <c r="E265" s="261"/>
      <c r="F265" s="261"/>
    </row>
    <row r="266" s="245" customFormat="1" spans="1:6">
      <c r="A266" s="273"/>
      <c r="B266" s="274"/>
      <c r="C266" s="274"/>
      <c r="D266" s="261"/>
      <c r="E266" s="261"/>
      <c r="F266" s="261"/>
    </row>
    <row r="267" s="245" customFormat="1" spans="1:6">
      <c r="A267" s="273"/>
      <c r="B267" s="274"/>
      <c r="C267" s="274"/>
      <c r="D267" s="261"/>
      <c r="E267" s="261"/>
      <c r="F267" s="261"/>
    </row>
    <row r="268" s="245" customFormat="1" spans="1:6">
      <c r="A268" s="273"/>
      <c r="B268" s="274"/>
      <c r="C268" s="274"/>
      <c r="D268" s="261"/>
      <c r="E268" s="261"/>
      <c r="F268" s="261"/>
    </row>
    <row r="269" s="245" customFormat="1" spans="1:6">
      <c r="A269" s="273"/>
      <c r="B269" s="274"/>
      <c r="C269" s="274"/>
      <c r="D269" s="261"/>
      <c r="E269" s="261"/>
      <c r="F269" s="261"/>
    </row>
    <row r="270" s="245" customFormat="1" spans="1:6">
      <c r="A270" s="273"/>
      <c r="B270" s="274"/>
      <c r="C270" s="274"/>
      <c r="D270" s="261"/>
      <c r="E270" s="261"/>
      <c r="F270" s="261"/>
    </row>
    <row r="271" s="245" customFormat="1" spans="1:6">
      <c r="A271" s="273"/>
      <c r="B271" s="274"/>
      <c r="C271" s="274"/>
      <c r="D271" s="261"/>
      <c r="E271" s="261"/>
      <c r="F271" s="261"/>
    </row>
    <row r="272" s="245" customFormat="1" spans="1:6">
      <c r="A272" s="273"/>
      <c r="B272" s="274"/>
      <c r="C272" s="274"/>
      <c r="D272" s="261"/>
      <c r="E272" s="261"/>
      <c r="F272" s="261"/>
    </row>
    <row r="273" s="245" customFormat="1" spans="1:6">
      <c r="A273" s="273"/>
      <c r="B273" s="274"/>
      <c r="C273" s="274"/>
      <c r="D273" s="261"/>
      <c r="E273" s="261"/>
      <c r="F273" s="261"/>
    </row>
    <row r="274" s="245" customFormat="1" spans="1:6">
      <c r="A274" s="273"/>
      <c r="B274" s="274"/>
      <c r="C274" s="274"/>
      <c r="D274" s="261"/>
      <c r="E274" s="261"/>
      <c r="F274" s="261"/>
    </row>
    <row r="275" s="245" customFormat="1" spans="1:6">
      <c r="A275" s="273"/>
      <c r="B275" s="274"/>
      <c r="C275" s="274"/>
      <c r="D275" s="261"/>
      <c r="E275" s="261"/>
      <c r="F275" s="261"/>
    </row>
    <row r="276" s="245" customFormat="1" spans="1:6">
      <c r="A276" s="273"/>
      <c r="B276" s="274"/>
      <c r="C276" s="274"/>
      <c r="D276" s="261"/>
      <c r="E276" s="261"/>
      <c r="F276" s="261"/>
    </row>
    <row r="277" s="245" customFormat="1" spans="1:6">
      <c r="A277" s="273"/>
      <c r="B277" s="274"/>
      <c r="C277" s="274"/>
      <c r="D277" s="261"/>
      <c r="E277" s="261"/>
      <c r="F277" s="261"/>
    </row>
    <row r="278" s="245" customFormat="1" spans="1:6">
      <c r="A278" s="273"/>
      <c r="B278" s="274"/>
      <c r="C278" s="274"/>
      <c r="D278" s="261"/>
      <c r="E278" s="261"/>
      <c r="F278" s="261"/>
    </row>
    <row r="279" s="245" customFormat="1" spans="1:6">
      <c r="A279" s="273"/>
      <c r="B279" s="274"/>
      <c r="C279" s="274"/>
      <c r="D279" s="261"/>
      <c r="E279" s="261"/>
      <c r="F279" s="261"/>
    </row>
    <row r="280" s="245" customFormat="1" spans="1:6">
      <c r="A280" s="273"/>
      <c r="B280" s="274"/>
      <c r="C280" s="274"/>
      <c r="D280" s="261"/>
      <c r="E280" s="261"/>
      <c r="F280" s="261"/>
    </row>
    <row r="281" s="245" customFormat="1" spans="1:6">
      <c r="A281" s="273"/>
      <c r="B281" s="274"/>
      <c r="C281" s="274"/>
      <c r="D281" s="261"/>
      <c r="E281" s="261"/>
      <c r="F281" s="261"/>
    </row>
    <row r="282" s="245" customFormat="1" spans="1:6">
      <c r="A282" s="273"/>
      <c r="B282" s="274"/>
      <c r="C282" s="274"/>
      <c r="D282" s="261"/>
      <c r="E282" s="261"/>
      <c r="F282" s="261"/>
    </row>
    <row r="283" s="245" customFormat="1" spans="1:6">
      <c r="A283" s="273"/>
      <c r="B283" s="274"/>
      <c r="C283" s="274"/>
      <c r="D283" s="261"/>
      <c r="E283" s="261"/>
      <c r="F283" s="261"/>
    </row>
    <row r="284" s="245" customFormat="1" spans="1:6">
      <c r="A284" s="273"/>
      <c r="B284" s="274"/>
      <c r="C284" s="274"/>
      <c r="D284" s="261"/>
      <c r="E284" s="261"/>
      <c r="F284" s="261"/>
    </row>
    <row r="285" s="245" customFormat="1" spans="1:6">
      <c r="A285" s="273"/>
      <c r="B285" s="274"/>
      <c r="C285" s="274"/>
      <c r="D285" s="261"/>
      <c r="E285" s="261"/>
      <c r="F285" s="261"/>
    </row>
    <row r="286" s="245" customFormat="1" spans="1:6">
      <c r="A286" s="273"/>
      <c r="B286" s="274"/>
      <c r="C286" s="274"/>
      <c r="D286" s="261"/>
      <c r="E286" s="261"/>
      <c r="F286" s="261"/>
    </row>
    <row r="287" s="245" customFormat="1" ht="17.6" spans="1:6">
      <c r="A287" s="273"/>
      <c r="B287" s="274"/>
      <c r="C287" s="274"/>
      <c r="D287" s="261"/>
      <c r="E287" s="261"/>
      <c r="F287" s="261"/>
    </row>
    <row r="288" s="245" customFormat="1" ht="17.6" spans="1:6">
      <c r="A288" s="273"/>
      <c r="B288" s="274"/>
      <c r="C288" s="274"/>
      <c r="D288" s="261"/>
      <c r="E288" s="261"/>
      <c r="F288" s="261"/>
    </row>
    <row r="289" s="245" customFormat="1" ht="17.6" spans="1:6">
      <c r="A289" s="273"/>
      <c r="B289" s="274"/>
      <c r="C289" s="274"/>
      <c r="D289" s="261"/>
      <c r="E289" s="261"/>
      <c r="F289" s="261"/>
    </row>
    <row r="290" s="245" customFormat="1" ht="17.6" spans="1:6">
      <c r="A290" s="273"/>
      <c r="B290" s="274"/>
      <c r="C290" s="274"/>
      <c r="D290" s="261"/>
      <c r="E290" s="261"/>
      <c r="F290" s="261"/>
    </row>
    <row r="291" s="245" customFormat="1" ht="17.6" spans="1:6">
      <c r="A291" s="273"/>
      <c r="B291" s="274"/>
      <c r="C291" s="274"/>
      <c r="D291" s="261"/>
      <c r="E291" s="261"/>
      <c r="F291" s="261"/>
    </row>
    <row r="292" s="245" customFormat="1" ht="17.6" spans="1:6">
      <c r="A292" s="273"/>
      <c r="B292" s="274"/>
      <c r="C292" s="274"/>
      <c r="D292" s="261"/>
      <c r="E292" s="261"/>
      <c r="F292" s="261"/>
    </row>
    <row r="293" s="245" customFormat="1" ht="17.6" spans="1:6">
      <c r="A293" s="273"/>
      <c r="B293" s="274"/>
      <c r="C293" s="274"/>
      <c r="D293" s="261"/>
      <c r="E293" s="261"/>
      <c r="F293" s="261"/>
    </row>
    <row r="294" s="245" customFormat="1" ht="17.6" spans="1:6">
      <c r="A294" s="273"/>
      <c r="B294" s="274"/>
      <c r="C294" s="274"/>
      <c r="D294" s="261"/>
      <c r="E294" s="261"/>
      <c r="F294" s="261"/>
    </row>
    <row r="295" s="245" customFormat="1" ht="17.6" spans="1:6">
      <c r="A295" s="273"/>
      <c r="B295" s="274"/>
      <c r="C295" s="274"/>
      <c r="D295" s="261"/>
      <c r="E295" s="261"/>
      <c r="F295" s="261"/>
    </row>
    <row r="296" s="245" customFormat="1" ht="17.6" spans="1:6">
      <c r="A296" s="273"/>
      <c r="B296" s="274"/>
      <c r="C296" s="274"/>
      <c r="D296" s="261"/>
      <c r="E296" s="261"/>
      <c r="F296" s="261"/>
    </row>
    <row r="297" s="245" customFormat="1" ht="17.6" spans="1:6">
      <c r="A297" s="273"/>
      <c r="B297" s="274"/>
      <c r="C297" s="274"/>
      <c r="D297" s="261"/>
      <c r="E297" s="261"/>
      <c r="F297" s="261"/>
    </row>
    <row r="298" s="245" customFormat="1" ht="17.6" spans="1:6">
      <c r="A298" s="273"/>
      <c r="B298" s="274"/>
      <c r="C298" s="274"/>
      <c r="D298" s="261"/>
      <c r="E298" s="261"/>
      <c r="F298" s="261"/>
    </row>
    <row r="299" s="245" customFormat="1" ht="17.6" spans="1:6">
      <c r="A299" s="273"/>
      <c r="B299" s="274"/>
      <c r="C299" s="274"/>
      <c r="D299" s="261"/>
      <c r="E299" s="261"/>
      <c r="F299" s="261"/>
    </row>
    <row r="300" s="245" customFormat="1" ht="17.6" spans="1:6">
      <c r="A300" s="273"/>
      <c r="B300" s="274"/>
      <c r="C300" s="274"/>
      <c r="D300" s="261"/>
      <c r="E300" s="261"/>
      <c r="F300" s="261"/>
    </row>
    <row r="301" s="245" customFormat="1" ht="17.6" spans="1:6">
      <c r="A301" s="273"/>
      <c r="B301" s="274"/>
      <c r="C301" s="274"/>
      <c r="D301" s="261"/>
      <c r="E301" s="261"/>
      <c r="F301" s="261"/>
    </row>
    <row r="302" s="245" customFormat="1" ht="17.6" spans="1:6">
      <c r="A302" s="273"/>
      <c r="B302" s="274"/>
      <c r="C302" s="274"/>
      <c r="D302" s="261"/>
      <c r="E302" s="261"/>
      <c r="F302" s="261"/>
    </row>
    <row r="303" s="245" customFormat="1" ht="17.6" spans="1:6">
      <c r="A303" s="273"/>
      <c r="B303" s="274"/>
      <c r="C303" s="274"/>
      <c r="D303" s="261"/>
      <c r="E303" s="261"/>
      <c r="F303" s="261"/>
    </row>
    <row r="304" s="245" customFormat="1" ht="17.6" spans="1:6">
      <c r="A304" s="273"/>
      <c r="B304" s="274"/>
      <c r="C304" s="274"/>
      <c r="D304" s="261"/>
      <c r="E304" s="261"/>
      <c r="F304" s="261"/>
    </row>
    <row r="305" s="245" customFormat="1" ht="17.6" spans="1:6">
      <c r="A305" s="273"/>
      <c r="B305" s="274"/>
      <c r="C305" s="274"/>
      <c r="D305" s="261"/>
      <c r="E305" s="261"/>
      <c r="F305" s="261"/>
    </row>
    <row r="306" s="245" customFormat="1" ht="17.6" spans="1:6">
      <c r="A306" s="273"/>
      <c r="B306" s="274"/>
      <c r="C306" s="274"/>
      <c r="D306" s="261"/>
      <c r="E306" s="261"/>
      <c r="F306" s="261"/>
    </row>
    <row r="307" s="245" customFormat="1" ht="17.6" spans="1:6">
      <c r="A307" s="273"/>
      <c r="B307" s="274"/>
      <c r="C307" s="274"/>
      <c r="D307" s="261"/>
      <c r="E307" s="261"/>
      <c r="F307" s="261"/>
    </row>
    <row r="308" s="245" customFormat="1" ht="17.6" spans="1:6">
      <c r="A308" s="278"/>
      <c r="B308" s="274"/>
      <c r="C308" s="279"/>
      <c r="D308" s="261"/>
      <c r="E308" s="280"/>
      <c r="F308" s="280"/>
    </row>
    <row r="309" s="245" customFormat="1" spans="1:6">
      <c r="A309" s="247"/>
      <c r="C309" s="246"/>
      <c r="E309" s="281">
        <f>SUM(F2:F308)</f>
        <v>0</v>
      </c>
      <c r="F309" s="282"/>
    </row>
    <row r="310" s="245" customFormat="1" spans="1:3">
      <c r="A310" s="247"/>
      <c r="C310" s="246"/>
    </row>
    <row r="311" s="245" customFormat="1" spans="1:3">
      <c r="A311" s="247"/>
      <c r="C311" s="246"/>
    </row>
    <row r="312" s="245" customFormat="1" spans="1:3">
      <c r="A312" s="247"/>
      <c r="C312" s="246"/>
    </row>
    <row r="313" s="245" customFormat="1" spans="1:3">
      <c r="A313" s="247"/>
      <c r="C313" s="246"/>
    </row>
    <row r="314" s="245" customFormat="1" spans="1:3">
      <c r="A314" s="247"/>
      <c r="C314" s="246"/>
    </row>
    <row r="315" s="245" customFormat="1" spans="1:3">
      <c r="A315" s="247"/>
      <c r="C315" s="246"/>
    </row>
    <row r="316" s="245" customFormat="1" spans="1:3">
      <c r="A316" s="247"/>
      <c r="C316" s="246"/>
    </row>
    <row r="317" s="245" customFormat="1" spans="1:3">
      <c r="A317" s="247"/>
      <c r="C317" s="246"/>
    </row>
    <row r="318" s="245" customFormat="1" spans="1:3">
      <c r="A318" s="247"/>
      <c r="C318" s="246"/>
    </row>
    <row r="319" s="245" customFormat="1" spans="1:3">
      <c r="A319" s="247"/>
      <c r="C319" s="246"/>
    </row>
    <row r="320" s="245" customFormat="1" spans="1:3">
      <c r="A320" s="247"/>
      <c r="C320" s="246"/>
    </row>
    <row r="321" s="245" customFormat="1" spans="1:3">
      <c r="A321" s="247"/>
      <c r="C321" s="246"/>
    </row>
    <row r="322" s="245" customFormat="1" spans="1:3">
      <c r="A322" s="247"/>
      <c r="C322" s="246"/>
    </row>
    <row r="323" s="245" customFormat="1" spans="1:3">
      <c r="A323" s="247"/>
      <c r="C323" s="246"/>
    </row>
    <row r="324" s="245" customFormat="1" spans="1:3">
      <c r="A324" s="247"/>
      <c r="C324" s="246"/>
    </row>
    <row r="325" s="245" customFormat="1" spans="1:3">
      <c r="A325" s="247"/>
      <c r="C325" s="246"/>
    </row>
    <row r="326" s="245" customFormat="1" spans="1:3">
      <c r="A326" s="247"/>
      <c r="C326" s="246"/>
    </row>
    <row r="327" s="245" customFormat="1" spans="1:3">
      <c r="A327" s="247"/>
      <c r="C327" s="246"/>
    </row>
    <row r="328" s="245" customFormat="1" spans="1:3">
      <c r="A328" s="247"/>
      <c r="C328" s="246"/>
    </row>
    <row r="329" s="245" customFormat="1" spans="1:3">
      <c r="A329" s="247"/>
      <c r="C329" s="246"/>
    </row>
    <row r="330" s="245" customFormat="1" spans="1:3">
      <c r="A330" s="247"/>
      <c r="C330" s="246"/>
    </row>
    <row r="331" s="245" customFormat="1" spans="1:3">
      <c r="A331" s="247"/>
      <c r="C331" s="246"/>
    </row>
    <row r="332" s="245" customFormat="1" spans="1:3">
      <c r="A332" s="247"/>
      <c r="C332" s="246"/>
    </row>
    <row r="333" s="245" customFormat="1" spans="1:3">
      <c r="A333" s="247"/>
      <c r="C333" s="246"/>
    </row>
    <row r="334" s="245" customFormat="1" spans="1:3">
      <c r="A334" s="247"/>
      <c r="C334" s="246"/>
    </row>
    <row r="335" s="245" customFormat="1" spans="1:3">
      <c r="A335" s="247"/>
      <c r="C335" s="246"/>
    </row>
    <row r="336" s="245" customFormat="1" spans="1:3">
      <c r="A336" s="247"/>
      <c r="C336" s="246"/>
    </row>
    <row r="337" s="245" customFormat="1" spans="1:3">
      <c r="A337" s="247"/>
      <c r="C337" s="246"/>
    </row>
    <row r="338" s="245" customFormat="1" spans="1:3">
      <c r="A338" s="247"/>
      <c r="C338" s="246"/>
    </row>
    <row r="339" s="245" customFormat="1" spans="1:3">
      <c r="A339" s="247"/>
      <c r="C339" s="246"/>
    </row>
    <row r="340" s="245" customFormat="1" spans="1:3">
      <c r="A340" s="247"/>
      <c r="C340" s="246"/>
    </row>
    <row r="341" s="245" customFormat="1" spans="1:3">
      <c r="A341" s="247"/>
      <c r="C341" s="246"/>
    </row>
    <row r="342" s="245" customFormat="1" spans="1:3">
      <c r="A342" s="247"/>
      <c r="C342" s="246"/>
    </row>
    <row r="343" s="245" customFormat="1" spans="1:3">
      <c r="A343" s="247"/>
      <c r="C343" s="246"/>
    </row>
    <row r="344" s="245" customFormat="1" spans="1:3">
      <c r="A344" s="247"/>
      <c r="C344" s="246"/>
    </row>
    <row r="345" s="245" customFormat="1" spans="1:3">
      <c r="A345" s="247"/>
      <c r="C345" s="246"/>
    </row>
    <row r="346" s="245" customFormat="1" spans="1:3">
      <c r="A346" s="247"/>
      <c r="C346" s="246"/>
    </row>
    <row r="347" s="245" customFormat="1" spans="1:3">
      <c r="A347" s="247"/>
      <c r="C347" s="246"/>
    </row>
    <row r="348" s="245" customFormat="1" spans="1:3">
      <c r="A348" s="247"/>
      <c r="C348" s="246"/>
    </row>
    <row r="349" s="245" customFormat="1" spans="1:3">
      <c r="A349" s="247"/>
      <c r="C349" s="246"/>
    </row>
    <row r="350" s="245" customFormat="1" spans="1:3">
      <c r="A350" s="247"/>
      <c r="C350" s="246"/>
    </row>
    <row r="351" s="245" customFormat="1" spans="1:3">
      <c r="A351" s="247"/>
      <c r="C351" s="246"/>
    </row>
    <row r="352" s="245" customFormat="1" spans="1:3">
      <c r="A352" s="247"/>
      <c r="C352" s="246"/>
    </row>
    <row r="353" s="245" customFormat="1" spans="1:3">
      <c r="A353" s="247"/>
      <c r="C353" s="246"/>
    </row>
    <row r="354" s="245" customFormat="1" spans="1:3">
      <c r="A354" s="247"/>
      <c r="C354" s="246"/>
    </row>
    <row r="355" s="245" customFormat="1" spans="1:3">
      <c r="A355" s="247"/>
      <c r="C355" s="246"/>
    </row>
    <row r="356" s="245" customFormat="1" spans="1:3">
      <c r="A356" s="247"/>
      <c r="C356" s="246"/>
    </row>
    <row r="357" s="245" customFormat="1" spans="1:3">
      <c r="A357" s="247"/>
      <c r="C357" s="246"/>
    </row>
    <row r="358" s="245" customFormat="1" spans="1:3">
      <c r="A358" s="247"/>
      <c r="C358" s="246"/>
    </row>
    <row r="359" s="245" customFormat="1" spans="1:3">
      <c r="A359" s="247"/>
      <c r="C359" s="246"/>
    </row>
    <row r="360" s="245" customFormat="1" spans="1:3">
      <c r="A360" s="247"/>
      <c r="C360" s="246"/>
    </row>
    <row r="361" s="245" customFormat="1" spans="1:3">
      <c r="A361" s="247"/>
      <c r="C361" s="246"/>
    </row>
    <row r="362" s="245" customFormat="1" spans="1:3">
      <c r="A362" s="247"/>
      <c r="C362" s="246"/>
    </row>
    <row r="363" s="245" customFormat="1" spans="1:3">
      <c r="A363" s="247"/>
      <c r="C363" s="246"/>
    </row>
    <row r="364" s="245" customFormat="1" spans="1:3">
      <c r="A364" s="247"/>
      <c r="C364" s="246"/>
    </row>
    <row r="365" s="245" customFormat="1" spans="1:3">
      <c r="A365" s="247"/>
      <c r="C365" s="246"/>
    </row>
    <row r="366" s="245" customFormat="1" spans="1:3">
      <c r="A366" s="247"/>
      <c r="C366" s="246"/>
    </row>
    <row r="367" s="245" customFormat="1" spans="1:3">
      <c r="A367" s="247"/>
      <c r="C367" s="246"/>
    </row>
    <row r="368" s="245" customFormat="1" spans="1:3">
      <c r="A368" s="247"/>
      <c r="C368" s="246"/>
    </row>
    <row r="369" s="245" customFormat="1" spans="1:3">
      <c r="A369" s="247"/>
      <c r="C369" s="246"/>
    </row>
    <row r="370" s="245" customFormat="1" spans="1:3">
      <c r="A370" s="247"/>
      <c r="C370" s="246"/>
    </row>
    <row r="371" s="245" customFormat="1" spans="1:3">
      <c r="A371" s="247"/>
      <c r="C371" s="246"/>
    </row>
    <row r="372" s="245" customFormat="1" spans="1:3">
      <c r="A372" s="247"/>
      <c r="C372" s="246"/>
    </row>
    <row r="373" s="245" customFormat="1" spans="1:3">
      <c r="A373" s="247"/>
      <c r="C373" s="246"/>
    </row>
    <row r="374" s="245" customFormat="1" spans="1:3">
      <c r="A374" s="247"/>
      <c r="C374" s="246"/>
    </row>
    <row r="375" s="245" customFormat="1" spans="1:3">
      <c r="A375" s="247"/>
      <c r="C375" s="246"/>
    </row>
    <row r="376" s="245" customFormat="1" spans="1:3">
      <c r="A376" s="247"/>
      <c r="C376" s="246"/>
    </row>
    <row r="377" s="245" customFormat="1" spans="1:3">
      <c r="A377" s="247"/>
      <c r="C377" s="246"/>
    </row>
    <row r="378" s="245" customFormat="1" spans="1:3">
      <c r="A378" s="247"/>
      <c r="C378" s="246"/>
    </row>
    <row r="379" s="245" customFormat="1" spans="1:3">
      <c r="A379" s="247"/>
      <c r="C379" s="246"/>
    </row>
    <row r="380" s="245" customFormat="1" spans="1:3">
      <c r="A380" s="247"/>
      <c r="C380" s="246"/>
    </row>
    <row r="381" s="245" customFormat="1" spans="1:3">
      <c r="A381" s="247"/>
      <c r="C381" s="246"/>
    </row>
    <row r="382" s="245" customFormat="1" spans="1:3">
      <c r="A382" s="247"/>
      <c r="C382" s="246"/>
    </row>
    <row r="383" s="245" customFormat="1" spans="1:3">
      <c r="A383" s="247"/>
      <c r="C383" s="246"/>
    </row>
    <row r="384" s="245" customFormat="1" spans="1:3">
      <c r="A384" s="247"/>
      <c r="C384" s="246"/>
    </row>
    <row r="385" s="245" customFormat="1" spans="1:3">
      <c r="A385" s="247"/>
      <c r="C385" s="246"/>
    </row>
    <row r="386" s="245" customFormat="1" spans="1:3">
      <c r="A386" s="247"/>
      <c r="C386" s="246"/>
    </row>
    <row r="387" s="245" customFormat="1" spans="1:3">
      <c r="A387" s="247"/>
      <c r="C387" s="246"/>
    </row>
    <row r="388" s="245" customFormat="1" spans="1:3">
      <c r="A388" s="247"/>
      <c r="C388" s="246"/>
    </row>
    <row r="389" s="245" customFormat="1" spans="1:3">
      <c r="A389" s="247"/>
      <c r="C389" s="246"/>
    </row>
    <row r="390" s="245" customFormat="1" spans="1:3">
      <c r="A390" s="247"/>
      <c r="C390" s="246"/>
    </row>
    <row r="391" s="245" customFormat="1" spans="1:3">
      <c r="A391" s="247"/>
      <c r="C391" s="246"/>
    </row>
    <row r="392" s="245" customFormat="1" spans="1:3">
      <c r="A392" s="247"/>
      <c r="C392" s="246"/>
    </row>
    <row r="393" s="245" customFormat="1" spans="1:3">
      <c r="A393" s="247"/>
      <c r="C393" s="246"/>
    </row>
    <row r="394" s="245" customFormat="1" spans="1:3">
      <c r="A394" s="247"/>
      <c r="C394" s="246"/>
    </row>
    <row r="395" s="245" customFormat="1" spans="1:3">
      <c r="A395" s="247"/>
      <c r="C395" s="246"/>
    </row>
    <row r="396" s="245" customFormat="1" spans="1:3">
      <c r="A396" s="247"/>
      <c r="C396" s="246"/>
    </row>
    <row r="397" s="245" customFormat="1" spans="1:3">
      <c r="A397" s="247"/>
      <c r="C397" s="246"/>
    </row>
    <row r="398" s="245" customFormat="1" spans="1:3">
      <c r="A398" s="247"/>
      <c r="C398" s="246"/>
    </row>
    <row r="399" s="245" customFormat="1" spans="1:3">
      <c r="A399" s="247"/>
      <c r="C399" s="246"/>
    </row>
    <row r="400" s="245" customFormat="1" spans="1:3">
      <c r="A400" s="247"/>
      <c r="C400" s="246"/>
    </row>
    <row r="401" s="245" customFormat="1" spans="1:3">
      <c r="A401" s="247"/>
      <c r="C401" s="246"/>
    </row>
    <row r="402" s="245" customFormat="1" spans="1:3">
      <c r="A402" s="247"/>
      <c r="C402" s="246"/>
    </row>
    <row r="403" s="245" customFormat="1" spans="1:3">
      <c r="A403" s="247"/>
      <c r="C403" s="246"/>
    </row>
    <row r="404" s="245" customFormat="1" spans="1:3">
      <c r="A404" s="247"/>
      <c r="C404" s="246"/>
    </row>
    <row r="405" s="245" customFormat="1" spans="1:3">
      <c r="A405" s="247"/>
      <c r="C405" s="246"/>
    </row>
    <row r="406" s="245" customFormat="1" spans="1:3">
      <c r="A406" s="247"/>
      <c r="C406" s="246"/>
    </row>
    <row r="407" s="245" customFormat="1" spans="1:3">
      <c r="A407" s="247"/>
      <c r="C407" s="246"/>
    </row>
    <row r="408" s="245" customFormat="1" spans="1:3">
      <c r="A408" s="247"/>
      <c r="C408" s="246"/>
    </row>
    <row r="409" s="245" customFormat="1" spans="1:3">
      <c r="A409" s="247"/>
      <c r="C409" s="246"/>
    </row>
    <row r="410" s="245" customFormat="1" spans="1:3">
      <c r="A410" s="247"/>
      <c r="C410" s="246"/>
    </row>
    <row r="411" s="245" customFormat="1" spans="1:3">
      <c r="A411" s="247"/>
      <c r="C411" s="246"/>
    </row>
    <row r="412" s="245" customFormat="1" spans="1:7">
      <c r="A412" s="247"/>
      <c r="C412" s="246"/>
      <c r="G412" s="265"/>
    </row>
  </sheetData>
  <mergeCells count="1">
    <mergeCell ref="E309:F30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0"/>
  <sheetViews>
    <sheetView zoomScale="107" zoomScaleNormal="107" workbookViewId="0">
      <pane ySplit="1" topLeftCell="A2" activePane="bottomLeft" state="frozen"/>
      <selection/>
      <selection pane="bottomLeft" activeCell="B9" sqref="B9"/>
    </sheetView>
  </sheetViews>
  <sheetFormatPr defaultColWidth="9.140625" defaultRowHeight="16.8"/>
  <cols>
    <col min="1" max="1" width="8.859375" style="246" customWidth="1"/>
    <col min="2" max="2" width="12.7109375" style="247" customWidth="1"/>
    <col min="3" max="3" width="45.859375" style="248" customWidth="1"/>
    <col min="4" max="4" width="6.8984375" style="249" customWidth="1"/>
    <col min="5" max="5" width="13.140625" style="250" customWidth="1"/>
    <col min="6" max="6" width="13.140625" style="245" customWidth="1"/>
    <col min="7" max="7" width="21.5078125" style="246" customWidth="1"/>
    <col min="8" max="8" width="14.1875" style="245"/>
    <col min="9" max="9" width="29.2890625" style="245" customWidth="1"/>
    <col min="10" max="10" width="12.859375" style="245"/>
    <col min="11" max="11" width="18.03125" style="245" customWidth="1"/>
    <col min="12" max="12" width="11.4296875" style="245"/>
    <col min="13" max="15" width="10.2890625" style="245"/>
    <col min="16" max="16384" width="9.140625" style="245"/>
  </cols>
  <sheetData>
    <row r="1" s="245" customFormat="1" ht="17.6" spans="1:8">
      <c r="A1" s="251" t="s">
        <v>6</v>
      </c>
      <c r="B1" s="252" t="s">
        <v>0</v>
      </c>
      <c r="C1" s="253" t="s">
        <v>1</v>
      </c>
      <c r="D1" s="254" t="s">
        <v>2</v>
      </c>
      <c r="E1" s="259" t="s">
        <v>3</v>
      </c>
      <c r="F1" s="253" t="s">
        <v>7</v>
      </c>
      <c r="G1" s="253" t="s">
        <v>8</v>
      </c>
      <c r="H1" s="260">
        <f>SUM(G:G)</f>
        <v>0</v>
      </c>
    </row>
    <row r="2" s="245" customFormat="1" spans="1:7">
      <c r="A2" s="255"/>
      <c r="B2" s="256"/>
      <c r="C2" s="257"/>
      <c r="D2" s="255"/>
      <c r="E2" s="261"/>
      <c r="F2" s="261"/>
      <c r="G2" s="262"/>
    </row>
    <row r="3" s="245" customFormat="1" spans="1:7">
      <c r="A3" s="255"/>
      <c r="B3" s="256"/>
      <c r="C3" s="257"/>
      <c r="D3" s="255"/>
      <c r="E3" s="261"/>
      <c r="F3" s="261"/>
      <c r="G3" s="262"/>
    </row>
    <row r="4" s="245" customFormat="1" spans="1:7">
      <c r="A4" s="255"/>
      <c r="B4" s="256"/>
      <c r="C4" s="257"/>
      <c r="D4" s="255"/>
      <c r="E4" s="261"/>
      <c r="F4" s="261"/>
      <c r="G4" s="262"/>
    </row>
    <row r="5" s="245" customFormat="1" spans="1:7">
      <c r="A5" s="210"/>
      <c r="B5" s="256"/>
      <c r="C5" s="257"/>
      <c r="D5" s="255"/>
      <c r="E5" s="261"/>
      <c r="F5" s="261"/>
      <c r="G5" s="262"/>
    </row>
    <row r="6" s="245" customFormat="1" spans="1:7">
      <c r="A6" s="210"/>
      <c r="B6" s="256"/>
      <c r="C6" s="257"/>
      <c r="D6" s="255"/>
      <c r="E6" s="261"/>
      <c r="F6" s="261"/>
      <c r="G6" s="262"/>
    </row>
    <row r="7" s="245" customFormat="1" spans="1:7">
      <c r="A7" s="210"/>
      <c r="B7" s="256"/>
      <c r="C7" s="257"/>
      <c r="D7" s="255"/>
      <c r="E7" s="261"/>
      <c r="F7" s="261"/>
      <c r="G7" s="262"/>
    </row>
    <row r="8" s="245" customFormat="1" spans="1:7">
      <c r="A8" s="210"/>
      <c r="B8" s="256"/>
      <c r="C8" s="257"/>
      <c r="D8" s="255"/>
      <c r="E8" s="261"/>
      <c r="F8" s="261"/>
      <c r="G8" s="262"/>
    </row>
    <row r="9" s="245" customFormat="1" spans="1:7">
      <c r="A9" s="210"/>
      <c r="B9" s="256"/>
      <c r="C9" s="257"/>
      <c r="D9" s="255"/>
      <c r="E9" s="261"/>
      <c r="F9" s="261"/>
      <c r="G9" s="262"/>
    </row>
    <row r="10" s="245" customFormat="1" spans="1:7">
      <c r="A10" s="210"/>
      <c r="B10" s="256"/>
      <c r="C10" s="257"/>
      <c r="D10" s="255"/>
      <c r="E10" s="261"/>
      <c r="F10" s="261"/>
      <c r="G10" s="262"/>
    </row>
    <row r="11" s="245" customFormat="1" spans="1:7">
      <c r="A11" s="210"/>
      <c r="B11" s="256"/>
      <c r="C11" s="257"/>
      <c r="D11" s="255"/>
      <c r="E11" s="261"/>
      <c r="F11" s="261"/>
      <c r="G11" s="262"/>
    </row>
    <row r="12" s="245" customFormat="1" spans="1:7">
      <c r="A12" s="210"/>
      <c r="B12" s="256"/>
      <c r="C12" s="258"/>
      <c r="D12" s="255"/>
      <c r="E12" s="261"/>
      <c r="F12" s="261"/>
      <c r="G12" s="262"/>
    </row>
    <row r="13" s="245" customFormat="1" spans="1:7">
      <c r="A13" s="210"/>
      <c r="B13" s="256"/>
      <c r="C13" s="257"/>
      <c r="D13" s="255"/>
      <c r="E13" s="261"/>
      <c r="F13" s="261"/>
      <c r="G13" s="262"/>
    </row>
    <row r="14" s="245" customFormat="1" spans="1:7">
      <c r="A14" s="210"/>
      <c r="B14" s="256"/>
      <c r="C14" s="257"/>
      <c r="D14" s="255"/>
      <c r="E14" s="261"/>
      <c r="F14" s="261"/>
      <c r="G14" s="262"/>
    </row>
    <row r="15" s="245" customFormat="1" spans="1:7">
      <c r="A15" s="210"/>
      <c r="B15" s="256"/>
      <c r="C15" s="258"/>
      <c r="D15" s="255"/>
      <c r="E15" s="261"/>
      <c r="F15" s="261"/>
      <c r="G15" s="262"/>
    </row>
    <row r="16" s="245" customFormat="1" spans="1:7">
      <c r="A16" s="210"/>
      <c r="B16" s="256"/>
      <c r="C16" s="258"/>
      <c r="D16" s="255"/>
      <c r="E16" s="261"/>
      <c r="F16" s="261"/>
      <c r="G16" s="262"/>
    </row>
    <row r="17" s="245" customFormat="1" spans="1:7">
      <c r="A17" s="210"/>
      <c r="B17" s="256"/>
      <c r="C17" s="258"/>
      <c r="D17" s="255"/>
      <c r="E17" s="261"/>
      <c r="F17" s="261"/>
      <c r="G17" s="262"/>
    </row>
    <row r="18" s="245" customFormat="1" spans="1:7">
      <c r="A18" s="210"/>
      <c r="B18" s="256"/>
      <c r="C18" s="258"/>
      <c r="D18" s="255"/>
      <c r="E18" s="261"/>
      <c r="F18" s="261"/>
      <c r="G18" s="262"/>
    </row>
    <row r="19" s="245" customFormat="1" spans="1:7">
      <c r="A19" s="210"/>
      <c r="B19" s="256"/>
      <c r="C19" s="257"/>
      <c r="D19" s="255"/>
      <c r="E19" s="261"/>
      <c r="F19" s="261"/>
      <c r="G19" s="262"/>
    </row>
    <row r="20" s="245" customFormat="1" spans="1:7">
      <c r="A20" s="210"/>
      <c r="B20" s="256"/>
      <c r="C20" s="257"/>
      <c r="D20" s="255"/>
      <c r="E20" s="261"/>
      <c r="F20" s="261"/>
      <c r="G20" s="262"/>
    </row>
    <row r="21" s="245" customFormat="1" spans="1:7">
      <c r="A21" s="210"/>
      <c r="B21" s="256"/>
      <c r="C21" s="257"/>
      <c r="D21" s="255"/>
      <c r="E21" s="261"/>
      <c r="F21" s="261"/>
      <c r="G21" s="262"/>
    </row>
    <row r="22" s="245" customFormat="1" spans="1:7">
      <c r="A22" s="210"/>
      <c r="B22" s="256"/>
      <c r="C22" s="257"/>
      <c r="D22" s="255"/>
      <c r="E22" s="261"/>
      <c r="F22" s="261"/>
      <c r="G22" s="262"/>
    </row>
    <row r="23" s="245" customFormat="1" spans="1:7">
      <c r="A23" s="210"/>
      <c r="B23" s="256"/>
      <c r="C23" s="258"/>
      <c r="D23" s="255"/>
      <c r="E23" s="261"/>
      <c r="F23" s="261"/>
      <c r="G23" s="262"/>
    </row>
    <row r="24" s="245" customFormat="1" spans="1:7">
      <c r="A24" s="210"/>
      <c r="B24" s="256"/>
      <c r="C24" s="257"/>
      <c r="D24" s="255"/>
      <c r="E24" s="261"/>
      <c r="F24" s="261"/>
      <c r="G24" s="262"/>
    </row>
    <row r="25" s="245" customFormat="1" spans="1:7">
      <c r="A25" s="210"/>
      <c r="B25" s="256"/>
      <c r="C25" s="257"/>
      <c r="D25" s="255"/>
      <c r="E25" s="261"/>
      <c r="F25" s="261"/>
      <c r="G25" s="262"/>
    </row>
    <row r="26" s="245" customFormat="1" spans="1:7">
      <c r="A26" s="210"/>
      <c r="B26" s="256"/>
      <c r="C26" s="258"/>
      <c r="D26" s="255"/>
      <c r="E26" s="261"/>
      <c r="F26" s="261"/>
      <c r="G26" s="262"/>
    </row>
    <row r="27" s="245" customFormat="1" spans="1:7">
      <c r="A27" s="210"/>
      <c r="B27" s="256"/>
      <c r="C27" s="257"/>
      <c r="D27" s="255"/>
      <c r="E27" s="261"/>
      <c r="F27" s="261"/>
      <c r="G27" s="262"/>
    </row>
    <row r="28" s="245" customFormat="1" spans="1:7">
      <c r="A28" s="210"/>
      <c r="B28" s="256"/>
      <c r="C28" s="257"/>
      <c r="D28" s="255"/>
      <c r="E28" s="261"/>
      <c r="F28" s="261"/>
      <c r="G28" s="262"/>
    </row>
    <row r="29" s="245" customFormat="1" spans="1:7">
      <c r="A29" s="210"/>
      <c r="B29" s="256"/>
      <c r="C29" s="257"/>
      <c r="D29" s="255"/>
      <c r="E29" s="261"/>
      <c r="F29" s="261"/>
      <c r="G29" s="262"/>
    </row>
    <row r="30" s="245" customFormat="1" spans="1:7">
      <c r="A30" s="210"/>
      <c r="B30" s="256"/>
      <c r="C30" s="257"/>
      <c r="D30" s="255"/>
      <c r="E30" s="261"/>
      <c r="F30" s="261"/>
      <c r="G30" s="262"/>
    </row>
    <row r="31" s="245" customFormat="1" spans="1:7">
      <c r="A31" s="210"/>
      <c r="B31" s="256"/>
      <c r="C31" s="257"/>
      <c r="D31" s="255"/>
      <c r="E31" s="261"/>
      <c r="F31" s="261"/>
      <c r="G31" s="262"/>
    </row>
    <row r="32" s="245" customFormat="1" spans="1:7">
      <c r="A32" s="210"/>
      <c r="B32" s="256"/>
      <c r="C32" s="257"/>
      <c r="D32" s="255"/>
      <c r="E32" s="261"/>
      <c r="F32" s="261"/>
      <c r="G32" s="262"/>
    </row>
    <row r="33" s="245" customFormat="1" spans="1:7">
      <c r="A33" s="210"/>
      <c r="B33" s="256"/>
      <c r="C33" s="257"/>
      <c r="D33" s="255"/>
      <c r="E33" s="261"/>
      <c r="F33" s="261"/>
      <c r="G33" s="263"/>
    </row>
    <row r="34" s="245" customFormat="1" spans="1:7">
      <c r="A34" s="210"/>
      <c r="B34" s="256"/>
      <c r="C34" s="257"/>
      <c r="D34" s="255"/>
      <c r="E34" s="261"/>
      <c r="F34" s="261"/>
      <c r="G34" s="263"/>
    </row>
    <row r="35" s="245" customFormat="1" spans="1:7">
      <c r="A35" s="210"/>
      <c r="B35" s="256"/>
      <c r="C35" s="257"/>
      <c r="D35" s="255"/>
      <c r="E35" s="261"/>
      <c r="F35" s="261"/>
      <c r="G35" s="263"/>
    </row>
    <row r="36" s="245" customFormat="1" spans="1:7">
      <c r="A36" s="210"/>
      <c r="B36" s="256"/>
      <c r="C36" s="257"/>
      <c r="D36" s="255"/>
      <c r="E36" s="261"/>
      <c r="F36" s="261"/>
      <c r="G36" s="263"/>
    </row>
    <row r="37" s="245" customFormat="1" spans="1:7">
      <c r="A37" s="210"/>
      <c r="B37" s="256"/>
      <c r="C37" s="257"/>
      <c r="D37" s="255"/>
      <c r="E37" s="261"/>
      <c r="F37" s="261"/>
      <c r="G37" s="263"/>
    </row>
    <row r="38" s="245" customFormat="1" spans="1:7">
      <c r="A38" s="210"/>
      <c r="B38" s="256"/>
      <c r="C38" s="257"/>
      <c r="D38" s="255"/>
      <c r="E38" s="261"/>
      <c r="F38" s="261"/>
      <c r="G38" s="263"/>
    </row>
    <row r="39" s="245" customFormat="1" spans="1:7">
      <c r="A39" s="210"/>
      <c r="B39" s="256"/>
      <c r="C39" s="257"/>
      <c r="D39" s="255"/>
      <c r="E39" s="261"/>
      <c r="F39" s="261"/>
      <c r="G39" s="263"/>
    </row>
    <row r="40" s="245" customFormat="1" spans="1:7">
      <c r="A40" s="210"/>
      <c r="B40" s="256"/>
      <c r="C40" s="257"/>
      <c r="D40" s="255"/>
      <c r="E40" s="261"/>
      <c r="F40" s="261"/>
      <c r="G40" s="263"/>
    </row>
    <row r="41" s="245" customFormat="1" spans="1:7">
      <c r="A41" s="210"/>
      <c r="B41" s="256"/>
      <c r="C41" s="257"/>
      <c r="D41" s="255"/>
      <c r="E41" s="261"/>
      <c r="F41" s="261"/>
      <c r="G41" s="263"/>
    </row>
    <row r="42" s="245" customFormat="1" spans="1:7">
      <c r="A42" s="210"/>
      <c r="B42" s="256"/>
      <c r="C42" s="257"/>
      <c r="D42" s="255"/>
      <c r="E42" s="261"/>
      <c r="F42" s="261"/>
      <c r="G42" s="263"/>
    </row>
    <row r="43" s="245" customFormat="1" spans="1:7">
      <c r="A43" s="210"/>
      <c r="B43" s="256"/>
      <c r="C43" s="257"/>
      <c r="D43" s="255"/>
      <c r="E43" s="261"/>
      <c r="F43" s="261"/>
      <c r="G43" s="263"/>
    </row>
    <row r="44" s="245" customFormat="1" spans="1:7">
      <c r="A44" s="210"/>
      <c r="B44" s="256"/>
      <c r="C44" s="257"/>
      <c r="D44" s="255"/>
      <c r="E44" s="261"/>
      <c r="F44" s="261"/>
      <c r="G44" s="263"/>
    </row>
    <row r="45" s="245" customFormat="1" spans="1:7">
      <c r="A45" s="210"/>
      <c r="B45" s="256"/>
      <c r="C45" s="257"/>
      <c r="D45" s="255"/>
      <c r="E45" s="261"/>
      <c r="F45" s="261"/>
      <c r="G45" s="263"/>
    </row>
    <row r="46" s="245" customFormat="1" spans="1:7">
      <c r="A46" s="210"/>
      <c r="B46" s="256"/>
      <c r="C46" s="257"/>
      <c r="D46" s="255"/>
      <c r="E46" s="261"/>
      <c r="F46" s="261"/>
      <c r="G46" s="263"/>
    </row>
    <row r="47" s="245" customFormat="1" spans="1:7">
      <c r="A47" s="210"/>
      <c r="B47" s="256"/>
      <c r="C47" s="257"/>
      <c r="D47" s="255"/>
      <c r="E47" s="261"/>
      <c r="F47" s="261"/>
      <c r="G47" s="263"/>
    </row>
    <row r="48" s="245" customFormat="1" spans="1:7">
      <c r="A48" s="210"/>
      <c r="B48" s="256"/>
      <c r="C48" s="257"/>
      <c r="D48" s="255"/>
      <c r="E48" s="261"/>
      <c r="F48" s="261"/>
      <c r="G48" s="263"/>
    </row>
    <row r="49" s="245" customFormat="1" spans="1:7">
      <c r="A49" s="210"/>
      <c r="B49" s="256"/>
      <c r="C49" s="257"/>
      <c r="D49" s="255"/>
      <c r="E49" s="261"/>
      <c r="F49" s="261"/>
      <c r="G49" s="263"/>
    </row>
    <row r="50" s="245" customFormat="1" spans="1:7">
      <c r="A50" s="210"/>
      <c r="B50" s="256"/>
      <c r="C50" s="257"/>
      <c r="D50" s="255"/>
      <c r="E50" s="261"/>
      <c r="F50" s="261"/>
      <c r="G50" s="263"/>
    </row>
    <row r="51" s="245" customFormat="1" spans="1:7">
      <c r="A51" s="210"/>
      <c r="B51" s="256"/>
      <c r="C51" s="257"/>
      <c r="D51" s="255"/>
      <c r="E51" s="261"/>
      <c r="F51" s="261"/>
      <c r="G51" s="263"/>
    </row>
    <row r="52" s="245" customFormat="1" spans="1:7">
      <c r="A52" s="210"/>
      <c r="B52" s="256"/>
      <c r="C52" s="257"/>
      <c r="D52" s="255"/>
      <c r="E52" s="261"/>
      <c r="F52" s="261"/>
      <c r="G52" s="263"/>
    </row>
    <row r="53" s="245" customFormat="1" spans="1:7">
      <c r="A53" s="210"/>
      <c r="B53" s="256"/>
      <c r="C53" s="257"/>
      <c r="D53" s="255"/>
      <c r="E53" s="261"/>
      <c r="F53" s="261"/>
      <c r="G53" s="263"/>
    </row>
    <row r="54" s="245" customFormat="1" spans="1:7">
      <c r="A54" s="210"/>
      <c r="B54" s="256"/>
      <c r="C54" s="258"/>
      <c r="D54" s="255"/>
      <c r="E54" s="261"/>
      <c r="F54" s="261"/>
      <c r="G54" s="263"/>
    </row>
    <row r="55" s="245" customFormat="1" spans="1:7">
      <c r="A55" s="210"/>
      <c r="B55" s="256"/>
      <c r="C55" s="257"/>
      <c r="D55" s="255"/>
      <c r="E55" s="261"/>
      <c r="F55" s="261"/>
      <c r="G55" s="263"/>
    </row>
    <row r="56" s="245" customFormat="1" spans="1:7">
      <c r="A56" s="210"/>
      <c r="B56" s="256"/>
      <c r="C56" s="257"/>
      <c r="D56" s="255"/>
      <c r="E56" s="261"/>
      <c r="F56" s="261"/>
      <c r="G56" s="263"/>
    </row>
    <row r="57" s="245" customFormat="1" spans="1:7">
      <c r="A57" s="210"/>
      <c r="B57" s="256"/>
      <c r="C57" s="257"/>
      <c r="D57" s="255"/>
      <c r="E57" s="261"/>
      <c r="F57" s="261"/>
      <c r="G57" s="263"/>
    </row>
    <row r="58" s="245" customFormat="1" spans="1:7">
      <c r="A58" s="210"/>
      <c r="B58" s="256"/>
      <c r="C58" s="257"/>
      <c r="D58" s="255"/>
      <c r="E58" s="261"/>
      <c r="F58" s="261"/>
      <c r="G58" s="263"/>
    </row>
    <row r="59" s="245" customFormat="1" spans="1:7">
      <c r="A59" s="210"/>
      <c r="B59" s="256"/>
      <c r="C59" s="257"/>
      <c r="D59" s="255"/>
      <c r="E59" s="261"/>
      <c r="F59" s="261"/>
      <c r="G59" s="263"/>
    </row>
    <row r="60" s="245" customFormat="1" spans="1:7">
      <c r="A60" s="210"/>
      <c r="B60" s="256"/>
      <c r="C60" s="257"/>
      <c r="D60" s="255"/>
      <c r="E60" s="261"/>
      <c r="F60" s="261"/>
      <c r="G60" s="263"/>
    </row>
    <row r="61" s="245" customFormat="1" spans="1:7">
      <c r="A61" s="210"/>
      <c r="B61" s="256"/>
      <c r="C61" s="257"/>
      <c r="D61" s="255"/>
      <c r="E61" s="261"/>
      <c r="F61" s="261"/>
      <c r="G61" s="263"/>
    </row>
    <row r="62" s="245" customFormat="1" spans="1:7">
      <c r="A62" s="210"/>
      <c r="B62" s="256"/>
      <c r="C62" s="257"/>
      <c r="D62" s="255"/>
      <c r="E62" s="261"/>
      <c r="F62" s="261"/>
      <c r="G62" s="263"/>
    </row>
    <row r="63" s="245" customFormat="1" spans="1:7">
      <c r="A63" s="210"/>
      <c r="B63" s="256"/>
      <c r="C63" s="257"/>
      <c r="D63" s="255"/>
      <c r="E63" s="261"/>
      <c r="F63" s="261"/>
      <c r="G63" s="263"/>
    </row>
    <row r="64" s="245" customFormat="1" spans="1:7">
      <c r="A64" s="210"/>
      <c r="B64" s="256"/>
      <c r="C64" s="257"/>
      <c r="D64" s="255"/>
      <c r="E64" s="261"/>
      <c r="F64" s="261"/>
      <c r="G64" s="263"/>
    </row>
    <row r="65" s="245" customFormat="1" spans="1:8">
      <c r="A65" s="210"/>
      <c r="B65" s="256"/>
      <c r="C65" s="257"/>
      <c r="D65" s="255"/>
      <c r="E65" s="261"/>
      <c r="F65" s="261"/>
      <c r="G65" s="263"/>
      <c r="H65" s="265"/>
    </row>
    <row r="66" s="245" customFormat="1" ht="17.6" spans="1:14">
      <c r="A66" s="210"/>
      <c r="B66" s="256"/>
      <c r="C66" s="257"/>
      <c r="D66" s="255"/>
      <c r="E66" s="261"/>
      <c r="F66" s="261"/>
      <c r="G66" s="263"/>
      <c r="H66" s="265"/>
      <c r="I66" s="267"/>
      <c r="J66" s="268"/>
      <c r="K66" s="269"/>
      <c r="L66" s="270"/>
      <c r="M66" s="270"/>
      <c r="N66" s="272"/>
    </row>
    <row r="67" s="245" customFormat="1" ht="17.6" spans="1:14">
      <c r="A67" s="210"/>
      <c r="B67" s="256"/>
      <c r="C67" s="257"/>
      <c r="D67" s="255"/>
      <c r="E67" s="261"/>
      <c r="F67" s="261"/>
      <c r="G67" s="263"/>
      <c r="I67" s="271"/>
      <c r="J67" s="268"/>
      <c r="K67" s="269"/>
      <c r="L67" s="270"/>
      <c r="M67" s="270"/>
      <c r="N67" s="270"/>
    </row>
    <row r="68" s="245" customFormat="1" ht="17.6" spans="1:14">
      <c r="A68" s="210"/>
      <c r="B68" s="256"/>
      <c r="C68" s="257"/>
      <c r="D68" s="255"/>
      <c r="E68" s="261"/>
      <c r="F68" s="261"/>
      <c r="G68" s="263"/>
      <c r="I68" s="271"/>
      <c r="J68" s="268"/>
      <c r="K68" s="269"/>
      <c r="L68" s="270"/>
      <c r="M68" s="270"/>
      <c r="N68" s="270"/>
    </row>
    <row r="69" s="245" customFormat="1" ht="17.6" spans="1:14">
      <c r="A69" s="210"/>
      <c r="B69" s="256"/>
      <c r="C69" s="257"/>
      <c r="D69" s="255"/>
      <c r="E69" s="261"/>
      <c r="F69" s="261"/>
      <c r="G69" s="263"/>
      <c r="I69" s="271"/>
      <c r="J69" s="268"/>
      <c r="K69" s="269"/>
      <c r="L69" s="270"/>
      <c r="M69" s="270"/>
      <c r="N69" s="270"/>
    </row>
    <row r="70" s="245" customFormat="1" spans="1:7">
      <c r="A70" s="210"/>
      <c r="B70" s="256"/>
      <c r="C70" s="257"/>
      <c r="D70" s="255"/>
      <c r="E70" s="261"/>
      <c r="F70" s="261"/>
      <c r="G70" s="263"/>
    </row>
    <row r="71" s="245" customFormat="1" spans="1:7">
      <c r="A71" s="210"/>
      <c r="B71" s="256"/>
      <c r="C71" s="257"/>
      <c r="D71" s="255"/>
      <c r="E71" s="261"/>
      <c r="F71" s="261"/>
      <c r="G71" s="263"/>
    </row>
    <row r="72" s="245" customFormat="1" spans="1:7">
      <c r="A72" s="210"/>
      <c r="B72" s="256"/>
      <c r="C72" s="257"/>
      <c r="D72" s="255"/>
      <c r="E72" s="261"/>
      <c r="F72" s="261"/>
      <c r="G72" s="263"/>
    </row>
    <row r="73" s="245" customFormat="1" spans="1:7">
      <c r="A73" s="210"/>
      <c r="B73" s="256"/>
      <c r="C73" s="257"/>
      <c r="D73" s="255"/>
      <c r="E73" s="261"/>
      <c r="F73" s="261"/>
      <c r="G73" s="263"/>
    </row>
    <row r="74" s="245" customFormat="1" spans="1:7">
      <c r="A74" s="210"/>
      <c r="B74" s="256"/>
      <c r="C74" s="257"/>
      <c r="D74" s="255"/>
      <c r="E74" s="261"/>
      <c r="F74" s="261"/>
      <c r="G74" s="263"/>
    </row>
    <row r="75" s="245" customFormat="1" spans="1:7">
      <c r="A75" s="210"/>
      <c r="B75" s="256"/>
      <c r="C75" s="257"/>
      <c r="D75" s="255"/>
      <c r="E75" s="261"/>
      <c r="F75" s="261"/>
      <c r="G75" s="263"/>
    </row>
    <row r="76" s="245" customFormat="1" spans="1:7">
      <c r="A76" s="210"/>
      <c r="B76" s="256"/>
      <c r="C76" s="257"/>
      <c r="D76" s="255"/>
      <c r="E76" s="261"/>
      <c r="F76" s="261"/>
      <c r="G76" s="263"/>
    </row>
    <row r="77" s="245" customFormat="1" spans="1:7">
      <c r="A77" s="210"/>
      <c r="B77" s="256"/>
      <c r="C77" s="257"/>
      <c r="D77" s="255"/>
      <c r="E77" s="261"/>
      <c r="F77" s="261"/>
      <c r="G77" s="263"/>
    </row>
    <row r="78" s="245" customFormat="1" spans="1:7">
      <c r="A78" s="210"/>
      <c r="B78" s="256"/>
      <c r="C78" s="257"/>
      <c r="D78" s="255"/>
      <c r="E78" s="261"/>
      <c r="F78" s="261"/>
      <c r="G78" s="263"/>
    </row>
    <row r="79" s="245" customFormat="1" spans="1:7">
      <c r="A79" s="210"/>
      <c r="B79" s="256"/>
      <c r="C79" s="257"/>
      <c r="D79" s="255"/>
      <c r="E79" s="261"/>
      <c r="F79" s="261"/>
      <c r="G79" s="263"/>
    </row>
    <row r="80" s="245" customFormat="1" spans="1:7">
      <c r="A80" s="210"/>
      <c r="B80" s="256"/>
      <c r="C80" s="257"/>
      <c r="D80" s="255"/>
      <c r="E80" s="261"/>
      <c r="F80" s="261"/>
      <c r="G80" s="263"/>
    </row>
    <row r="81" s="245" customFormat="1" spans="1:7">
      <c r="A81" s="210"/>
      <c r="B81" s="256"/>
      <c r="C81" s="257"/>
      <c r="D81" s="255"/>
      <c r="E81" s="261"/>
      <c r="F81" s="261"/>
      <c r="G81" s="263"/>
    </row>
    <row r="82" s="245" customFormat="1" spans="1:7">
      <c r="A82" s="210"/>
      <c r="B82" s="256"/>
      <c r="C82" s="257"/>
      <c r="D82" s="255"/>
      <c r="E82" s="261"/>
      <c r="F82" s="261"/>
      <c r="G82" s="263"/>
    </row>
    <row r="83" s="245" customFormat="1" spans="1:7">
      <c r="A83" s="210"/>
      <c r="B83" s="256"/>
      <c r="C83" s="257"/>
      <c r="D83" s="255"/>
      <c r="E83" s="261"/>
      <c r="F83" s="261"/>
      <c r="G83" s="263"/>
    </row>
    <row r="84" s="245" customFormat="1" spans="1:7">
      <c r="A84" s="210"/>
      <c r="B84" s="256"/>
      <c r="C84" s="257"/>
      <c r="D84" s="255"/>
      <c r="E84" s="261"/>
      <c r="F84" s="261"/>
      <c r="G84" s="263"/>
    </row>
    <row r="85" s="245" customFormat="1" spans="1:7">
      <c r="A85" s="210"/>
      <c r="B85" s="256"/>
      <c r="C85" s="257"/>
      <c r="D85" s="255"/>
      <c r="E85" s="261"/>
      <c r="F85" s="261"/>
      <c r="G85" s="263"/>
    </row>
    <row r="86" s="245" customFormat="1" spans="1:7">
      <c r="A86" s="210"/>
      <c r="B86" s="256"/>
      <c r="C86" s="257"/>
      <c r="D86" s="255"/>
      <c r="E86" s="261"/>
      <c r="F86" s="261"/>
      <c r="G86" s="263"/>
    </row>
    <row r="87" s="245" customFormat="1" spans="1:7">
      <c r="A87" s="210"/>
      <c r="B87" s="256"/>
      <c r="C87" s="257"/>
      <c r="D87" s="255"/>
      <c r="E87" s="261"/>
      <c r="F87" s="261"/>
      <c r="G87" s="263"/>
    </row>
    <row r="88" s="245" customFormat="1" spans="1:7">
      <c r="A88" s="210"/>
      <c r="B88" s="256"/>
      <c r="C88" s="257"/>
      <c r="D88" s="255"/>
      <c r="E88" s="261"/>
      <c r="F88" s="261"/>
      <c r="G88" s="263"/>
    </row>
    <row r="89" s="245" customFormat="1" spans="1:7">
      <c r="A89" s="210"/>
      <c r="B89" s="256"/>
      <c r="C89" s="257"/>
      <c r="D89" s="255"/>
      <c r="E89" s="261"/>
      <c r="F89" s="261"/>
      <c r="G89" s="263"/>
    </row>
    <row r="90" s="245" customFormat="1" spans="1:7">
      <c r="A90" s="210"/>
      <c r="B90" s="256"/>
      <c r="C90" s="257"/>
      <c r="D90" s="255"/>
      <c r="E90" s="261"/>
      <c r="F90" s="261"/>
      <c r="G90" s="263"/>
    </row>
    <row r="91" s="245" customFormat="1" spans="1:7">
      <c r="A91" s="210"/>
      <c r="B91" s="256"/>
      <c r="C91" s="257"/>
      <c r="D91" s="255"/>
      <c r="E91" s="261"/>
      <c r="F91" s="261"/>
      <c r="G91" s="263"/>
    </row>
    <row r="92" s="245" customFormat="1" spans="1:7">
      <c r="A92" s="210"/>
      <c r="B92" s="256"/>
      <c r="C92" s="257"/>
      <c r="D92" s="255"/>
      <c r="E92" s="261"/>
      <c r="F92" s="261"/>
      <c r="G92" s="263"/>
    </row>
    <row r="93" s="245" customFormat="1" spans="1:7">
      <c r="A93" s="210"/>
      <c r="B93" s="256"/>
      <c r="C93" s="257"/>
      <c r="D93" s="255"/>
      <c r="E93" s="261"/>
      <c r="F93" s="261"/>
      <c r="G93" s="263"/>
    </row>
    <row r="94" s="245" customFormat="1" spans="1:7">
      <c r="A94" s="210"/>
      <c r="B94" s="256"/>
      <c r="C94" s="257"/>
      <c r="D94" s="255"/>
      <c r="E94" s="261"/>
      <c r="F94" s="261"/>
      <c r="G94" s="263"/>
    </row>
    <row r="95" s="245" customFormat="1" spans="1:7">
      <c r="A95" s="210"/>
      <c r="B95" s="256"/>
      <c r="C95" s="257"/>
      <c r="D95" s="255"/>
      <c r="E95" s="261"/>
      <c r="F95" s="261"/>
      <c r="G95" s="263"/>
    </row>
    <row r="96" s="245" customFormat="1" spans="1:7">
      <c r="A96" s="210"/>
      <c r="B96" s="256"/>
      <c r="C96" s="257"/>
      <c r="D96" s="255"/>
      <c r="E96" s="261"/>
      <c r="F96" s="261"/>
      <c r="G96" s="263"/>
    </row>
    <row r="97" s="245" customFormat="1" spans="1:7">
      <c r="A97" s="210"/>
      <c r="B97" s="256"/>
      <c r="C97" s="257"/>
      <c r="D97" s="255"/>
      <c r="E97" s="261"/>
      <c r="F97" s="261"/>
      <c r="G97" s="263"/>
    </row>
    <row r="98" s="245" customFormat="1" spans="1:7">
      <c r="A98" s="210"/>
      <c r="B98" s="256"/>
      <c r="C98" s="257"/>
      <c r="D98" s="255"/>
      <c r="E98" s="261"/>
      <c r="F98" s="261"/>
      <c r="G98" s="263"/>
    </row>
    <row r="99" s="245" customFormat="1" spans="1:7">
      <c r="A99" s="210"/>
      <c r="B99" s="256"/>
      <c r="C99" s="257"/>
      <c r="D99" s="255"/>
      <c r="E99" s="261"/>
      <c r="F99" s="261"/>
      <c r="G99" s="263"/>
    </row>
    <row r="100" s="245" customFormat="1" spans="1:7">
      <c r="A100" s="210"/>
      <c r="B100" s="256"/>
      <c r="C100" s="257"/>
      <c r="D100" s="255"/>
      <c r="E100" s="261"/>
      <c r="F100" s="261"/>
      <c r="G100" s="263"/>
    </row>
    <row r="101" s="245" customFormat="1" spans="1:7">
      <c r="A101" s="210"/>
      <c r="B101" s="256"/>
      <c r="C101" s="257"/>
      <c r="D101" s="255"/>
      <c r="E101" s="261"/>
      <c r="F101" s="261"/>
      <c r="G101" s="263"/>
    </row>
    <row r="102" s="245" customFormat="1" spans="1:7">
      <c r="A102" s="210"/>
      <c r="B102" s="256"/>
      <c r="C102" s="257"/>
      <c r="D102" s="255"/>
      <c r="E102" s="261"/>
      <c r="F102" s="261"/>
      <c r="G102" s="263"/>
    </row>
    <row r="103" s="245" customFormat="1" spans="1:7">
      <c r="A103" s="210"/>
      <c r="B103" s="256"/>
      <c r="C103" s="257"/>
      <c r="D103" s="255"/>
      <c r="E103" s="261"/>
      <c r="F103" s="261"/>
      <c r="G103" s="263"/>
    </row>
    <row r="104" s="245" customFormat="1" spans="1:7">
      <c r="A104" s="210"/>
      <c r="B104" s="256"/>
      <c r="C104" s="257"/>
      <c r="D104" s="255"/>
      <c r="E104" s="261"/>
      <c r="F104" s="261"/>
      <c r="G104" s="263"/>
    </row>
    <row r="105" s="245" customFormat="1" spans="1:7">
      <c r="A105" s="210"/>
      <c r="B105" s="256"/>
      <c r="C105" s="257"/>
      <c r="D105" s="255"/>
      <c r="E105" s="261"/>
      <c r="F105" s="261"/>
      <c r="G105" s="263"/>
    </row>
    <row r="106" s="245" customFormat="1" spans="1:7">
      <c r="A106" s="210"/>
      <c r="B106" s="256"/>
      <c r="C106" s="257"/>
      <c r="D106" s="255"/>
      <c r="E106" s="261"/>
      <c r="F106" s="261"/>
      <c r="G106" s="263"/>
    </row>
    <row r="107" s="245" customFormat="1" spans="1:7">
      <c r="A107" s="210"/>
      <c r="B107" s="256"/>
      <c r="C107" s="257"/>
      <c r="D107" s="255"/>
      <c r="E107" s="261"/>
      <c r="F107" s="261"/>
      <c r="G107" s="263"/>
    </row>
    <row r="108" s="245" customFormat="1" spans="1:7">
      <c r="A108" s="210"/>
      <c r="B108" s="256"/>
      <c r="C108" s="257"/>
      <c r="D108" s="255"/>
      <c r="E108" s="261"/>
      <c r="F108" s="261"/>
      <c r="G108" s="263"/>
    </row>
    <row r="109" s="245" customFormat="1" spans="1:7">
      <c r="A109" s="210"/>
      <c r="B109" s="256"/>
      <c r="C109" s="257"/>
      <c r="D109" s="255"/>
      <c r="E109" s="261"/>
      <c r="F109" s="261"/>
      <c r="G109" s="263"/>
    </row>
    <row r="110" s="245" customFormat="1" spans="1:7">
      <c r="A110" s="210"/>
      <c r="B110" s="256"/>
      <c r="C110" s="257"/>
      <c r="D110" s="255"/>
      <c r="E110" s="261"/>
      <c r="F110" s="261"/>
      <c r="G110" s="263"/>
    </row>
    <row r="111" s="245" customFormat="1" spans="1:7">
      <c r="A111" s="210"/>
      <c r="B111" s="256"/>
      <c r="C111" s="257"/>
      <c r="D111" s="255"/>
      <c r="E111" s="261"/>
      <c r="F111" s="261"/>
      <c r="G111" s="263"/>
    </row>
    <row r="112" s="245" customFormat="1" spans="1:7">
      <c r="A112" s="210"/>
      <c r="B112" s="256"/>
      <c r="C112" s="257"/>
      <c r="D112" s="255"/>
      <c r="E112" s="261"/>
      <c r="F112" s="261"/>
      <c r="G112" s="263"/>
    </row>
    <row r="113" s="245" customFormat="1" spans="1:7">
      <c r="A113" s="210"/>
      <c r="B113" s="256"/>
      <c r="C113" s="257"/>
      <c r="D113" s="255"/>
      <c r="E113" s="261"/>
      <c r="F113" s="261"/>
      <c r="G113" s="263"/>
    </row>
    <row r="114" s="245" customFormat="1" spans="1:7">
      <c r="A114" s="210"/>
      <c r="B114" s="256"/>
      <c r="C114" s="257"/>
      <c r="D114" s="255"/>
      <c r="E114" s="261"/>
      <c r="F114" s="261"/>
      <c r="G114" s="263"/>
    </row>
    <row r="115" s="245" customFormat="1" spans="1:7">
      <c r="A115" s="210"/>
      <c r="B115" s="256"/>
      <c r="C115" s="257"/>
      <c r="D115" s="255"/>
      <c r="E115" s="261"/>
      <c r="F115" s="261"/>
      <c r="G115" s="263"/>
    </row>
    <row r="116" s="245" customFormat="1" spans="1:7">
      <c r="A116" s="210"/>
      <c r="B116" s="256"/>
      <c r="C116" s="257"/>
      <c r="D116" s="255"/>
      <c r="E116" s="261"/>
      <c r="F116" s="261"/>
      <c r="G116" s="263"/>
    </row>
    <row r="117" s="245" customFormat="1" spans="1:7">
      <c r="A117" s="210"/>
      <c r="B117" s="256"/>
      <c r="C117" s="257"/>
      <c r="D117" s="255"/>
      <c r="E117" s="261"/>
      <c r="F117" s="261"/>
      <c r="G117" s="263"/>
    </row>
    <row r="118" s="245" customFormat="1" spans="1:7">
      <c r="A118" s="210"/>
      <c r="B118" s="256"/>
      <c r="C118" s="257"/>
      <c r="D118" s="255"/>
      <c r="E118" s="261"/>
      <c r="F118" s="261"/>
      <c r="G118" s="263"/>
    </row>
    <row r="119" s="245" customFormat="1" spans="1:7">
      <c r="A119" s="210"/>
      <c r="B119" s="256"/>
      <c r="C119" s="257"/>
      <c r="D119" s="255"/>
      <c r="E119" s="261"/>
      <c r="F119" s="261"/>
      <c r="G119" s="263"/>
    </row>
    <row r="120" s="245" customFormat="1" spans="1:7">
      <c r="A120" s="210"/>
      <c r="B120" s="256"/>
      <c r="C120" s="257"/>
      <c r="D120" s="255"/>
      <c r="E120" s="261"/>
      <c r="F120" s="261"/>
      <c r="G120" s="263"/>
    </row>
    <row r="121" s="245" customFormat="1" spans="1:7">
      <c r="A121" s="210"/>
      <c r="B121" s="256"/>
      <c r="C121" s="257"/>
      <c r="D121" s="255"/>
      <c r="E121" s="261"/>
      <c r="F121" s="261"/>
      <c r="G121" s="263"/>
    </row>
    <row r="122" s="245" customFormat="1" spans="1:7">
      <c r="A122" s="210"/>
      <c r="B122" s="256"/>
      <c r="C122" s="257"/>
      <c r="D122" s="255"/>
      <c r="E122" s="261"/>
      <c r="F122" s="261"/>
      <c r="G122" s="263"/>
    </row>
    <row r="123" s="245" customFormat="1" spans="1:7">
      <c r="A123" s="210"/>
      <c r="B123" s="256"/>
      <c r="C123" s="257"/>
      <c r="D123" s="255"/>
      <c r="E123" s="261"/>
      <c r="F123" s="261"/>
      <c r="G123" s="263"/>
    </row>
    <row r="124" s="245" customFormat="1" spans="1:7">
      <c r="A124" s="210"/>
      <c r="B124" s="256"/>
      <c r="C124" s="257"/>
      <c r="D124" s="255"/>
      <c r="E124" s="261"/>
      <c r="F124" s="261"/>
      <c r="G124" s="263"/>
    </row>
    <row r="125" s="245" customFormat="1" spans="1:8">
      <c r="A125" s="264" t="s">
        <v>9</v>
      </c>
      <c r="B125" s="136"/>
      <c r="C125" s="136"/>
      <c r="D125" s="136"/>
      <c r="E125" s="136"/>
      <c r="F125" s="266">
        <f>SUM(G2:G124)</f>
        <v>0</v>
      </c>
      <c r="G125" s="266"/>
      <c r="H125" s="265"/>
    </row>
    <row r="126" s="245" customFormat="1" spans="1:7">
      <c r="A126" s="246"/>
      <c r="B126" s="247"/>
      <c r="C126" s="248"/>
      <c r="D126" s="249"/>
      <c r="E126" s="250"/>
      <c r="G126" s="246"/>
    </row>
    <row r="127" s="245" customFormat="1" spans="1:7">
      <c r="A127" s="246"/>
      <c r="B127" s="247"/>
      <c r="C127" s="248"/>
      <c r="D127" s="249"/>
      <c r="E127" s="250"/>
      <c r="G127" s="246"/>
    </row>
    <row r="128" s="245" customFormat="1" spans="1:7">
      <c r="A128" s="246"/>
      <c r="B128" s="247"/>
      <c r="C128" s="248"/>
      <c r="D128" s="249"/>
      <c r="E128" s="250"/>
      <c r="G128" s="246"/>
    </row>
    <row r="129" s="245" customFormat="1" spans="1:7">
      <c r="A129" s="246"/>
      <c r="B129" s="247"/>
      <c r="C129" s="248"/>
      <c r="D129" s="249"/>
      <c r="E129" s="250"/>
      <c r="G129" s="246"/>
    </row>
    <row r="130" s="245" customFormat="1" spans="1:7">
      <c r="A130" s="246"/>
      <c r="B130" s="247"/>
      <c r="C130" s="248"/>
      <c r="D130" s="249"/>
      <c r="E130" s="250"/>
      <c r="G130" s="246"/>
    </row>
    <row r="131" s="245" customFormat="1" spans="1:7">
      <c r="A131" s="246"/>
      <c r="B131" s="247"/>
      <c r="C131" s="248"/>
      <c r="D131" s="249"/>
      <c r="E131" s="250"/>
      <c r="G131" s="246"/>
    </row>
    <row r="132" s="245" customFormat="1" spans="1:7">
      <c r="A132" s="246"/>
      <c r="B132" s="247"/>
      <c r="C132" s="248"/>
      <c r="D132" s="249"/>
      <c r="E132" s="250"/>
      <c r="G132" s="246"/>
    </row>
    <row r="133" s="245" customFormat="1" spans="1:7">
      <c r="A133" s="246"/>
      <c r="B133" s="247"/>
      <c r="C133" s="248"/>
      <c r="D133" s="249"/>
      <c r="E133" s="250"/>
      <c r="G133" s="246"/>
    </row>
    <row r="134" s="245" customFormat="1" spans="1:7">
      <c r="A134" s="246"/>
      <c r="B134" s="247"/>
      <c r="C134" s="248"/>
      <c r="D134" s="249"/>
      <c r="E134" s="250"/>
      <c r="G134" s="246"/>
    </row>
    <row r="135" s="245" customFormat="1" spans="1:7">
      <c r="A135" s="246"/>
      <c r="B135" s="247"/>
      <c r="C135" s="248"/>
      <c r="D135" s="249"/>
      <c r="E135" s="250"/>
      <c r="G135" s="246"/>
    </row>
    <row r="136" s="245" customFormat="1" spans="1:7">
      <c r="A136" s="246"/>
      <c r="B136" s="247"/>
      <c r="C136" s="248"/>
      <c r="D136" s="249"/>
      <c r="E136" s="250"/>
      <c r="G136" s="246"/>
    </row>
    <row r="137" s="245" customFormat="1" spans="1:7">
      <c r="A137" s="246"/>
      <c r="B137" s="247"/>
      <c r="C137" s="248"/>
      <c r="D137" s="249"/>
      <c r="E137" s="250"/>
      <c r="G137" s="246"/>
    </row>
    <row r="138" s="245" customFormat="1" spans="1:7">
      <c r="A138" s="246"/>
      <c r="B138" s="247"/>
      <c r="C138" s="248"/>
      <c r="D138" s="249"/>
      <c r="E138" s="250"/>
      <c r="G138" s="246"/>
    </row>
    <row r="139" s="245" customFormat="1" spans="1:7">
      <c r="A139" s="246"/>
      <c r="B139" s="247"/>
      <c r="C139" s="248"/>
      <c r="D139" s="249"/>
      <c r="E139" s="250"/>
      <c r="G139" s="246"/>
    </row>
    <row r="140" s="245" customFormat="1" spans="1:7">
      <c r="A140" s="246"/>
      <c r="B140" s="247"/>
      <c r="C140" s="248"/>
      <c r="D140" s="249"/>
      <c r="E140" s="250"/>
      <c r="G140" s="246"/>
    </row>
    <row r="141" s="245" customFormat="1" spans="1:7">
      <c r="A141" s="246"/>
      <c r="B141" s="247"/>
      <c r="C141" s="248"/>
      <c r="D141" s="249"/>
      <c r="E141" s="250"/>
      <c r="G141" s="246"/>
    </row>
    <row r="142" s="245" customFormat="1" spans="1:7">
      <c r="A142" s="246"/>
      <c r="B142" s="247"/>
      <c r="C142" s="248"/>
      <c r="D142" s="249"/>
      <c r="E142" s="250"/>
      <c r="G142" s="246"/>
    </row>
    <row r="143" s="245" customFormat="1" spans="1:7">
      <c r="A143" s="246"/>
      <c r="B143" s="247"/>
      <c r="C143" s="248"/>
      <c r="D143" s="249"/>
      <c r="E143" s="250"/>
      <c r="G143" s="246"/>
    </row>
    <row r="144" s="245" customFormat="1" spans="1:7">
      <c r="A144" s="246"/>
      <c r="B144" s="247"/>
      <c r="C144" s="248"/>
      <c r="D144" s="249"/>
      <c r="E144" s="250"/>
      <c r="G144" s="246"/>
    </row>
    <row r="145" s="245" customFormat="1" spans="1:7">
      <c r="A145" s="246"/>
      <c r="B145" s="247"/>
      <c r="C145" s="248"/>
      <c r="D145" s="249"/>
      <c r="E145" s="250"/>
      <c r="G145" s="246"/>
    </row>
    <row r="146" s="245" customFormat="1" spans="1:7">
      <c r="A146" s="246"/>
      <c r="B146" s="247"/>
      <c r="C146" s="248"/>
      <c r="D146" s="249"/>
      <c r="E146" s="250"/>
      <c r="G146" s="246"/>
    </row>
    <row r="147" s="245" customFormat="1" spans="1:7">
      <c r="A147" s="246"/>
      <c r="B147" s="247"/>
      <c r="C147" s="248"/>
      <c r="D147" s="249"/>
      <c r="E147" s="250"/>
      <c r="G147" s="246"/>
    </row>
    <row r="148" s="245" customFormat="1" spans="1:7">
      <c r="A148" s="246"/>
      <c r="B148" s="247"/>
      <c r="C148" s="248"/>
      <c r="D148" s="249"/>
      <c r="E148" s="250"/>
      <c r="G148" s="246"/>
    </row>
    <row r="149" s="245" customFormat="1" spans="1:7">
      <c r="A149" s="246"/>
      <c r="B149" s="247"/>
      <c r="C149" s="248"/>
      <c r="D149" s="249"/>
      <c r="E149" s="250"/>
      <c r="G149" s="246"/>
    </row>
    <row r="150" s="245" customFormat="1" spans="1:7">
      <c r="A150" s="246"/>
      <c r="B150" s="247"/>
      <c r="C150" s="248"/>
      <c r="D150" s="249"/>
      <c r="E150" s="250"/>
      <c r="G150" s="246"/>
    </row>
    <row r="151" s="245" customFormat="1" spans="1:7">
      <c r="A151" s="246"/>
      <c r="B151" s="247"/>
      <c r="C151" s="248"/>
      <c r="D151" s="249"/>
      <c r="E151" s="250"/>
      <c r="G151" s="246"/>
    </row>
    <row r="152" s="245" customFormat="1" spans="1:7">
      <c r="A152" s="246"/>
      <c r="B152" s="247"/>
      <c r="C152" s="248"/>
      <c r="D152" s="249"/>
      <c r="E152" s="250"/>
      <c r="G152" s="246"/>
    </row>
    <row r="153" s="245" customFormat="1" spans="1:7">
      <c r="A153" s="246"/>
      <c r="B153" s="247"/>
      <c r="C153" s="248"/>
      <c r="D153" s="249"/>
      <c r="E153" s="250"/>
      <c r="G153" s="246"/>
    </row>
    <row r="154" s="245" customFormat="1" spans="1:7">
      <c r="A154" s="246"/>
      <c r="B154" s="247"/>
      <c r="C154" s="248"/>
      <c r="D154" s="249"/>
      <c r="E154" s="250"/>
      <c r="G154" s="246"/>
    </row>
    <row r="155" s="245" customFormat="1" spans="1:7">
      <c r="A155" s="246"/>
      <c r="B155" s="247"/>
      <c r="C155" s="248"/>
      <c r="D155" s="249"/>
      <c r="E155" s="250"/>
      <c r="G155" s="246"/>
    </row>
    <row r="156" s="245" customFormat="1" spans="1:7">
      <c r="A156" s="246"/>
      <c r="B156" s="247"/>
      <c r="C156" s="248"/>
      <c r="D156" s="249"/>
      <c r="E156" s="250"/>
      <c r="G156" s="246"/>
    </row>
    <row r="157" s="245" customFormat="1" spans="1:7">
      <c r="A157" s="246"/>
      <c r="B157" s="247"/>
      <c r="C157" s="248"/>
      <c r="D157" s="249"/>
      <c r="E157" s="250"/>
      <c r="G157" s="246"/>
    </row>
    <row r="158" s="245" customFormat="1" spans="1:7">
      <c r="A158" s="246"/>
      <c r="B158" s="247"/>
      <c r="C158" s="248"/>
      <c r="D158" s="249"/>
      <c r="E158" s="250"/>
      <c r="G158" s="246"/>
    </row>
    <row r="159" s="245" customFormat="1" spans="1:7">
      <c r="A159" s="246"/>
      <c r="B159" s="247"/>
      <c r="C159" s="248"/>
      <c r="D159" s="249"/>
      <c r="E159" s="250"/>
      <c r="G159" s="246"/>
    </row>
    <row r="160" s="245" customFormat="1" spans="1:8">
      <c r="A160" s="246"/>
      <c r="B160" s="247"/>
      <c r="C160" s="248"/>
      <c r="D160" s="249"/>
      <c r="E160" s="250"/>
      <c r="G160" s="246"/>
      <c r="H160" s="265"/>
    </row>
  </sheetData>
  <mergeCells count="3">
    <mergeCell ref="A125:E125"/>
    <mergeCell ref="F125:G125"/>
    <mergeCell ref="N67:N6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zoomScale="85" zoomScaleNormal="85" workbookViewId="0">
      <pane xSplit="1" ySplit="1" topLeftCell="B2" activePane="bottomRight" state="frozen"/>
      <selection/>
      <selection pane="topRight"/>
      <selection pane="bottomLeft"/>
      <selection pane="bottomRight" activeCell="B2" sqref="B2"/>
    </sheetView>
  </sheetViews>
  <sheetFormatPr defaultColWidth="9.140625" defaultRowHeight="16.8" outlineLevelCol="6"/>
  <cols>
    <col min="1" max="1" width="16" style="238"/>
    <col min="2" max="2" width="10.140625" customWidth="1"/>
    <col min="3" max="4" width="19.4453125" customWidth="1"/>
    <col min="5" max="5" width="38.9921875" customWidth="1"/>
    <col min="6" max="6" width="17.7109375" customWidth="1"/>
    <col min="7" max="7" width="17.7265625" customWidth="1"/>
  </cols>
  <sheetData>
    <row r="1" ht="20.4" spans="1:7">
      <c r="A1" s="239" t="s">
        <v>0</v>
      </c>
      <c r="B1" s="13" t="s">
        <v>10</v>
      </c>
      <c r="C1" s="13" t="s">
        <v>11</v>
      </c>
      <c r="D1" s="13" t="s">
        <v>12</v>
      </c>
      <c r="E1" s="13" t="s">
        <v>13</v>
      </c>
      <c r="F1" s="13" t="s">
        <v>3</v>
      </c>
      <c r="G1" s="13" t="s">
        <v>5</v>
      </c>
    </row>
    <row r="2" ht="20.4" spans="1:7">
      <c r="A2" s="240"/>
      <c r="B2" s="129"/>
      <c r="C2" s="78"/>
      <c r="D2" s="16"/>
      <c r="E2" s="4"/>
      <c r="F2" s="243"/>
      <c r="G2" s="243"/>
    </row>
    <row r="3" ht="20.4" spans="1:7">
      <c r="A3" s="240"/>
      <c r="B3" s="129"/>
      <c r="C3" s="78"/>
      <c r="D3" s="16"/>
      <c r="E3" s="4"/>
      <c r="F3" s="243"/>
      <c r="G3" s="243"/>
    </row>
    <row r="4" ht="20.4" spans="1:7">
      <c r="A4" s="240"/>
      <c r="B4" s="129"/>
      <c r="C4" s="78"/>
      <c r="D4" s="16"/>
      <c r="E4" s="4"/>
      <c r="F4" s="243"/>
      <c r="G4" s="243"/>
    </row>
    <row r="5" ht="20.4" spans="1:7">
      <c r="A5" s="240"/>
      <c r="B5" s="129"/>
      <c r="C5" s="78"/>
      <c r="D5" s="16"/>
      <c r="E5" s="4"/>
      <c r="F5" s="243"/>
      <c r="G5" s="243"/>
    </row>
    <row r="6" ht="20.4" spans="1:7">
      <c r="A6" s="240"/>
      <c r="B6" s="129"/>
      <c r="C6" s="78"/>
      <c r="D6" s="16"/>
      <c r="E6" s="4"/>
      <c r="F6" s="243"/>
      <c r="G6" s="243"/>
    </row>
    <row r="7" ht="20.4" spans="1:7">
      <c r="A7" s="240"/>
      <c r="B7" s="129"/>
      <c r="C7" s="78"/>
      <c r="D7" s="16"/>
      <c r="E7" s="4"/>
      <c r="F7" s="243"/>
      <c r="G7" s="243"/>
    </row>
    <row r="8" ht="20.4" spans="1:7">
      <c r="A8" s="240"/>
      <c r="B8" s="129"/>
      <c r="C8" s="78"/>
      <c r="D8" s="16"/>
      <c r="E8" s="4"/>
      <c r="F8" s="243"/>
      <c r="G8" s="243"/>
    </row>
    <row r="9" ht="20.4" spans="1:7">
      <c r="A9" s="240"/>
      <c r="B9" s="129"/>
      <c r="C9" s="78"/>
      <c r="D9" s="16"/>
      <c r="E9" s="4"/>
      <c r="F9" s="243"/>
      <c r="G9" s="243"/>
    </row>
    <row r="10" ht="20.4" spans="1:7">
      <c r="A10" s="240"/>
      <c r="B10" s="129"/>
      <c r="C10" s="78"/>
      <c r="D10" s="16"/>
      <c r="E10" s="4"/>
      <c r="F10" s="243"/>
      <c r="G10" s="243"/>
    </row>
    <row r="11" ht="20.4" spans="1:7">
      <c r="A11" s="240"/>
      <c r="B11" s="129"/>
      <c r="C11" s="78"/>
      <c r="D11" s="16"/>
      <c r="E11" s="4"/>
      <c r="F11" s="243"/>
      <c r="G11" s="243"/>
    </row>
    <row r="12" ht="20.4" spans="1:7">
      <c r="A12" s="240"/>
      <c r="B12" s="129"/>
      <c r="C12" s="78"/>
      <c r="D12" s="16"/>
      <c r="E12" s="4"/>
      <c r="F12" s="243"/>
      <c r="G12" s="243"/>
    </row>
    <row r="13" ht="20.4" spans="1:7">
      <c r="A13" s="240"/>
      <c r="B13" s="129"/>
      <c r="C13" s="78"/>
      <c r="D13" s="16"/>
      <c r="E13" s="4"/>
      <c r="F13" s="243"/>
      <c r="G13" s="243"/>
    </row>
    <row r="14" ht="26" spans="1:7">
      <c r="A14" s="241"/>
      <c r="B14" s="242"/>
      <c r="C14" s="242"/>
      <c r="D14" s="242"/>
      <c r="E14" s="244">
        <f>SUM(G2:G13)</f>
        <v>0</v>
      </c>
      <c r="F14" s="244"/>
      <c r="G14" s="244"/>
    </row>
  </sheetData>
  <mergeCells count="2">
    <mergeCell ref="A14:C14"/>
    <mergeCell ref="E14:G1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3"/>
  <sheetViews>
    <sheetView zoomScale="85" zoomScaleNormal="85" workbookViewId="0">
      <pane ySplit="1" topLeftCell="A2" activePane="bottomLeft" state="frozen"/>
      <selection/>
      <selection pane="bottomLeft" activeCell="C8" sqref="C8"/>
    </sheetView>
  </sheetViews>
  <sheetFormatPr defaultColWidth="9.140625" defaultRowHeight="17.6" outlineLevelCol="6"/>
  <cols>
    <col min="1" max="1" width="28.3828125" style="221" customWidth="1"/>
    <col min="2" max="2" width="32.1796875" style="222" customWidth="1"/>
    <col min="3" max="3" width="9.140625" style="223"/>
    <col min="4" max="4" width="13.3828125" style="220" customWidth="1"/>
    <col min="5" max="5" width="27.96875" style="220" customWidth="1"/>
    <col min="6" max="6" width="28.1640625" style="220" customWidth="1"/>
    <col min="7" max="8" width="14.2890625" style="220"/>
    <col min="9" max="16384" width="9.140625" style="220"/>
  </cols>
  <sheetData>
    <row r="1" s="107" customFormat="1" ht="31" customHeight="1" spans="1:6">
      <c r="A1" s="224" t="s">
        <v>0</v>
      </c>
      <c r="B1" s="225" t="s">
        <v>1</v>
      </c>
      <c r="C1" s="226" t="s">
        <v>2</v>
      </c>
      <c r="D1" s="227" t="s">
        <v>3</v>
      </c>
      <c r="E1" s="227" t="s">
        <v>14</v>
      </c>
      <c r="F1" s="227" t="s">
        <v>5</v>
      </c>
    </row>
    <row r="2" s="220" customFormat="1" spans="1:6">
      <c r="A2" s="228"/>
      <c r="B2" s="229"/>
      <c r="C2" s="229"/>
      <c r="D2" s="230"/>
      <c r="E2" s="230"/>
      <c r="F2" s="235"/>
    </row>
    <row r="3" s="220" customFormat="1" spans="1:6">
      <c r="A3" s="228"/>
      <c r="B3" s="229"/>
      <c r="C3" s="229"/>
      <c r="D3" s="230"/>
      <c r="E3" s="230"/>
      <c r="F3" s="235"/>
    </row>
    <row r="4" s="220" customFormat="1" spans="1:7">
      <c r="A4" s="228"/>
      <c r="B4" s="229"/>
      <c r="C4" s="229"/>
      <c r="D4" s="230"/>
      <c r="E4" s="230"/>
      <c r="F4" s="235"/>
      <c r="G4" s="236"/>
    </row>
    <row r="5" s="220" customFormat="1" spans="1:6">
      <c r="A5" s="228"/>
      <c r="B5" s="229"/>
      <c r="C5" s="229"/>
      <c r="D5" s="230"/>
      <c r="E5" s="230"/>
      <c r="F5" s="235"/>
    </row>
    <row r="6" s="220" customFormat="1" spans="1:7">
      <c r="A6" s="228"/>
      <c r="B6" s="229"/>
      <c r="C6" s="229"/>
      <c r="D6" s="230"/>
      <c r="E6" s="230"/>
      <c r="F6" s="235"/>
      <c r="G6" s="236"/>
    </row>
    <row r="7" s="220" customFormat="1" spans="1:6">
      <c r="A7" s="228"/>
      <c r="B7" s="229"/>
      <c r="C7" s="229"/>
      <c r="D7" s="230"/>
      <c r="E7" s="230"/>
      <c r="F7" s="235"/>
    </row>
    <row r="8" s="220" customFormat="1" spans="1:6">
      <c r="A8" s="228"/>
      <c r="B8" s="229"/>
      <c r="C8" s="229"/>
      <c r="D8" s="230"/>
      <c r="E8" s="230"/>
      <c r="F8" s="235"/>
    </row>
    <row r="9" s="220" customFormat="1" spans="1:6">
      <c r="A9" s="228"/>
      <c r="B9" s="229"/>
      <c r="C9" s="229"/>
      <c r="D9" s="230"/>
      <c r="E9" s="230"/>
      <c r="F9" s="235"/>
    </row>
    <row r="10" s="220" customFormat="1" spans="1:6">
      <c r="A10" s="228"/>
      <c r="B10" s="229"/>
      <c r="C10" s="229"/>
      <c r="D10" s="230"/>
      <c r="E10" s="230"/>
      <c r="F10" s="235"/>
    </row>
    <row r="11" s="220" customFormat="1" spans="1:6">
      <c r="A11" s="228"/>
      <c r="B11" s="229"/>
      <c r="C11" s="229"/>
      <c r="D11" s="230"/>
      <c r="E11" s="230"/>
      <c r="F11" s="235"/>
    </row>
    <row r="12" s="220" customFormat="1" spans="1:7">
      <c r="A12" s="228"/>
      <c r="B12" s="229"/>
      <c r="C12" s="229"/>
      <c r="D12" s="230"/>
      <c r="E12" s="230"/>
      <c r="F12" s="235"/>
      <c r="G12" s="236"/>
    </row>
    <row r="13" s="220" customFormat="1" spans="1:6">
      <c r="A13" s="228"/>
      <c r="B13" s="229"/>
      <c r="C13" s="229"/>
      <c r="D13" s="230"/>
      <c r="E13" s="230"/>
      <c r="F13" s="235"/>
    </row>
    <row r="14" s="220" customFormat="1" spans="1:6">
      <c r="A14" s="228"/>
      <c r="B14" s="229"/>
      <c r="C14" s="229"/>
      <c r="D14" s="230"/>
      <c r="E14" s="230"/>
      <c r="F14" s="235"/>
    </row>
    <row r="15" s="220" customFormat="1" spans="1:6">
      <c r="A15" s="228"/>
      <c r="B15" s="229"/>
      <c r="C15" s="229"/>
      <c r="D15" s="230"/>
      <c r="E15" s="230"/>
      <c r="F15" s="235"/>
    </row>
    <row r="16" s="220" customFormat="1" spans="1:6">
      <c r="A16" s="228"/>
      <c r="B16" s="229"/>
      <c r="C16" s="229"/>
      <c r="D16" s="230"/>
      <c r="E16" s="230"/>
      <c r="F16" s="235"/>
    </row>
    <row r="17" s="220" customFormat="1" spans="1:6">
      <c r="A17" s="228"/>
      <c r="B17" s="229"/>
      <c r="C17" s="229"/>
      <c r="D17" s="230"/>
      <c r="E17" s="230"/>
      <c r="F17" s="235"/>
    </row>
    <row r="18" s="220" customFormat="1" spans="1:6">
      <c r="A18" s="228"/>
      <c r="B18" s="229"/>
      <c r="C18" s="229"/>
      <c r="D18" s="230"/>
      <c r="E18" s="230"/>
      <c r="F18" s="235"/>
    </row>
    <row r="19" s="220" customFormat="1" spans="1:6">
      <c r="A19" s="228"/>
      <c r="B19" s="229"/>
      <c r="C19" s="229"/>
      <c r="D19" s="230"/>
      <c r="E19" s="230"/>
      <c r="F19" s="235"/>
    </row>
    <row r="20" s="220" customFormat="1" spans="1:6">
      <c r="A20" s="228"/>
      <c r="B20" s="229"/>
      <c r="C20" s="229"/>
      <c r="D20" s="230"/>
      <c r="E20" s="230"/>
      <c r="F20" s="235"/>
    </row>
    <row r="21" s="220" customFormat="1" spans="1:6">
      <c r="A21" s="228"/>
      <c r="B21" s="229"/>
      <c r="C21" s="229"/>
      <c r="D21" s="230"/>
      <c r="E21" s="230"/>
      <c r="F21" s="235"/>
    </row>
    <row r="22" s="220" customFormat="1" spans="1:6">
      <c r="A22" s="228"/>
      <c r="B22" s="229"/>
      <c r="C22" s="229"/>
      <c r="D22" s="230"/>
      <c r="E22" s="230"/>
      <c r="F22" s="235"/>
    </row>
    <row r="23" s="220" customFormat="1" spans="1:6">
      <c r="A23" s="228"/>
      <c r="B23" s="229"/>
      <c r="C23" s="229"/>
      <c r="D23" s="230"/>
      <c r="E23" s="230"/>
      <c r="F23" s="235"/>
    </row>
    <row r="24" s="220" customFormat="1" spans="1:6">
      <c r="A24" s="228"/>
      <c r="B24" s="229"/>
      <c r="C24" s="229"/>
      <c r="D24" s="230"/>
      <c r="E24" s="230"/>
      <c r="F24" s="235"/>
    </row>
    <row r="25" s="220" customFormat="1" spans="1:6">
      <c r="A25" s="228"/>
      <c r="B25" s="229"/>
      <c r="C25" s="229"/>
      <c r="D25" s="230"/>
      <c r="E25" s="230"/>
      <c r="F25" s="235"/>
    </row>
    <row r="26" s="220" customFormat="1" spans="1:6">
      <c r="A26" s="228"/>
      <c r="B26" s="229"/>
      <c r="C26" s="229"/>
      <c r="D26" s="230"/>
      <c r="E26" s="230"/>
      <c r="F26" s="235"/>
    </row>
    <row r="27" s="220" customFormat="1" spans="1:6">
      <c r="A27" s="228"/>
      <c r="B27" s="229"/>
      <c r="C27" s="229"/>
      <c r="D27" s="230"/>
      <c r="E27" s="230"/>
      <c r="F27" s="235"/>
    </row>
    <row r="28" s="220" customFormat="1" spans="1:6">
      <c r="A28" s="228"/>
      <c r="B28" s="229"/>
      <c r="C28" s="229"/>
      <c r="D28" s="230"/>
      <c r="E28" s="230"/>
      <c r="F28" s="235"/>
    </row>
    <row r="29" s="220" customFormat="1" spans="1:6">
      <c r="A29" s="228"/>
      <c r="B29" s="229"/>
      <c r="C29" s="229"/>
      <c r="D29" s="230"/>
      <c r="E29" s="230"/>
      <c r="F29" s="235"/>
    </row>
    <row r="30" s="220" customFormat="1" spans="1:6">
      <c r="A30" s="228"/>
      <c r="B30" s="229"/>
      <c r="C30" s="229"/>
      <c r="D30" s="230"/>
      <c r="E30" s="230"/>
      <c r="F30" s="235"/>
    </row>
    <row r="31" s="220" customFormat="1" spans="1:6">
      <c r="A31" s="228"/>
      <c r="B31" s="229"/>
      <c r="C31" s="229"/>
      <c r="D31" s="230"/>
      <c r="E31" s="230"/>
      <c r="F31" s="235"/>
    </row>
    <row r="32" s="220" customFormat="1" spans="1:6">
      <c r="A32" s="228"/>
      <c r="B32" s="229"/>
      <c r="C32" s="229"/>
      <c r="D32" s="230"/>
      <c r="E32" s="230"/>
      <c r="F32" s="235"/>
    </row>
    <row r="33" s="220" customFormat="1" spans="1:6">
      <c r="A33" s="228"/>
      <c r="B33" s="229"/>
      <c r="C33" s="229"/>
      <c r="D33" s="230"/>
      <c r="E33" s="230"/>
      <c r="F33" s="235"/>
    </row>
    <row r="34" s="220" customFormat="1" spans="1:6">
      <c r="A34" s="228"/>
      <c r="B34" s="229"/>
      <c r="C34" s="229"/>
      <c r="D34" s="230"/>
      <c r="E34" s="230"/>
      <c r="F34" s="235"/>
    </row>
    <row r="35" s="220" customFormat="1" spans="1:6">
      <c r="A35" s="228"/>
      <c r="B35" s="229"/>
      <c r="C35" s="229"/>
      <c r="D35" s="230"/>
      <c r="E35" s="230"/>
      <c r="F35" s="235"/>
    </row>
    <row r="36" s="220" customFormat="1" spans="1:6">
      <c r="A36" s="228"/>
      <c r="B36" s="229"/>
      <c r="C36" s="229"/>
      <c r="D36" s="230"/>
      <c r="E36" s="230"/>
      <c r="F36" s="235"/>
    </row>
    <row r="37" s="220" customFormat="1" spans="1:6">
      <c r="A37" s="228"/>
      <c r="B37" s="229"/>
      <c r="C37" s="229"/>
      <c r="D37" s="230"/>
      <c r="E37" s="230"/>
      <c r="F37" s="235"/>
    </row>
    <row r="38" s="220" customFormat="1" spans="1:6">
      <c r="A38" s="228"/>
      <c r="B38" s="229"/>
      <c r="C38" s="229"/>
      <c r="D38" s="230"/>
      <c r="E38" s="230"/>
      <c r="F38" s="235"/>
    </row>
    <row r="39" s="220" customFormat="1" spans="1:6">
      <c r="A39" s="228"/>
      <c r="B39" s="229"/>
      <c r="C39" s="229"/>
      <c r="D39" s="230"/>
      <c r="E39" s="230"/>
      <c r="F39" s="235"/>
    </row>
    <row r="40" s="220" customFormat="1" spans="1:6">
      <c r="A40" s="228"/>
      <c r="B40" s="229"/>
      <c r="C40" s="229"/>
      <c r="D40" s="230"/>
      <c r="E40" s="230"/>
      <c r="F40" s="235"/>
    </row>
    <row r="41" s="220" customFormat="1" spans="1:6">
      <c r="A41" s="228"/>
      <c r="B41" s="229"/>
      <c r="C41" s="229"/>
      <c r="D41" s="230"/>
      <c r="E41" s="230"/>
      <c r="F41" s="235"/>
    </row>
    <row r="42" s="220" customFormat="1" spans="1:6">
      <c r="A42" s="228"/>
      <c r="B42" s="229"/>
      <c r="C42" s="229"/>
      <c r="D42" s="230"/>
      <c r="E42" s="230"/>
      <c r="F42" s="235"/>
    </row>
    <row r="43" s="220" customFormat="1" spans="1:6">
      <c r="A43" s="228"/>
      <c r="B43" s="229"/>
      <c r="C43" s="229"/>
      <c r="D43" s="230"/>
      <c r="E43" s="230"/>
      <c r="F43" s="235"/>
    </row>
    <row r="44" s="220" customFormat="1" spans="1:6">
      <c r="A44" s="228"/>
      <c r="B44" s="229"/>
      <c r="C44" s="229"/>
      <c r="D44" s="230"/>
      <c r="E44" s="230"/>
      <c r="F44" s="235"/>
    </row>
    <row r="45" s="220" customFormat="1" spans="1:6">
      <c r="A45" s="228"/>
      <c r="B45" s="229"/>
      <c r="C45" s="229"/>
      <c r="D45" s="230"/>
      <c r="E45" s="230"/>
      <c r="F45" s="235"/>
    </row>
    <row r="46" s="220" customFormat="1" spans="1:6">
      <c r="A46" s="231"/>
      <c r="B46" s="229"/>
      <c r="C46" s="232"/>
      <c r="D46" s="230"/>
      <c r="E46" s="230"/>
      <c r="F46" s="235"/>
    </row>
    <row r="47" s="220" customFormat="1" spans="1:6">
      <c r="A47" s="231"/>
      <c r="B47" s="233"/>
      <c r="C47" s="232"/>
      <c r="D47" s="234"/>
      <c r="E47" s="234"/>
      <c r="F47" s="237">
        <f>SUM(F2:F46)</f>
        <v>0</v>
      </c>
    </row>
    <row r="48" s="220" customFormat="1" spans="1:3">
      <c r="A48" s="221"/>
      <c r="B48" s="222"/>
      <c r="C48" s="223"/>
    </row>
    <row r="49" s="220" customFormat="1" spans="1:3">
      <c r="A49" s="221"/>
      <c r="B49" s="222"/>
      <c r="C49" s="223"/>
    </row>
    <row r="50" s="220" customFormat="1" spans="1:3">
      <c r="A50" s="221"/>
      <c r="B50" s="222"/>
      <c r="C50" s="223"/>
    </row>
    <row r="51" s="220" customFormat="1" spans="1:3">
      <c r="A51" s="221"/>
      <c r="B51" s="222"/>
      <c r="C51" s="223"/>
    </row>
    <row r="52" s="220" customFormat="1" spans="1:3">
      <c r="A52" s="221"/>
      <c r="B52" s="222"/>
      <c r="C52" s="223"/>
    </row>
    <row r="53" s="220" customFormat="1" spans="1:3">
      <c r="A53" s="221"/>
      <c r="B53" s="222"/>
      <c r="C53" s="223"/>
    </row>
    <row r="54" s="220" customFormat="1" spans="1:3">
      <c r="A54" s="221"/>
      <c r="B54" s="222"/>
      <c r="C54" s="223"/>
    </row>
    <row r="55" s="220" customFormat="1" spans="1:3">
      <c r="A55" s="221"/>
      <c r="B55" s="222"/>
      <c r="C55" s="223"/>
    </row>
    <row r="56" s="220" customFormat="1" spans="1:3">
      <c r="A56" s="221"/>
      <c r="B56" s="222"/>
      <c r="C56" s="223"/>
    </row>
    <row r="57" s="220" customFormat="1" spans="1:3">
      <c r="A57" s="221"/>
      <c r="B57" s="222"/>
      <c r="C57" s="223"/>
    </row>
    <row r="58" s="220" customFormat="1" spans="1:3">
      <c r="A58" s="221"/>
      <c r="B58" s="222"/>
      <c r="C58" s="223"/>
    </row>
    <row r="59" s="220" customFormat="1" spans="1:3">
      <c r="A59" s="221"/>
      <c r="B59" s="222"/>
      <c r="C59" s="223"/>
    </row>
    <row r="60" s="220" customFormat="1" spans="1:3">
      <c r="A60" s="221"/>
      <c r="B60" s="222"/>
      <c r="C60" s="223"/>
    </row>
    <row r="61" s="220" customFormat="1" spans="1:3">
      <c r="A61" s="221"/>
      <c r="B61" s="222"/>
      <c r="C61" s="223"/>
    </row>
    <row r="62" s="220" customFormat="1" spans="1:3">
      <c r="A62" s="221"/>
      <c r="B62" s="222"/>
      <c r="C62" s="223"/>
    </row>
    <row r="63" s="220" customFormat="1" spans="1:3">
      <c r="A63" s="221"/>
      <c r="B63" s="222"/>
      <c r="C63" s="223"/>
    </row>
    <row r="64" s="220" customFormat="1" spans="1:3">
      <c r="A64" s="221"/>
      <c r="B64" s="222"/>
      <c r="C64" s="223"/>
    </row>
    <row r="65" s="220" customFormat="1" spans="1:3">
      <c r="A65" s="221"/>
      <c r="B65" s="222"/>
      <c r="C65" s="223"/>
    </row>
    <row r="66" s="220" customFormat="1" spans="1:3">
      <c r="A66" s="221"/>
      <c r="B66" s="222"/>
      <c r="C66" s="223"/>
    </row>
    <row r="67" s="220" customFormat="1" spans="1:3">
      <c r="A67" s="221"/>
      <c r="B67" s="222"/>
      <c r="C67" s="223"/>
    </row>
    <row r="68" s="220" customFormat="1" spans="1:3">
      <c r="A68" s="221"/>
      <c r="B68" s="222"/>
      <c r="C68" s="223"/>
    </row>
    <row r="69" s="220" customFormat="1" spans="1:3">
      <c r="A69" s="221"/>
      <c r="B69" s="222"/>
      <c r="C69" s="223"/>
    </row>
    <row r="70" s="220" customFormat="1" spans="1:3">
      <c r="A70" s="221"/>
      <c r="B70" s="222"/>
      <c r="C70" s="223"/>
    </row>
    <row r="71" s="220" customFormat="1" spans="1:3">
      <c r="A71" s="221"/>
      <c r="B71" s="222"/>
      <c r="C71" s="223"/>
    </row>
    <row r="72" s="220" customFormat="1" spans="1:3">
      <c r="A72" s="221"/>
      <c r="B72" s="222"/>
      <c r="C72" s="223"/>
    </row>
    <row r="73" s="220" customFormat="1" spans="1:3">
      <c r="A73" s="221"/>
      <c r="B73" s="222"/>
      <c r="C73" s="223"/>
    </row>
    <row r="74" s="220" customFormat="1" spans="1:3">
      <c r="A74" s="221"/>
      <c r="B74" s="222"/>
      <c r="C74" s="223"/>
    </row>
    <row r="75" s="220" customFormat="1" spans="1:3">
      <c r="A75" s="221"/>
      <c r="B75" s="222"/>
      <c r="C75" s="223"/>
    </row>
    <row r="76" s="220" customFormat="1" spans="1:3">
      <c r="A76" s="221"/>
      <c r="B76" s="222"/>
      <c r="C76" s="223"/>
    </row>
    <row r="77" s="220" customFormat="1" spans="1:3">
      <c r="A77" s="221"/>
      <c r="B77" s="222"/>
      <c r="C77" s="223"/>
    </row>
    <row r="78" s="220" customFormat="1" spans="1:3">
      <c r="A78" s="221"/>
      <c r="B78" s="222"/>
      <c r="C78" s="223"/>
    </row>
    <row r="79" s="220" customFormat="1" spans="1:3">
      <c r="A79" s="221"/>
      <c r="B79" s="222"/>
      <c r="C79" s="223"/>
    </row>
    <row r="80" s="220" customFormat="1" spans="1:3">
      <c r="A80" s="221"/>
      <c r="B80" s="222"/>
      <c r="C80" s="223"/>
    </row>
    <row r="81" s="220" customFormat="1" spans="1:3">
      <c r="A81" s="221"/>
      <c r="B81" s="222"/>
      <c r="C81" s="223"/>
    </row>
    <row r="82" s="220" customFormat="1" spans="1:3">
      <c r="A82" s="221"/>
      <c r="B82" s="222"/>
      <c r="C82" s="223"/>
    </row>
    <row r="83" s="220" customFormat="1" spans="1:3">
      <c r="A83" s="221"/>
      <c r="B83" s="222"/>
      <c r="C83" s="223"/>
    </row>
    <row r="84" s="220" customFormat="1" spans="1:3">
      <c r="A84" s="221"/>
      <c r="B84" s="222"/>
      <c r="C84" s="223"/>
    </row>
    <row r="85" s="220" customFormat="1" spans="1:3">
      <c r="A85" s="221"/>
      <c r="B85" s="222"/>
      <c r="C85" s="223"/>
    </row>
    <row r="86" s="220" customFormat="1" spans="1:3">
      <c r="A86" s="221"/>
      <c r="B86" s="222"/>
      <c r="C86" s="223"/>
    </row>
    <row r="87" s="220" customFormat="1" spans="1:3">
      <c r="A87" s="221"/>
      <c r="B87" s="222"/>
      <c r="C87" s="223"/>
    </row>
    <row r="88" s="220" customFormat="1" spans="1:3">
      <c r="A88" s="221"/>
      <c r="B88" s="222"/>
      <c r="C88" s="223"/>
    </row>
    <row r="89" s="220" customFormat="1" spans="1:3">
      <c r="A89" s="221"/>
      <c r="B89" s="222"/>
      <c r="C89" s="223"/>
    </row>
    <row r="90" s="220" customFormat="1" spans="1:3">
      <c r="A90" s="221"/>
      <c r="B90" s="222"/>
      <c r="C90" s="223"/>
    </row>
    <row r="91" s="220" customFormat="1" spans="1:3">
      <c r="A91" s="221"/>
      <c r="B91" s="222"/>
      <c r="C91" s="223"/>
    </row>
    <row r="92" s="220" customFormat="1" spans="1:3">
      <c r="A92" s="221"/>
      <c r="B92" s="222"/>
      <c r="C92" s="223"/>
    </row>
    <row r="93" s="220" customFormat="1" spans="1:3">
      <c r="A93" s="221"/>
      <c r="B93" s="222"/>
      <c r="C93" s="223"/>
    </row>
    <row r="94" s="220" customFormat="1" spans="1:3">
      <c r="A94" s="221"/>
      <c r="B94" s="222"/>
      <c r="C94" s="223"/>
    </row>
    <row r="95" s="220" customFormat="1" spans="1:3">
      <c r="A95" s="221"/>
      <c r="B95" s="222"/>
      <c r="C95" s="223"/>
    </row>
    <row r="96" s="220" customFormat="1" spans="1:3">
      <c r="A96" s="221"/>
      <c r="B96" s="222"/>
      <c r="C96" s="223"/>
    </row>
    <row r="97" s="220" customFormat="1" spans="1:3">
      <c r="A97" s="221"/>
      <c r="B97" s="222"/>
      <c r="C97" s="223"/>
    </row>
    <row r="98" s="220" customFormat="1" spans="1:3">
      <c r="A98" s="221"/>
      <c r="B98" s="222"/>
      <c r="C98" s="223"/>
    </row>
    <row r="99" s="220" customFormat="1" spans="1:3">
      <c r="A99" s="221"/>
      <c r="B99" s="222"/>
      <c r="C99" s="223"/>
    </row>
    <row r="100" s="220" customFormat="1" spans="1:3">
      <c r="A100" s="221"/>
      <c r="B100" s="222"/>
      <c r="C100" s="223"/>
    </row>
    <row r="101" s="220" customFormat="1" spans="1:3">
      <c r="A101" s="221"/>
      <c r="B101" s="222"/>
      <c r="C101" s="223"/>
    </row>
    <row r="102" s="220" customFormat="1" spans="1:3">
      <c r="A102" s="221"/>
      <c r="B102" s="222"/>
      <c r="C102" s="223"/>
    </row>
    <row r="103" s="220" customFormat="1" spans="1:3">
      <c r="A103" s="221"/>
      <c r="B103" s="222"/>
      <c r="C103" s="223"/>
    </row>
    <row r="104" s="220" customFormat="1" spans="1:3">
      <c r="A104" s="221"/>
      <c r="B104" s="222"/>
      <c r="C104" s="223"/>
    </row>
    <row r="105" s="220" customFormat="1" spans="1:3">
      <c r="A105" s="221"/>
      <c r="B105" s="222"/>
      <c r="C105" s="223"/>
    </row>
    <row r="106" s="220" customFormat="1" spans="1:3">
      <c r="A106" s="221"/>
      <c r="B106" s="222"/>
      <c r="C106" s="223"/>
    </row>
    <row r="107" s="220" customFormat="1" spans="1:3">
      <c r="A107" s="221"/>
      <c r="B107" s="222"/>
      <c r="C107" s="223"/>
    </row>
    <row r="108" s="220" customFormat="1" spans="1:3">
      <c r="A108" s="221"/>
      <c r="B108" s="222"/>
      <c r="C108" s="223"/>
    </row>
    <row r="109" s="220" customFormat="1" spans="1:3">
      <c r="A109" s="221"/>
      <c r="B109" s="222"/>
      <c r="C109" s="223"/>
    </row>
    <row r="110" s="220" customFormat="1" spans="1:3">
      <c r="A110" s="221"/>
      <c r="B110" s="222"/>
      <c r="C110" s="223"/>
    </row>
    <row r="111" s="220" customFormat="1" spans="1:3">
      <c r="A111" s="221"/>
      <c r="B111" s="222"/>
      <c r="C111" s="223"/>
    </row>
    <row r="112" s="220" customFormat="1" spans="1:3">
      <c r="A112" s="221"/>
      <c r="B112" s="222"/>
      <c r="C112" s="223"/>
    </row>
    <row r="113" s="220" customFormat="1" spans="1:3">
      <c r="A113" s="221"/>
      <c r="B113" s="222"/>
      <c r="C113" s="223"/>
    </row>
    <row r="114" s="220" customFormat="1" spans="1:3">
      <c r="A114" s="221"/>
      <c r="B114" s="222"/>
      <c r="C114" s="223"/>
    </row>
    <row r="115" s="220" customFormat="1" spans="1:3">
      <c r="A115" s="221"/>
      <c r="B115" s="222"/>
      <c r="C115" s="223"/>
    </row>
    <row r="116" s="220" customFormat="1" spans="1:3">
      <c r="A116" s="221"/>
      <c r="B116" s="222"/>
      <c r="C116" s="223"/>
    </row>
    <row r="117" s="220" customFormat="1" spans="1:3">
      <c r="A117" s="221"/>
      <c r="B117" s="222"/>
      <c r="C117" s="223"/>
    </row>
    <row r="118" s="220" customFormat="1" spans="1:3">
      <c r="A118" s="221"/>
      <c r="B118" s="222"/>
      <c r="C118" s="223"/>
    </row>
    <row r="119" s="220" customFormat="1" spans="1:3">
      <c r="A119" s="221"/>
      <c r="B119" s="222"/>
      <c r="C119" s="223"/>
    </row>
    <row r="120" s="220" customFormat="1" spans="1:3">
      <c r="A120" s="221"/>
      <c r="B120" s="222"/>
      <c r="C120" s="223"/>
    </row>
    <row r="121" s="220" customFormat="1" spans="1:3">
      <c r="A121" s="221"/>
      <c r="B121" s="222"/>
      <c r="C121" s="223"/>
    </row>
    <row r="122" s="220" customFormat="1" spans="1:3">
      <c r="A122" s="221"/>
      <c r="B122" s="222"/>
      <c r="C122" s="223"/>
    </row>
    <row r="123" s="220" customFormat="1" spans="1:3">
      <c r="A123" s="221"/>
      <c r="B123" s="222"/>
      <c r="C123" s="223"/>
    </row>
    <row r="124" s="220" customFormat="1" spans="1:3">
      <c r="A124" s="221"/>
      <c r="B124" s="222"/>
      <c r="C124" s="223"/>
    </row>
    <row r="125" s="220" customFormat="1" spans="1:3">
      <c r="A125" s="221"/>
      <c r="B125" s="222"/>
      <c r="C125" s="223"/>
    </row>
    <row r="126" s="220" customFormat="1" spans="1:3">
      <c r="A126" s="221"/>
      <c r="B126" s="222"/>
      <c r="C126" s="223"/>
    </row>
    <row r="127" s="220" customFormat="1" spans="1:3">
      <c r="A127" s="221"/>
      <c r="B127" s="222"/>
      <c r="C127" s="223"/>
    </row>
    <row r="128" s="220" customFormat="1" spans="1:3">
      <c r="A128" s="221"/>
      <c r="B128" s="222"/>
      <c r="C128" s="223"/>
    </row>
    <row r="129" s="220" customFormat="1" spans="1:7">
      <c r="A129" s="221"/>
      <c r="B129" s="222"/>
      <c r="C129" s="223"/>
      <c r="G129" s="236"/>
    </row>
    <row r="130" s="220" customFormat="1" spans="1:3">
      <c r="A130" s="221"/>
      <c r="B130" s="222"/>
      <c r="C130" s="223"/>
    </row>
    <row r="131" s="220" customFormat="1" spans="1:3">
      <c r="A131" s="221"/>
      <c r="B131" s="222"/>
      <c r="C131" s="223"/>
    </row>
    <row r="132" s="220" customFormat="1" spans="1:3">
      <c r="A132" s="221"/>
      <c r="B132" s="222"/>
      <c r="C132" s="223"/>
    </row>
    <row r="133" s="220" customFormat="1" spans="1:3">
      <c r="A133" s="221"/>
      <c r="B133" s="222"/>
      <c r="C133" s="223"/>
    </row>
    <row r="134" s="220" customFormat="1" spans="1:3">
      <c r="A134" s="221"/>
      <c r="B134" s="222"/>
      <c r="C134" s="223"/>
    </row>
    <row r="135" s="220" customFormat="1" spans="1:3">
      <c r="A135" s="221"/>
      <c r="B135" s="222"/>
      <c r="C135" s="223"/>
    </row>
    <row r="136" s="220" customFormat="1" spans="1:3">
      <c r="A136" s="221"/>
      <c r="B136" s="222"/>
      <c r="C136" s="223"/>
    </row>
    <row r="137" s="220" customFormat="1" spans="1:3">
      <c r="A137" s="221"/>
      <c r="B137" s="222"/>
      <c r="C137" s="223"/>
    </row>
    <row r="138" s="220" customFormat="1" spans="1:3">
      <c r="A138" s="221"/>
      <c r="B138" s="222"/>
      <c r="C138" s="223"/>
    </row>
    <row r="139" s="220" customFormat="1" spans="1:3">
      <c r="A139" s="221"/>
      <c r="B139" s="222"/>
      <c r="C139" s="223"/>
    </row>
    <row r="140" s="220" customFormat="1" spans="1:3">
      <c r="A140" s="221"/>
      <c r="B140" s="222"/>
      <c r="C140" s="223"/>
    </row>
    <row r="141" s="220" customFormat="1" spans="1:3">
      <c r="A141" s="221"/>
      <c r="B141" s="222"/>
      <c r="C141" s="223"/>
    </row>
    <row r="142" s="220" customFormat="1" spans="1:3">
      <c r="A142" s="221"/>
      <c r="B142" s="222"/>
      <c r="C142" s="223"/>
    </row>
    <row r="143" s="220" customFormat="1" spans="1:3">
      <c r="A143" s="221"/>
      <c r="B143" s="222"/>
      <c r="C143" s="223"/>
    </row>
    <row r="144" s="220" customFormat="1" spans="1:3">
      <c r="A144" s="221"/>
      <c r="B144" s="222"/>
      <c r="C144" s="223"/>
    </row>
    <row r="145" s="220" customFormat="1" spans="1:3">
      <c r="A145" s="221"/>
      <c r="B145" s="222"/>
      <c r="C145" s="223"/>
    </row>
    <row r="146" s="220" customFormat="1" spans="1:3">
      <c r="A146" s="221"/>
      <c r="B146" s="222"/>
      <c r="C146" s="223"/>
    </row>
    <row r="147" s="220" customFormat="1" spans="1:3">
      <c r="A147" s="221"/>
      <c r="B147" s="222"/>
      <c r="C147" s="223"/>
    </row>
    <row r="148" s="220" customFormat="1" spans="1:3">
      <c r="A148" s="221"/>
      <c r="B148" s="222"/>
      <c r="C148" s="223"/>
    </row>
    <row r="149" s="220" customFormat="1" spans="1:3">
      <c r="A149" s="221"/>
      <c r="B149" s="222"/>
      <c r="C149" s="223"/>
    </row>
    <row r="150" s="220" customFormat="1" spans="1:3">
      <c r="A150" s="221"/>
      <c r="B150" s="222"/>
      <c r="C150" s="223"/>
    </row>
    <row r="151" s="220" customFormat="1" spans="1:3">
      <c r="A151" s="221"/>
      <c r="B151" s="222"/>
      <c r="C151" s="223"/>
    </row>
    <row r="152" s="220" customFormat="1" spans="1:3">
      <c r="A152" s="221"/>
      <c r="B152" s="222"/>
      <c r="C152" s="223"/>
    </row>
    <row r="153" s="220" customFormat="1" spans="1:3">
      <c r="A153" s="221"/>
      <c r="B153" s="222"/>
      <c r="C153" s="223"/>
    </row>
    <row r="154" s="220" customFormat="1" spans="1:3">
      <c r="A154" s="221"/>
      <c r="B154" s="222"/>
      <c r="C154" s="223"/>
    </row>
    <row r="155" s="220" customFormat="1" spans="1:3">
      <c r="A155" s="221"/>
      <c r="B155" s="222"/>
      <c r="C155" s="223"/>
    </row>
    <row r="156" s="220" customFormat="1" spans="1:3">
      <c r="A156" s="221"/>
      <c r="B156" s="222"/>
      <c r="C156" s="223"/>
    </row>
    <row r="157" s="220" customFormat="1" spans="1:3">
      <c r="A157" s="221"/>
      <c r="B157" s="222"/>
      <c r="C157" s="223"/>
    </row>
    <row r="158" s="220" customFormat="1" spans="1:3">
      <c r="A158" s="221"/>
      <c r="B158" s="222"/>
      <c r="C158" s="223"/>
    </row>
    <row r="159" s="220" customFormat="1" spans="1:3">
      <c r="A159" s="221"/>
      <c r="B159" s="222"/>
      <c r="C159" s="223"/>
    </row>
    <row r="160" s="220" customFormat="1" spans="1:3">
      <c r="A160" s="221"/>
      <c r="B160" s="222"/>
      <c r="C160" s="223"/>
    </row>
    <row r="161" s="220" customFormat="1" spans="1:3">
      <c r="A161" s="221"/>
      <c r="B161" s="222"/>
      <c r="C161" s="223"/>
    </row>
    <row r="162" s="220" customFormat="1" spans="1:3">
      <c r="A162" s="221"/>
      <c r="B162" s="222"/>
      <c r="C162" s="223"/>
    </row>
    <row r="163" s="220" customFormat="1" spans="1:3">
      <c r="A163" s="221"/>
      <c r="B163" s="222"/>
      <c r="C163" s="223"/>
    </row>
    <row r="164" s="220" customFormat="1" spans="1:3">
      <c r="A164" s="221"/>
      <c r="B164" s="222"/>
      <c r="C164" s="223"/>
    </row>
    <row r="165" s="220" customFormat="1" spans="1:3">
      <c r="A165" s="221"/>
      <c r="B165" s="222"/>
      <c r="C165" s="223"/>
    </row>
    <row r="166" s="220" customFormat="1" spans="1:3">
      <c r="A166" s="221"/>
      <c r="B166" s="222"/>
      <c r="C166" s="223"/>
    </row>
    <row r="167" s="220" customFormat="1" spans="1:3">
      <c r="A167" s="221"/>
      <c r="B167" s="222"/>
      <c r="C167" s="223"/>
    </row>
    <row r="168" s="220" customFormat="1" spans="1:3">
      <c r="A168" s="221"/>
      <c r="B168" s="222"/>
      <c r="C168" s="223"/>
    </row>
    <row r="169" s="220" customFormat="1" spans="1:3">
      <c r="A169" s="221"/>
      <c r="B169" s="222"/>
      <c r="C169" s="223"/>
    </row>
    <row r="170" s="220" customFormat="1" spans="1:3">
      <c r="A170" s="221"/>
      <c r="B170" s="222"/>
      <c r="C170" s="223"/>
    </row>
    <row r="171" s="220" customFormat="1" spans="1:3">
      <c r="A171" s="221"/>
      <c r="B171" s="222"/>
      <c r="C171" s="223"/>
    </row>
    <row r="172" s="220" customFormat="1" spans="1:3">
      <c r="A172" s="221"/>
      <c r="B172" s="222"/>
      <c r="C172" s="223"/>
    </row>
    <row r="173" s="220" customFormat="1" spans="1:3">
      <c r="A173" s="221"/>
      <c r="B173" s="222"/>
      <c r="C173" s="223"/>
    </row>
    <row r="174" s="220" customFormat="1" spans="1:3">
      <c r="A174" s="221"/>
      <c r="B174" s="222"/>
      <c r="C174" s="223"/>
    </row>
    <row r="175" s="220" customFormat="1" spans="1:3">
      <c r="A175" s="221"/>
      <c r="B175" s="222"/>
      <c r="C175" s="223"/>
    </row>
    <row r="176" s="220" customFormat="1" spans="1:3">
      <c r="A176" s="221"/>
      <c r="B176" s="222"/>
      <c r="C176" s="223"/>
    </row>
    <row r="177" s="220" customFormat="1" spans="1:3">
      <c r="A177" s="221"/>
      <c r="B177" s="222"/>
      <c r="C177" s="223"/>
    </row>
    <row r="178" s="220" customFormat="1" spans="1:3">
      <c r="A178" s="221"/>
      <c r="B178" s="222"/>
      <c r="C178" s="223"/>
    </row>
    <row r="179" s="220" customFormat="1" spans="1:3">
      <c r="A179" s="221"/>
      <c r="B179" s="222"/>
      <c r="C179" s="223"/>
    </row>
    <row r="180" s="220" customFormat="1" spans="1:3">
      <c r="A180" s="221"/>
      <c r="B180" s="222"/>
      <c r="C180" s="223"/>
    </row>
    <row r="181" s="220" customFormat="1" spans="1:3">
      <c r="A181" s="221"/>
      <c r="B181" s="222"/>
      <c r="C181" s="223"/>
    </row>
    <row r="182" s="220" customFormat="1" spans="1:3">
      <c r="A182" s="221"/>
      <c r="B182" s="222"/>
      <c r="C182" s="223"/>
    </row>
    <row r="183" s="220" customFormat="1" spans="1:3">
      <c r="A183" s="221"/>
      <c r="B183" s="222"/>
      <c r="C183" s="223"/>
    </row>
    <row r="184" s="220" customFormat="1" spans="1:3">
      <c r="A184" s="221"/>
      <c r="B184" s="222"/>
      <c r="C184" s="223"/>
    </row>
    <row r="185" s="220" customFormat="1" spans="1:3">
      <c r="A185" s="221"/>
      <c r="B185" s="222"/>
      <c r="C185" s="223"/>
    </row>
    <row r="186" s="220" customFormat="1" spans="1:3">
      <c r="A186" s="221"/>
      <c r="B186" s="222"/>
      <c r="C186" s="223"/>
    </row>
    <row r="187" s="220" customFormat="1" spans="1:3">
      <c r="A187" s="221"/>
      <c r="B187" s="222"/>
      <c r="C187" s="223"/>
    </row>
    <row r="188" s="220" customFormat="1" spans="1:3">
      <c r="A188" s="221"/>
      <c r="B188" s="222"/>
      <c r="C188" s="223"/>
    </row>
    <row r="189" s="220" customFormat="1" spans="1:3">
      <c r="A189" s="221"/>
      <c r="B189" s="222"/>
      <c r="C189" s="223"/>
    </row>
    <row r="190" s="220" customFormat="1" spans="1:3">
      <c r="A190" s="221"/>
      <c r="B190" s="222"/>
      <c r="C190" s="223"/>
    </row>
    <row r="191" s="220" customFormat="1" spans="1:3">
      <c r="A191" s="221"/>
      <c r="B191" s="222"/>
      <c r="C191" s="223"/>
    </row>
    <row r="192" s="220" customFormat="1" spans="1:3">
      <c r="A192" s="221"/>
      <c r="B192" s="222"/>
      <c r="C192" s="223"/>
    </row>
    <row r="193" s="220" customFormat="1" spans="1:3">
      <c r="A193" s="221"/>
      <c r="B193" s="222"/>
      <c r="C193" s="223"/>
    </row>
    <row r="194" s="220" customFormat="1" spans="1:3">
      <c r="A194" s="221"/>
      <c r="B194" s="222"/>
      <c r="C194" s="223"/>
    </row>
    <row r="195" s="220" customFormat="1" spans="1:3">
      <c r="A195" s="221"/>
      <c r="B195" s="222"/>
      <c r="C195" s="223"/>
    </row>
    <row r="196" s="220" customFormat="1" spans="1:3">
      <c r="A196" s="221"/>
      <c r="B196" s="222"/>
      <c r="C196" s="223"/>
    </row>
    <row r="197" s="220" customFormat="1" spans="1:3">
      <c r="A197" s="221"/>
      <c r="B197" s="222"/>
      <c r="C197" s="223"/>
    </row>
    <row r="198" s="220" customFormat="1" spans="1:3">
      <c r="A198" s="221"/>
      <c r="B198" s="222"/>
      <c r="C198" s="223"/>
    </row>
    <row r="199" s="220" customFormat="1" spans="1:3">
      <c r="A199" s="221"/>
      <c r="B199" s="222"/>
      <c r="C199" s="223"/>
    </row>
    <row r="200" s="220" customFormat="1" spans="1:3">
      <c r="A200" s="221"/>
      <c r="B200" s="222"/>
      <c r="C200" s="223"/>
    </row>
    <row r="201" s="220" customFormat="1" spans="1:3">
      <c r="A201" s="221"/>
      <c r="B201" s="222"/>
      <c r="C201" s="223"/>
    </row>
    <row r="202" s="220" customFormat="1" spans="1:3">
      <c r="A202" s="221"/>
      <c r="B202" s="222"/>
      <c r="C202" s="223"/>
    </row>
    <row r="203" s="220" customFormat="1" spans="1:3">
      <c r="A203" s="221"/>
      <c r="B203" s="222"/>
      <c r="C203" s="223"/>
    </row>
    <row r="204" s="220" customFormat="1" spans="1:3">
      <c r="A204" s="221"/>
      <c r="B204" s="222"/>
      <c r="C204" s="223"/>
    </row>
    <row r="205" s="220" customFormat="1" spans="1:3">
      <c r="A205" s="221"/>
      <c r="B205" s="222"/>
      <c r="C205" s="223"/>
    </row>
    <row r="206" s="220" customFormat="1" spans="1:3">
      <c r="A206" s="221"/>
      <c r="B206" s="222"/>
      <c r="C206" s="223"/>
    </row>
    <row r="207" s="220" customFormat="1" spans="1:3">
      <c r="A207" s="221"/>
      <c r="B207" s="222"/>
      <c r="C207" s="223"/>
    </row>
    <row r="208" s="220" customFormat="1" spans="1:3">
      <c r="A208" s="221"/>
      <c r="B208" s="222"/>
      <c r="C208" s="223"/>
    </row>
    <row r="209" s="220" customFormat="1" spans="1:3">
      <c r="A209" s="221"/>
      <c r="B209" s="222"/>
      <c r="C209" s="223"/>
    </row>
    <row r="210" s="220" customFormat="1" spans="1:3">
      <c r="A210" s="221"/>
      <c r="B210" s="222"/>
      <c r="C210" s="223"/>
    </row>
    <row r="211" s="220" customFormat="1" spans="1:3">
      <c r="A211" s="221"/>
      <c r="B211" s="222"/>
      <c r="C211" s="223"/>
    </row>
    <row r="212" s="220" customFormat="1" spans="1:3">
      <c r="A212" s="221"/>
      <c r="B212" s="222"/>
      <c r="C212" s="223"/>
    </row>
    <row r="213" s="220" customFormat="1" spans="1:3">
      <c r="A213" s="221"/>
      <c r="B213" s="222"/>
      <c r="C213" s="223"/>
    </row>
    <row r="214" s="220" customFormat="1" spans="1:3">
      <c r="A214" s="221"/>
      <c r="B214" s="222"/>
      <c r="C214" s="223"/>
    </row>
    <row r="215" s="220" customFormat="1" spans="1:3">
      <c r="A215" s="221"/>
      <c r="B215" s="222"/>
      <c r="C215" s="223"/>
    </row>
    <row r="216" s="220" customFormat="1" spans="1:3">
      <c r="A216" s="221"/>
      <c r="B216" s="222"/>
      <c r="C216" s="223"/>
    </row>
    <row r="217" s="220" customFormat="1" spans="1:3">
      <c r="A217" s="221"/>
      <c r="B217" s="222"/>
      <c r="C217" s="223"/>
    </row>
    <row r="218" s="220" customFormat="1" spans="1:3">
      <c r="A218" s="221"/>
      <c r="B218" s="222"/>
      <c r="C218" s="223"/>
    </row>
    <row r="219" s="220" customFormat="1" spans="1:3">
      <c r="A219" s="221"/>
      <c r="B219" s="222"/>
      <c r="C219" s="223"/>
    </row>
    <row r="220" s="220" customFormat="1" spans="1:3">
      <c r="A220" s="221"/>
      <c r="B220" s="222"/>
      <c r="C220" s="223"/>
    </row>
    <row r="221" s="220" customFormat="1" spans="1:3">
      <c r="A221" s="221"/>
      <c r="B221" s="222"/>
      <c r="C221" s="223"/>
    </row>
    <row r="222" s="220" customFormat="1" spans="1:3">
      <c r="A222" s="221"/>
      <c r="B222" s="222"/>
      <c r="C222" s="223"/>
    </row>
    <row r="223" s="220" customFormat="1" spans="1:3">
      <c r="A223" s="221"/>
      <c r="B223" s="222"/>
      <c r="C223" s="223"/>
    </row>
    <row r="224" s="220" customFormat="1" spans="1:3">
      <c r="A224" s="221"/>
      <c r="B224" s="222"/>
      <c r="C224" s="223"/>
    </row>
    <row r="225" s="220" customFormat="1" spans="1:3">
      <c r="A225" s="221"/>
      <c r="B225" s="222"/>
      <c r="C225" s="223"/>
    </row>
    <row r="226" s="220" customFormat="1" spans="1:3">
      <c r="A226" s="221"/>
      <c r="B226" s="222"/>
      <c r="C226" s="223"/>
    </row>
    <row r="227" s="220" customFormat="1" spans="1:3">
      <c r="A227" s="221"/>
      <c r="B227" s="222"/>
      <c r="C227" s="223"/>
    </row>
    <row r="228" s="220" customFormat="1" spans="1:3">
      <c r="A228" s="221"/>
      <c r="B228" s="222"/>
      <c r="C228" s="223"/>
    </row>
    <row r="229" s="220" customFormat="1" spans="1:3">
      <c r="A229" s="221"/>
      <c r="B229" s="222"/>
      <c r="C229" s="223"/>
    </row>
    <row r="230" s="220" customFormat="1" spans="1:3">
      <c r="A230" s="221"/>
      <c r="B230" s="222"/>
      <c r="C230" s="223"/>
    </row>
    <row r="231" s="220" customFormat="1" spans="1:3">
      <c r="A231" s="221"/>
      <c r="B231" s="222"/>
      <c r="C231" s="223"/>
    </row>
    <row r="232" s="220" customFormat="1" spans="1:3">
      <c r="A232" s="221"/>
      <c r="B232" s="222"/>
      <c r="C232" s="223"/>
    </row>
    <row r="233" s="220" customFormat="1" spans="1:3">
      <c r="A233" s="221"/>
      <c r="B233" s="222"/>
      <c r="C233" s="223"/>
    </row>
    <row r="234" s="220" customFormat="1" spans="1:3">
      <c r="A234" s="221"/>
      <c r="B234" s="222"/>
      <c r="C234" s="223"/>
    </row>
    <row r="235" s="220" customFormat="1" spans="1:3">
      <c r="A235" s="221"/>
      <c r="B235" s="222"/>
      <c r="C235" s="223"/>
    </row>
    <row r="236" s="220" customFormat="1" spans="1:3">
      <c r="A236" s="221"/>
      <c r="B236" s="222"/>
      <c r="C236" s="223"/>
    </row>
    <row r="237" s="220" customFormat="1" spans="1:3">
      <c r="A237" s="221"/>
      <c r="B237" s="222"/>
      <c r="C237" s="223"/>
    </row>
    <row r="238" s="220" customFormat="1" spans="1:3">
      <c r="A238" s="221"/>
      <c r="B238" s="222"/>
      <c r="C238" s="223"/>
    </row>
    <row r="239" s="220" customFormat="1" spans="1:3">
      <c r="A239" s="221"/>
      <c r="B239" s="222"/>
      <c r="C239" s="223"/>
    </row>
    <row r="240" s="220" customFormat="1" spans="1:3">
      <c r="A240" s="221"/>
      <c r="B240" s="222"/>
      <c r="C240" s="223"/>
    </row>
    <row r="241" s="220" customFormat="1" spans="1:3">
      <c r="A241" s="221"/>
      <c r="B241" s="222"/>
      <c r="C241" s="223"/>
    </row>
    <row r="242" s="220" customFormat="1" spans="1:3">
      <c r="A242" s="221"/>
      <c r="B242" s="222"/>
      <c r="C242" s="223"/>
    </row>
    <row r="243" s="220" customFormat="1" spans="1:3">
      <c r="A243" s="221"/>
      <c r="B243" s="222"/>
      <c r="C243" s="223"/>
    </row>
    <row r="244" s="220" customFormat="1" spans="1:3">
      <c r="A244" s="221"/>
      <c r="B244" s="222"/>
      <c r="C244" s="223"/>
    </row>
    <row r="245" s="220" customFormat="1" spans="1:3">
      <c r="A245" s="221"/>
      <c r="B245" s="222"/>
      <c r="C245" s="223"/>
    </row>
    <row r="246" s="220" customFormat="1" spans="1:3">
      <c r="A246" s="221"/>
      <c r="B246" s="222"/>
      <c r="C246" s="223"/>
    </row>
    <row r="247" s="220" customFormat="1" spans="1:3">
      <c r="A247" s="221"/>
      <c r="B247" s="222"/>
      <c r="C247" s="223"/>
    </row>
    <row r="248" s="220" customFormat="1" spans="1:3">
      <c r="A248" s="221"/>
      <c r="B248" s="222"/>
      <c r="C248" s="223"/>
    </row>
    <row r="249" s="220" customFormat="1" spans="1:3">
      <c r="A249" s="221"/>
      <c r="B249" s="222"/>
      <c r="C249" s="223"/>
    </row>
    <row r="250" s="220" customFormat="1" spans="1:3">
      <c r="A250" s="221"/>
      <c r="B250" s="222"/>
      <c r="C250" s="223"/>
    </row>
    <row r="251" s="220" customFormat="1" spans="1:3">
      <c r="A251" s="221"/>
      <c r="B251" s="222"/>
      <c r="C251" s="223"/>
    </row>
    <row r="252" s="220" customFormat="1" spans="1:3">
      <c r="A252" s="221"/>
      <c r="B252" s="222"/>
      <c r="C252" s="223"/>
    </row>
    <row r="253" s="220" customFormat="1" spans="1:3">
      <c r="A253" s="221"/>
      <c r="B253" s="222"/>
      <c r="C253" s="223"/>
    </row>
    <row r="254" s="220" customFormat="1" spans="1:3">
      <c r="A254" s="221"/>
      <c r="B254" s="222"/>
      <c r="C254" s="223"/>
    </row>
    <row r="255" s="220" customFormat="1" spans="1:3">
      <c r="A255" s="221"/>
      <c r="B255" s="222"/>
      <c r="C255" s="223"/>
    </row>
    <row r="256" s="220" customFormat="1" spans="1:3">
      <c r="A256" s="221"/>
      <c r="B256" s="222"/>
      <c r="C256" s="223"/>
    </row>
    <row r="257" s="220" customFormat="1" spans="1:3">
      <c r="A257" s="221"/>
      <c r="B257" s="222"/>
      <c r="C257" s="223"/>
    </row>
    <row r="258" s="220" customFormat="1" spans="1:3">
      <c r="A258" s="221"/>
      <c r="B258" s="222"/>
      <c r="C258" s="223"/>
    </row>
    <row r="259" s="220" customFormat="1" spans="1:3">
      <c r="A259" s="221"/>
      <c r="B259" s="222"/>
      <c r="C259" s="223"/>
    </row>
    <row r="260" s="220" customFormat="1" spans="1:3">
      <c r="A260" s="221"/>
      <c r="B260" s="222"/>
      <c r="C260" s="223"/>
    </row>
    <row r="261" s="220" customFormat="1" spans="1:3">
      <c r="A261" s="221"/>
      <c r="B261" s="222"/>
      <c r="C261" s="223"/>
    </row>
    <row r="262" s="220" customFormat="1" spans="1:3">
      <c r="A262" s="221"/>
      <c r="B262" s="222"/>
      <c r="C262" s="223"/>
    </row>
    <row r="263" s="220" customFormat="1" spans="1:3">
      <c r="A263" s="221"/>
      <c r="B263" s="222"/>
      <c r="C263" s="223"/>
    </row>
    <row r="264" s="220" customFormat="1" spans="1:3">
      <c r="A264" s="221"/>
      <c r="B264" s="222"/>
      <c r="C264" s="223"/>
    </row>
    <row r="265" s="220" customFormat="1" spans="1:3">
      <c r="A265" s="221"/>
      <c r="B265" s="222"/>
      <c r="C265" s="223"/>
    </row>
    <row r="266" s="220" customFormat="1" spans="1:3">
      <c r="A266" s="221"/>
      <c r="B266" s="222"/>
      <c r="C266" s="223"/>
    </row>
    <row r="267" s="220" customFormat="1" spans="1:3">
      <c r="A267" s="221"/>
      <c r="B267" s="222"/>
      <c r="C267" s="223"/>
    </row>
    <row r="268" s="220" customFormat="1" spans="1:3">
      <c r="A268" s="221"/>
      <c r="B268" s="222"/>
      <c r="C268" s="223"/>
    </row>
    <row r="269" s="220" customFormat="1" spans="1:3">
      <c r="A269" s="221"/>
      <c r="B269" s="222"/>
      <c r="C269" s="223"/>
    </row>
    <row r="270" s="220" customFormat="1" spans="1:3">
      <c r="A270" s="221"/>
      <c r="B270" s="222"/>
      <c r="C270" s="223"/>
    </row>
    <row r="271" s="220" customFormat="1" spans="1:3">
      <c r="A271" s="221"/>
      <c r="B271" s="222"/>
      <c r="C271" s="223"/>
    </row>
    <row r="272" s="220" customFormat="1" spans="1:3">
      <c r="A272" s="221"/>
      <c r="B272" s="222"/>
      <c r="C272" s="223"/>
    </row>
    <row r="273" s="220" customFormat="1" spans="1:3">
      <c r="A273" s="221"/>
      <c r="B273" s="222"/>
      <c r="C273" s="223"/>
    </row>
    <row r="274" s="220" customFormat="1" spans="1:3">
      <c r="A274" s="221"/>
      <c r="B274" s="222"/>
      <c r="C274" s="223"/>
    </row>
    <row r="275" s="220" customFormat="1" spans="1:3">
      <c r="A275" s="221"/>
      <c r="B275" s="222"/>
      <c r="C275" s="223"/>
    </row>
    <row r="276" s="220" customFormat="1" spans="1:3">
      <c r="A276" s="221"/>
      <c r="B276" s="222"/>
      <c r="C276" s="223"/>
    </row>
    <row r="277" s="220" customFormat="1" spans="1:3">
      <c r="A277" s="221"/>
      <c r="B277" s="222"/>
      <c r="C277" s="223"/>
    </row>
    <row r="278" s="220" customFormat="1" spans="1:3">
      <c r="A278" s="221"/>
      <c r="B278" s="222"/>
      <c r="C278" s="223"/>
    </row>
    <row r="279" s="220" customFormat="1" spans="1:3">
      <c r="A279" s="221"/>
      <c r="B279" s="222"/>
      <c r="C279" s="223"/>
    </row>
    <row r="280" s="220" customFormat="1" spans="1:3">
      <c r="A280" s="221"/>
      <c r="B280" s="222"/>
      <c r="C280" s="223"/>
    </row>
    <row r="281" s="220" customFormat="1" spans="1:3">
      <c r="A281" s="221"/>
      <c r="B281" s="222"/>
      <c r="C281" s="223"/>
    </row>
    <row r="282" s="220" customFormat="1" spans="1:3">
      <c r="A282" s="221"/>
      <c r="B282" s="222"/>
      <c r="C282" s="223"/>
    </row>
    <row r="283" s="220" customFormat="1" spans="1:3">
      <c r="A283" s="221"/>
      <c r="B283" s="222"/>
      <c r="C283" s="223"/>
    </row>
    <row r="284" s="220" customFormat="1" spans="1:3">
      <c r="A284" s="221"/>
      <c r="B284" s="222"/>
      <c r="C284" s="223"/>
    </row>
    <row r="285" s="220" customFormat="1" spans="1:3">
      <c r="A285" s="221"/>
      <c r="B285" s="222"/>
      <c r="C285" s="223"/>
    </row>
    <row r="286" s="220" customFormat="1" spans="1:3">
      <c r="A286" s="221"/>
      <c r="B286" s="222"/>
      <c r="C286" s="223"/>
    </row>
    <row r="287" s="220" customFormat="1" spans="1:3">
      <c r="A287" s="221"/>
      <c r="B287" s="222"/>
      <c r="C287" s="223"/>
    </row>
    <row r="288" s="220" customFormat="1" spans="1:3">
      <c r="A288" s="221"/>
      <c r="B288" s="222"/>
      <c r="C288" s="223"/>
    </row>
    <row r="289" s="220" customFormat="1" spans="1:3">
      <c r="A289" s="221"/>
      <c r="B289" s="222"/>
      <c r="C289" s="223"/>
    </row>
    <row r="290" s="220" customFormat="1" spans="1:3">
      <c r="A290" s="221"/>
      <c r="B290" s="222"/>
      <c r="C290" s="223"/>
    </row>
    <row r="291" s="220" customFormat="1" spans="1:3">
      <c r="A291" s="221"/>
      <c r="B291" s="222"/>
      <c r="C291" s="223"/>
    </row>
    <row r="292" s="220" customFormat="1" spans="1:3">
      <c r="A292" s="221"/>
      <c r="B292" s="222"/>
      <c r="C292" s="223"/>
    </row>
    <row r="293" s="220" customFormat="1" spans="1:3">
      <c r="A293" s="221"/>
      <c r="B293" s="222"/>
      <c r="C293" s="223"/>
    </row>
    <row r="294" s="220" customFormat="1" spans="1:3">
      <c r="A294" s="221"/>
      <c r="B294" s="222"/>
      <c r="C294" s="223"/>
    </row>
    <row r="295" s="220" customFormat="1" spans="1:3">
      <c r="A295" s="221"/>
      <c r="B295" s="222"/>
      <c r="C295" s="223"/>
    </row>
    <row r="296" s="220" customFormat="1" spans="1:3">
      <c r="A296" s="221"/>
      <c r="B296" s="222"/>
      <c r="C296" s="223"/>
    </row>
    <row r="297" s="220" customFormat="1" spans="1:3">
      <c r="A297" s="221"/>
      <c r="B297" s="222"/>
      <c r="C297" s="223"/>
    </row>
    <row r="298" s="220" customFormat="1" spans="1:3">
      <c r="A298" s="221"/>
      <c r="B298" s="222"/>
      <c r="C298" s="223"/>
    </row>
    <row r="299" s="220" customFormat="1" spans="1:3">
      <c r="A299" s="221"/>
      <c r="B299" s="222"/>
      <c r="C299" s="223"/>
    </row>
    <row r="300" s="220" customFormat="1" spans="1:3">
      <c r="A300" s="221"/>
      <c r="B300" s="222"/>
      <c r="C300" s="223"/>
    </row>
    <row r="301" s="220" customFormat="1" spans="1:3">
      <c r="A301" s="221"/>
      <c r="B301" s="222"/>
      <c r="C301" s="223"/>
    </row>
    <row r="302" s="220" customFormat="1" spans="1:3">
      <c r="A302" s="221"/>
      <c r="B302" s="222"/>
      <c r="C302" s="223"/>
    </row>
    <row r="303" s="220" customFormat="1" spans="1:3">
      <c r="A303" s="221"/>
      <c r="B303" s="222"/>
      <c r="C303" s="223"/>
    </row>
    <row r="304" s="220" customFormat="1" spans="1:3">
      <c r="A304" s="221"/>
      <c r="B304" s="222"/>
      <c r="C304" s="223"/>
    </row>
    <row r="305" s="220" customFormat="1" spans="1:3">
      <c r="A305" s="221"/>
      <c r="B305" s="222"/>
      <c r="C305" s="223"/>
    </row>
    <row r="306" s="220" customFormat="1" spans="1:3">
      <c r="A306" s="221"/>
      <c r="B306" s="222"/>
      <c r="C306" s="223"/>
    </row>
    <row r="307" s="220" customFormat="1" spans="1:3">
      <c r="A307" s="221"/>
      <c r="B307" s="222"/>
      <c r="C307" s="223"/>
    </row>
    <row r="308" s="220" customFormat="1" spans="1:3">
      <c r="A308" s="221"/>
      <c r="B308" s="222"/>
      <c r="C308" s="223"/>
    </row>
    <row r="309" s="220" customFormat="1" spans="1:3">
      <c r="A309" s="221"/>
      <c r="B309" s="222"/>
      <c r="C309" s="223"/>
    </row>
    <row r="310" s="220" customFormat="1" spans="1:3">
      <c r="A310" s="221"/>
      <c r="B310" s="222"/>
      <c r="C310" s="223"/>
    </row>
    <row r="311" s="220" customFormat="1" spans="1:3">
      <c r="A311" s="221"/>
      <c r="B311" s="222"/>
      <c r="C311" s="223"/>
    </row>
    <row r="312" s="220" customFormat="1" spans="1:3">
      <c r="A312" s="221"/>
      <c r="B312" s="222"/>
      <c r="C312" s="223"/>
    </row>
    <row r="313" s="220" customFormat="1" spans="1:3">
      <c r="A313" s="221"/>
      <c r="B313" s="222"/>
      <c r="C313" s="223"/>
    </row>
    <row r="314" s="220" customFormat="1" spans="1:3">
      <c r="A314" s="221"/>
      <c r="B314" s="222"/>
      <c r="C314" s="223"/>
    </row>
    <row r="315" s="220" customFormat="1" spans="1:3">
      <c r="A315" s="221"/>
      <c r="B315" s="222"/>
      <c r="C315" s="223"/>
    </row>
    <row r="316" s="220" customFormat="1" spans="1:3">
      <c r="A316" s="221"/>
      <c r="B316" s="222"/>
      <c r="C316" s="223"/>
    </row>
    <row r="317" s="220" customFormat="1" spans="1:3">
      <c r="A317" s="221"/>
      <c r="B317" s="222"/>
      <c r="C317" s="223"/>
    </row>
    <row r="318" s="220" customFormat="1" spans="1:3">
      <c r="A318" s="221"/>
      <c r="B318" s="222"/>
      <c r="C318" s="223"/>
    </row>
    <row r="319" s="220" customFormat="1" spans="1:3">
      <c r="A319" s="221"/>
      <c r="B319" s="222"/>
      <c r="C319" s="223"/>
    </row>
    <row r="320" s="220" customFormat="1" spans="1:3">
      <c r="A320" s="221"/>
      <c r="B320" s="222"/>
      <c r="C320" s="223"/>
    </row>
    <row r="321" s="220" customFormat="1" spans="1:3">
      <c r="A321" s="221"/>
      <c r="B321" s="222"/>
      <c r="C321" s="223"/>
    </row>
    <row r="322" s="220" customFormat="1" spans="1:3">
      <c r="A322" s="221"/>
      <c r="B322" s="222"/>
      <c r="C322" s="223"/>
    </row>
    <row r="323" s="220" customFormat="1" spans="1:3">
      <c r="A323" s="221"/>
      <c r="B323" s="222"/>
      <c r="C323" s="223"/>
    </row>
    <row r="324" s="220" customFormat="1" spans="1:3">
      <c r="A324" s="221"/>
      <c r="B324" s="222"/>
      <c r="C324" s="223"/>
    </row>
    <row r="325" s="220" customFormat="1" spans="1:3">
      <c r="A325" s="221"/>
      <c r="B325" s="222"/>
      <c r="C325" s="223"/>
    </row>
    <row r="326" s="220" customFormat="1" spans="1:3">
      <c r="A326" s="221"/>
      <c r="B326" s="222"/>
      <c r="C326" s="223"/>
    </row>
    <row r="327" s="220" customFormat="1" spans="1:3">
      <c r="A327" s="221"/>
      <c r="B327" s="222"/>
      <c r="C327" s="223"/>
    </row>
    <row r="328" s="220" customFormat="1" spans="1:3">
      <c r="A328" s="221"/>
      <c r="B328" s="222"/>
      <c r="C328" s="223"/>
    </row>
    <row r="329" s="220" customFormat="1" spans="1:3">
      <c r="A329" s="221"/>
      <c r="B329" s="222"/>
      <c r="C329" s="223"/>
    </row>
    <row r="330" s="220" customFormat="1" spans="1:3">
      <c r="A330" s="221"/>
      <c r="B330" s="222"/>
      <c r="C330" s="223"/>
    </row>
    <row r="331" s="220" customFormat="1" spans="1:3">
      <c r="A331" s="221"/>
      <c r="B331" s="222"/>
      <c r="C331" s="223"/>
    </row>
    <row r="332" s="220" customFormat="1" spans="1:3">
      <c r="A332" s="221"/>
      <c r="B332" s="222"/>
      <c r="C332" s="223"/>
    </row>
    <row r="333" s="220" customFormat="1" spans="1:3">
      <c r="A333" s="221"/>
      <c r="B333" s="222"/>
      <c r="C333" s="223"/>
    </row>
    <row r="334" s="220" customFormat="1" spans="1:3">
      <c r="A334" s="221"/>
      <c r="B334" s="222"/>
      <c r="C334" s="223"/>
    </row>
    <row r="335" s="220" customFormat="1" spans="1:3">
      <c r="A335" s="221"/>
      <c r="B335" s="222"/>
      <c r="C335" s="223"/>
    </row>
    <row r="336" s="220" customFormat="1" spans="1:3">
      <c r="A336" s="221"/>
      <c r="B336" s="222"/>
      <c r="C336" s="223"/>
    </row>
    <row r="337" s="220" customFormat="1" spans="1:3">
      <c r="A337" s="221"/>
      <c r="B337" s="222"/>
      <c r="C337" s="223"/>
    </row>
    <row r="338" s="220" customFormat="1" spans="1:3">
      <c r="A338" s="221"/>
      <c r="B338" s="222"/>
      <c r="C338" s="223"/>
    </row>
    <row r="339" s="220" customFormat="1" spans="1:3">
      <c r="A339" s="221"/>
      <c r="B339" s="222"/>
      <c r="C339" s="223"/>
    </row>
    <row r="340" s="220" customFormat="1" spans="1:3">
      <c r="A340" s="221"/>
      <c r="B340" s="222"/>
      <c r="C340" s="223"/>
    </row>
    <row r="341" s="220" customFormat="1" spans="1:3">
      <c r="A341" s="221"/>
      <c r="B341" s="222"/>
      <c r="C341" s="223"/>
    </row>
    <row r="342" s="220" customFormat="1" spans="1:3">
      <c r="A342" s="221"/>
      <c r="B342" s="222"/>
      <c r="C342" s="223"/>
    </row>
    <row r="343" s="220" customFormat="1" spans="1:3">
      <c r="A343" s="221"/>
      <c r="B343" s="222"/>
      <c r="C343" s="223"/>
    </row>
    <row r="344" s="220" customFormat="1" spans="1:3">
      <c r="A344" s="221"/>
      <c r="B344" s="222"/>
      <c r="C344" s="223"/>
    </row>
    <row r="345" s="220" customFormat="1" spans="1:3">
      <c r="A345" s="221"/>
      <c r="B345" s="222"/>
      <c r="C345" s="223"/>
    </row>
    <row r="346" s="220" customFormat="1" spans="1:3">
      <c r="A346" s="221"/>
      <c r="B346" s="222"/>
      <c r="C346" s="223"/>
    </row>
    <row r="347" s="220" customFormat="1" spans="1:3">
      <c r="A347" s="221"/>
      <c r="B347" s="222"/>
      <c r="C347" s="223"/>
    </row>
    <row r="348" s="220" customFormat="1" spans="1:3">
      <c r="A348" s="221"/>
      <c r="B348" s="222"/>
      <c r="C348" s="223"/>
    </row>
    <row r="349" s="220" customFormat="1" spans="1:3">
      <c r="A349" s="221"/>
      <c r="B349" s="222"/>
      <c r="C349" s="223"/>
    </row>
    <row r="350" s="220" customFormat="1" spans="1:3">
      <c r="A350" s="221"/>
      <c r="B350" s="222"/>
      <c r="C350" s="223"/>
    </row>
    <row r="351" s="220" customFormat="1" spans="1:3">
      <c r="A351" s="221"/>
      <c r="B351" s="222"/>
      <c r="C351" s="223"/>
    </row>
    <row r="352" s="220" customFormat="1" spans="1:3">
      <c r="A352" s="221"/>
      <c r="B352" s="222"/>
      <c r="C352" s="223"/>
    </row>
    <row r="353" s="220" customFormat="1" spans="1:3">
      <c r="A353" s="221"/>
      <c r="B353" s="222"/>
      <c r="C353" s="223"/>
    </row>
    <row r="354" s="220" customFormat="1" spans="1:3">
      <c r="A354" s="221"/>
      <c r="B354" s="222"/>
      <c r="C354" s="223"/>
    </row>
    <row r="355" s="220" customFormat="1" spans="1:3">
      <c r="A355" s="221"/>
      <c r="B355" s="222"/>
      <c r="C355" s="223"/>
    </row>
    <row r="356" s="220" customFormat="1" spans="1:3">
      <c r="A356" s="221"/>
      <c r="B356" s="222"/>
      <c r="C356" s="223"/>
    </row>
    <row r="357" s="220" customFormat="1" spans="1:3">
      <c r="A357" s="221"/>
      <c r="B357" s="222"/>
      <c r="C357" s="223"/>
    </row>
    <row r="358" s="220" customFormat="1" spans="1:3">
      <c r="A358" s="221"/>
      <c r="B358" s="222"/>
      <c r="C358" s="223"/>
    </row>
    <row r="359" s="220" customFormat="1" spans="1:3">
      <c r="A359" s="221"/>
      <c r="B359" s="222"/>
      <c r="C359" s="223"/>
    </row>
    <row r="360" s="220" customFormat="1" spans="1:3">
      <c r="A360" s="221"/>
      <c r="B360" s="222"/>
      <c r="C360" s="223"/>
    </row>
    <row r="361" s="220" customFormat="1" spans="1:3">
      <c r="A361" s="221"/>
      <c r="B361" s="222"/>
      <c r="C361" s="223"/>
    </row>
    <row r="362" s="220" customFormat="1" spans="1:3">
      <c r="A362" s="221"/>
      <c r="B362" s="222"/>
      <c r="C362" s="223"/>
    </row>
    <row r="363" s="220" customFormat="1" spans="1:3">
      <c r="A363" s="221"/>
      <c r="B363" s="222"/>
      <c r="C363" s="223"/>
    </row>
    <row r="364" s="220" customFormat="1" spans="1:3">
      <c r="A364" s="221"/>
      <c r="B364" s="222"/>
      <c r="C364" s="223"/>
    </row>
    <row r="365" s="220" customFormat="1" spans="1:3">
      <c r="A365" s="221"/>
      <c r="B365" s="222"/>
      <c r="C365" s="223"/>
    </row>
    <row r="366" s="220" customFormat="1" spans="1:3">
      <c r="A366" s="221"/>
      <c r="B366" s="222"/>
      <c r="C366" s="223"/>
    </row>
    <row r="367" s="220" customFormat="1" spans="1:3">
      <c r="A367" s="221"/>
      <c r="B367" s="222"/>
      <c r="C367" s="223"/>
    </row>
    <row r="368" s="220" customFormat="1" spans="1:3">
      <c r="A368" s="221"/>
      <c r="B368" s="222"/>
      <c r="C368" s="223"/>
    </row>
    <row r="369" s="220" customFormat="1" spans="1:3">
      <c r="A369" s="221"/>
      <c r="B369" s="222"/>
      <c r="C369" s="223"/>
    </row>
    <row r="370" s="220" customFormat="1" spans="1:3">
      <c r="A370" s="221"/>
      <c r="B370" s="222"/>
      <c r="C370" s="223"/>
    </row>
    <row r="371" s="220" customFormat="1" spans="1:3">
      <c r="A371" s="221"/>
      <c r="B371" s="222"/>
      <c r="C371" s="223"/>
    </row>
    <row r="372" s="220" customFormat="1" spans="1:3">
      <c r="A372" s="221"/>
      <c r="B372" s="222"/>
      <c r="C372" s="223"/>
    </row>
    <row r="373" s="220" customFormat="1" spans="1:3">
      <c r="A373" s="221"/>
      <c r="B373" s="222"/>
      <c r="C373" s="223"/>
    </row>
    <row r="374" s="220" customFormat="1" spans="1:3">
      <c r="A374" s="221"/>
      <c r="B374" s="222"/>
      <c r="C374" s="223"/>
    </row>
    <row r="375" s="220" customFormat="1" spans="1:3">
      <c r="A375" s="221"/>
      <c r="B375" s="222"/>
      <c r="C375" s="223"/>
    </row>
    <row r="376" s="220" customFormat="1" spans="1:3">
      <c r="A376" s="221"/>
      <c r="B376" s="222"/>
      <c r="C376" s="223"/>
    </row>
    <row r="377" s="220" customFormat="1" spans="1:3">
      <c r="A377" s="221"/>
      <c r="B377" s="222"/>
      <c r="C377" s="223"/>
    </row>
    <row r="378" s="220" customFormat="1" spans="1:3">
      <c r="A378" s="221"/>
      <c r="B378" s="222"/>
      <c r="C378" s="223"/>
    </row>
    <row r="379" s="220" customFormat="1" spans="1:3">
      <c r="A379" s="221"/>
      <c r="B379" s="222"/>
      <c r="C379" s="223"/>
    </row>
    <row r="380" s="220" customFormat="1" spans="1:3">
      <c r="A380" s="221"/>
      <c r="B380" s="222"/>
      <c r="C380" s="223"/>
    </row>
    <row r="381" s="220" customFormat="1" spans="1:3">
      <c r="A381" s="221"/>
      <c r="B381" s="222"/>
      <c r="C381" s="223"/>
    </row>
    <row r="382" s="220" customFormat="1" spans="1:3">
      <c r="A382" s="221"/>
      <c r="B382" s="222"/>
      <c r="C382" s="223"/>
    </row>
    <row r="383" s="220" customFormat="1" spans="1:3">
      <c r="A383" s="221"/>
      <c r="B383" s="222"/>
      <c r="C383" s="223"/>
    </row>
    <row r="384" s="220" customFormat="1" spans="1:3">
      <c r="A384" s="221"/>
      <c r="B384" s="222"/>
      <c r="C384" s="223"/>
    </row>
    <row r="385" s="220" customFormat="1" spans="1:3">
      <c r="A385" s="221"/>
      <c r="B385" s="222"/>
      <c r="C385" s="223"/>
    </row>
    <row r="386" s="220" customFormat="1" spans="1:3">
      <c r="A386" s="221"/>
      <c r="B386" s="222"/>
      <c r="C386" s="223"/>
    </row>
    <row r="387" s="220" customFormat="1" spans="1:3">
      <c r="A387" s="221"/>
      <c r="B387" s="222"/>
      <c r="C387" s="223"/>
    </row>
    <row r="388" s="220" customFormat="1" spans="1:3">
      <c r="A388" s="221"/>
      <c r="B388" s="222"/>
      <c r="C388" s="223"/>
    </row>
    <row r="389" s="220" customFormat="1" spans="1:3">
      <c r="A389" s="221"/>
      <c r="B389" s="222"/>
      <c r="C389" s="223"/>
    </row>
    <row r="390" s="220" customFormat="1" spans="1:3">
      <c r="A390" s="221"/>
      <c r="B390" s="222"/>
      <c r="C390" s="223"/>
    </row>
    <row r="391" s="220" customFormat="1" spans="1:3">
      <c r="A391" s="221"/>
      <c r="B391" s="222"/>
      <c r="C391" s="223"/>
    </row>
    <row r="392" s="220" customFormat="1" spans="1:3">
      <c r="A392" s="221"/>
      <c r="B392" s="222"/>
      <c r="C392" s="223"/>
    </row>
    <row r="393" s="220" customFormat="1" spans="1:3">
      <c r="A393" s="221"/>
      <c r="B393" s="222"/>
      <c r="C393" s="223"/>
    </row>
    <row r="394" s="220" customFormat="1" spans="1:3">
      <c r="A394" s="221"/>
      <c r="B394" s="222"/>
      <c r="C394" s="223"/>
    </row>
    <row r="395" s="220" customFormat="1" spans="1:3">
      <c r="A395" s="221"/>
      <c r="B395" s="222"/>
      <c r="C395" s="223"/>
    </row>
    <row r="396" s="220" customFormat="1" spans="1:3">
      <c r="A396" s="221"/>
      <c r="B396" s="222"/>
      <c r="C396" s="223"/>
    </row>
    <row r="397" s="220" customFormat="1" spans="1:3">
      <c r="A397" s="221"/>
      <c r="B397" s="222"/>
      <c r="C397" s="223"/>
    </row>
    <row r="398" s="220" customFormat="1" spans="1:3">
      <c r="A398" s="221"/>
      <c r="B398" s="222"/>
      <c r="C398" s="223"/>
    </row>
    <row r="399" s="220" customFormat="1" spans="1:3">
      <c r="A399" s="221"/>
      <c r="B399" s="222"/>
      <c r="C399" s="223"/>
    </row>
    <row r="400" s="220" customFormat="1" spans="1:3">
      <c r="A400" s="221"/>
      <c r="B400" s="222"/>
      <c r="C400" s="223"/>
    </row>
    <row r="401" s="220" customFormat="1" spans="1:3">
      <c r="A401" s="221"/>
      <c r="B401" s="222"/>
      <c r="C401" s="223"/>
    </row>
    <row r="402" s="220" customFormat="1" spans="1:3">
      <c r="A402" s="221"/>
      <c r="B402" s="222"/>
      <c r="C402" s="223"/>
    </row>
    <row r="403" s="220" customFormat="1" spans="1:3">
      <c r="A403" s="221"/>
      <c r="B403" s="222"/>
      <c r="C403" s="22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zoomScale="78" zoomScaleNormal="78" workbookViewId="0">
      <pane ySplit="1" topLeftCell="A2" activePane="bottomLeft" state="frozen"/>
      <selection/>
      <selection pane="bottomLeft" activeCell="A9" sqref="A9"/>
    </sheetView>
  </sheetViews>
  <sheetFormatPr defaultColWidth="9.140625" defaultRowHeight="16.8" outlineLevelRow="6" outlineLevelCol="7"/>
  <cols>
    <col min="1" max="1" width="17.4296875" style="11" customWidth="1"/>
    <col min="2" max="2" width="19.140625" customWidth="1"/>
    <col min="3" max="3" width="28.4296875" customWidth="1"/>
    <col min="4" max="4" width="7.140625" customWidth="1"/>
    <col min="5" max="5" width="50.203125" customWidth="1"/>
    <col min="6" max="6" width="20" customWidth="1"/>
    <col min="7" max="7" width="25.703125" customWidth="1"/>
    <col min="8" max="8" width="29.0703125" customWidth="1"/>
    <col min="9" max="9" width="14.4296875"/>
    <col min="11" max="11" width="14.4296875"/>
  </cols>
  <sheetData>
    <row r="1" ht="20.4" spans="1:8">
      <c r="A1" s="12" t="s">
        <v>0</v>
      </c>
      <c r="B1" s="13" t="s">
        <v>10</v>
      </c>
      <c r="C1" s="13" t="s">
        <v>11</v>
      </c>
      <c r="D1" s="13" t="s">
        <v>15</v>
      </c>
      <c r="E1" s="13" t="s">
        <v>13</v>
      </c>
      <c r="F1" s="13" t="s">
        <v>16</v>
      </c>
      <c r="G1" s="13" t="s">
        <v>4</v>
      </c>
      <c r="H1" s="13" t="s">
        <v>5</v>
      </c>
    </row>
    <row r="2" ht="20.4" spans="1:8">
      <c r="A2" s="213"/>
      <c r="B2" s="213"/>
      <c r="C2" s="214"/>
      <c r="D2" s="215"/>
      <c r="E2" s="210"/>
      <c r="F2" s="218"/>
      <c r="G2" s="219"/>
      <c r="H2" s="219"/>
    </row>
    <row r="3" ht="20.4" spans="1:8">
      <c r="A3" s="213"/>
      <c r="B3" s="213"/>
      <c r="C3" s="214"/>
      <c r="D3" s="215"/>
      <c r="E3" s="210"/>
      <c r="F3" s="218"/>
      <c r="G3" s="218"/>
      <c r="H3" s="219"/>
    </row>
    <row r="4" ht="20.4" spans="1:8">
      <c r="A4" s="213"/>
      <c r="B4" s="213"/>
      <c r="C4" s="214"/>
      <c r="D4" s="215"/>
      <c r="E4" s="210"/>
      <c r="F4" s="218"/>
      <c r="G4" s="218"/>
      <c r="H4" s="219"/>
    </row>
    <row r="5" ht="20.4" spans="1:8">
      <c r="A5" s="213"/>
      <c r="B5" s="213"/>
      <c r="C5" s="214"/>
      <c r="D5" s="215"/>
      <c r="E5" s="210"/>
      <c r="F5" s="218"/>
      <c r="G5" s="218"/>
      <c r="H5" s="219"/>
    </row>
    <row r="6" ht="20.4" spans="1:8">
      <c r="A6" s="213"/>
      <c r="B6" s="213"/>
      <c r="C6" s="214"/>
      <c r="D6" s="215"/>
      <c r="E6" s="210"/>
      <c r="F6" s="218"/>
      <c r="G6" s="219"/>
      <c r="H6" s="219"/>
    </row>
    <row r="7" spans="1:8">
      <c r="A7" s="18"/>
      <c r="B7" s="216"/>
      <c r="C7" s="217"/>
      <c r="D7" s="217"/>
      <c r="E7" s="5"/>
      <c r="F7" s="5"/>
      <c r="G7" s="5"/>
      <c r="H7" s="5">
        <f>SUM(H2:H6)</f>
        <v>0</v>
      </c>
    </row>
  </sheetData>
  <mergeCells count="1">
    <mergeCell ref="A7:C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zoomScale="55" zoomScaleNormal="55" topLeftCell="H1" workbookViewId="0">
      <pane ySplit="1" topLeftCell="A2" activePane="bottomLeft" state="frozen"/>
      <selection/>
      <selection pane="bottomLeft" activeCell="H20" sqref="H20"/>
    </sheetView>
  </sheetViews>
  <sheetFormatPr defaultColWidth="9.140625" defaultRowHeight="16.8"/>
  <cols>
    <col min="1" max="1" width="20.515625" style="107" customWidth="1"/>
    <col min="2" max="2" width="36.5703125" style="107" customWidth="1"/>
    <col min="3" max="3" width="51.9453125" customWidth="1"/>
    <col min="4" max="4" width="16.140625" customWidth="1"/>
    <col min="5" max="5" width="23.140625" customWidth="1"/>
    <col min="6" max="6" width="33" customWidth="1"/>
    <col min="7" max="7" width="30.6484375" customWidth="1"/>
    <col min="8" max="8" width="24.921875" style="190" customWidth="1"/>
    <col min="9" max="9" width="24.921875" customWidth="1"/>
    <col min="10" max="10" width="58.1796875" customWidth="1"/>
    <col min="11" max="11" width="12.859375"/>
  </cols>
  <sheetData>
    <row r="1" s="189" customFormat="1" ht="28.8" spans="1:10">
      <c r="A1" s="191" t="s">
        <v>0</v>
      </c>
      <c r="B1" s="191" t="s">
        <v>10</v>
      </c>
      <c r="C1" s="192" t="s">
        <v>11</v>
      </c>
      <c r="D1" s="192" t="s">
        <v>15</v>
      </c>
      <c r="E1" s="192" t="s">
        <v>3</v>
      </c>
      <c r="F1" s="192" t="s">
        <v>17</v>
      </c>
      <c r="G1" s="192" t="s">
        <v>16</v>
      </c>
      <c r="H1" s="192" t="s">
        <v>7</v>
      </c>
      <c r="I1" s="192" t="s">
        <v>5</v>
      </c>
      <c r="J1" s="192" t="s">
        <v>18</v>
      </c>
    </row>
    <row r="2" ht="26" spans="1:10">
      <c r="A2" s="181"/>
      <c r="B2" s="182"/>
      <c r="C2" s="193"/>
      <c r="D2" s="184"/>
      <c r="E2" s="204"/>
      <c r="F2" s="205">
        <f t="shared" ref="F2:F11" si="0">E2*10%</f>
        <v>0</v>
      </c>
      <c r="G2" s="205"/>
      <c r="H2" s="206">
        <f t="shared" ref="H2:H8" si="1">SUM(D2*G2)</f>
        <v>0</v>
      </c>
      <c r="I2" s="209">
        <f t="shared" ref="I2:I9" si="2">SUM(H2)</f>
        <v>0</v>
      </c>
      <c r="J2" s="210"/>
    </row>
    <row r="3" ht="26" spans="1:10">
      <c r="A3" s="181"/>
      <c r="B3" s="182"/>
      <c r="C3" s="193"/>
      <c r="D3" s="184"/>
      <c r="E3" s="204"/>
      <c r="F3" s="205">
        <f t="shared" si="0"/>
        <v>0</v>
      </c>
      <c r="G3" s="205"/>
      <c r="H3" s="206">
        <f t="shared" si="1"/>
        <v>0</v>
      </c>
      <c r="I3" s="209">
        <f t="shared" si="2"/>
        <v>0</v>
      </c>
      <c r="J3" s="210"/>
    </row>
    <row r="4" ht="26" spans="1:10">
      <c r="A4" s="194"/>
      <c r="B4" s="195"/>
      <c r="C4" s="196"/>
      <c r="D4" s="197"/>
      <c r="E4" s="207"/>
      <c r="F4" s="205">
        <f t="shared" si="0"/>
        <v>0</v>
      </c>
      <c r="G4" s="205"/>
      <c r="H4" s="206">
        <f t="shared" si="1"/>
        <v>0</v>
      </c>
      <c r="I4" s="209">
        <f t="shared" si="2"/>
        <v>0</v>
      </c>
      <c r="J4" s="17"/>
    </row>
    <row r="5" ht="26" spans="1:10">
      <c r="A5" s="181"/>
      <c r="B5" s="198"/>
      <c r="C5" s="183"/>
      <c r="D5" s="184"/>
      <c r="E5" s="204"/>
      <c r="F5" s="205">
        <f t="shared" si="0"/>
        <v>0</v>
      </c>
      <c r="G5" s="205"/>
      <c r="H5" s="206">
        <f t="shared" si="1"/>
        <v>0</v>
      </c>
      <c r="I5" s="209">
        <f t="shared" si="2"/>
        <v>0</v>
      </c>
      <c r="J5" s="17"/>
    </row>
    <row r="6" ht="26" spans="1:10">
      <c r="A6" s="181"/>
      <c r="B6" s="198"/>
      <c r="C6" s="183"/>
      <c r="D6" s="184"/>
      <c r="E6" s="204"/>
      <c r="F6" s="205">
        <f t="shared" si="0"/>
        <v>0</v>
      </c>
      <c r="G6" s="205"/>
      <c r="H6" s="206">
        <f t="shared" si="1"/>
        <v>0</v>
      </c>
      <c r="I6" s="209">
        <f t="shared" si="2"/>
        <v>0</v>
      </c>
      <c r="J6" s="17"/>
    </row>
    <row r="7" ht="26" spans="1:10">
      <c r="A7" s="199"/>
      <c r="B7" s="182"/>
      <c r="C7" s="183"/>
      <c r="D7" s="184"/>
      <c r="E7" s="204"/>
      <c r="F7" s="205">
        <f t="shared" si="0"/>
        <v>0</v>
      </c>
      <c r="G7" s="205"/>
      <c r="H7" s="206">
        <f t="shared" si="1"/>
        <v>0</v>
      </c>
      <c r="I7" s="209">
        <f t="shared" si="2"/>
        <v>0</v>
      </c>
      <c r="J7" s="210"/>
    </row>
    <row r="8" ht="26" spans="1:10">
      <c r="A8" s="199"/>
      <c r="B8" s="182"/>
      <c r="C8" s="183"/>
      <c r="D8" s="184"/>
      <c r="E8" s="204"/>
      <c r="F8" s="205">
        <f t="shared" si="0"/>
        <v>0</v>
      </c>
      <c r="G8" s="205"/>
      <c r="H8" s="206">
        <f t="shared" si="1"/>
        <v>0</v>
      </c>
      <c r="I8" s="209">
        <f t="shared" si="2"/>
        <v>0</v>
      </c>
      <c r="J8" s="210"/>
    </row>
    <row r="9" ht="26" spans="1:10">
      <c r="A9" s="199"/>
      <c r="B9" s="182"/>
      <c r="C9" s="183"/>
      <c r="D9" s="184"/>
      <c r="E9" s="204"/>
      <c r="F9" s="205">
        <f t="shared" si="0"/>
        <v>0</v>
      </c>
      <c r="G9" s="205"/>
      <c r="H9" s="206">
        <f t="shared" ref="H9:H15" si="3">SUM(D9*G9)</f>
        <v>0</v>
      </c>
      <c r="I9" s="209">
        <f t="shared" si="2"/>
        <v>0</v>
      </c>
      <c r="J9" s="210"/>
    </row>
    <row r="10" ht="26" spans="1:10">
      <c r="A10" s="198"/>
      <c r="B10" s="200"/>
      <c r="C10" s="201"/>
      <c r="D10" s="184"/>
      <c r="E10" s="204"/>
      <c r="F10" s="205">
        <f t="shared" si="0"/>
        <v>0</v>
      </c>
      <c r="G10" s="205"/>
      <c r="H10" s="206">
        <f t="shared" si="3"/>
        <v>0</v>
      </c>
      <c r="I10" s="209">
        <f>SUM(H10)</f>
        <v>0</v>
      </c>
      <c r="J10" s="211"/>
    </row>
    <row r="11" ht="26" spans="1:10">
      <c r="A11" s="198"/>
      <c r="B11" s="200"/>
      <c r="C11" s="201"/>
      <c r="D11" s="184"/>
      <c r="E11" s="204"/>
      <c r="F11" s="205">
        <f t="shared" si="0"/>
        <v>0</v>
      </c>
      <c r="G11" s="205"/>
      <c r="H11" s="206">
        <f t="shared" si="3"/>
        <v>0</v>
      </c>
      <c r="I11" s="209">
        <f>SUM(H11)</f>
        <v>0</v>
      </c>
      <c r="J11" s="17"/>
    </row>
    <row r="12" ht="26" spans="1:10">
      <c r="A12" s="202"/>
      <c r="B12" s="184"/>
      <c r="C12" s="184"/>
      <c r="D12" s="184"/>
      <c r="E12" s="205"/>
      <c r="F12" s="205">
        <f>E12*10%</f>
        <v>0</v>
      </c>
      <c r="G12" s="205"/>
      <c r="H12" s="206">
        <f>SUM(D12*G12)</f>
        <v>0</v>
      </c>
      <c r="I12" s="209">
        <f>SUM(H12)</f>
        <v>0</v>
      </c>
      <c r="J12" s="212"/>
    </row>
    <row r="13" ht="26" spans="1:10">
      <c r="A13" s="202"/>
      <c r="B13" s="184"/>
      <c r="C13" s="184"/>
      <c r="D13" s="184"/>
      <c r="E13" s="205"/>
      <c r="F13" s="205">
        <f>E13*10%</f>
        <v>0</v>
      </c>
      <c r="G13" s="205"/>
      <c r="H13" s="206">
        <f>SUM(D13*G13)</f>
        <v>0</v>
      </c>
      <c r="I13" s="209">
        <f>SUM(H13)</f>
        <v>0</v>
      </c>
      <c r="J13" s="212"/>
    </row>
    <row r="14" s="190" customFormat="1" ht="26" spans="1:10">
      <c r="A14" s="202"/>
      <c r="B14" s="184"/>
      <c r="C14" s="184"/>
      <c r="D14" s="184"/>
      <c r="E14" s="205"/>
      <c r="F14" s="205">
        <f>E14*10%</f>
        <v>0</v>
      </c>
      <c r="G14" s="205"/>
      <c r="H14" s="206">
        <f>SUM(D14*G14)</f>
        <v>0</v>
      </c>
      <c r="I14" s="209">
        <f>SUM(H14)</f>
        <v>0</v>
      </c>
      <c r="J14" s="212"/>
    </row>
    <row r="15" ht="26" spans="1:10">
      <c r="A15" s="202"/>
      <c r="B15" s="184"/>
      <c r="C15" s="184"/>
      <c r="D15" s="184"/>
      <c r="E15" s="205"/>
      <c r="F15" s="205">
        <f>E15*10%</f>
        <v>0</v>
      </c>
      <c r="G15" s="205"/>
      <c r="H15" s="206">
        <f>SUM(D15*G15)</f>
        <v>0</v>
      </c>
      <c r="I15" s="209">
        <f>SUM(H15)</f>
        <v>0</v>
      </c>
      <c r="J15" s="212"/>
    </row>
    <row r="16" ht="37.2" spans="1:10">
      <c r="A16" s="203" t="s">
        <v>5</v>
      </c>
      <c r="B16" s="203"/>
      <c r="C16" s="203"/>
      <c r="D16" s="203"/>
      <c r="E16" s="203"/>
      <c r="F16" s="208">
        <f>SUM(I2:I15)</f>
        <v>0</v>
      </c>
      <c r="G16" s="208"/>
      <c r="H16" s="208"/>
      <c r="I16" s="208"/>
      <c r="J16" s="208"/>
    </row>
  </sheetData>
  <mergeCells count="2">
    <mergeCell ref="A16:E16"/>
    <mergeCell ref="F16:J1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62" zoomScaleNormal="62" workbookViewId="0">
      <selection activeCell="D2" sqref="A2:D2"/>
    </sheetView>
  </sheetViews>
  <sheetFormatPr defaultColWidth="9.140625" defaultRowHeight="16.8" outlineLevelRow="2" outlineLevelCol="6"/>
  <cols>
    <col min="1" max="1" width="18.9609375" style="107" customWidth="1"/>
    <col min="2" max="2" width="32.984375" customWidth="1"/>
    <col min="3" max="3" width="29.34375" customWidth="1"/>
    <col min="4" max="4" width="25.3359375" style="178" customWidth="1"/>
    <col min="5" max="5" width="60.2578125" customWidth="1"/>
    <col min="6" max="7" width="30.6484375" customWidth="1"/>
  </cols>
  <sheetData>
    <row r="1" ht="34" customHeight="1" spans="1:7">
      <c r="A1" s="179" t="s">
        <v>0</v>
      </c>
      <c r="B1" s="179" t="s">
        <v>10</v>
      </c>
      <c r="C1" s="179" t="s">
        <v>11</v>
      </c>
      <c r="D1" s="180" t="s">
        <v>15</v>
      </c>
      <c r="E1" s="179" t="s">
        <v>13</v>
      </c>
      <c r="F1" s="179" t="s">
        <v>3</v>
      </c>
      <c r="G1" s="179" t="s">
        <v>5</v>
      </c>
    </row>
    <row r="2" ht="409.5" customHeight="1" spans="1:7">
      <c r="A2" s="181"/>
      <c r="B2" s="182"/>
      <c r="C2" s="183"/>
      <c r="D2" s="184"/>
      <c r="E2" s="17"/>
      <c r="F2" s="188"/>
      <c r="G2" s="188">
        <f>F2*D2</f>
        <v>0</v>
      </c>
    </row>
    <row r="3" ht="35" customHeight="1" spans="1:7">
      <c r="A3" s="185" t="s">
        <v>5</v>
      </c>
      <c r="B3" s="185"/>
      <c r="C3" s="186"/>
      <c r="D3" s="187"/>
      <c r="E3" s="30">
        <f>SUM(G2)</f>
        <v>0</v>
      </c>
      <c r="F3" s="32"/>
      <c r="G3" s="33"/>
    </row>
  </sheetData>
  <mergeCells count="2">
    <mergeCell ref="A3:C3"/>
    <mergeCell ref="E3:G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zoomScale="55" zoomScaleNormal="55" workbookViewId="0">
      <pane xSplit="3" ySplit="1" topLeftCell="D2" activePane="bottomRight" state="frozen"/>
      <selection/>
      <selection pane="topRight"/>
      <selection pane="bottomLeft"/>
      <selection pane="bottomRight" activeCell="F11" sqref="F11:F19"/>
    </sheetView>
  </sheetViews>
  <sheetFormatPr defaultColWidth="9.140625" defaultRowHeight="23.2" outlineLevelCol="7"/>
  <cols>
    <col min="1" max="1" width="17" style="148" customWidth="1"/>
    <col min="2" max="2" width="18" style="149" customWidth="1"/>
    <col min="3" max="3" width="38.75" style="149" customWidth="1"/>
    <col min="4" max="4" width="12.7265625" style="149" customWidth="1"/>
    <col min="5" max="5" width="45.203125" style="149" customWidth="1"/>
    <col min="6" max="7" width="29.0703125" style="149" customWidth="1"/>
    <col min="8" max="8" width="23.1171875" style="149" customWidth="1"/>
    <col min="9" max="12" width="9.140625" style="149"/>
    <col min="13" max="13" width="13.140625" style="149" customWidth="1"/>
    <col min="14" max="16384" width="9.140625" style="149"/>
  </cols>
  <sheetData>
    <row r="1" ht="34" customHeight="1" spans="1:8">
      <c r="A1" s="150" t="s">
        <v>0</v>
      </c>
      <c r="B1" s="151" t="s">
        <v>10</v>
      </c>
      <c r="C1" s="151" t="s">
        <v>11</v>
      </c>
      <c r="D1" s="151" t="s">
        <v>15</v>
      </c>
      <c r="E1" s="151" t="s">
        <v>13</v>
      </c>
      <c r="F1" s="151" t="s">
        <v>3</v>
      </c>
      <c r="G1" s="151" t="s">
        <v>7</v>
      </c>
      <c r="H1" s="161" t="s">
        <v>5</v>
      </c>
    </row>
    <row r="2" ht="58" customHeight="1" spans="1:8">
      <c r="A2" s="152"/>
      <c r="B2" s="152"/>
      <c r="C2" s="153"/>
      <c r="D2" s="154">
        <v>2</v>
      </c>
      <c r="E2" s="162"/>
      <c r="F2" s="163"/>
      <c r="G2" s="164">
        <f t="shared" ref="G2:G8" si="0">D2*F2</f>
        <v>0</v>
      </c>
      <c r="H2" s="165">
        <f>SUM(G2:G8)</f>
        <v>0</v>
      </c>
    </row>
    <row r="3" ht="58" customHeight="1" spans="1:8">
      <c r="A3" s="155"/>
      <c r="B3" s="155"/>
      <c r="C3" s="153"/>
      <c r="D3" s="154">
        <v>2</v>
      </c>
      <c r="E3" s="162"/>
      <c r="F3" s="163"/>
      <c r="G3" s="164">
        <f t="shared" si="0"/>
        <v>0</v>
      </c>
      <c r="H3" s="166"/>
    </row>
    <row r="4" ht="58" customHeight="1" spans="1:8">
      <c r="A4" s="155"/>
      <c r="B4" s="155"/>
      <c r="C4" s="153"/>
      <c r="D4" s="154">
        <v>2</v>
      </c>
      <c r="E4" s="162"/>
      <c r="F4" s="163"/>
      <c r="G4" s="164">
        <f t="shared" si="0"/>
        <v>0</v>
      </c>
      <c r="H4" s="166"/>
    </row>
    <row r="5" ht="58" customHeight="1" spans="1:8">
      <c r="A5" s="155"/>
      <c r="B5" s="155"/>
      <c r="C5" s="153"/>
      <c r="D5" s="154">
        <v>2</v>
      </c>
      <c r="E5" s="162"/>
      <c r="F5" s="163"/>
      <c r="G5" s="164">
        <f t="shared" si="0"/>
        <v>0</v>
      </c>
      <c r="H5" s="166"/>
    </row>
    <row r="6" ht="58" customHeight="1" spans="1:8">
      <c r="A6" s="155"/>
      <c r="B6" s="155"/>
      <c r="C6" s="156"/>
      <c r="D6" s="154">
        <v>2</v>
      </c>
      <c r="E6" s="162"/>
      <c r="F6" s="163"/>
      <c r="G6" s="164">
        <f t="shared" si="0"/>
        <v>0</v>
      </c>
      <c r="H6" s="166"/>
    </row>
    <row r="7" ht="58" customHeight="1" spans="1:8">
      <c r="A7" s="155"/>
      <c r="B7" s="155"/>
      <c r="C7" s="156"/>
      <c r="D7" s="154">
        <v>2</v>
      </c>
      <c r="E7" s="162"/>
      <c r="F7" s="163"/>
      <c r="G7" s="164">
        <f t="shared" si="0"/>
        <v>0</v>
      </c>
      <c r="H7" s="166"/>
    </row>
    <row r="8" ht="58" customHeight="1" spans="1:8">
      <c r="A8" s="155"/>
      <c r="B8" s="155"/>
      <c r="C8" s="156"/>
      <c r="D8" s="154">
        <v>10</v>
      </c>
      <c r="E8" s="162"/>
      <c r="F8" s="163"/>
      <c r="G8" s="164">
        <f t="shared" si="0"/>
        <v>0</v>
      </c>
      <c r="H8" s="167"/>
    </row>
    <row r="9" ht="35" customHeight="1" spans="1:8">
      <c r="A9" s="157" t="s">
        <v>4</v>
      </c>
      <c r="B9" s="157"/>
      <c r="C9" s="157"/>
      <c r="D9" s="154">
        <f>SUM(D2:D8)</f>
        <v>22</v>
      </c>
      <c r="E9" s="168"/>
      <c r="F9" s="169" t="s">
        <v>19</v>
      </c>
      <c r="G9" s="169"/>
      <c r="H9" s="169">
        <f>H2*11%</f>
        <v>0</v>
      </c>
    </row>
    <row r="10" ht="35" customHeight="1" spans="1:8">
      <c r="A10" s="157" t="s">
        <v>5</v>
      </c>
      <c r="B10" s="157"/>
      <c r="C10" s="157"/>
      <c r="D10" s="154"/>
      <c r="E10" s="170">
        <f>SUM(H2:H9)</f>
        <v>0</v>
      </c>
      <c r="F10" s="171"/>
      <c r="G10" s="171"/>
      <c r="H10" s="172"/>
    </row>
    <row r="11" ht="45" customHeight="1" spans="1:8">
      <c r="A11" s="152"/>
      <c r="B11" s="152"/>
      <c r="C11" s="153"/>
      <c r="D11" s="154">
        <v>2</v>
      </c>
      <c r="E11" s="162"/>
      <c r="F11" s="163"/>
      <c r="G11" s="164">
        <f t="shared" ref="G11:G19" si="1">D11*F11</f>
        <v>0</v>
      </c>
      <c r="H11" s="165">
        <f>SUM(G11:G19)</f>
        <v>0</v>
      </c>
    </row>
    <row r="12" ht="45" customHeight="1" spans="1:8">
      <c r="A12" s="155"/>
      <c r="B12" s="155"/>
      <c r="C12" s="153"/>
      <c r="D12" s="154">
        <v>1</v>
      </c>
      <c r="E12" s="162"/>
      <c r="F12" s="163"/>
      <c r="G12" s="164">
        <f t="shared" si="1"/>
        <v>0</v>
      </c>
      <c r="H12" s="166"/>
    </row>
    <row r="13" ht="45" customHeight="1" spans="1:8">
      <c r="A13" s="155"/>
      <c r="B13" s="155"/>
      <c r="C13" s="153"/>
      <c r="D13" s="154">
        <v>2</v>
      </c>
      <c r="E13" s="162"/>
      <c r="F13" s="163"/>
      <c r="G13" s="164">
        <f t="shared" si="1"/>
        <v>0</v>
      </c>
      <c r="H13" s="166"/>
    </row>
    <row r="14" ht="45" customHeight="1" spans="1:8">
      <c r="A14" s="155"/>
      <c r="B14" s="155"/>
      <c r="C14" s="153"/>
      <c r="D14" s="154">
        <v>2</v>
      </c>
      <c r="E14" s="162"/>
      <c r="F14" s="163"/>
      <c r="G14" s="164">
        <f t="shared" si="1"/>
        <v>0</v>
      </c>
      <c r="H14" s="166"/>
    </row>
    <row r="15" ht="45" customHeight="1" spans="1:8">
      <c r="A15" s="155"/>
      <c r="B15" s="155"/>
      <c r="C15" s="156"/>
      <c r="D15" s="154">
        <v>2</v>
      </c>
      <c r="E15" s="162"/>
      <c r="F15" s="163"/>
      <c r="G15" s="164">
        <f t="shared" si="1"/>
        <v>0</v>
      </c>
      <c r="H15" s="166"/>
    </row>
    <row r="16" ht="45" customHeight="1" spans="1:8">
      <c r="A16" s="155"/>
      <c r="B16" s="155"/>
      <c r="C16" s="156"/>
      <c r="D16" s="154">
        <v>3</v>
      </c>
      <c r="E16" s="162"/>
      <c r="F16" s="163"/>
      <c r="G16" s="164">
        <f t="shared" si="1"/>
        <v>0</v>
      </c>
      <c r="H16" s="166"/>
    </row>
    <row r="17" ht="45" customHeight="1" spans="1:8">
      <c r="A17" s="155"/>
      <c r="B17" s="155"/>
      <c r="C17" s="156"/>
      <c r="D17" s="154">
        <v>2</v>
      </c>
      <c r="E17" s="162"/>
      <c r="F17" s="163"/>
      <c r="G17" s="164">
        <f t="shared" si="1"/>
        <v>0</v>
      </c>
      <c r="H17" s="166"/>
    </row>
    <row r="18" ht="45" customHeight="1" spans="1:8">
      <c r="A18" s="155"/>
      <c r="B18" s="155"/>
      <c r="C18" s="156"/>
      <c r="D18" s="154">
        <v>2</v>
      </c>
      <c r="E18" s="162"/>
      <c r="F18" s="163"/>
      <c r="G18" s="164">
        <f t="shared" si="1"/>
        <v>0</v>
      </c>
      <c r="H18" s="166"/>
    </row>
    <row r="19" ht="45" customHeight="1" spans="1:8">
      <c r="A19" s="155"/>
      <c r="B19" s="155"/>
      <c r="C19" s="156"/>
      <c r="D19" s="154">
        <v>1</v>
      </c>
      <c r="E19" s="162"/>
      <c r="F19" s="163"/>
      <c r="G19" s="164">
        <f t="shared" si="1"/>
        <v>0</v>
      </c>
      <c r="H19" s="167"/>
    </row>
    <row r="20" ht="35" customHeight="1" spans="1:8">
      <c r="A20" s="157" t="s">
        <v>4</v>
      </c>
      <c r="B20" s="157"/>
      <c r="C20" s="157"/>
      <c r="D20" s="154">
        <f>SUM(D11:D19)</f>
        <v>17</v>
      </c>
      <c r="E20" s="168"/>
      <c r="F20" s="169" t="s">
        <v>19</v>
      </c>
      <c r="G20" s="169"/>
      <c r="H20" s="169">
        <f>H11*11%</f>
        <v>0</v>
      </c>
    </row>
    <row r="21" ht="35" customHeight="1" spans="1:8">
      <c r="A21" s="157" t="s">
        <v>5</v>
      </c>
      <c r="B21" s="157"/>
      <c r="C21" s="157"/>
      <c r="D21" s="154"/>
      <c r="E21" s="170">
        <f>SUM(H11:H20)</f>
        <v>0</v>
      </c>
      <c r="F21" s="171"/>
      <c r="G21" s="171"/>
      <c r="H21" s="172"/>
    </row>
    <row r="22" ht="64" customHeight="1" spans="1:8">
      <c r="A22" s="158"/>
      <c r="B22" s="159"/>
      <c r="C22" s="160"/>
      <c r="D22" s="160"/>
      <c r="E22" s="173" t="s">
        <v>9</v>
      </c>
      <c r="F22" s="174">
        <f>SUM(E10,E21)</f>
        <v>0</v>
      </c>
      <c r="G22" s="175"/>
      <c r="H22" s="176"/>
    </row>
    <row r="23" ht="64" customHeight="1" spans="6:6">
      <c r="F23" s="177"/>
    </row>
    <row r="24" ht="64" customHeight="1"/>
    <row r="25" ht="64" customHeight="1"/>
    <row r="26" ht="64" customHeight="1"/>
    <row r="27" ht="35" customHeight="1"/>
    <row r="28" ht="35" customHeight="1"/>
    <row r="29" ht="160" customHeight="1"/>
    <row r="30" ht="160" customHeight="1"/>
    <row r="31" ht="35" customHeight="1"/>
    <row r="32" ht="35" customHeight="1"/>
    <row r="33" ht="321" customHeight="1"/>
    <row r="34" ht="34" customHeight="1"/>
    <row r="35" ht="34" customHeight="1"/>
    <row r="36" ht="34" customHeight="1"/>
    <row r="37" ht="58" customHeight="1"/>
    <row r="38" ht="58" customHeight="1"/>
    <row r="39" ht="58" customHeight="1"/>
    <row r="40" ht="58" customHeight="1"/>
    <row r="41" ht="58" customHeight="1"/>
    <row r="42" ht="58" customHeight="1"/>
    <row r="43" ht="58" customHeight="1"/>
    <row r="44" ht="58" customHeight="1"/>
    <row r="45" ht="58" customHeight="1"/>
    <row r="46" ht="58" customHeight="1"/>
  </sheetData>
  <mergeCells count="18">
    <mergeCell ref="A9:C9"/>
    <mergeCell ref="F9:G9"/>
    <mergeCell ref="A10:C10"/>
    <mergeCell ref="E10:H10"/>
    <mergeCell ref="A20:C20"/>
    <mergeCell ref="F20:G20"/>
    <mergeCell ref="A21:C21"/>
    <mergeCell ref="E21:H21"/>
    <mergeCell ref="A22:C22"/>
    <mergeCell ref="F22:H22"/>
    <mergeCell ref="A2:A8"/>
    <mergeCell ref="A11:A19"/>
    <mergeCell ref="B2:B8"/>
    <mergeCell ref="B11:B19"/>
    <mergeCell ref="E2:E8"/>
    <mergeCell ref="E11:E19"/>
    <mergeCell ref="H2:H8"/>
    <mergeCell ref="H11:H1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zoomScale="89" zoomScaleNormal="89" workbookViewId="0">
      <pane ySplit="1" topLeftCell="A2" activePane="bottomLeft" state="frozen"/>
      <selection/>
      <selection pane="bottomLeft" activeCell="D4" sqref="A2:D4"/>
    </sheetView>
  </sheetViews>
  <sheetFormatPr defaultColWidth="9.140625" defaultRowHeight="16.8" outlineLevelRow="6" outlineLevelCol="6"/>
  <cols>
    <col min="1" max="1" width="13.3984375" customWidth="1"/>
    <col min="2" max="2" width="11.1640625" customWidth="1"/>
    <col min="3" max="3" width="18.5703125" customWidth="1"/>
    <col min="4" max="4" width="18.5703125" style="11" customWidth="1"/>
    <col min="5" max="5" width="46.5625" customWidth="1"/>
    <col min="6" max="7" width="17.9609375" customWidth="1"/>
  </cols>
  <sheetData>
    <row r="1" ht="16" customHeight="1" spans="1:7">
      <c r="A1" s="36" t="s">
        <v>0</v>
      </c>
      <c r="B1" s="37" t="s">
        <v>10</v>
      </c>
      <c r="C1" s="37" t="s">
        <v>11</v>
      </c>
      <c r="D1" s="36" t="s">
        <v>12</v>
      </c>
      <c r="E1" s="37" t="s">
        <v>13</v>
      </c>
      <c r="F1" s="37" t="s">
        <v>3</v>
      </c>
      <c r="G1" s="37" t="s">
        <v>5</v>
      </c>
    </row>
    <row r="2" ht="193.75" customHeight="1" spans="1:7">
      <c r="A2" s="25"/>
      <c r="B2" s="129"/>
      <c r="C2" s="40"/>
      <c r="D2" s="129"/>
      <c r="E2" s="17"/>
      <c r="F2" s="7"/>
      <c r="G2" s="7">
        <f>F2*D2</f>
        <v>0</v>
      </c>
    </row>
    <row r="3" ht="175.7" customHeight="1" spans="1:7">
      <c r="A3" s="25"/>
      <c r="B3" s="102"/>
      <c r="C3" s="40"/>
      <c r="D3" s="129"/>
      <c r="E3" s="17"/>
      <c r="F3" s="7"/>
      <c r="G3" s="7">
        <f>SUM(F3*D3)</f>
        <v>0</v>
      </c>
    </row>
    <row r="4" ht="154.7" customHeight="1" spans="1:7">
      <c r="A4" s="25"/>
      <c r="B4" s="102"/>
      <c r="C4" s="40"/>
      <c r="D4" s="129"/>
      <c r="E4" s="17"/>
      <c r="F4" s="7"/>
      <c r="G4" s="7">
        <f>SUM(F4*D4)</f>
        <v>0</v>
      </c>
    </row>
    <row r="5" ht="156.5" customHeight="1" spans="1:7">
      <c r="A5" s="25"/>
      <c r="B5" s="102"/>
      <c r="C5" s="40"/>
      <c r="D5" s="129"/>
      <c r="E5" s="17"/>
      <c r="F5" s="7"/>
      <c r="G5" s="7">
        <f>F5*D5</f>
        <v>0</v>
      </c>
    </row>
    <row r="6" ht="26" spans="1:7">
      <c r="A6" s="89" t="s">
        <v>9</v>
      </c>
      <c r="B6" s="90"/>
      <c r="C6" s="90"/>
      <c r="D6" s="145"/>
      <c r="E6" s="126">
        <f>SUM(G2:G5)</f>
        <v>0</v>
      </c>
      <c r="F6" s="146"/>
      <c r="G6" s="147"/>
    </row>
    <row r="7" ht="22" customHeight="1"/>
  </sheetData>
  <mergeCells count="2">
    <mergeCell ref="A6:D6"/>
    <mergeCell ref="E6:G6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zoomScale="85" zoomScaleNormal="85" workbookViewId="0">
      <pane ySplit="1" topLeftCell="A2" activePane="bottomLeft" state="frozen"/>
      <selection/>
      <selection pane="bottomLeft" activeCell="G5" sqref="G5"/>
    </sheetView>
  </sheetViews>
  <sheetFormatPr defaultColWidth="9.140625" defaultRowHeight="16.8"/>
  <cols>
    <col min="1" max="1" width="13.3984375" customWidth="1"/>
    <col min="2" max="2" width="11.1640625" customWidth="1"/>
    <col min="3" max="4" width="18.5703125" customWidth="1"/>
    <col min="5" max="5" width="43.8671875" customWidth="1"/>
    <col min="6" max="6" width="17.9609375" customWidth="1"/>
    <col min="7" max="7" width="22" customWidth="1"/>
    <col min="9" max="9" width="11.5703125"/>
  </cols>
  <sheetData>
    <row r="1" ht="16" customHeight="1" spans="1:7">
      <c r="A1" s="36" t="s">
        <v>0</v>
      </c>
      <c r="B1" s="37" t="s">
        <v>10</v>
      </c>
      <c r="C1" s="37" t="s">
        <v>11</v>
      </c>
      <c r="D1" s="37" t="s">
        <v>12</v>
      </c>
      <c r="E1" s="37" t="s">
        <v>13</v>
      </c>
      <c r="F1" s="37" t="s">
        <v>3</v>
      </c>
      <c r="G1" s="37" t="s">
        <v>5</v>
      </c>
    </row>
    <row r="2" ht="168" customHeight="1" spans="1:7">
      <c r="A2" s="25"/>
      <c r="B2" s="129"/>
      <c r="C2" s="40"/>
      <c r="D2" s="27"/>
      <c r="E2" s="17"/>
      <c r="F2" s="21"/>
      <c r="G2" s="21">
        <f>SUM(D2*F2)</f>
        <v>0</v>
      </c>
    </row>
    <row r="3" ht="23.5" customHeight="1" spans="1:7">
      <c r="A3" s="130" t="s">
        <v>4</v>
      </c>
      <c r="B3" s="131"/>
      <c r="C3" s="132"/>
      <c r="D3" s="27"/>
      <c r="E3" s="17"/>
      <c r="F3" s="137" t="s">
        <v>20</v>
      </c>
      <c r="G3" s="138">
        <f>G2*11%</f>
        <v>0</v>
      </c>
    </row>
    <row r="4" ht="23.5" customHeight="1" spans="1:7">
      <c r="A4" s="130" t="s">
        <v>5</v>
      </c>
      <c r="B4" s="131"/>
      <c r="C4" s="132"/>
      <c r="D4" s="40"/>
      <c r="E4" s="142">
        <f>SUM(G2:G3)</f>
        <v>0</v>
      </c>
      <c r="F4" s="142"/>
      <c r="G4" s="142"/>
    </row>
    <row r="5" ht="150.5" customHeight="1" spans="1:7">
      <c r="A5" s="25"/>
      <c r="B5" s="129"/>
      <c r="C5" s="40"/>
      <c r="D5" s="27"/>
      <c r="E5" s="17"/>
      <c r="F5" s="21"/>
      <c r="G5" s="21">
        <f>D5*F5</f>
        <v>0</v>
      </c>
    </row>
    <row r="6" ht="23.5" customHeight="1" spans="1:9">
      <c r="A6" s="133" t="s">
        <v>4</v>
      </c>
      <c r="B6" s="134"/>
      <c r="C6" s="135"/>
      <c r="D6" s="136"/>
      <c r="E6" s="7"/>
      <c r="F6" s="142" t="s">
        <v>20</v>
      </c>
      <c r="G6" s="7">
        <f>G5*11%</f>
        <v>0</v>
      </c>
      <c r="I6" s="144"/>
    </row>
    <row r="7" ht="23.5" customHeight="1" spans="1:7">
      <c r="A7" s="133" t="s">
        <v>5</v>
      </c>
      <c r="B7" s="134"/>
      <c r="C7" s="135"/>
      <c r="D7" s="136"/>
      <c r="E7" s="142">
        <f>SUM(G5:G6)</f>
        <v>0</v>
      </c>
      <c r="F7" s="142"/>
      <c r="G7" s="142"/>
    </row>
    <row r="8" ht="168" customHeight="1" spans="1:7">
      <c r="A8" s="25"/>
      <c r="B8" s="129"/>
      <c r="C8" s="40"/>
      <c r="D8" s="27"/>
      <c r="E8" s="17"/>
      <c r="F8" s="21"/>
      <c r="G8" s="21"/>
    </row>
    <row r="9" ht="23.5" customHeight="1" spans="1:7">
      <c r="A9" s="133"/>
      <c r="B9" s="134"/>
      <c r="C9" s="135"/>
      <c r="D9" s="136"/>
      <c r="E9" s="7"/>
      <c r="F9" s="7"/>
      <c r="G9" s="7"/>
    </row>
    <row r="10" ht="23.5" customHeight="1" spans="1:7">
      <c r="A10" s="133" t="s">
        <v>5</v>
      </c>
      <c r="B10" s="134"/>
      <c r="C10" s="135"/>
      <c r="D10" s="136"/>
      <c r="E10" s="142"/>
      <c r="F10" s="142"/>
      <c r="G10" s="142"/>
    </row>
    <row r="11" ht="168" customHeight="1" spans="1:7">
      <c r="A11" s="25"/>
      <c r="B11" s="129"/>
      <c r="C11" s="40"/>
      <c r="D11" s="27"/>
      <c r="E11" s="17"/>
      <c r="F11" s="21"/>
      <c r="G11" s="21"/>
    </row>
    <row r="12" ht="23.5" customHeight="1" spans="1:7">
      <c r="A12" s="133"/>
      <c r="B12" s="134"/>
      <c r="C12" s="135"/>
      <c r="D12" s="136"/>
      <c r="E12" s="7"/>
      <c r="F12" s="7"/>
      <c r="G12" s="138"/>
    </row>
    <row r="13" ht="23.5" customHeight="1" spans="1:7">
      <c r="A13" s="133" t="s">
        <v>5</v>
      </c>
      <c r="B13" s="134"/>
      <c r="C13" s="135"/>
      <c r="D13" s="136"/>
      <c r="E13" s="142"/>
      <c r="F13" s="142"/>
      <c r="G13" s="142"/>
    </row>
    <row r="14" ht="24" customHeight="1" spans="1:7">
      <c r="A14" s="89" t="s">
        <v>9</v>
      </c>
      <c r="B14" s="90"/>
      <c r="C14" s="90"/>
      <c r="D14" s="91"/>
      <c r="E14" s="143">
        <f>SUM(E4+E7+E10+E13)</f>
        <v>0</v>
      </c>
      <c r="F14" s="99"/>
      <c r="G14" s="100"/>
    </row>
  </sheetData>
  <mergeCells count="14">
    <mergeCell ref="A3:C3"/>
    <mergeCell ref="A4:C4"/>
    <mergeCell ref="E4:G4"/>
    <mergeCell ref="A6:C6"/>
    <mergeCell ref="A7:C7"/>
    <mergeCell ref="E7:G7"/>
    <mergeCell ref="A9:C9"/>
    <mergeCell ref="A10:C10"/>
    <mergeCell ref="E10:G10"/>
    <mergeCell ref="A12:C12"/>
    <mergeCell ref="A13:C13"/>
    <mergeCell ref="E13:G13"/>
    <mergeCell ref="A14:D14"/>
    <mergeCell ref="E14:G1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zoomScale="83" zoomScaleNormal="83" workbookViewId="0">
      <pane ySplit="1" topLeftCell="A2" activePane="bottomLeft" state="frozen"/>
      <selection/>
      <selection pane="bottomLeft" activeCell="D2" sqref="A2:D2"/>
    </sheetView>
  </sheetViews>
  <sheetFormatPr defaultColWidth="9.140625" defaultRowHeight="16.8" outlineLevelCol="6"/>
  <cols>
    <col min="1" max="1" width="12.2890625" customWidth="1"/>
    <col min="2" max="2" width="24.140625" customWidth="1"/>
    <col min="3" max="3" width="18.7109375" customWidth="1"/>
    <col min="4" max="4" width="11.7109375" customWidth="1"/>
    <col min="5" max="5" width="46.5625" customWidth="1"/>
    <col min="6" max="6" width="14.7890625" customWidth="1"/>
    <col min="7" max="7" width="15.125" customWidth="1"/>
  </cols>
  <sheetData>
    <row r="1" ht="16" customHeight="1" spans="1:7">
      <c r="A1" s="36" t="s">
        <v>0</v>
      </c>
      <c r="B1" s="37" t="s">
        <v>10</v>
      </c>
      <c r="C1" s="37" t="s">
        <v>11</v>
      </c>
      <c r="D1" s="37" t="s">
        <v>12</v>
      </c>
      <c r="E1" s="37" t="s">
        <v>13</v>
      </c>
      <c r="F1" s="37" t="s">
        <v>3</v>
      </c>
      <c r="G1" s="37" t="s">
        <v>5</v>
      </c>
    </row>
    <row r="2" ht="193.6" customHeight="1" spans="1:7">
      <c r="A2" s="25"/>
      <c r="B2" s="129"/>
      <c r="C2" s="40"/>
      <c r="D2" s="27"/>
      <c r="E2" s="17"/>
      <c r="F2" s="21"/>
      <c r="G2" s="21">
        <f>SUM(D2*F2)</f>
        <v>0</v>
      </c>
    </row>
    <row r="3" ht="23.5" customHeight="1" spans="1:7">
      <c r="A3" s="130" t="s">
        <v>4</v>
      </c>
      <c r="B3" s="131"/>
      <c r="C3" s="132"/>
      <c r="D3" s="27"/>
      <c r="E3" s="17"/>
      <c r="F3" s="137"/>
      <c r="G3" s="138"/>
    </row>
    <row r="4" ht="23.5" customHeight="1" spans="1:7">
      <c r="A4" s="130" t="s">
        <v>5</v>
      </c>
      <c r="B4" s="131"/>
      <c r="C4" s="132"/>
      <c r="D4" s="40"/>
      <c r="E4" s="139">
        <f>SUM(G2:G3)</f>
        <v>0</v>
      </c>
      <c r="F4" s="140"/>
      <c r="G4" s="141"/>
    </row>
    <row r="5" ht="168" customHeight="1" spans="1:7">
      <c r="A5" s="25"/>
      <c r="B5" s="129"/>
      <c r="C5" s="40"/>
      <c r="D5" s="27"/>
      <c r="E5" s="17"/>
      <c r="F5" s="21"/>
      <c r="G5" s="21">
        <f>SUM(D5*F5)</f>
        <v>0</v>
      </c>
    </row>
    <row r="6" ht="23.5" customHeight="1" spans="1:7">
      <c r="A6" s="133" t="s">
        <v>4</v>
      </c>
      <c r="B6" s="134"/>
      <c r="C6" s="135"/>
      <c r="D6" s="136"/>
      <c r="E6" s="7"/>
      <c r="F6" s="7"/>
      <c r="G6" s="7"/>
    </row>
    <row r="7" ht="23.5" customHeight="1" spans="1:7">
      <c r="A7" s="133" t="s">
        <v>5</v>
      </c>
      <c r="B7" s="134"/>
      <c r="C7" s="135"/>
      <c r="D7" s="136"/>
      <c r="E7" s="142">
        <f>SUM(G5:G6)</f>
        <v>0</v>
      </c>
      <c r="F7" s="142"/>
      <c r="G7" s="142"/>
    </row>
    <row r="8" ht="168" customHeight="1" spans="1:7">
      <c r="A8" s="25"/>
      <c r="B8" s="129"/>
      <c r="C8" s="40"/>
      <c r="D8" s="27"/>
      <c r="E8" s="17"/>
      <c r="F8" s="21"/>
      <c r="G8" s="21"/>
    </row>
    <row r="9" ht="23.5" customHeight="1" spans="1:7">
      <c r="A9" s="133"/>
      <c r="B9" s="134"/>
      <c r="C9" s="135"/>
      <c r="D9" s="136"/>
      <c r="E9" s="7"/>
      <c r="F9" s="7"/>
      <c r="G9" s="7"/>
    </row>
    <row r="10" ht="23.5" customHeight="1" spans="1:7">
      <c r="A10" s="133"/>
      <c r="B10" s="134"/>
      <c r="C10" s="135"/>
      <c r="D10" s="136"/>
      <c r="E10" s="142"/>
      <c r="F10" s="142"/>
      <c r="G10" s="142"/>
    </row>
    <row r="11" ht="168" customHeight="1" spans="1:7">
      <c r="A11" s="25"/>
      <c r="B11" s="129"/>
      <c r="C11" s="40"/>
      <c r="D11" s="27"/>
      <c r="E11" s="17"/>
      <c r="F11" s="21"/>
      <c r="G11" s="21"/>
    </row>
    <row r="12" ht="23.5" customHeight="1" spans="1:7">
      <c r="A12" s="133"/>
      <c r="B12" s="134"/>
      <c r="C12" s="135"/>
      <c r="D12" s="136"/>
      <c r="E12" s="7"/>
      <c r="F12" s="7"/>
      <c r="G12" s="138"/>
    </row>
    <row r="13" ht="23.5" customHeight="1" spans="1:7">
      <c r="A13" s="133"/>
      <c r="B13" s="134"/>
      <c r="C13" s="135"/>
      <c r="D13" s="136"/>
      <c r="E13" s="142"/>
      <c r="F13" s="142"/>
      <c r="G13" s="142"/>
    </row>
    <row r="14" ht="24" customHeight="1" spans="1:7">
      <c r="A14" s="89" t="s">
        <v>9</v>
      </c>
      <c r="B14" s="90"/>
      <c r="C14" s="90"/>
      <c r="D14" s="91"/>
      <c r="E14" s="143">
        <f>SUM(E4+E7+E10+E13)</f>
        <v>0</v>
      </c>
      <c r="F14" s="99"/>
      <c r="G14" s="100"/>
    </row>
  </sheetData>
  <mergeCells count="14">
    <mergeCell ref="A3:C3"/>
    <mergeCell ref="A4:C4"/>
    <mergeCell ref="E4:G4"/>
    <mergeCell ref="A6:C6"/>
    <mergeCell ref="A7:C7"/>
    <mergeCell ref="E7:G7"/>
    <mergeCell ref="A9:C9"/>
    <mergeCell ref="A10:C10"/>
    <mergeCell ref="E10:G10"/>
    <mergeCell ref="A12:C12"/>
    <mergeCell ref="A13:C13"/>
    <mergeCell ref="E13:G13"/>
    <mergeCell ref="A14:D14"/>
    <mergeCell ref="E14:G1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zoomScale="73" zoomScaleNormal="73" topLeftCell="D1" workbookViewId="0">
      <pane ySplit="1" topLeftCell="A2" activePane="bottomLeft" state="frozen"/>
      <selection/>
      <selection pane="bottomLeft" activeCell="C2" sqref="A2:C2"/>
    </sheetView>
  </sheetViews>
  <sheetFormatPr defaultColWidth="9.140625" defaultRowHeight="16.8" outlineLevelCol="7"/>
  <cols>
    <col min="1" max="1" width="13.3984375" customWidth="1"/>
    <col min="2" max="2" width="25.7109375" customWidth="1"/>
    <col min="3" max="3" width="18.5703125" customWidth="1"/>
    <col min="4" max="4" width="13.640625" style="107" customWidth="1"/>
    <col min="5" max="5" width="45.5078125" customWidth="1"/>
    <col min="6" max="6" width="19.734375" style="34" customWidth="1"/>
    <col min="7" max="7" width="17.9609375" style="34" customWidth="1"/>
  </cols>
  <sheetData>
    <row r="1" ht="16" customHeight="1" spans="1:8">
      <c r="A1" s="36" t="s">
        <v>0</v>
      </c>
      <c r="B1" s="37" t="s">
        <v>10</v>
      </c>
      <c r="C1" s="37" t="s">
        <v>11</v>
      </c>
      <c r="D1" s="37" t="s">
        <v>12</v>
      </c>
      <c r="E1" s="37" t="s">
        <v>13</v>
      </c>
      <c r="F1" s="53" t="s">
        <v>3</v>
      </c>
      <c r="G1" s="53" t="s">
        <v>5</v>
      </c>
      <c r="H1" s="37" t="s">
        <v>21</v>
      </c>
    </row>
    <row r="2" ht="180.8" customHeight="1" spans="1:8">
      <c r="A2" s="25"/>
      <c r="B2" s="102"/>
      <c r="C2" s="78"/>
      <c r="D2" s="63">
        <v>24</v>
      </c>
      <c r="E2" s="17"/>
      <c r="F2" s="116"/>
      <c r="G2" s="116">
        <f>SUM(D2*F2)</f>
        <v>0</v>
      </c>
      <c r="H2" s="17"/>
    </row>
    <row r="3" ht="26" spans="1:8">
      <c r="A3" s="108" t="s">
        <v>4</v>
      </c>
      <c r="B3" s="109"/>
      <c r="C3" s="110"/>
      <c r="D3" s="111">
        <f>SUM(D2)</f>
        <v>24</v>
      </c>
      <c r="E3" s="117"/>
      <c r="F3" s="118" t="s">
        <v>20</v>
      </c>
      <c r="G3" s="119">
        <f>G2*11%</f>
        <v>0</v>
      </c>
      <c r="H3" s="120"/>
    </row>
    <row r="4" ht="26" spans="1:8">
      <c r="A4" s="28" t="s">
        <v>5</v>
      </c>
      <c r="B4" s="29"/>
      <c r="C4" s="87"/>
      <c r="D4" s="112"/>
      <c r="E4" s="121">
        <f>SUM(G2:G3)</f>
        <v>0</v>
      </c>
      <c r="F4" s="122"/>
      <c r="G4" s="122"/>
      <c r="H4" s="121"/>
    </row>
    <row r="5" ht="168" customHeight="1" spans="1:8">
      <c r="A5" s="48"/>
      <c r="B5" s="113"/>
      <c r="C5" s="113"/>
      <c r="D5" s="114"/>
      <c r="E5" s="123"/>
      <c r="F5" s="116"/>
      <c r="G5" s="116">
        <f>SUM(D5*F5)</f>
        <v>0</v>
      </c>
      <c r="H5" s="124"/>
    </row>
    <row r="6" ht="26" spans="1:8">
      <c r="A6" s="108" t="s">
        <v>4</v>
      </c>
      <c r="B6" s="109"/>
      <c r="C6" s="110"/>
      <c r="D6" s="112">
        <f>SUM(D5)</f>
        <v>0</v>
      </c>
      <c r="E6" s="93"/>
      <c r="F6" s="118" t="s">
        <v>20</v>
      </c>
      <c r="G6" s="119">
        <f>G5*11%</f>
        <v>0</v>
      </c>
      <c r="H6" s="120"/>
    </row>
    <row r="7" ht="26" spans="1:8">
      <c r="A7" s="28" t="s">
        <v>5</v>
      </c>
      <c r="B7" s="29"/>
      <c r="C7" s="87"/>
      <c r="D7" s="112"/>
      <c r="E7" s="93">
        <f>SUM(G5:G6)</f>
        <v>0</v>
      </c>
      <c r="F7" s="125"/>
      <c r="G7" s="125"/>
      <c r="H7" s="93"/>
    </row>
    <row r="8" ht="168" customHeight="1" spans="1:8">
      <c r="A8" s="48"/>
      <c r="B8" s="113"/>
      <c r="C8" s="113"/>
      <c r="D8" s="114"/>
      <c r="E8" s="123"/>
      <c r="F8" s="116"/>
      <c r="G8" s="116">
        <f>SUM(D8*F8)</f>
        <v>0</v>
      </c>
      <c r="H8" s="124"/>
    </row>
    <row r="9" ht="26" spans="1:8">
      <c r="A9" s="108" t="s">
        <v>4</v>
      </c>
      <c r="B9" s="109"/>
      <c r="C9" s="110"/>
      <c r="D9" s="112"/>
      <c r="E9" s="93"/>
      <c r="F9" s="118" t="s">
        <v>20</v>
      </c>
      <c r="G9" s="119">
        <f>G8*11%</f>
        <v>0</v>
      </c>
      <c r="H9" s="120"/>
    </row>
    <row r="10" ht="26" spans="1:8">
      <c r="A10" s="28" t="s">
        <v>5</v>
      </c>
      <c r="B10" s="29"/>
      <c r="C10" s="87"/>
      <c r="D10" s="112"/>
      <c r="E10" s="93">
        <f>SUM(G8:G9)</f>
        <v>0</v>
      </c>
      <c r="F10" s="125"/>
      <c r="G10" s="125"/>
      <c r="H10" s="93"/>
    </row>
    <row r="11" ht="168" customHeight="1" spans="1:8">
      <c r="A11" s="115"/>
      <c r="B11" s="113"/>
      <c r="C11" s="113"/>
      <c r="D11" s="114"/>
      <c r="E11" s="123"/>
      <c r="F11" s="116"/>
      <c r="G11" s="116">
        <f>SUM(D11*F11)</f>
        <v>0</v>
      </c>
      <c r="H11" s="124"/>
    </row>
    <row r="12" ht="26" spans="1:8">
      <c r="A12" s="108" t="s">
        <v>4</v>
      </c>
      <c r="B12" s="109"/>
      <c r="C12" s="110"/>
      <c r="D12" s="112"/>
      <c r="E12" s="93"/>
      <c r="F12" s="118" t="s">
        <v>20</v>
      </c>
      <c r="G12" s="119">
        <f>G11*11%</f>
        <v>0</v>
      </c>
      <c r="H12" s="120"/>
    </row>
    <row r="13" ht="26" spans="1:8">
      <c r="A13" s="28" t="s">
        <v>5</v>
      </c>
      <c r="B13" s="29"/>
      <c r="C13" s="87"/>
      <c r="D13" s="112"/>
      <c r="E13" s="93">
        <f>SUM(G11:G12)</f>
        <v>0</v>
      </c>
      <c r="F13" s="125"/>
      <c r="G13" s="125"/>
      <c r="H13" s="93"/>
    </row>
    <row r="14" ht="168" customHeight="1" spans="1:8">
      <c r="A14" s="115"/>
      <c r="B14" s="113"/>
      <c r="C14" s="113"/>
      <c r="D14" s="114"/>
      <c r="E14" s="123"/>
      <c r="F14" s="116"/>
      <c r="G14" s="116"/>
      <c r="H14" s="124"/>
    </row>
    <row r="15" ht="26" spans="1:8">
      <c r="A15" s="108" t="s">
        <v>4</v>
      </c>
      <c r="B15" s="109"/>
      <c r="C15" s="110"/>
      <c r="D15" s="112"/>
      <c r="E15" s="93"/>
      <c r="F15" s="118" t="s">
        <v>20</v>
      </c>
      <c r="G15" s="119">
        <f>G14*11%</f>
        <v>0</v>
      </c>
      <c r="H15" s="120"/>
    </row>
    <row r="16" ht="26" spans="1:8">
      <c r="A16" s="28" t="s">
        <v>5</v>
      </c>
      <c r="B16" s="29"/>
      <c r="C16" s="87"/>
      <c r="D16" s="112"/>
      <c r="E16" s="93">
        <f>SUM(G14:G15)</f>
        <v>0</v>
      </c>
      <c r="F16" s="125"/>
      <c r="G16" s="125"/>
      <c r="H16" s="93"/>
    </row>
    <row r="17" ht="26" customHeight="1" spans="1:8">
      <c r="A17" s="89" t="s">
        <v>9</v>
      </c>
      <c r="B17" s="90"/>
      <c r="C17" s="90"/>
      <c r="D17" s="91"/>
      <c r="E17" s="126">
        <f>E4+E7+E10+E13+E16</f>
        <v>0</v>
      </c>
      <c r="F17" s="127"/>
      <c r="G17" s="127"/>
      <c r="H17" s="128"/>
    </row>
  </sheetData>
  <mergeCells count="17">
    <mergeCell ref="A3:C3"/>
    <mergeCell ref="A4:C4"/>
    <mergeCell ref="E4:H4"/>
    <mergeCell ref="A6:C6"/>
    <mergeCell ref="A7:C7"/>
    <mergeCell ref="E7:H7"/>
    <mergeCell ref="A9:C9"/>
    <mergeCell ref="A10:C10"/>
    <mergeCell ref="E10:H10"/>
    <mergeCell ref="A12:C12"/>
    <mergeCell ref="A13:C13"/>
    <mergeCell ref="E13:H13"/>
    <mergeCell ref="A15:C15"/>
    <mergeCell ref="A16:C16"/>
    <mergeCell ref="E16:H16"/>
    <mergeCell ref="A17:D17"/>
    <mergeCell ref="E17:H17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zoomScale="97" zoomScaleNormal="97" workbookViewId="0">
      <pane ySplit="1" topLeftCell="A2" activePane="bottomLeft" state="frozen"/>
      <selection/>
      <selection pane="bottomLeft" activeCell="E2" sqref="A2:E2"/>
    </sheetView>
  </sheetViews>
  <sheetFormatPr defaultColWidth="9.140625" defaultRowHeight="16.8" outlineLevelRow="3" outlineLevelCol="7"/>
  <cols>
    <col min="1" max="1" width="12.859375" customWidth="1"/>
    <col min="2" max="2" width="12.2890625" customWidth="1"/>
    <col min="3" max="3" width="21.859375" customWidth="1"/>
    <col min="4" max="4" width="11.625" customWidth="1"/>
    <col min="5" max="5" width="15.75" customWidth="1"/>
    <col min="6" max="6" width="45.5078125" customWidth="1"/>
    <col min="7" max="7" width="17.9609375" customWidth="1"/>
    <col min="8" max="8" width="11" style="101" customWidth="1"/>
  </cols>
  <sheetData>
    <row r="1" ht="16" customHeight="1" spans="1:8">
      <c r="A1" s="36" t="s">
        <v>0</v>
      </c>
      <c r="B1" s="37" t="s">
        <v>10</v>
      </c>
      <c r="C1" s="37" t="s">
        <v>11</v>
      </c>
      <c r="D1" s="37" t="s">
        <v>15</v>
      </c>
      <c r="E1" s="37" t="s">
        <v>3</v>
      </c>
      <c r="F1" s="37" t="s">
        <v>13</v>
      </c>
      <c r="G1" s="37" t="s">
        <v>5</v>
      </c>
      <c r="H1" s="105" t="s">
        <v>22</v>
      </c>
    </row>
    <row r="2" ht="169" customHeight="1" spans="1:8">
      <c r="A2" s="25"/>
      <c r="B2" s="102"/>
      <c r="C2" s="7"/>
      <c r="D2" s="63"/>
      <c r="E2" s="21"/>
      <c r="F2" s="17"/>
      <c r="G2" s="21">
        <f>SUM(D2*E2)</f>
        <v>0</v>
      </c>
      <c r="H2" s="105"/>
    </row>
    <row r="3" ht="155.75" customHeight="1" spans="1:8">
      <c r="A3" s="25"/>
      <c r="B3" s="102"/>
      <c r="C3" s="7"/>
      <c r="D3" s="63"/>
      <c r="E3" s="21"/>
      <c r="F3" s="17"/>
      <c r="G3" s="21">
        <f>SUM(D3*E3)</f>
        <v>0</v>
      </c>
      <c r="H3" s="105"/>
    </row>
    <row r="4" ht="23" customHeight="1" spans="1:8">
      <c r="A4" s="103" t="s">
        <v>23</v>
      </c>
      <c r="B4" s="104"/>
      <c r="C4" s="104"/>
      <c r="D4" s="104"/>
      <c r="E4" s="104"/>
      <c r="F4" s="106">
        <f>SUM(G2:G3)</f>
        <v>0</v>
      </c>
      <c r="G4" s="106"/>
      <c r="H4" s="105"/>
    </row>
  </sheetData>
  <mergeCells count="2">
    <mergeCell ref="A4:E4"/>
    <mergeCell ref="F4:G4"/>
  </mergeCells>
  <pageMargins left="0.75" right="0.75" top="1" bottom="1" header="0.5" footer="0.5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zoomScale="75" zoomScaleNormal="75" topLeftCell="D1" workbookViewId="0">
      <selection activeCell="G18" sqref="G18"/>
    </sheetView>
  </sheetViews>
  <sheetFormatPr defaultColWidth="9.140625" defaultRowHeight="16.8" outlineLevelCol="6"/>
  <cols>
    <col min="1" max="1" width="13.3984375" customWidth="1"/>
    <col min="2" max="2" width="18.1328125" customWidth="1"/>
    <col min="3" max="4" width="18.5703125" customWidth="1"/>
    <col min="5" max="5" width="28.4296875" customWidth="1"/>
    <col min="6" max="7" width="17.9609375" customWidth="1"/>
  </cols>
  <sheetData>
    <row r="1" ht="16" customHeight="1" spans="1:7">
      <c r="A1" s="36" t="s">
        <v>0</v>
      </c>
      <c r="B1" s="37" t="s">
        <v>10</v>
      </c>
      <c r="C1" s="37" t="s">
        <v>11</v>
      </c>
      <c r="D1" s="37" t="s">
        <v>15</v>
      </c>
      <c r="E1" s="37" t="s">
        <v>13</v>
      </c>
      <c r="F1" s="37" t="s">
        <v>3</v>
      </c>
      <c r="G1" s="37" t="s">
        <v>5</v>
      </c>
    </row>
    <row r="2" ht="106.15" customHeight="1" spans="1:7">
      <c r="A2" s="85"/>
      <c r="B2" s="86"/>
      <c r="C2" s="26"/>
      <c r="D2" s="27"/>
      <c r="E2" s="17"/>
      <c r="F2" s="92"/>
      <c r="G2" s="21">
        <f>SUM(D2*F2)</f>
        <v>0</v>
      </c>
    </row>
    <row r="3" ht="26" spans="1:7">
      <c r="A3" s="28" t="s">
        <v>7</v>
      </c>
      <c r="B3" s="29"/>
      <c r="C3" s="87"/>
      <c r="D3" s="88">
        <f>SUM(D2)</f>
        <v>0</v>
      </c>
      <c r="E3" s="93"/>
      <c r="F3" s="93" t="s">
        <v>20</v>
      </c>
      <c r="G3" s="94">
        <f>G2*11%</f>
        <v>0</v>
      </c>
    </row>
    <row r="4" ht="26" spans="1:7">
      <c r="A4" s="28" t="s">
        <v>5</v>
      </c>
      <c r="B4" s="29"/>
      <c r="C4" s="29"/>
      <c r="D4" s="29"/>
      <c r="E4" s="95">
        <f>SUM(G2:G3)</f>
        <v>0</v>
      </c>
      <c r="F4" s="96"/>
      <c r="G4" s="97"/>
    </row>
    <row r="5" ht="245.15" customHeight="1" spans="1:7">
      <c r="A5" s="85"/>
      <c r="B5" s="86"/>
      <c r="C5" s="26"/>
      <c r="D5" s="27"/>
      <c r="E5" s="17"/>
      <c r="F5" s="92"/>
      <c r="G5" s="21">
        <f>F5*D5</f>
        <v>0</v>
      </c>
    </row>
    <row r="6" ht="26" spans="1:7">
      <c r="A6" s="28" t="s">
        <v>7</v>
      </c>
      <c r="B6" s="29"/>
      <c r="C6" s="87"/>
      <c r="D6" s="88">
        <f>SUM(D5)</f>
        <v>0</v>
      </c>
      <c r="E6" s="93"/>
      <c r="F6" s="93" t="s">
        <v>20</v>
      </c>
      <c r="G6" s="94">
        <f>G5*11%</f>
        <v>0</v>
      </c>
    </row>
    <row r="7" ht="26" spans="1:7">
      <c r="A7" s="28" t="s">
        <v>5</v>
      </c>
      <c r="B7" s="29"/>
      <c r="C7" s="29"/>
      <c r="D7" s="29"/>
      <c r="E7" s="95">
        <f>SUM(G5:G6)</f>
        <v>0</v>
      </c>
      <c r="F7" s="96"/>
      <c r="G7" s="97"/>
    </row>
    <row r="8" ht="107.2" customHeight="1" spans="1:7">
      <c r="A8" s="85"/>
      <c r="B8" s="86"/>
      <c r="C8" s="26"/>
      <c r="D8" s="27"/>
      <c r="E8" s="17"/>
      <c r="F8" s="92"/>
      <c r="G8" s="21">
        <f>F8*D8</f>
        <v>0</v>
      </c>
    </row>
    <row r="9" ht="26" spans="1:7">
      <c r="A9" s="28" t="s">
        <v>7</v>
      </c>
      <c r="B9" s="29"/>
      <c r="C9" s="87"/>
      <c r="D9" s="88">
        <f>SUM(D8)</f>
        <v>0</v>
      </c>
      <c r="E9" s="93"/>
      <c r="F9" s="93" t="s">
        <v>20</v>
      </c>
      <c r="G9" s="94">
        <f>G8*11%</f>
        <v>0</v>
      </c>
    </row>
    <row r="10" ht="26" spans="1:7">
      <c r="A10" s="28" t="s">
        <v>5</v>
      </c>
      <c r="B10" s="29"/>
      <c r="C10" s="29"/>
      <c r="D10" s="29"/>
      <c r="E10" s="95">
        <f>SUM(G8:G9)</f>
        <v>0</v>
      </c>
      <c r="F10" s="96"/>
      <c r="G10" s="97"/>
    </row>
    <row r="11" ht="26" customHeight="1" spans="1:7">
      <c r="A11" s="89" t="s">
        <v>9</v>
      </c>
      <c r="B11" s="90"/>
      <c r="C11" s="90"/>
      <c r="D11" s="91"/>
      <c r="E11" s="98">
        <f>SUM(E4,E7,E10)</f>
        <v>0</v>
      </c>
      <c r="F11" s="99"/>
      <c r="G11" s="100"/>
    </row>
  </sheetData>
  <mergeCells count="11">
    <mergeCell ref="A3:C3"/>
    <mergeCell ref="A4:D4"/>
    <mergeCell ref="E4:G4"/>
    <mergeCell ref="A6:C6"/>
    <mergeCell ref="A7:D7"/>
    <mergeCell ref="E7:G7"/>
    <mergeCell ref="A9:C9"/>
    <mergeCell ref="A10:D10"/>
    <mergeCell ref="E10:G10"/>
    <mergeCell ref="A11:D11"/>
    <mergeCell ref="E11:G1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zoomScale="89" zoomScaleNormal="89" workbookViewId="0">
      <selection activeCell="D3" sqref="D3:F3"/>
    </sheetView>
  </sheetViews>
  <sheetFormatPr defaultColWidth="9.140625" defaultRowHeight="16.8" outlineLevelCol="5"/>
  <cols>
    <col min="1" max="1" width="12.4375" style="11" customWidth="1"/>
    <col min="2" max="2" width="17.3359375" customWidth="1"/>
    <col min="3" max="3" width="23.015625" customWidth="1"/>
    <col min="4" max="4" width="59.9609375" customWidth="1"/>
    <col min="5" max="5" width="29.0703125" customWidth="1"/>
    <col min="6" max="6" width="12.921875" customWidth="1"/>
  </cols>
  <sheetData>
    <row r="1" ht="16" customHeight="1" spans="1:6">
      <c r="A1" s="12" t="s">
        <v>0</v>
      </c>
      <c r="B1" s="13" t="s">
        <v>10</v>
      </c>
      <c r="C1" s="13" t="s">
        <v>11</v>
      </c>
      <c r="D1" s="13" t="s">
        <v>13</v>
      </c>
      <c r="E1" s="13" t="s">
        <v>5</v>
      </c>
      <c r="F1" s="13" t="s">
        <v>21</v>
      </c>
    </row>
    <row r="2" ht="321" customHeight="1" spans="1:6">
      <c r="A2" s="76"/>
      <c r="B2" s="77"/>
      <c r="C2" s="78"/>
      <c r="D2" s="17"/>
      <c r="E2" s="21"/>
      <c r="F2" s="17"/>
    </row>
    <row r="3" ht="34" customHeight="1" spans="1:6">
      <c r="A3" s="79" t="s">
        <v>5</v>
      </c>
      <c r="B3" s="80"/>
      <c r="C3" s="81"/>
      <c r="D3" s="82">
        <f>SUM(E2:E2)</f>
        <v>0</v>
      </c>
      <c r="E3" s="83"/>
      <c r="F3" s="84"/>
    </row>
    <row r="4" ht="58" customHeight="1"/>
    <row r="5" ht="58" customHeight="1"/>
    <row r="6" ht="58" customHeight="1"/>
    <row r="7" ht="58" customHeight="1"/>
    <row r="8" ht="58" customHeight="1"/>
    <row r="9" ht="58" customHeight="1"/>
    <row r="10" ht="58" customHeight="1"/>
    <row r="11" ht="58" customHeight="1"/>
    <row r="12" ht="58" customHeight="1"/>
    <row r="13" ht="58" customHeight="1"/>
  </sheetData>
  <mergeCells count="2">
    <mergeCell ref="A3:C3"/>
    <mergeCell ref="D3:F3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zoomScale="90" zoomScaleNormal="90" topLeftCell="C1" workbookViewId="0">
      <selection activeCell="F8" sqref="A8:F8"/>
    </sheetView>
  </sheetViews>
  <sheetFormatPr defaultColWidth="9.140625" defaultRowHeight="16.8"/>
  <cols>
    <col min="1" max="1" width="13.3984375" customWidth="1"/>
    <col min="2" max="2" width="11.1640625" customWidth="1"/>
    <col min="3" max="3" width="18.5703125" customWidth="1"/>
    <col min="4" max="4" width="15.875" customWidth="1"/>
    <col min="5" max="5" width="45.5078125" customWidth="1"/>
    <col min="6" max="6" width="17.9609375" style="34" customWidth="1"/>
    <col min="7" max="11" width="17.9609375" style="35" customWidth="1"/>
  </cols>
  <sheetData>
    <row r="1" ht="16" customHeight="1" spans="1:11">
      <c r="A1" s="36" t="s">
        <v>0</v>
      </c>
      <c r="B1" s="37" t="s">
        <v>10</v>
      </c>
      <c r="C1" s="37" t="s">
        <v>11</v>
      </c>
      <c r="D1" s="37" t="s">
        <v>15</v>
      </c>
      <c r="E1" s="37" t="s">
        <v>13</v>
      </c>
      <c r="F1" s="53" t="s">
        <v>3</v>
      </c>
      <c r="G1" s="54" t="s">
        <v>7</v>
      </c>
      <c r="H1" s="54" t="s">
        <v>5</v>
      </c>
      <c r="I1" s="54" t="s">
        <v>17</v>
      </c>
      <c r="J1" s="54" t="s">
        <v>24</v>
      </c>
      <c r="K1" s="54" t="s">
        <v>5</v>
      </c>
    </row>
    <row r="2" ht="64" customHeight="1" spans="1:11">
      <c r="A2" s="38"/>
      <c r="B2" s="39"/>
      <c r="C2" s="40"/>
      <c r="D2" s="41"/>
      <c r="E2" s="55"/>
      <c r="F2" s="56"/>
      <c r="G2" s="57">
        <f>F2*D2</f>
        <v>0</v>
      </c>
      <c r="H2" s="58">
        <f>SUM(G2:G5)</f>
        <v>0</v>
      </c>
      <c r="I2" s="58">
        <f>H2*30%</f>
        <v>0</v>
      </c>
      <c r="J2" s="58">
        <f>(H2-I2)*0%</f>
        <v>0</v>
      </c>
      <c r="K2" s="57">
        <f>H2-I2</f>
        <v>0</v>
      </c>
    </row>
    <row r="3" ht="64" customHeight="1" spans="1:11">
      <c r="A3" s="42"/>
      <c r="B3" s="43"/>
      <c r="C3" s="40"/>
      <c r="D3" s="41"/>
      <c r="E3" s="59"/>
      <c r="F3" s="56"/>
      <c r="G3" s="57">
        <f>F3*D3</f>
        <v>0</v>
      </c>
      <c r="H3" s="60"/>
      <c r="I3" s="60"/>
      <c r="J3" s="60"/>
      <c r="K3" s="57"/>
    </row>
    <row r="4" ht="64" customHeight="1" spans="1:11">
      <c r="A4" s="42"/>
      <c r="B4" s="43"/>
      <c r="C4" s="40"/>
      <c r="D4" s="41"/>
      <c r="E4" s="59"/>
      <c r="F4" s="56"/>
      <c r="G4" s="57">
        <f>F4*D4</f>
        <v>0</v>
      </c>
      <c r="H4" s="60"/>
      <c r="I4" s="60"/>
      <c r="J4" s="60"/>
      <c r="K4" s="57"/>
    </row>
    <row r="5" ht="64" customHeight="1" spans="1:11">
      <c r="A5" s="42"/>
      <c r="B5" s="43"/>
      <c r="C5" s="44"/>
      <c r="D5" s="41"/>
      <c r="E5" s="61"/>
      <c r="F5" s="56"/>
      <c r="G5" s="57">
        <f>F5*D5</f>
        <v>0</v>
      </c>
      <c r="H5" s="62"/>
      <c r="I5" s="62"/>
      <c r="J5" s="62"/>
      <c r="K5" s="57"/>
    </row>
    <row r="6" ht="19" customHeight="1" spans="1:11">
      <c r="A6" s="45"/>
      <c r="B6" s="45"/>
      <c r="C6" s="45"/>
      <c r="D6" s="46"/>
      <c r="E6" s="63"/>
      <c r="F6" s="64"/>
      <c r="G6" s="65"/>
      <c r="H6" s="65"/>
      <c r="I6" s="65"/>
      <c r="J6" s="65"/>
      <c r="K6" s="65"/>
    </row>
    <row r="7" ht="19" customHeight="1" spans="1:11">
      <c r="A7" s="47"/>
      <c r="B7" s="47"/>
      <c r="C7" s="47"/>
      <c r="D7" s="46"/>
      <c r="E7" s="63"/>
      <c r="F7" s="64"/>
      <c r="G7" s="66"/>
      <c r="H7" s="66"/>
      <c r="I7" s="66"/>
      <c r="J7" s="66"/>
      <c r="K7" s="66"/>
    </row>
    <row r="8" ht="198.45" customHeight="1" spans="1:11">
      <c r="A8" s="48"/>
      <c r="B8" s="49"/>
      <c r="C8" s="44"/>
      <c r="D8" s="41"/>
      <c r="E8" s="59"/>
      <c r="F8" s="56"/>
      <c r="G8" s="67">
        <f>F8*D8</f>
        <v>0</v>
      </c>
      <c r="H8" s="67">
        <f>SUM(G8)</f>
        <v>0</v>
      </c>
      <c r="I8" s="67">
        <f>H8*30%</f>
        <v>0</v>
      </c>
      <c r="J8" s="67">
        <f>(H8-I8)*0%</f>
        <v>0</v>
      </c>
      <c r="K8" s="67">
        <f>H8-I8</f>
        <v>0</v>
      </c>
    </row>
    <row r="9" ht="19" customHeight="1" spans="1:11">
      <c r="A9" s="45"/>
      <c r="B9" s="45"/>
      <c r="C9" s="45"/>
      <c r="D9" s="46"/>
      <c r="E9" s="68"/>
      <c r="F9" s="64"/>
      <c r="G9" s="65"/>
      <c r="H9" s="65"/>
      <c r="I9" s="65"/>
      <c r="J9" s="65"/>
      <c r="K9" s="65"/>
    </row>
    <row r="10" ht="19" customHeight="1" spans="1:11">
      <c r="A10" s="47"/>
      <c r="B10" s="47"/>
      <c r="C10" s="47"/>
      <c r="D10" s="29"/>
      <c r="E10" s="69"/>
      <c r="F10" s="70"/>
      <c r="G10" s="71"/>
      <c r="H10" s="71"/>
      <c r="I10" s="71"/>
      <c r="J10" s="71"/>
      <c r="K10" s="74"/>
    </row>
    <row r="11" ht="27" customHeight="1" spans="1:11">
      <c r="A11" s="50" t="s">
        <v>9</v>
      </c>
      <c r="B11" s="51"/>
      <c r="C11" s="51"/>
      <c r="D11" s="52"/>
      <c r="E11" s="72">
        <f>SUM(K2:K10)</f>
        <v>0</v>
      </c>
      <c r="F11" s="73"/>
      <c r="G11" s="70"/>
      <c r="H11" s="70"/>
      <c r="I11" s="70"/>
      <c r="J11" s="70"/>
      <c r="K11" s="75"/>
    </row>
  </sheetData>
  <mergeCells count="13">
    <mergeCell ref="A6:C6"/>
    <mergeCell ref="A7:C7"/>
    <mergeCell ref="A9:C9"/>
    <mergeCell ref="A10:C10"/>
    <mergeCell ref="A11:D11"/>
    <mergeCell ref="E11:K11"/>
    <mergeCell ref="A2:A5"/>
    <mergeCell ref="B2:B5"/>
    <mergeCell ref="E2:E5"/>
    <mergeCell ref="H2:H5"/>
    <mergeCell ref="I2:I5"/>
    <mergeCell ref="J2:J5"/>
    <mergeCell ref="K2:K5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85" zoomScaleNormal="85" topLeftCell="C1" workbookViewId="0">
      <pane ySplit="1" topLeftCell="A2" activePane="bottomLeft" state="frozen"/>
      <selection/>
      <selection pane="bottomLeft" activeCell="G2" sqref="G2"/>
    </sheetView>
  </sheetViews>
  <sheetFormatPr defaultColWidth="9.140625" defaultRowHeight="16.8" outlineLevelRow="2" outlineLevelCol="6"/>
  <cols>
    <col min="1" max="1" width="13.3984375" customWidth="1"/>
    <col min="2" max="2" width="21.0078125" customWidth="1"/>
    <col min="3" max="3" width="16.578125" customWidth="1"/>
    <col min="4" max="4" width="45.5078125" customWidth="1"/>
    <col min="5" max="6" width="17.9609375" customWidth="1"/>
    <col min="7" max="7" width="11.25" customWidth="1"/>
  </cols>
  <sheetData>
    <row r="1" ht="16" customHeight="1" spans="1:7">
      <c r="A1" s="12" t="s">
        <v>0</v>
      </c>
      <c r="B1" s="13" t="s">
        <v>11</v>
      </c>
      <c r="C1" s="13" t="s">
        <v>15</v>
      </c>
      <c r="D1" s="13" t="s">
        <v>13</v>
      </c>
      <c r="E1" s="13" t="s">
        <v>3</v>
      </c>
      <c r="F1" s="13" t="s">
        <v>5</v>
      </c>
      <c r="G1" s="13" t="s">
        <v>21</v>
      </c>
    </row>
    <row r="2" ht="324.4" customHeight="1" spans="1:7">
      <c r="A2" s="25"/>
      <c r="B2" s="26"/>
      <c r="C2" s="27"/>
      <c r="D2" s="17"/>
      <c r="E2" s="21"/>
      <c r="F2" s="21">
        <f>C2*E2</f>
        <v>0</v>
      </c>
      <c r="G2" s="31"/>
    </row>
    <row r="3" ht="26" spans="1:7">
      <c r="A3" s="28" t="s">
        <v>5</v>
      </c>
      <c r="B3" s="29"/>
      <c r="C3" s="29"/>
      <c r="D3" s="30">
        <f>SUM(F2)</f>
        <v>0</v>
      </c>
      <c r="E3" s="32"/>
      <c r="F3" s="32"/>
      <c r="G3" s="33"/>
    </row>
  </sheetData>
  <mergeCells count="2">
    <mergeCell ref="A3:C3"/>
    <mergeCell ref="D3:G3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zoomScale="85" zoomScaleNormal="85" workbookViewId="0">
      <selection activeCell="E4" sqref="E4"/>
    </sheetView>
  </sheetViews>
  <sheetFormatPr defaultColWidth="9.140625" defaultRowHeight="16.8" outlineLevelCol="6"/>
  <cols>
    <col min="1" max="1" width="14.953125" style="11" customWidth="1"/>
    <col min="2" max="2" width="23.015625" customWidth="1"/>
    <col min="3" max="3" width="7.7265625" customWidth="1"/>
    <col min="4" max="4" width="52.65625" customWidth="1"/>
    <col min="5" max="5" width="20" customWidth="1"/>
    <col min="6" max="6" width="29.0703125" customWidth="1"/>
    <col min="7" max="7" width="21.5078125" customWidth="1"/>
  </cols>
  <sheetData>
    <row r="1" ht="16" customHeight="1" spans="1:7">
      <c r="A1" s="12" t="s">
        <v>0</v>
      </c>
      <c r="B1" s="13" t="s">
        <v>11</v>
      </c>
      <c r="C1" s="13" t="s">
        <v>15</v>
      </c>
      <c r="D1" s="13" t="s">
        <v>13</v>
      </c>
      <c r="E1" s="13" t="s">
        <v>16</v>
      </c>
      <c r="F1" s="13" t="s">
        <v>5</v>
      </c>
      <c r="G1" s="13" t="s">
        <v>21</v>
      </c>
    </row>
    <row r="2" ht="177" customHeight="1" spans="1:7">
      <c r="A2" s="14"/>
      <c r="B2" s="15"/>
      <c r="C2" s="16"/>
      <c r="D2" s="17"/>
      <c r="E2" s="21"/>
      <c r="F2" s="21"/>
      <c r="G2" s="21"/>
    </row>
    <row r="3" ht="34" customHeight="1" spans="1:7">
      <c r="A3" s="18" t="s">
        <v>5</v>
      </c>
      <c r="B3" s="19"/>
      <c r="C3" s="19"/>
      <c r="D3" s="20"/>
      <c r="E3" s="22">
        <f>SUM(F2)</f>
        <v>0</v>
      </c>
      <c r="F3" s="23"/>
      <c r="G3" s="24"/>
    </row>
    <row r="4" ht="58" customHeight="1"/>
    <row r="5" ht="58" customHeight="1"/>
    <row r="6" ht="58" customHeight="1"/>
    <row r="7" ht="58" customHeight="1"/>
    <row r="8" ht="58" customHeight="1"/>
    <row r="9" ht="58" customHeight="1"/>
    <row r="10" ht="58" customHeight="1"/>
    <row r="11" ht="58" customHeight="1"/>
    <row r="12" ht="58" customHeight="1"/>
    <row r="13" ht="58" customHeight="1"/>
  </sheetData>
  <mergeCells count="2">
    <mergeCell ref="A3:D3"/>
    <mergeCell ref="E3:G3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C36" sqref="C36"/>
    </sheetView>
  </sheetViews>
  <sheetFormatPr defaultColWidth="9.140625" defaultRowHeight="16.8" outlineLevelCol="2"/>
  <cols>
    <col min="1" max="1" width="3.5703125" customWidth="1"/>
    <col min="2" max="2" width="27.7109375" customWidth="1"/>
    <col min="3" max="3" width="14.4296875" customWidth="1"/>
    <col min="6" max="6" width="21.4296875" customWidth="1"/>
    <col min="7" max="7" width="20.2890625" customWidth="1"/>
  </cols>
  <sheetData>
    <row r="1" spans="1:3">
      <c r="A1" s="1" t="s">
        <v>25</v>
      </c>
      <c r="B1" s="2" t="s">
        <v>26</v>
      </c>
      <c r="C1" s="3" t="s">
        <v>5</v>
      </c>
    </row>
    <row r="2" spans="1:3">
      <c r="A2" s="4">
        <v>1</v>
      </c>
      <c r="B2" s="4" t="s">
        <v>27</v>
      </c>
      <c r="C2" s="5">
        <f>'BUK BUNGA BAR (Groceries)'!E309</f>
        <v>0</v>
      </c>
    </row>
    <row r="3" spans="1:3">
      <c r="A3" s="4">
        <v>2</v>
      </c>
      <c r="B3" s="4" t="s">
        <v>28</v>
      </c>
      <c r="C3" s="5">
        <f>'WARUNG EKA (Drinks, Etc)'!F125</f>
        <v>0</v>
      </c>
    </row>
    <row r="4" spans="1:3">
      <c r="A4" s="4">
        <v>3</v>
      </c>
      <c r="B4" s="4" t="s">
        <v>29</v>
      </c>
      <c r="C4" s="5">
        <f>'DEWATA COCONUT (Coconut)'!E14</f>
        <v>0</v>
      </c>
    </row>
    <row r="5" spans="1:3">
      <c r="A5" s="4">
        <v>4</v>
      </c>
      <c r="B5" s="4" t="s">
        <v>30</v>
      </c>
      <c r="C5" s="5">
        <f>'SEDANA JAYA'!F47</f>
        <v>0</v>
      </c>
    </row>
    <row r="6" spans="1:3">
      <c r="A6" s="4">
        <v>5</v>
      </c>
      <c r="B6" s="4" t="s">
        <v>31</v>
      </c>
      <c r="C6" s="5">
        <f>'PNB (Alcohol)'!H7</f>
        <v>0</v>
      </c>
    </row>
    <row r="7" spans="1:3">
      <c r="A7" s="4">
        <v>6</v>
      </c>
      <c r="B7" s="6" t="s">
        <v>32</v>
      </c>
      <c r="C7" s="5">
        <f>'DSP (Alcohol)'!F16</f>
        <v>0</v>
      </c>
    </row>
    <row r="8" customFormat="1" spans="1:3">
      <c r="A8" s="4">
        <v>7</v>
      </c>
      <c r="B8" s="6" t="s">
        <v>33</v>
      </c>
      <c r="C8" s="5">
        <f>'DSP ARYA BIMA (Alcohol)'!E3</f>
        <v>0</v>
      </c>
    </row>
    <row r="9" spans="1:3">
      <c r="A9" s="4">
        <v>8</v>
      </c>
      <c r="B9" s="4" t="s">
        <v>34</v>
      </c>
      <c r="C9" s="5">
        <f>'SELERA OR STIR UP (Syrup)'!F22</f>
        <v>0</v>
      </c>
    </row>
    <row r="10" spans="1:3">
      <c r="A10" s="4">
        <v>9</v>
      </c>
      <c r="B10" s="4" t="s">
        <v>35</v>
      </c>
      <c r="C10" s="5">
        <f>'DW BALI (Alcohol)'!E6</f>
        <v>0</v>
      </c>
    </row>
    <row r="11" spans="1:3">
      <c r="A11" s="4">
        <v>10</v>
      </c>
      <c r="B11" s="4" t="s">
        <v>36</v>
      </c>
      <c r="C11" s="5">
        <f>'DDB (Alcohol)'!E14</f>
        <v>0</v>
      </c>
    </row>
    <row r="12" spans="1:3">
      <c r="A12" s="4">
        <v>11</v>
      </c>
      <c r="B12" s="4" t="s">
        <v>37</v>
      </c>
      <c r="C12" s="5">
        <f>'NANO DEWATA (Alcohol)'!E14</f>
        <v>0</v>
      </c>
    </row>
    <row r="13" spans="1:3">
      <c r="A13" s="4">
        <v>12</v>
      </c>
      <c r="B13" s="4" t="s">
        <v>38</v>
      </c>
      <c r="C13" s="5">
        <f>'BALI PERMATA JAYA (Corona Beer)'!E17</f>
        <v>0</v>
      </c>
    </row>
    <row r="14" spans="1:3">
      <c r="A14" s="4">
        <v>13</v>
      </c>
      <c r="B14" s="4" t="s">
        <v>39</v>
      </c>
      <c r="C14" s="7">
        <f>'BLACK COFFEE ROASTERS (Coffee)'!F4</f>
        <v>0</v>
      </c>
    </row>
    <row r="15" spans="1:3">
      <c r="A15" s="4">
        <v>14</v>
      </c>
      <c r="B15" s="4" t="s">
        <v>40</v>
      </c>
      <c r="C15" s="5">
        <f>'PT. PRASIDA LANTUR MAJU (Wine)'!E11</f>
        <v>0</v>
      </c>
    </row>
    <row r="16" spans="1:3">
      <c r="A16" s="4">
        <v>15</v>
      </c>
      <c r="B16" s="6" t="s">
        <v>41</v>
      </c>
      <c r="C16" s="8">
        <f>'PT LOVINA BEACH BREWERY'!D3</f>
        <v>0</v>
      </c>
    </row>
    <row r="17" spans="1:3">
      <c r="A17" s="4">
        <v>16</v>
      </c>
      <c r="B17" s="4" t="s">
        <v>42</v>
      </c>
      <c r="C17" s="5">
        <f>'CHAI CHITAI (Tea Leaf,etc)'!E11</f>
        <v>0</v>
      </c>
    </row>
    <row r="18" spans="1:3">
      <c r="A18" s="4">
        <v>17</v>
      </c>
      <c r="B18" s="4" t="s">
        <v>43</v>
      </c>
      <c r="C18" s="5">
        <f>'MULIA JAYA (Passion Fruit)'!D3</f>
        <v>0</v>
      </c>
    </row>
    <row r="19" spans="1:3">
      <c r="A19" s="4">
        <v>18</v>
      </c>
      <c r="B19" s="4" t="s">
        <v>44</v>
      </c>
      <c r="C19" s="5">
        <f>'Dewata Kencana Distribusi (Vdka'!E3</f>
        <v>0</v>
      </c>
    </row>
    <row r="20" spans="1:3">
      <c r="A20" s="9" t="s">
        <v>5</v>
      </c>
      <c r="B20" s="9"/>
      <c r="C20" s="10">
        <f>SUM(C2:C13)</f>
        <v>0</v>
      </c>
    </row>
  </sheetData>
  <mergeCells count="1">
    <mergeCell ref="A20:B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BUK BUNGA BAR (Groceries)</vt:lpstr>
      <vt:lpstr>WARUNG EKA (Drinks, Etc)</vt:lpstr>
      <vt:lpstr>DEWATA COCONUT (Coconut)</vt:lpstr>
      <vt:lpstr>SEDANA JAYA</vt:lpstr>
      <vt:lpstr>PNB (Alcohol)</vt:lpstr>
      <vt:lpstr>DSP (Alcohol)</vt:lpstr>
      <vt:lpstr>DSP ARYA BIMA (Alcohol)</vt:lpstr>
      <vt:lpstr>SELERA OR STIR UP (Syrup)</vt:lpstr>
      <vt:lpstr>DW BALI (Alcohol)</vt:lpstr>
      <vt:lpstr>DDB (Alcohol)</vt:lpstr>
      <vt:lpstr>NANO DEWATA (Alcohol)</vt:lpstr>
      <vt:lpstr>BALI PERMATA JAYA (Corona Beer)</vt:lpstr>
      <vt:lpstr>BLACK COFFEE ROASTERS (Coffee)</vt:lpstr>
      <vt:lpstr>PT. PRASIDA LANTUR MAJU (Wine)</vt:lpstr>
      <vt:lpstr>PT LOVINA BEACH BREWERY</vt:lpstr>
      <vt:lpstr>CHAI CHITAI (Tea Leaf,etc)</vt:lpstr>
      <vt:lpstr>MULIA JAYA (Passion Fruit)</vt:lpstr>
      <vt:lpstr>Dewata Kencana Distribusi (Vdka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andika putra</cp:lastModifiedBy>
  <dcterms:created xsi:type="dcterms:W3CDTF">2025-01-23T13:46:00Z</dcterms:created>
  <dcterms:modified xsi:type="dcterms:W3CDTF">2026-03-01T03:34:32Z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A66B0CBAC43534A8B02C826987B7523C_43</vt:lpwstr>
  </property>
  <property fmtid="{D5CDD505-2E9C-101B-9397-08002B2CF9AE}" pid="3" name="KSOProductBuildVer">
    <vt:lpwstr>1033-12.1.23155.23155</vt:lpwstr>
  </property>
  <property fmtid="{D5CDD505-2E9C-101B-9397-08002B2CF9AE}" pid="4" name="KSOReadingLayout">
    <vt:bool>true</vt:bool>
  </property>
</Properties>
</file>