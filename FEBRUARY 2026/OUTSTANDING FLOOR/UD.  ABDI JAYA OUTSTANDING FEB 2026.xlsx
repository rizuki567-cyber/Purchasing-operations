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UD Abdi Jaya (Bag, Cup, Box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<sst xmlns="http://schemas.openxmlformats.org/spreadsheetml/2006/main" count="27" uniqueCount="27">
  <si>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DATE</t>
  </si>
  <si>
    <t>INV NO.</t>
  </si>
  <si>
    <t>DESCRIPTIONS</t>
  </si>
  <si>
    <t>AMOUNT</t>
  </si>
  <si>
    <t>BILLS</t>
  </si>
  <si>
    <t>PRICE</t>
  </si>
  <si>
    <t>SUBTOTAL</t>
  </si>
  <si>
    <t>TOTAL</t>
  </si>
  <si>
    <t>0925/JL/UTM/0226</t>
  </si>
  <si>
    <t>THINWALL CUP 60 ML 50 PCS</t>
  </si>
  <si>
    <t>MIRCOFIBER CLOTH</t>
  </si>
  <si>
    <t>0967/JL/UTM/0226</t>
  </si>
  <si>
    <t>LABEL PRICE</t>
  </si>
  <si>
    <t>PIPING BAG</t>
  </si>
  <si>
    <t>1290/JL/UTM/0226</t>
  </si>
  <si>
    <t>FLAME GUN</t>
  </si>
  <si>
    <t>1366/JL/UTM/0226</t>
  </si>
  <si>
    <t>CUP INJECTION 400 ML + LID 25 PCS</t>
  </si>
  <si>
    <t>PAPER CUP BROWN 12 OZ 50 PCS</t>
  </si>
  <si>
    <t>LID CUP 12/16 OZ HOT 50 PCS</t>
  </si>
  <si>
    <t>1419/JL/UTM/0226</t>
  </si>
  <si>
    <t>TISSUE COCKTAIL NAPKIN PLENTY 100SX48</t>
  </si>
  <si>
    <t>1593/JL/UTM/0226</t>
  </si>
  <si>
    <t>KILAT PLASTIC 40</t>
  </si>
  <si>
    <t>BLACK PLASTIC TRASH BAG 50X60 100 PCS</t>
  </si>
  <si>
    <t>PAPER BAG HANDLE M</t>
  </si>
  <si>
    <t>HEMP ROPE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</si>
</sst>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Rp-421]#,##0.00;[Red][$Rp-421]#,##0.00"/>
    <numFmt numFmtId="177" formatCode="[$-409]d\-mmm\-yyyy;@"/>
    <numFmt numFmtId="178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/>
    <xf numFmtId="176" fontId="1" fillId="0" borderId="0" xfId="0" applyNumberFormat="1" applyFont="1"/>
    <xf numFmtId="176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7" fontId="3" fillId="3" borderId="2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177" fontId="1" fillId="3" borderId="2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77" fontId="1" fillId="3" borderId="4" xfId="0" applyNumberFormat="1" applyFont="1" applyFill="1" applyBorder="1" applyAlignment="1">
      <alignment horizontal="center" vertical="center"/>
    </xf>
    <xf numFmtId="0" fontId="1" fillId="3" borderId="4" xfId="0" applyNumberFormat="1" applyFont="1" applyFill="1" applyBorder="1" applyAlignment="1">
      <alignment horizontal="center" vertical="center"/>
    </xf>
    <xf numFmtId="178" fontId="1" fillId="3" borderId="2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vertical="center"/>
    </xf>
    <xf numFmtId="178" fontId="1" fillId="3" borderId="1" xfId="0" applyNumberFormat="1" applyFont="1" applyFill="1" applyBorder="1" applyAlignment="1">
      <alignment vertical="center" wrapText="1"/>
    </xf>
    <xf numFmtId="0" fontId="1" fillId="3" borderId="1" xfId="0" applyNumberFormat="1" applyFont="1" applyFill="1" applyBorder="1" applyAlignment="1">
      <alignment horizontal="center" vertical="center"/>
    </xf>
    <xf numFmtId="177" fontId="1" fillId="3" borderId="3" xfId="0" applyNumberFormat="1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vertical="center"/>
    </xf>
    <xf numFmtId="178" fontId="1" fillId="3" borderId="3" xfId="0" applyNumberFormat="1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vertical="center"/>
    </xf>
    <xf numFmtId="178" fontId="3" fillId="3" borderId="1" xfId="0" applyNumberFormat="1" applyFont="1" applyFill="1" applyBorder="1" applyAlignment="1">
      <alignment vertical="center"/>
    </xf>
    <xf numFmtId="178" fontId="3" fillId="3" borderId="2" xfId="0" applyNumberFormat="1" applyFont="1" applyFill="1" applyBorder="1" applyAlignment="1">
      <alignment vertical="center"/>
    </xf>
    <xf numFmtId="178" fontId="3" fillId="3" borderId="3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vertical="center"/>
    </xf>
    <xf numFmtId="176" fontId="1" fillId="3" borderId="2" xfId="0" applyNumberFormat="1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176" fontId="1" fillId="3" borderId="3" xfId="0" applyNumberFormat="1" applyFont="1" applyFill="1" applyBorder="1" applyAlignment="1">
      <alignment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76" fontId="1" fillId="3" borderId="3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26035</xdr:colOff>
      <xdr:row>3</xdr:row>
      <xdr:rowOff>48260</xdr:rowOff>
    </xdr:from>
    <xdr:to>
      <xdr:col>4</xdr:col>
      <xdr:colOff>4774565</xdr:colOff>
      <xdr:row>4</xdr:row>
      <xdr:rowOff>1617980</xdr:rowOff>
    </xdr:to>
    <xdr:pic>
      <xdr:nvPicPr>
        <xdr:cNvPr id="2" name="ID_A8398339D6F54647816EB0EF118B33E5" descr="PHOTO-2026-02-03-18-23-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8837930" y="2789555"/>
          <a:ext cx="3220720" cy="4748530"/>
        </a:xfrm>
        <a:prstGeom prst="rect">
          <a:avLst/>
        </a:prstGeom>
      </xdr:spPr>
    </xdr:pic>
    <xdr:clientData/>
  </xdr:twoCellAnchor>
  <xdr:twoCellAnchor editAs="oneCell">
    <xdr:from>
      <xdr:col>4</xdr:col>
      <xdr:colOff>49847</xdr:colOff>
      <xdr:row>5</xdr:row>
      <xdr:rowOff>27622</xdr:rowOff>
    </xdr:from>
    <xdr:to>
      <xdr:col>4</xdr:col>
      <xdr:colOff>4743767</xdr:colOff>
      <xdr:row>5</xdr:row>
      <xdr:rowOff>2619057</xdr:rowOff>
    </xdr:to>
    <xdr:pic>
      <xdr:nvPicPr>
        <xdr:cNvPr id="3" name="ID_E8302BE2CFDC4A71BEBC26BFA38F5A58" descr="PHOTO-2026-02-13-18-36-4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5400000">
          <a:off x="9148445" y="5782945"/>
          <a:ext cx="2591435" cy="4693920"/>
        </a:xfrm>
        <a:prstGeom prst="rect">
          <a:avLst/>
        </a:prstGeom>
      </xdr:spPr>
    </xdr:pic>
    <xdr:clientData/>
  </xdr:twoCellAnchor>
  <xdr:twoCellAnchor editAs="oneCell">
    <xdr:from>
      <xdr:col>4</xdr:col>
      <xdr:colOff>35560</xdr:colOff>
      <xdr:row>6</xdr:row>
      <xdr:rowOff>27940</xdr:rowOff>
    </xdr:from>
    <xdr:to>
      <xdr:col>4</xdr:col>
      <xdr:colOff>4757420</xdr:colOff>
      <xdr:row>8</xdr:row>
      <xdr:rowOff>871220</xdr:rowOff>
    </xdr:to>
    <xdr:pic>
      <xdr:nvPicPr>
        <xdr:cNvPr id="4" name="ID_606766B8363C4E56B1FDD9ABD6689511" descr="PHOTO-2026-02-17-14-54-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16200000">
          <a:off x="9133840" y="8437880"/>
          <a:ext cx="2621280" cy="4721860"/>
        </a:xfrm>
        <a:prstGeom prst="rect">
          <a:avLst/>
        </a:prstGeom>
      </xdr:spPr>
    </xdr:pic>
    <xdr:clientData/>
  </xdr:twoCellAnchor>
  <xdr:twoCellAnchor editAs="oneCell">
    <xdr:from>
      <xdr:col>4</xdr:col>
      <xdr:colOff>33020</xdr:colOff>
      <xdr:row>9</xdr:row>
      <xdr:rowOff>27940</xdr:rowOff>
    </xdr:from>
    <xdr:to>
      <xdr:col>4</xdr:col>
      <xdr:colOff>4759960</xdr:colOff>
      <xdr:row>9</xdr:row>
      <xdr:rowOff>2665730</xdr:rowOff>
    </xdr:to>
    <xdr:pic>
      <xdr:nvPicPr>
        <xdr:cNvPr id="5" name="ID_C430EFB4A259471A99F44531A92C7D1B" descr="PHOTO-2026-02-17-14-54-4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16200000">
          <a:off x="9125585" y="11110595"/>
          <a:ext cx="2637790" cy="4726940"/>
        </a:xfrm>
        <a:prstGeom prst="rect">
          <a:avLst/>
        </a:prstGeom>
      </xdr:spPr>
    </xdr:pic>
    <xdr:clientData/>
  </xdr:twoCellAnchor>
  <xdr:twoCellAnchor editAs="oneCell">
    <xdr:from>
      <xdr:col>4</xdr:col>
      <xdr:colOff>30797</xdr:colOff>
      <xdr:row>1</xdr:row>
      <xdr:rowOff>27622</xdr:rowOff>
    </xdr:from>
    <xdr:to>
      <xdr:col>4</xdr:col>
      <xdr:colOff>4761547</xdr:colOff>
      <xdr:row>2</xdr:row>
      <xdr:rowOff>1637982</xdr:rowOff>
    </xdr:to>
    <xdr:pic>
      <xdr:nvPicPr>
        <xdr:cNvPr id="6" name="ID_4CF906F51B7D4C548EBD747200265355" descr="PHOTO-2026-02-07-21-45-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 rot="16200000">
          <a:off x="8813165" y="-503555"/>
          <a:ext cx="3261360" cy="4730115"/>
        </a:xfrm>
        <a:prstGeom prst="rect">
          <a:avLst/>
        </a:prstGeom>
      </xdr:spPr>
    </xdr:pic>
    <xdr:clientData/>
  </xdr:twoCellAnchor>
  <xdr:twoCellAnchor editAs="oneCell">
    <xdr:from>
      <xdr:col>4</xdr:col>
      <xdr:colOff>27305</xdr:colOff>
      <xdr:row>10</xdr:row>
      <xdr:rowOff>72390</xdr:rowOff>
    </xdr:from>
    <xdr:to>
      <xdr:col>4</xdr:col>
      <xdr:colOff>4766945</xdr:colOff>
      <xdr:row>13</xdr:row>
      <xdr:rowOff>641350</xdr:rowOff>
    </xdr:to>
    <xdr:pic>
      <xdr:nvPicPr>
        <xdr:cNvPr id="7" name="ID_2CD0977337A74D4BB3C4A73AD81BD252" descr="PHOTO-2026-02-25-21-16-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075295" y="14880590"/>
          <a:ext cx="4739640" cy="2664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zoomScale="69" zoomScaleNormal="69" topLeftCell="C1" workbookViewId="0">
      <pane ySplit="1" topLeftCell="A6" activePane="bottomLeft" state="frozen"/>
      <selection/>
      <selection pane="bottomLeft" activeCell="D15" sqref="D15"/>
    </sheetView>
  </sheetViews>
  <sheetFormatPr defaultColWidth="9.140625" defaultRowHeight="20.4" outlineLevelCol="7"/>
  <cols>
    <col min="1" max="1" width="19.859375" style="3"/>
    <col min="2" max="2" width="21.6875" style="3" customWidth="1"/>
    <col min="3" max="3" width="43.0390625" style="4" customWidth="1"/>
    <col min="4" max="4" width="14.4296875" style="3" customWidth="1"/>
    <col min="5" max="5" width="58.9609375" style="5" customWidth="1"/>
    <col min="6" max="6" width="19.5234375" style="6" customWidth="1"/>
    <col min="7" max="7" width="20.859375" style="6" customWidth="1"/>
    <col min="8" max="8" width="20.859375" style="7" customWidth="1"/>
    <col min="9" max="9" width="12.859375" style="5"/>
    <col min="10" max="16384" width="9.140625" style="5"/>
  </cols>
  <sheetData>
    <row r="1" s="1" customFormat="1" ht="16" customHeight="1" spans="1:8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35" t="s">
        <v>5</v>
      </c>
      <c r="G1" s="35" t="s">
        <v>6</v>
      </c>
      <c r="H1" s="36" t="s">
        <v>7</v>
      </c>
    </row>
    <row r="2" s="1" customFormat="1" ht="130" customHeight="1" spans="1:8">
      <c r="A2" s="10">
        <v>46055</v>
      </c>
      <c r="B2" s="11" t="s">
        <v>8</v>
      </c>
      <c r="C2" s="12" t="s">
        <v>9</v>
      </c>
      <c r="D2" s="13">
        <v>2</v>
      </c>
      <c r="E2" s="11"/>
      <c r="F2" s="37">
        <v>360000</v>
      </c>
      <c r="G2" s="37">
        <f t="shared" ref="G2:G6" si="0">D2*F2</f>
        <v>720000</v>
      </c>
      <c r="H2" s="38">
        <f>SUM(G2:G3)</f>
        <v>870000</v>
      </c>
    </row>
    <row r="3" s="1" customFormat="1" ht="130" customHeight="1" spans="1:8">
      <c r="A3" s="14"/>
      <c r="B3" s="15"/>
      <c r="C3" s="12" t="s">
        <v>10</v>
      </c>
      <c r="D3" s="13">
        <v>6</v>
      </c>
      <c r="E3" s="15"/>
      <c r="F3" s="37">
        <v>25000</v>
      </c>
      <c r="G3" s="37">
        <f t="shared" si="0"/>
        <v>150000</v>
      </c>
      <c r="H3" s="39"/>
    </row>
    <row r="4" s="1" customFormat="1" ht="130" customHeight="1" spans="1:8">
      <c r="A4" s="16">
        <v>46056</v>
      </c>
      <c r="B4" s="17" t="s">
        <v>11</v>
      </c>
      <c r="C4" s="18" t="s">
        <v>12</v>
      </c>
      <c r="D4" s="19">
        <v>3</v>
      </c>
      <c r="E4" s="40"/>
      <c r="F4" s="41">
        <v>45000</v>
      </c>
      <c r="G4" s="42">
        <f t="shared" si="0"/>
        <v>135000</v>
      </c>
      <c r="H4" s="43">
        <f>SUM(G4:G5)</f>
        <v>515000</v>
      </c>
    </row>
    <row r="5" s="1" customFormat="1" ht="130" customHeight="1" spans="1:8">
      <c r="A5" s="20"/>
      <c r="B5" s="21"/>
      <c r="C5" s="22" t="s">
        <v>13</v>
      </c>
      <c r="D5" s="23">
        <v>10</v>
      </c>
      <c r="E5" s="44"/>
      <c r="F5" s="43">
        <v>38000</v>
      </c>
      <c r="G5" s="43">
        <f t="shared" si="0"/>
        <v>380000</v>
      </c>
      <c r="H5" s="45"/>
    </row>
    <row r="6" s="2" customFormat="1" ht="208.9" customHeight="1" spans="1:8">
      <c r="A6" s="24">
        <v>46066</v>
      </c>
      <c r="B6" s="25" t="s">
        <v>14</v>
      </c>
      <c r="C6" s="26" t="s">
        <v>15</v>
      </c>
      <c r="D6" s="19">
        <v>3</v>
      </c>
      <c r="E6" s="46"/>
      <c r="F6" s="42">
        <v>75000</v>
      </c>
      <c r="G6" s="42">
        <f t="shared" si="0"/>
        <v>225000</v>
      </c>
      <c r="H6" s="42">
        <f>SUM(G6)</f>
        <v>225000</v>
      </c>
    </row>
    <row r="7" s="2" customFormat="1" ht="70" customHeight="1" spans="1:8">
      <c r="A7" s="24">
        <v>46069</v>
      </c>
      <c r="B7" s="27" t="s">
        <v>16</v>
      </c>
      <c r="C7" s="26" t="s">
        <v>17</v>
      </c>
      <c r="D7" s="19">
        <v>40</v>
      </c>
      <c r="E7" s="47"/>
      <c r="F7" s="42">
        <v>35000</v>
      </c>
      <c r="G7" s="42">
        <f t="shared" ref="G7:G14" si="1">F7*D7</f>
        <v>1400000</v>
      </c>
      <c r="H7" s="42">
        <f>SUM(G7:G9)</f>
        <v>5920000</v>
      </c>
    </row>
    <row r="8" s="2" customFormat="1" ht="70" customHeight="1" spans="1:8">
      <c r="A8" s="24"/>
      <c r="B8" s="27"/>
      <c r="C8" s="26" t="s">
        <v>18</v>
      </c>
      <c r="D8" s="19">
        <v>40</v>
      </c>
      <c r="E8" s="47"/>
      <c r="F8" s="42">
        <v>75000</v>
      </c>
      <c r="G8" s="42">
        <f t="shared" si="1"/>
        <v>3000000</v>
      </c>
      <c r="H8" s="42"/>
    </row>
    <row r="9" s="2" customFormat="1" ht="70" customHeight="1" spans="1:8">
      <c r="A9" s="24"/>
      <c r="B9" s="27"/>
      <c r="C9" s="26" t="s">
        <v>19</v>
      </c>
      <c r="D9" s="19">
        <v>40</v>
      </c>
      <c r="E9" s="47"/>
      <c r="F9" s="42">
        <v>38000</v>
      </c>
      <c r="G9" s="42">
        <f t="shared" si="1"/>
        <v>1520000</v>
      </c>
      <c r="H9" s="42"/>
    </row>
    <row r="10" s="1" customFormat="1" ht="211.1" customHeight="1" spans="1:8">
      <c r="A10" s="28">
        <v>46070</v>
      </c>
      <c r="B10" s="29" t="s">
        <v>20</v>
      </c>
      <c r="C10" s="30" t="s">
        <v>21</v>
      </c>
      <c r="D10" s="31">
        <v>2</v>
      </c>
      <c r="E10" s="48"/>
      <c r="F10" s="49">
        <v>295000</v>
      </c>
      <c r="G10" s="49">
        <f t="shared" si="1"/>
        <v>590000</v>
      </c>
      <c r="H10" s="49">
        <f>SUM(G10)</f>
        <v>590000</v>
      </c>
    </row>
    <row r="11" s="1" customFormat="1" ht="55" customHeight="1" spans="1:8">
      <c r="A11" s="20">
        <v>46076</v>
      </c>
      <c r="B11" s="21" t="s">
        <v>22</v>
      </c>
      <c r="C11" s="30" t="s">
        <v>23</v>
      </c>
      <c r="D11" s="19">
        <v>10</v>
      </c>
      <c r="E11" s="44"/>
      <c r="F11" s="42">
        <v>35000</v>
      </c>
      <c r="G11" s="49">
        <f t="shared" si="1"/>
        <v>350000</v>
      </c>
      <c r="H11" s="50">
        <f>SUM(G11:G14)</f>
        <v>1955000</v>
      </c>
    </row>
    <row r="12" s="1" customFormat="1" ht="55" customHeight="1" spans="1:8">
      <c r="A12" s="20"/>
      <c r="B12" s="21"/>
      <c r="C12" s="30" t="s">
        <v>24</v>
      </c>
      <c r="D12" s="19">
        <v>10</v>
      </c>
      <c r="E12" s="44"/>
      <c r="F12" s="42">
        <v>50000</v>
      </c>
      <c r="G12" s="49">
        <f t="shared" si="1"/>
        <v>500000</v>
      </c>
      <c r="H12" s="50"/>
    </row>
    <row r="13" s="1" customFormat="1" ht="55" customHeight="1" spans="1:8">
      <c r="A13" s="20"/>
      <c r="B13" s="21"/>
      <c r="C13" s="30" t="s">
        <v>25</v>
      </c>
      <c r="D13" s="19">
        <v>500</v>
      </c>
      <c r="E13" s="44"/>
      <c r="F13" s="42">
        <v>2000</v>
      </c>
      <c r="G13" s="49">
        <f t="shared" si="1"/>
        <v>1000000</v>
      </c>
      <c r="H13" s="50"/>
    </row>
    <row r="14" s="1" customFormat="1" ht="55" customHeight="1" spans="1:8">
      <c r="A14" s="28"/>
      <c r="B14" s="32"/>
      <c r="C14" s="30" t="s">
        <v>26</v>
      </c>
      <c r="D14" s="19">
        <v>3</v>
      </c>
      <c r="E14" s="51"/>
      <c r="F14" s="42">
        <v>35000</v>
      </c>
      <c r="G14" s="49">
        <f t="shared" si="1"/>
        <v>105000</v>
      </c>
      <c r="H14" s="52"/>
    </row>
    <row r="15" s="1" customFormat="1" spans="1:8">
      <c r="A15" s="28"/>
      <c r="B15" s="29"/>
      <c r="C15" s="30"/>
      <c r="D15" s="19"/>
      <c r="E15" s="48"/>
      <c r="F15" s="42"/>
      <c r="G15" s="42"/>
      <c r="H15" s="49"/>
    </row>
    <row r="16" s="1" customFormat="1" spans="1:8">
      <c r="A16" s="28"/>
      <c r="B16" s="29"/>
      <c r="C16" s="30"/>
      <c r="D16" s="19"/>
      <c r="E16" s="48"/>
      <c r="F16" s="42"/>
      <c r="G16" s="42"/>
      <c r="H16" s="49"/>
    </row>
    <row r="17" s="1" customFormat="1" spans="1:8">
      <c r="A17" s="28"/>
      <c r="B17" s="29"/>
      <c r="C17" s="30"/>
      <c r="D17" s="19"/>
      <c r="E17" s="48"/>
      <c r="F17" s="42"/>
      <c r="G17" s="42"/>
      <c r="H17" s="49"/>
    </row>
    <row r="18" s="1" customFormat="1" spans="1:8">
      <c r="A18" s="28"/>
      <c r="B18" s="32"/>
      <c r="C18" s="30"/>
      <c r="D18" s="19"/>
      <c r="E18" s="51"/>
      <c r="F18" s="41"/>
      <c r="G18" s="42"/>
      <c r="H18" s="49"/>
    </row>
    <row r="19" s="1" customFormat="1" spans="1:8">
      <c r="A19" s="33"/>
      <c r="B19" s="33"/>
      <c r="C19" s="34"/>
      <c r="D19" s="33"/>
      <c r="E19" s="33"/>
      <c r="F19" s="53"/>
      <c r="G19" s="54"/>
      <c r="H19" s="54">
        <f>SUM(H2:H18)</f>
        <v>10075000</v>
      </c>
    </row>
  </sheetData>
  <mergeCells count="17">
    <mergeCell ref="A19:E19"/>
    <mergeCell ref="A2:A3"/>
    <mergeCell ref="A4:A5"/>
    <mergeCell ref="A7:A9"/>
    <mergeCell ref="A11:A14"/>
    <mergeCell ref="B2:B3"/>
    <mergeCell ref="B4:B5"/>
    <mergeCell ref="B7:B9"/>
    <mergeCell ref="B11:B14"/>
    <mergeCell ref="E2:E3"/>
    <mergeCell ref="E4:E5"/>
    <mergeCell ref="E7:E9"/>
    <mergeCell ref="E11:E14"/>
    <mergeCell ref="H2:H3"/>
    <mergeCell ref="H4:H5"/>
    <mergeCell ref="H7:H9"/>
    <mergeCell ref="H11:H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UD Abdi Jaya (Bag, Cup, Box)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2026-03-01T03:42:29Z</dcterms:created>
  <dcterms:modified xsi:type="dcterms:W3CDTF">2026-03-01T03:43:00Z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605850D5252B70D72545A3697A2538D5_41</vt:lpwstr>
  </property>
  <property fmtid="{D5CDD505-2E9C-101B-9397-08002B2CF9AE}" pid="3" name="KSOProductBuildVer">
    <vt:lpwstr>1033-12.1.23155.23155</vt:lpwstr>
  </property>
</Properties>
</file>