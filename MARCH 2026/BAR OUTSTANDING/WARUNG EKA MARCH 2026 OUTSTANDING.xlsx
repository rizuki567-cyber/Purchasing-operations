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13_ncr:1_{D4E80475-B375-DF49-94AD-A774ECC8C38E}" xr6:coauthVersionLast="47" xr6:coauthVersionMax="47" xr10:uidLastSave="{00000000-0000-0000-0000-000000000000}"/>
  <bookViews>
    <workbookView xWindow="5080" yWindow="4700" windowWidth="26040" windowHeight="14680" xr2:uid="{34536F75-24DD-7747-9FD3-45293E67E0FB}"/>
  </bookViews>
  <sheets>
    <sheet name="WARUNG EKA (Drinks, Etc)" sheetId="1" r:id="rId1"/>
  </sheets>
  <definedNames>
    <definedName name="_xlnm._FilterDatabase" localSheetId="0" hidden="1">'WARUNG EKA (Drinks, Etc)'!$A$1:$G$94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  <c r="F105" i="1"/>
  <c r="G105" i="1" s="1"/>
  <c r="F104" i="1"/>
  <c r="F103" i="1"/>
  <c r="F102" i="1"/>
  <c r="F101" i="1"/>
  <c r="F100" i="1"/>
  <c r="F99" i="1"/>
  <c r="G98" i="1" s="1"/>
  <c r="F98" i="1"/>
  <c r="F97" i="1"/>
  <c r="F96" i="1"/>
  <c r="G96" i="1" s="1"/>
  <c r="F95" i="1"/>
  <c r="F94" i="1"/>
  <c r="F93" i="1"/>
  <c r="G93" i="1" s="1"/>
  <c r="F92" i="1"/>
  <c r="F91" i="1"/>
  <c r="F90" i="1"/>
  <c r="G90" i="1" s="1"/>
  <c r="F89" i="1"/>
  <c r="F88" i="1"/>
  <c r="F87" i="1"/>
  <c r="F86" i="1"/>
  <c r="F85" i="1"/>
  <c r="G85" i="1" s="1"/>
  <c r="F84" i="1"/>
  <c r="G83" i="1" s="1"/>
  <c r="F83" i="1"/>
  <c r="F82" i="1"/>
  <c r="F81" i="1"/>
  <c r="G81" i="1" s="1"/>
  <c r="F80" i="1"/>
  <c r="F79" i="1"/>
  <c r="F78" i="1"/>
  <c r="F77" i="1"/>
  <c r="F76" i="1"/>
  <c r="F75" i="1"/>
  <c r="F74" i="1"/>
  <c r="F73" i="1"/>
  <c r="F72" i="1"/>
  <c r="F71" i="1"/>
  <c r="F70" i="1"/>
  <c r="G70" i="1" s="1"/>
  <c r="F69" i="1"/>
  <c r="F68" i="1"/>
  <c r="F67" i="1"/>
  <c r="F66" i="1"/>
  <c r="F65" i="1"/>
  <c r="F64" i="1"/>
  <c r="G64" i="1" s="1"/>
  <c r="F63" i="1"/>
  <c r="F62" i="1"/>
  <c r="G62" i="1" s="1"/>
  <c r="F61" i="1"/>
  <c r="F60" i="1"/>
  <c r="F59" i="1"/>
  <c r="F58" i="1"/>
  <c r="F57" i="1"/>
  <c r="G57" i="1" s="1"/>
  <c r="F56" i="1"/>
  <c r="F55" i="1"/>
  <c r="F54" i="1"/>
  <c r="G54" i="1" s="1"/>
  <c r="F53" i="1"/>
  <c r="F52" i="1"/>
  <c r="F51" i="1"/>
  <c r="F50" i="1"/>
  <c r="F49" i="1"/>
  <c r="F48" i="1"/>
  <c r="G48" i="1" s="1"/>
  <c r="F47" i="1"/>
  <c r="F46" i="1"/>
  <c r="F45" i="1"/>
  <c r="F44" i="1"/>
  <c r="F43" i="1"/>
  <c r="G42" i="1"/>
  <c r="F42" i="1"/>
  <c r="F41" i="1"/>
  <c r="F40" i="1"/>
  <c r="F39" i="1"/>
  <c r="G39" i="1" s="1"/>
  <c r="F38" i="1"/>
  <c r="F37" i="1"/>
  <c r="F36" i="1"/>
  <c r="F35" i="1"/>
  <c r="G34" i="1"/>
  <c r="F34" i="1"/>
  <c r="F33" i="1"/>
  <c r="F32" i="1"/>
  <c r="F31" i="1"/>
  <c r="G31" i="1" s="1"/>
  <c r="F30" i="1"/>
  <c r="F29" i="1"/>
  <c r="F28" i="1"/>
  <c r="G28" i="1" s="1"/>
  <c r="F27" i="1"/>
  <c r="F26" i="1"/>
  <c r="F25" i="1"/>
  <c r="F24" i="1"/>
  <c r="G24" i="1" s="1"/>
  <c r="F23" i="1"/>
  <c r="G23" i="1" s="1"/>
  <c r="F22" i="1"/>
  <c r="F21" i="1"/>
  <c r="F20" i="1"/>
  <c r="F19" i="1"/>
  <c r="F18" i="1"/>
  <c r="F17" i="1"/>
  <c r="G17" i="1" s="1"/>
  <c r="F16" i="1"/>
  <c r="F15" i="1"/>
  <c r="F14" i="1"/>
  <c r="G14" i="1" s="1"/>
  <c r="F13" i="1"/>
  <c r="F12" i="1"/>
  <c r="F11" i="1"/>
  <c r="F10" i="1"/>
  <c r="F9" i="1"/>
  <c r="F8" i="1"/>
  <c r="G8" i="1" s="1"/>
  <c r="F7" i="1"/>
  <c r="F6" i="1"/>
  <c r="F5" i="1"/>
  <c r="G5" i="1" s="1"/>
  <c r="F4" i="1"/>
  <c r="F3" i="1"/>
  <c r="G2" i="1" s="1"/>
  <c r="F2" i="1"/>
  <c r="F126" i="1" l="1"/>
  <c r="H1" i="1"/>
</calcChain>
</file>

<file path=xl/sharedStrings.xml><?xml version="1.0" encoding="utf-8"?>
<sst xmlns="http://schemas.openxmlformats.org/spreadsheetml/2006/main" count="113" uniqueCount="22">
  <si>
    <t>INV NO</t>
  </si>
  <si>
    <t>DATE</t>
  </si>
  <si>
    <t>ITEM</t>
  </si>
  <si>
    <t>QYT</t>
  </si>
  <si>
    <t>PRICE</t>
  </si>
  <si>
    <t>SUBTOTAL</t>
  </si>
  <si>
    <t>TOTALPRICE</t>
  </si>
  <si>
    <t>CRYSTAL ICE 5 KG</t>
  </si>
  <si>
    <t>AQUA GALLOON 19 LTR</t>
  </si>
  <si>
    <t>CLEO GALLOON 19 LTR</t>
  </si>
  <si>
    <t>AQUA REFLECTIONS STILL 380 ML</t>
  </si>
  <si>
    <t>AQUA REFLECTIONS SPARKLING 750 ML</t>
  </si>
  <si>
    <t>POLARIS SODA WATER CAN 330 ML</t>
  </si>
  <si>
    <t>AQUA REFLECTIONS STILL 750 ML</t>
  </si>
  <si>
    <t>BINTANG PINT 330 ML</t>
  </si>
  <si>
    <t>EMPTY BOTTLE CHARGE</t>
  </si>
  <si>
    <t>COCA-COLA CAN 330 ML</t>
  </si>
  <si>
    <t>COKE ZERO CAN 330 ML</t>
  </si>
  <si>
    <t>SPRITE CAN 330 ML</t>
  </si>
  <si>
    <t>AQUA REFLECTIONS SPARKLING 380 ML</t>
  </si>
  <si>
    <t>FRESH MILK (GREENFIELD)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</si>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</sst>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[$Rp-421]#,##0;[Red][$Rp-421]#,##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>
      <alignment vertical="center"/>
    </xf>
    <xf numFmtId="165" fontId="4" fillId="0" borderId="2" xfId="0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>
      <alignment vertical="center"/>
    </xf>
    <xf numFmtId="164" fontId="0" fillId="3" borderId="1" xfId="0" applyNumberFormat="1" applyFill="1" applyBorder="1" applyAlignment="1">
      <alignment horizontal="center" vertical="center"/>
    </xf>
    <xf numFmtId="165" fontId="4" fillId="0" borderId="1" xfId="0" applyNumberFormat="1" applyFont="1" applyBorder="1">
      <alignment vertical="center"/>
    </xf>
    <xf numFmtId="165" fontId="4" fillId="4" borderId="3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0" fillId="0" borderId="0" xfId="0" applyNumberForma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" fillId="0" borderId="0" xfId="0" applyNumberFormat="1" applyFont="1">
      <alignment vertical="center"/>
    </xf>
    <xf numFmtId="165" fontId="0" fillId="0" borderId="0" xfId="0" applyNumberFormat="1" applyAlignment="1">
      <alignment horizontal="center" vertical="center"/>
    </xf>
    <xf numFmtId="165" fontId="4" fillId="3" borderId="1" xfId="0" applyNumberFormat="1" applyFont="1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4" fillId="2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286B-6018-6741-9672-DCFED84A8B80}">
  <dimension ref="A1:N161"/>
  <sheetViews>
    <sheetView tabSelected="1" zoomScale="107" zoomScaleNormal="107" workbookViewId="0">
      <pane xSplit="3" ySplit="1" topLeftCell="D12" activePane="bottomRight" state="frozen"/>
      <selection pane="topRight"/>
      <selection pane="bottomLeft"/>
      <selection pane="bottomRight" activeCell="I18" sqref="I18"/>
    </sheetView>
  </sheetViews>
  <sheetFormatPr baseColWidth="10" defaultColWidth="9.1640625" defaultRowHeight="15" x14ac:dyDescent="0.2"/>
  <cols>
    <col min="1" max="1" width="8.1640625" style="27" customWidth="1"/>
    <col min="2" max="2" width="12.6640625" style="35" customWidth="1"/>
    <col min="3" max="3" width="33.5" style="36" customWidth="1"/>
    <col min="4" max="4" width="6.83203125" style="27" customWidth="1"/>
    <col min="5" max="5" width="13.1640625" style="28" customWidth="1"/>
    <col min="6" max="6" width="11.33203125" customWidth="1"/>
    <col min="7" max="7" width="13.1640625" style="27" customWidth="1"/>
    <col min="8" max="8" width="13.5" customWidth="1"/>
    <col min="9" max="9" width="29.33203125" customWidth="1"/>
    <col min="11" max="11" width="18" customWidth="1"/>
  </cols>
  <sheetData>
    <row r="1" spans="1:8" ht="16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7">
        <f>SUM(G:G)</f>
        <v>9985000</v>
      </c>
    </row>
    <row r="2" spans="1:8" x14ac:dyDescent="0.2">
      <c r="A2" s="5">
        <v>80280</v>
      </c>
      <c r="B2" s="6">
        <v>46082</v>
      </c>
      <c r="C2" s="7" t="s">
        <v>7</v>
      </c>
      <c r="D2" s="8">
        <v>4</v>
      </c>
      <c r="E2" s="9">
        <v>8000</v>
      </c>
      <c r="F2" s="9">
        <f t="shared" ref="F2:F65" si="0">E2*D2</f>
        <v>32000</v>
      </c>
      <c r="G2" s="10">
        <f>SUM(F2:F4)</f>
        <v>76000</v>
      </c>
    </row>
    <row r="3" spans="1:8" x14ac:dyDescent="0.2">
      <c r="A3" s="11"/>
      <c r="B3" s="12"/>
      <c r="C3" s="7" t="s">
        <v>8</v>
      </c>
      <c r="D3" s="8">
        <v>1</v>
      </c>
      <c r="E3" s="9">
        <v>21000</v>
      </c>
      <c r="F3" s="9">
        <f t="shared" si="0"/>
        <v>21000</v>
      </c>
      <c r="G3" s="13"/>
    </row>
    <row r="4" spans="1:8" x14ac:dyDescent="0.2">
      <c r="A4" s="14"/>
      <c r="B4" s="15"/>
      <c r="C4" s="7" t="s">
        <v>9</v>
      </c>
      <c r="D4" s="8">
        <v>1</v>
      </c>
      <c r="E4" s="9">
        <v>23000</v>
      </c>
      <c r="F4" s="9">
        <f t="shared" si="0"/>
        <v>23000</v>
      </c>
      <c r="G4" s="16"/>
    </row>
    <row r="5" spans="1:8" x14ac:dyDescent="0.2">
      <c r="A5" s="5">
        <v>80349</v>
      </c>
      <c r="B5" s="6">
        <v>46083</v>
      </c>
      <c r="C5" s="7" t="s">
        <v>7</v>
      </c>
      <c r="D5" s="8">
        <v>6</v>
      </c>
      <c r="E5" s="9">
        <v>8000</v>
      </c>
      <c r="F5" s="9">
        <f t="shared" si="0"/>
        <v>48000</v>
      </c>
      <c r="G5" s="10">
        <f>SUM(F5:F7)</f>
        <v>92000</v>
      </c>
    </row>
    <row r="6" spans="1:8" x14ac:dyDescent="0.2">
      <c r="A6" s="11"/>
      <c r="B6" s="12"/>
      <c r="C6" s="7" t="s">
        <v>8</v>
      </c>
      <c r="D6" s="8">
        <v>1</v>
      </c>
      <c r="E6" s="9">
        <v>21000</v>
      </c>
      <c r="F6" s="9">
        <f t="shared" si="0"/>
        <v>21000</v>
      </c>
      <c r="G6" s="13"/>
    </row>
    <row r="7" spans="1:8" x14ac:dyDescent="0.2">
      <c r="A7" s="14"/>
      <c r="B7" s="15"/>
      <c r="C7" s="7" t="s">
        <v>9</v>
      </c>
      <c r="D7" s="8">
        <v>1</v>
      </c>
      <c r="E7" s="9">
        <v>23000</v>
      </c>
      <c r="F7" s="9">
        <f t="shared" si="0"/>
        <v>23000</v>
      </c>
      <c r="G7" s="16"/>
    </row>
    <row r="8" spans="1:8" x14ac:dyDescent="0.2">
      <c r="A8" s="5">
        <v>80420</v>
      </c>
      <c r="B8" s="6">
        <v>46084</v>
      </c>
      <c r="C8" s="7" t="s">
        <v>10</v>
      </c>
      <c r="D8" s="8">
        <v>1</v>
      </c>
      <c r="E8" s="9">
        <v>125000</v>
      </c>
      <c r="F8" s="9">
        <f t="shared" si="0"/>
        <v>125000</v>
      </c>
      <c r="G8" s="10">
        <f>SUM(F8:F13)</f>
        <v>446000</v>
      </c>
    </row>
    <row r="9" spans="1:8" x14ac:dyDescent="0.2">
      <c r="A9" s="11"/>
      <c r="B9" s="12"/>
      <c r="C9" s="7" t="s">
        <v>11</v>
      </c>
      <c r="D9" s="8">
        <v>1</v>
      </c>
      <c r="E9" s="9">
        <v>120000</v>
      </c>
      <c r="F9" s="9">
        <f t="shared" si="0"/>
        <v>120000</v>
      </c>
      <c r="G9" s="13"/>
    </row>
    <row r="10" spans="1:8" x14ac:dyDescent="0.2">
      <c r="A10" s="11"/>
      <c r="B10" s="12"/>
      <c r="C10" s="7" t="s">
        <v>12</v>
      </c>
      <c r="D10" s="8">
        <v>1</v>
      </c>
      <c r="E10" s="9">
        <v>125000</v>
      </c>
      <c r="F10" s="9">
        <f t="shared" si="0"/>
        <v>125000</v>
      </c>
      <c r="G10" s="13"/>
    </row>
    <row r="11" spans="1:8" x14ac:dyDescent="0.2">
      <c r="A11" s="11"/>
      <c r="B11" s="12"/>
      <c r="C11" s="7" t="s">
        <v>7</v>
      </c>
      <c r="D11" s="8">
        <v>4</v>
      </c>
      <c r="E11" s="9">
        <v>8000</v>
      </c>
      <c r="F11" s="9">
        <f t="shared" si="0"/>
        <v>32000</v>
      </c>
      <c r="G11" s="13"/>
    </row>
    <row r="12" spans="1:8" x14ac:dyDescent="0.2">
      <c r="A12" s="11"/>
      <c r="B12" s="12"/>
      <c r="C12" s="17" t="s">
        <v>9</v>
      </c>
      <c r="D12" s="8">
        <v>1</v>
      </c>
      <c r="E12" s="9">
        <v>23000</v>
      </c>
      <c r="F12" s="9">
        <f t="shared" si="0"/>
        <v>23000</v>
      </c>
      <c r="G12" s="13"/>
    </row>
    <row r="13" spans="1:8" x14ac:dyDescent="0.2">
      <c r="A13" s="14"/>
      <c r="B13" s="15"/>
      <c r="C13" s="7" t="s">
        <v>8</v>
      </c>
      <c r="D13" s="8">
        <v>1</v>
      </c>
      <c r="E13" s="9">
        <v>21000</v>
      </c>
      <c r="F13" s="9">
        <f t="shared" si="0"/>
        <v>21000</v>
      </c>
      <c r="G13" s="16"/>
    </row>
    <row r="14" spans="1:8" x14ac:dyDescent="0.2">
      <c r="A14" s="5">
        <v>80483</v>
      </c>
      <c r="B14" s="6">
        <v>46085</v>
      </c>
      <c r="C14" s="7" t="s">
        <v>7</v>
      </c>
      <c r="D14" s="8">
        <v>4</v>
      </c>
      <c r="E14" s="9">
        <v>8000</v>
      </c>
      <c r="F14" s="9">
        <f t="shared" si="0"/>
        <v>32000</v>
      </c>
      <c r="G14" s="10">
        <f>SUM(F14:F16)</f>
        <v>99000</v>
      </c>
    </row>
    <row r="15" spans="1:8" x14ac:dyDescent="0.2">
      <c r="A15" s="11"/>
      <c r="B15" s="12"/>
      <c r="C15" s="17" t="s">
        <v>8</v>
      </c>
      <c r="D15" s="8">
        <v>1</v>
      </c>
      <c r="E15" s="9">
        <v>21000</v>
      </c>
      <c r="F15" s="9">
        <f t="shared" si="0"/>
        <v>21000</v>
      </c>
      <c r="G15" s="13"/>
    </row>
    <row r="16" spans="1:8" x14ac:dyDescent="0.2">
      <c r="A16" s="14"/>
      <c r="B16" s="15"/>
      <c r="C16" s="17" t="s">
        <v>9</v>
      </c>
      <c r="D16" s="8">
        <v>2</v>
      </c>
      <c r="E16" s="9">
        <v>23000</v>
      </c>
      <c r="F16" s="9">
        <f t="shared" si="0"/>
        <v>46000</v>
      </c>
      <c r="G16" s="16"/>
    </row>
    <row r="17" spans="1:7" x14ac:dyDescent="0.2">
      <c r="A17" s="5">
        <v>80563</v>
      </c>
      <c r="B17" s="6">
        <v>46086</v>
      </c>
      <c r="C17" s="17" t="s">
        <v>13</v>
      </c>
      <c r="D17" s="8">
        <v>2</v>
      </c>
      <c r="E17" s="9">
        <v>115000</v>
      </c>
      <c r="F17" s="9">
        <f t="shared" si="0"/>
        <v>230000</v>
      </c>
      <c r="G17" s="10">
        <f>SUM(F17:F22)</f>
        <v>885000</v>
      </c>
    </row>
    <row r="18" spans="1:7" x14ac:dyDescent="0.2">
      <c r="A18" s="11"/>
      <c r="B18" s="12"/>
      <c r="C18" s="17" t="s">
        <v>9</v>
      </c>
      <c r="D18" s="8">
        <v>1</v>
      </c>
      <c r="E18" s="9">
        <v>23000</v>
      </c>
      <c r="F18" s="9">
        <f t="shared" si="0"/>
        <v>23000</v>
      </c>
      <c r="G18" s="13"/>
    </row>
    <row r="19" spans="1:7" x14ac:dyDescent="0.2">
      <c r="A19" s="11"/>
      <c r="B19" s="12"/>
      <c r="C19" s="7" t="s">
        <v>8</v>
      </c>
      <c r="D19" s="8">
        <v>1</v>
      </c>
      <c r="E19" s="9">
        <v>21000</v>
      </c>
      <c r="F19" s="9">
        <f t="shared" si="0"/>
        <v>21000</v>
      </c>
      <c r="G19" s="13"/>
    </row>
    <row r="20" spans="1:7" x14ac:dyDescent="0.2">
      <c r="A20" s="11"/>
      <c r="B20" s="12"/>
      <c r="C20" s="7" t="s">
        <v>12</v>
      </c>
      <c r="D20" s="8">
        <v>1</v>
      </c>
      <c r="E20" s="9">
        <v>125000</v>
      </c>
      <c r="F20" s="9">
        <f t="shared" si="0"/>
        <v>125000</v>
      </c>
      <c r="G20" s="13"/>
    </row>
    <row r="21" spans="1:7" x14ac:dyDescent="0.2">
      <c r="A21" s="11"/>
      <c r="B21" s="12"/>
      <c r="C21" s="7" t="s">
        <v>14</v>
      </c>
      <c r="D21" s="8">
        <v>1</v>
      </c>
      <c r="E21" s="9">
        <v>480000</v>
      </c>
      <c r="F21" s="9">
        <f t="shared" si="0"/>
        <v>480000</v>
      </c>
      <c r="G21" s="13"/>
    </row>
    <row r="22" spans="1:7" x14ac:dyDescent="0.2">
      <c r="A22" s="14"/>
      <c r="B22" s="15"/>
      <c r="C22" s="7" t="s">
        <v>15</v>
      </c>
      <c r="D22" s="8">
        <v>4</v>
      </c>
      <c r="E22" s="9">
        <v>1500</v>
      </c>
      <c r="F22" s="9">
        <f t="shared" si="0"/>
        <v>6000</v>
      </c>
      <c r="G22" s="16"/>
    </row>
    <row r="23" spans="1:7" x14ac:dyDescent="0.2">
      <c r="A23" s="8">
        <v>80583</v>
      </c>
      <c r="B23" s="18">
        <v>46086</v>
      </c>
      <c r="C23" s="7" t="s">
        <v>7</v>
      </c>
      <c r="D23" s="8">
        <v>5</v>
      </c>
      <c r="E23" s="9">
        <v>8000</v>
      </c>
      <c r="F23" s="9">
        <f t="shared" si="0"/>
        <v>40000</v>
      </c>
      <c r="G23" s="19">
        <f>SUM(F23)</f>
        <v>40000</v>
      </c>
    </row>
    <row r="24" spans="1:7" x14ac:dyDescent="0.2">
      <c r="A24" s="5">
        <v>80626</v>
      </c>
      <c r="B24" s="6">
        <v>46087</v>
      </c>
      <c r="C24" s="17" t="s">
        <v>8</v>
      </c>
      <c r="D24" s="8">
        <v>2</v>
      </c>
      <c r="E24" s="9">
        <v>21000</v>
      </c>
      <c r="F24" s="9">
        <f t="shared" si="0"/>
        <v>42000</v>
      </c>
      <c r="G24" s="10">
        <f>SUM(F24:F27)</f>
        <v>240000</v>
      </c>
    </row>
    <row r="25" spans="1:7" x14ac:dyDescent="0.2">
      <c r="A25" s="11"/>
      <c r="B25" s="12"/>
      <c r="C25" s="7" t="s">
        <v>9</v>
      </c>
      <c r="D25" s="8">
        <v>1</v>
      </c>
      <c r="E25" s="9">
        <v>23000</v>
      </c>
      <c r="F25" s="9">
        <f t="shared" si="0"/>
        <v>23000</v>
      </c>
      <c r="G25" s="13"/>
    </row>
    <row r="26" spans="1:7" x14ac:dyDescent="0.2">
      <c r="A26" s="11"/>
      <c r="B26" s="12"/>
      <c r="C26" s="7" t="s">
        <v>7</v>
      </c>
      <c r="D26" s="8">
        <v>5</v>
      </c>
      <c r="E26" s="9">
        <v>8000</v>
      </c>
      <c r="F26" s="9">
        <f t="shared" si="0"/>
        <v>40000</v>
      </c>
      <c r="G26" s="13"/>
    </row>
    <row r="27" spans="1:7" x14ac:dyDescent="0.2">
      <c r="A27" s="14"/>
      <c r="B27" s="15"/>
      <c r="C27" s="17" t="s">
        <v>16</v>
      </c>
      <c r="D27" s="8">
        <v>1</v>
      </c>
      <c r="E27" s="9">
        <v>135000</v>
      </c>
      <c r="F27" s="9">
        <f t="shared" si="0"/>
        <v>135000</v>
      </c>
      <c r="G27" s="16"/>
    </row>
    <row r="28" spans="1:7" x14ac:dyDescent="0.2">
      <c r="A28" s="5">
        <v>80705</v>
      </c>
      <c r="B28" s="6">
        <v>46088</v>
      </c>
      <c r="C28" s="7" t="s">
        <v>9</v>
      </c>
      <c r="D28" s="8">
        <v>1</v>
      </c>
      <c r="E28" s="9">
        <v>23000</v>
      </c>
      <c r="F28" s="9">
        <f t="shared" si="0"/>
        <v>23000</v>
      </c>
      <c r="G28" s="10">
        <f>SUM(F28:F30)</f>
        <v>76000</v>
      </c>
    </row>
    <row r="29" spans="1:7" x14ac:dyDescent="0.2">
      <c r="A29" s="11"/>
      <c r="B29" s="12"/>
      <c r="C29" s="7" t="s">
        <v>8</v>
      </c>
      <c r="D29" s="8">
        <v>1</v>
      </c>
      <c r="E29" s="9">
        <v>21000</v>
      </c>
      <c r="F29" s="9">
        <f t="shared" si="0"/>
        <v>21000</v>
      </c>
      <c r="G29" s="13"/>
    </row>
    <row r="30" spans="1:7" x14ac:dyDescent="0.2">
      <c r="A30" s="14"/>
      <c r="B30" s="15"/>
      <c r="C30" s="7" t="s">
        <v>7</v>
      </c>
      <c r="D30" s="8">
        <v>4</v>
      </c>
      <c r="E30" s="9">
        <v>8000</v>
      </c>
      <c r="F30" s="9">
        <f t="shared" si="0"/>
        <v>32000</v>
      </c>
      <c r="G30" s="16"/>
    </row>
    <row r="31" spans="1:7" x14ac:dyDescent="0.2">
      <c r="A31" s="5">
        <v>80780</v>
      </c>
      <c r="B31" s="6">
        <v>46089</v>
      </c>
      <c r="C31" s="7" t="s">
        <v>13</v>
      </c>
      <c r="D31" s="8">
        <v>3</v>
      </c>
      <c r="E31" s="9">
        <v>115000</v>
      </c>
      <c r="F31" s="9">
        <f t="shared" si="0"/>
        <v>345000</v>
      </c>
      <c r="G31" s="10">
        <f>SUM(F31:F33)</f>
        <v>390000</v>
      </c>
    </row>
    <row r="32" spans="1:7" x14ac:dyDescent="0.2">
      <c r="A32" s="11"/>
      <c r="B32" s="12"/>
      <c r="C32" s="7" t="s">
        <v>7</v>
      </c>
      <c r="D32" s="8">
        <v>3</v>
      </c>
      <c r="E32" s="9">
        <v>8000</v>
      </c>
      <c r="F32" s="9">
        <f t="shared" si="0"/>
        <v>24000</v>
      </c>
      <c r="G32" s="20"/>
    </row>
    <row r="33" spans="1:7" x14ac:dyDescent="0.2">
      <c r="A33" s="14"/>
      <c r="B33" s="15"/>
      <c r="C33" s="7" t="s">
        <v>8</v>
      </c>
      <c r="D33" s="8">
        <v>1</v>
      </c>
      <c r="E33" s="9">
        <v>21000</v>
      </c>
      <c r="F33" s="9">
        <f t="shared" si="0"/>
        <v>21000</v>
      </c>
      <c r="G33" s="21"/>
    </row>
    <row r="34" spans="1:7" x14ac:dyDescent="0.2">
      <c r="A34" s="5">
        <v>80860</v>
      </c>
      <c r="B34" s="6">
        <v>46090</v>
      </c>
      <c r="C34" s="7" t="s">
        <v>7</v>
      </c>
      <c r="D34" s="8">
        <v>5</v>
      </c>
      <c r="E34" s="9">
        <v>8000</v>
      </c>
      <c r="F34" s="9">
        <f t="shared" si="0"/>
        <v>40000</v>
      </c>
      <c r="G34" s="22">
        <f>SUM(F34:F38)</f>
        <v>324000</v>
      </c>
    </row>
    <row r="35" spans="1:7" x14ac:dyDescent="0.2">
      <c r="A35" s="11"/>
      <c r="B35" s="12"/>
      <c r="C35" s="7" t="s">
        <v>12</v>
      </c>
      <c r="D35" s="8">
        <v>1</v>
      </c>
      <c r="E35" s="9">
        <v>125000</v>
      </c>
      <c r="F35" s="9">
        <f t="shared" si="0"/>
        <v>125000</v>
      </c>
      <c r="G35" s="23"/>
    </row>
    <row r="36" spans="1:7" x14ac:dyDescent="0.2">
      <c r="A36" s="11"/>
      <c r="B36" s="12"/>
      <c r="C36" s="7" t="s">
        <v>13</v>
      </c>
      <c r="D36" s="8">
        <v>1</v>
      </c>
      <c r="E36" s="9">
        <v>115000</v>
      </c>
      <c r="F36" s="9">
        <f t="shared" si="0"/>
        <v>115000</v>
      </c>
      <c r="G36" s="23"/>
    </row>
    <row r="37" spans="1:7" x14ac:dyDescent="0.2">
      <c r="A37" s="11"/>
      <c r="B37" s="12"/>
      <c r="C37" s="7" t="s">
        <v>8</v>
      </c>
      <c r="D37" s="8">
        <v>1</v>
      </c>
      <c r="E37" s="9">
        <v>21000</v>
      </c>
      <c r="F37" s="9">
        <f t="shared" si="0"/>
        <v>21000</v>
      </c>
      <c r="G37" s="23"/>
    </row>
    <row r="38" spans="1:7" x14ac:dyDescent="0.2">
      <c r="A38" s="14"/>
      <c r="B38" s="15"/>
      <c r="C38" s="7" t="s">
        <v>9</v>
      </c>
      <c r="D38" s="8">
        <v>1</v>
      </c>
      <c r="E38" s="9">
        <v>23000</v>
      </c>
      <c r="F38" s="9">
        <f t="shared" si="0"/>
        <v>23000</v>
      </c>
      <c r="G38" s="24"/>
    </row>
    <row r="39" spans="1:7" x14ac:dyDescent="0.2">
      <c r="A39" s="5">
        <v>80934</v>
      </c>
      <c r="B39" s="6">
        <v>46091</v>
      </c>
      <c r="C39" s="7" t="s">
        <v>7</v>
      </c>
      <c r="D39" s="8">
        <v>5</v>
      </c>
      <c r="E39" s="9">
        <v>8000</v>
      </c>
      <c r="F39" s="9">
        <f t="shared" si="0"/>
        <v>40000</v>
      </c>
      <c r="G39" s="22">
        <f>SUM(F39:F41)</f>
        <v>84000</v>
      </c>
    </row>
    <row r="40" spans="1:7" x14ac:dyDescent="0.2">
      <c r="A40" s="11"/>
      <c r="B40" s="12"/>
      <c r="C40" s="7" t="s">
        <v>8</v>
      </c>
      <c r="D40" s="8">
        <v>1</v>
      </c>
      <c r="E40" s="9">
        <v>21000</v>
      </c>
      <c r="F40" s="9">
        <f t="shared" si="0"/>
        <v>21000</v>
      </c>
      <c r="G40" s="23"/>
    </row>
    <row r="41" spans="1:7" x14ac:dyDescent="0.2">
      <c r="A41" s="14"/>
      <c r="B41" s="15"/>
      <c r="C41" s="7" t="s">
        <v>9</v>
      </c>
      <c r="D41" s="8">
        <v>1</v>
      </c>
      <c r="E41" s="9">
        <v>23000</v>
      </c>
      <c r="F41" s="9">
        <f t="shared" si="0"/>
        <v>23000</v>
      </c>
      <c r="G41" s="24"/>
    </row>
    <row r="42" spans="1:7" x14ac:dyDescent="0.2">
      <c r="A42" s="5">
        <v>81014</v>
      </c>
      <c r="B42" s="6">
        <v>46092</v>
      </c>
      <c r="C42" s="7" t="s">
        <v>10</v>
      </c>
      <c r="D42" s="8">
        <v>1</v>
      </c>
      <c r="E42" s="9">
        <v>125000</v>
      </c>
      <c r="F42" s="9">
        <f t="shared" si="0"/>
        <v>125000</v>
      </c>
      <c r="G42" s="22">
        <f>SUM(F42:F47)</f>
        <v>428000</v>
      </c>
    </row>
    <row r="43" spans="1:7" x14ac:dyDescent="0.2">
      <c r="A43" s="11"/>
      <c r="B43" s="12"/>
      <c r="C43" s="7" t="s">
        <v>11</v>
      </c>
      <c r="D43" s="8">
        <v>1</v>
      </c>
      <c r="E43" s="9">
        <v>120000</v>
      </c>
      <c r="F43" s="9">
        <f t="shared" si="0"/>
        <v>120000</v>
      </c>
      <c r="G43" s="23"/>
    </row>
    <row r="44" spans="1:7" x14ac:dyDescent="0.2">
      <c r="A44" s="11"/>
      <c r="B44" s="12"/>
      <c r="C44" s="7" t="s">
        <v>13</v>
      </c>
      <c r="D44" s="8">
        <v>1</v>
      </c>
      <c r="E44" s="9">
        <v>115000</v>
      </c>
      <c r="F44" s="9">
        <f t="shared" si="0"/>
        <v>115000</v>
      </c>
      <c r="G44" s="23"/>
    </row>
    <row r="45" spans="1:7" x14ac:dyDescent="0.2">
      <c r="A45" s="11"/>
      <c r="B45" s="12"/>
      <c r="C45" s="7" t="s">
        <v>7</v>
      </c>
      <c r="D45" s="8">
        <v>3</v>
      </c>
      <c r="E45" s="9">
        <v>8000</v>
      </c>
      <c r="F45" s="9">
        <f t="shared" si="0"/>
        <v>24000</v>
      </c>
      <c r="G45" s="23"/>
    </row>
    <row r="46" spans="1:7" x14ac:dyDescent="0.2">
      <c r="A46" s="11"/>
      <c r="B46" s="12"/>
      <c r="C46" s="7" t="s">
        <v>8</v>
      </c>
      <c r="D46" s="8">
        <v>1</v>
      </c>
      <c r="E46" s="9">
        <v>21000</v>
      </c>
      <c r="F46" s="9">
        <f t="shared" si="0"/>
        <v>21000</v>
      </c>
      <c r="G46" s="23"/>
    </row>
    <row r="47" spans="1:7" x14ac:dyDescent="0.2">
      <c r="A47" s="14"/>
      <c r="B47" s="15"/>
      <c r="C47" s="7" t="s">
        <v>9</v>
      </c>
      <c r="D47" s="8">
        <v>1</v>
      </c>
      <c r="E47" s="9">
        <v>23000</v>
      </c>
      <c r="F47" s="9">
        <f t="shared" si="0"/>
        <v>23000</v>
      </c>
      <c r="G47" s="24"/>
    </row>
    <row r="48" spans="1:7" x14ac:dyDescent="0.2">
      <c r="A48" s="5">
        <v>81088</v>
      </c>
      <c r="B48" s="6">
        <v>46093</v>
      </c>
      <c r="C48" s="7" t="s">
        <v>12</v>
      </c>
      <c r="D48" s="8">
        <v>1</v>
      </c>
      <c r="E48" s="9">
        <v>125000</v>
      </c>
      <c r="F48" s="9">
        <f t="shared" si="0"/>
        <v>125000</v>
      </c>
      <c r="G48" s="22">
        <f>SUM(F48:F53)</f>
        <v>575000</v>
      </c>
    </row>
    <row r="49" spans="1:7" x14ac:dyDescent="0.2">
      <c r="A49" s="11"/>
      <c r="B49" s="12"/>
      <c r="C49" s="7" t="s">
        <v>16</v>
      </c>
      <c r="D49" s="8">
        <v>1</v>
      </c>
      <c r="E49" s="9">
        <v>135000</v>
      </c>
      <c r="F49" s="9">
        <f t="shared" si="0"/>
        <v>135000</v>
      </c>
      <c r="G49" s="23"/>
    </row>
    <row r="50" spans="1:7" x14ac:dyDescent="0.2">
      <c r="A50" s="11"/>
      <c r="B50" s="12"/>
      <c r="C50" s="7" t="s">
        <v>17</v>
      </c>
      <c r="D50" s="8">
        <v>1</v>
      </c>
      <c r="E50" s="9">
        <v>135000</v>
      </c>
      <c r="F50" s="9">
        <f t="shared" si="0"/>
        <v>135000</v>
      </c>
      <c r="G50" s="23"/>
    </row>
    <row r="51" spans="1:7" x14ac:dyDescent="0.2">
      <c r="A51" s="11"/>
      <c r="B51" s="12"/>
      <c r="C51" s="7" t="s">
        <v>18</v>
      </c>
      <c r="D51" s="8">
        <v>1</v>
      </c>
      <c r="E51" s="9">
        <v>135000</v>
      </c>
      <c r="F51" s="9">
        <f t="shared" si="0"/>
        <v>135000</v>
      </c>
      <c r="G51" s="23"/>
    </row>
    <row r="52" spans="1:7" x14ac:dyDescent="0.2">
      <c r="A52" s="11"/>
      <c r="B52" s="12"/>
      <c r="C52" s="7" t="s">
        <v>7</v>
      </c>
      <c r="D52" s="8">
        <v>3</v>
      </c>
      <c r="E52" s="9">
        <v>8000</v>
      </c>
      <c r="F52" s="9">
        <f t="shared" si="0"/>
        <v>24000</v>
      </c>
      <c r="G52" s="23"/>
    </row>
    <row r="53" spans="1:7" x14ac:dyDescent="0.2">
      <c r="A53" s="14"/>
      <c r="B53" s="15"/>
      <c r="C53" s="7" t="s">
        <v>8</v>
      </c>
      <c r="D53" s="8">
        <v>1</v>
      </c>
      <c r="E53" s="9">
        <v>21000</v>
      </c>
      <c r="F53" s="9">
        <f t="shared" si="0"/>
        <v>21000</v>
      </c>
      <c r="G53" s="24"/>
    </row>
    <row r="54" spans="1:7" x14ac:dyDescent="0.2">
      <c r="A54" s="5">
        <v>81159</v>
      </c>
      <c r="B54" s="6">
        <v>46094</v>
      </c>
      <c r="C54" s="7" t="s">
        <v>8</v>
      </c>
      <c r="D54" s="8">
        <v>1</v>
      </c>
      <c r="E54" s="9">
        <v>21000</v>
      </c>
      <c r="F54" s="9">
        <f t="shared" si="0"/>
        <v>21000</v>
      </c>
      <c r="G54" s="22">
        <f>SUM(F54:F56)</f>
        <v>68000</v>
      </c>
    </row>
    <row r="55" spans="1:7" x14ac:dyDescent="0.2">
      <c r="A55" s="11"/>
      <c r="B55" s="12"/>
      <c r="C55" s="7" t="s">
        <v>9</v>
      </c>
      <c r="D55" s="8">
        <v>1</v>
      </c>
      <c r="E55" s="9">
        <v>23000</v>
      </c>
      <c r="F55" s="9">
        <f t="shared" si="0"/>
        <v>23000</v>
      </c>
      <c r="G55" s="23"/>
    </row>
    <row r="56" spans="1:7" x14ac:dyDescent="0.2">
      <c r="A56" s="14"/>
      <c r="B56" s="15"/>
      <c r="C56" s="7" t="s">
        <v>7</v>
      </c>
      <c r="D56" s="8">
        <v>3</v>
      </c>
      <c r="E56" s="9">
        <v>8000</v>
      </c>
      <c r="F56" s="9">
        <f t="shared" si="0"/>
        <v>24000</v>
      </c>
      <c r="G56" s="24"/>
    </row>
    <row r="57" spans="1:7" x14ac:dyDescent="0.2">
      <c r="A57" s="5">
        <v>81234</v>
      </c>
      <c r="B57" s="6">
        <v>46095</v>
      </c>
      <c r="C57" s="7" t="s">
        <v>8</v>
      </c>
      <c r="D57" s="8">
        <v>1</v>
      </c>
      <c r="E57" s="9">
        <v>21000</v>
      </c>
      <c r="F57" s="9">
        <f t="shared" si="0"/>
        <v>21000</v>
      </c>
      <c r="G57" s="22">
        <f>SUM(F57:F61)</f>
        <v>699000</v>
      </c>
    </row>
    <row r="58" spans="1:7" x14ac:dyDescent="0.2">
      <c r="A58" s="11"/>
      <c r="B58" s="12"/>
      <c r="C58" s="7" t="s">
        <v>9</v>
      </c>
      <c r="D58" s="8">
        <v>1</v>
      </c>
      <c r="E58" s="9">
        <v>23000</v>
      </c>
      <c r="F58" s="9">
        <f t="shared" si="0"/>
        <v>23000</v>
      </c>
      <c r="G58" s="23"/>
    </row>
    <row r="59" spans="1:7" x14ac:dyDescent="0.2">
      <c r="A59" s="11"/>
      <c r="B59" s="12"/>
      <c r="C59" s="7" t="s">
        <v>7</v>
      </c>
      <c r="D59" s="8">
        <v>5</v>
      </c>
      <c r="E59" s="9">
        <v>8000</v>
      </c>
      <c r="F59" s="9">
        <f t="shared" si="0"/>
        <v>40000</v>
      </c>
      <c r="G59" s="23"/>
    </row>
    <row r="60" spans="1:7" x14ac:dyDescent="0.2">
      <c r="A60" s="11"/>
      <c r="B60" s="12"/>
      <c r="C60" s="7" t="s">
        <v>17</v>
      </c>
      <c r="D60" s="8">
        <v>1</v>
      </c>
      <c r="E60" s="9">
        <v>135000</v>
      </c>
      <c r="F60" s="9">
        <f t="shared" si="0"/>
        <v>135000</v>
      </c>
      <c r="G60" s="23"/>
    </row>
    <row r="61" spans="1:7" x14ac:dyDescent="0.2">
      <c r="A61" s="14"/>
      <c r="B61" s="15"/>
      <c r="C61" s="7" t="s">
        <v>14</v>
      </c>
      <c r="D61" s="8">
        <v>1</v>
      </c>
      <c r="E61" s="9">
        <v>480000</v>
      </c>
      <c r="F61" s="9">
        <f t="shared" si="0"/>
        <v>480000</v>
      </c>
      <c r="G61" s="24"/>
    </row>
    <row r="62" spans="1:7" x14ac:dyDescent="0.2">
      <c r="A62" s="5">
        <v>81339</v>
      </c>
      <c r="B62" s="6">
        <v>46096</v>
      </c>
      <c r="C62" s="7" t="s">
        <v>7</v>
      </c>
      <c r="D62" s="8">
        <v>6</v>
      </c>
      <c r="E62" s="9">
        <v>8000</v>
      </c>
      <c r="F62" s="9">
        <f t="shared" si="0"/>
        <v>48000</v>
      </c>
      <c r="G62" s="22">
        <f>SUM(F62:F63)</f>
        <v>90000</v>
      </c>
    </row>
    <row r="63" spans="1:7" x14ac:dyDescent="0.2">
      <c r="A63" s="14"/>
      <c r="B63" s="15"/>
      <c r="C63" s="7" t="s">
        <v>8</v>
      </c>
      <c r="D63" s="8">
        <v>2</v>
      </c>
      <c r="E63" s="9">
        <v>21000</v>
      </c>
      <c r="F63" s="9">
        <f t="shared" si="0"/>
        <v>42000</v>
      </c>
      <c r="G63" s="24"/>
    </row>
    <row r="64" spans="1:7" x14ac:dyDescent="0.2">
      <c r="A64" s="5">
        <v>81510</v>
      </c>
      <c r="B64" s="6">
        <v>46098</v>
      </c>
      <c r="C64" s="7" t="s">
        <v>12</v>
      </c>
      <c r="D64" s="8">
        <v>1</v>
      </c>
      <c r="E64" s="9">
        <v>125000</v>
      </c>
      <c r="F64" s="9">
        <f t="shared" si="0"/>
        <v>125000</v>
      </c>
      <c r="G64" s="22">
        <f>SUM(F64:F69)</f>
        <v>866000</v>
      </c>
    </row>
    <row r="65" spans="1:14" x14ac:dyDescent="0.2">
      <c r="A65" s="11"/>
      <c r="B65" s="12"/>
      <c r="C65" s="7" t="s">
        <v>14</v>
      </c>
      <c r="D65" s="8">
        <v>1</v>
      </c>
      <c r="E65" s="9">
        <v>480000</v>
      </c>
      <c r="F65" s="9">
        <f t="shared" si="0"/>
        <v>480000</v>
      </c>
      <c r="G65" s="23"/>
    </row>
    <row r="66" spans="1:14" x14ac:dyDescent="0.2">
      <c r="A66" s="11"/>
      <c r="B66" s="12"/>
      <c r="C66" s="7" t="s">
        <v>10</v>
      </c>
      <c r="D66" s="8">
        <v>1</v>
      </c>
      <c r="E66" s="9">
        <v>125000</v>
      </c>
      <c r="F66" s="9">
        <f t="shared" ref="F66:F124" si="1">E66*D66</f>
        <v>125000</v>
      </c>
      <c r="G66" s="23"/>
      <c r="H66" s="25"/>
    </row>
    <row r="67" spans="1:14" ht="16" x14ac:dyDescent="0.2">
      <c r="A67" s="11"/>
      <c r="B67" s="12"/>
      <c r="C67" s="7" t="s">
        <v>8</v>
      </c>
      <c r="D67" s="8">
        <v>2</v>
      </c>
      <c r="E67" s="9">
        <v>21000</v>
      </c>
      <c r="F67" s="9">
        <f t="shared" si="1"/>
        <v>42000</v>
      </c>
      <c r="G67" s="23"/>
      <c r="H67" s="25"/>
      <c r="I67" s="26"/>
      <c r="K67" s="27"/>
      <c r="L67" s="28"/>
      <c r="M67" s="28"/>
      <c r="N67" s="25"/>
    </row>
    <row r="68" spans="1:14" ht="16" x14ac:dyDescent="0.2">
      <c r="A68" s="11"/>
      <c r="B68" s="12"/>
      <c r="C68" s="7" t="s">
        <v>9</v>
      </c>
      <c r="D68" s="8">
        <v>2</v>
      </c>
      <c r="E68" s="9">
        <v>23000</v>
      </c>
      <c r="F68" s="9">
        <f t="shared" si="1"/>
        <v>46000</v>
      </c>
      <c r="G68" s="23"/>
      <c r="I68" s="29"/>
      <c r="K68" s="27"/>
      <c r="L68" s="28"/>
      <c r="M68" s="28"/>
      <c r="N68" s="30"/>
    </row>
    <row r="69" spans="1:14" ht="16" x14ac:dyDescent="0.2">
      <c r="A69" s="14"/>
      <c r="B69" s="15"/>
      <c r="C69" s="7" t="s">
        <v>7</v>
      </c>
      <c r="D69" s="8">
        <v>6</v>
      </c>
      <c r="E69" s="9">
        <v>8000</v>
      </c>
      <c r="F69" s="9">
        <f t="shared" si="1"/>
        <v>48000</v>
      </c>
      <c r="G69" s="24"/>
      <c r="I69" s="29"/>
      <c r="K69" s="27"/>
      <c r="L69" s="28"/>
      <c r="M69" s="28"/>
      <c r="N69" s="30"/>
    </row>
    <row r="70" spans="1:14" ht="16" x14ac:dyDescent="0.2">
      <c r="A70" s="5">
        <v>81553</v>
      </c>
      <c r="B70" s="6">
        <v>46099</v>
      </c>
      <c r="C70" s="7" t="s">
        <v>7</v>
      </c>
      <c r="D70" s="8">
        <v>25</v>
      </c>
      <c r="E70" s="9">
        <v>8000</v>
      </c>
      <c r="F70" s="9">
        <f t="shared" si="1"/>
        <v>200000</v>
      </c>
      <c r="G70" s="22">
        <f>SUM(F70:F80)</f>
        <v>2092000</v>
      </c>
      <c r="I70" s="29"/>
      <c r="K70" s="27"/>
      <c r="L70" s="28"/>
      <c r="M70" s="28"/>
      <c r="N70" s="30"/>
    </row>
    <row r="71" spans="1:14" x14ac:dyDescent="0.2">
      <c r="A71" s="11"/>
      <c r="B71" s="12"/>
      <c r="C71" s="7" t="s">
        <v>8</v>
      </c>
      <c r="D71" s="8">
        <v>6</v>
      </c>
      <c r="E71" s="9">
        <v>21000</v>
      </c>
      <c r="F71" s="9">
        <f t="shared" si="1"/>
        <v>126000</v>
      </c>
      <c r="G71" s="23"/>
    </row>
    <row r="72" spans="1:14" x14ac:dyDescent="0.2">
      <c r="A72" s="11"/>
      <c r="B72" s="12"/>
      <c r="C72" s="7" t="s">
        <v>9</v>
      </c>
      <c r="D72" s="8">
        <v>7</v>
      </c>
      <c r="E72" s="9">
        <v>23000</v>
      </c>
      <c r="F72" s="9">
        <f t="shared" si="1"/>
        <v>161000</v>
      </c>
      <c r="G72" s="23"/>
    </row>
    <row r="73" spans="1:14" x14ac:dyDescent="0.2">
      <c r="A73" s="11"/>
      <c r="B73" s="12"/>
      <c r="C73" s="7" t="s">
        <v>14</v>
      </c>
      <c r="D73" s="8">
        <v>1</v>
      </c>
      <c r="E73" s="9">
        <v>480000</v>
      </c>
      <c r="F73" s="9">
        <f t="shared" si="1"/>
        <v>480000</v>
      </c>
      <c r="G73" s="23"/>
    </row>
    <row r="74" spans="1:14" x14ac:dyDescent="0.2">
      <c r="A74" s="11"/>
      <c r="B74" s="12"/>
      <c r="C74" s="7" t="s">
        <v>16</v>
      </c>
      <c r="D74" s="8">
        <v>1</v>
      </c>
      <c r="E74" s="9">
        <v>135000</v>
      </c>
      <c r="F74" s="9">
        <f t="shared" si="1"/>
        <v>135000</v>
      </c>
      <c r="G74" s="23"/>
    </row>
    <row r="75" spans="1:14" x14ac:dyDescent="0.2">
      <c r="A75" s="11"/>
      <c r="B75" s="12"/>
      <c r="C75" s="7" t="s">
        <v>17</v>
      </c>
      <c r="D75" s="8">
        <v>1</v>
      </c>
      <c r="E75" s="9">
        <v>135000</v>
      </c>
      <c r="F75" s="9">
        <f t="shared" si="1"/>
        <v>135000</v>
      </c>
      <c r="G75" s="23"/>
    </row>
    <row r="76" spans="1:14" x14ac:dyDescent="0.2">
      <c r="A76" s="11"/>
      <c r="B76" s="12"/>
      <c r="C76" s="7" t="s">
        <v>12</v>
      </c>
      <c r="D76" s="8">
        <v>1</v>
      </c>
      <c r="E76" s="9">
        <v>125000</v>
      </c>
      <c r="F76" s="9">
        <f t="shared" si="1"/>
        <v>125000</v>
      </c>
      <c r="G76" s="23"/>
    </row>
    <row r="77" spans="1:14" x14ac:dyDescent="0.2">
      <c r="A77" s="11"/>
      <c r="B77" s="12"/>
      <c r="C77" s="7" t="s">
        <v>13</v>
      </c>
      <c r="D77" s="8">
        <v>2</v>
      </c>
      <c r="E77" s="9">
        <v>115000</v>
      </c>
      <c r="F77" s="9">
        <f t="shared" si="1"/>
        <v>230000</v>
      </c>
      <c r="G77" s="23"/>
    </row>
    <row r="78" spans="1:14" x14ac:dyDescent="0.2">
      <c r="A78" s="11"/>
      <c r="B78" s="12"/>
      <c r="C78" s="7" t="s">
        <v>11</v>
      </c>
      <c r="D78" s="8">
        <v>2</v>
      </c>
      <c r="E78" s="9">
        <v>120000</v>
      </c>
      <c r="F78" s="9">
        <f t="shared" si="1"/>
        <v>240000</v>
      </c>
      <c r="G78" s="23"/>
    </row>
    <row r="79" spans="1:14" x14ac:dyDescent="0.2">
      <c r="A79" s="11"/>
      <c r="B79" s="12"/>
      <c r="C79" s="7" t="s">
        <v>19</v>
      </c>
      <c r="D79" s="8">
        <v>1</v>
      </c>
      <c r="E79" s="9">
        <v>135000</v>
      </c>
      <c r="F79" s="9">
        <f t="shared" si="1"/>
        <v>135000</v>
      </c>
      <c r="G79" s="23"/>
    </row>
    <row r="80" spans="1:14" x14ac:dyDescent="0.2">
      <c r="A80" s="14"/>
      <c r="B80" s="15"/>
      <c r="C80" s="7" t="s">
        <v>10</v>
      </c>
      <c r="D80" s="8">
        <v>1</v>
      </c>
      <c r="E80" s="9">
        <v>125000</v>
      </c>
      <c r="F80" s="9">
        <f t="shared" si="1"/>
        <v>125000</v>
      </c>
      <c r="G80" s="24"/>
    </row>
    <row r="81" spans="1:7" x14ac:dyDescent="0.2">
      <c r="A81" s="5">
        <v>81904</v>
      </c>
      <c r="B81" s="6">
        <v>46105</v>
      </c>
      <c r="C81" s="7" t="s">
        <v>7</v>
      </c>
      <c r="D81" s="8">
        <v>8</v>
      </c>
      <c r="E81" s="9">
        <v>10000</v>
      </c>
      <c r="F81" s="9">
        <f t="shared" si="1"/>
        <v>80000</v>
      </c>
      <c r="G81" s="22">
        <f>SUM(F81:F82)</f>
        <v>205000</v>
      </c>
    </row>
    <row r="82" spans="1:7" x14ac:dyDescent="0.2">
      <c r="A82" s="14"/>
      <c r="B82" s="15"/>
      <c r="C82" s="7" t="s">
        <v>12</v>
      </c>
      <c r="D82" s="8">
        <v>1</v>
      </c>
      <c r="E82" s="9">
        <v>125000</v>
      </c>
      <c r="F82" s="9">
        <f t="shared" si="1"/>
        <v>125000</v>
      </c>
      <c r="G82" s="24"/>
    </row>
    <row r="83" spans="1:7" x14ac:dyDescent="0.2">
      <c r="A83" s="5">
        <v>81990</v>
      </c>
      <c r="B83" s="6">
        <v>46106</v>
      </c>
      <c r="C83" s="7" t="s">
        <v>7</v>
      </c>
      <c r="D83" s="8">
        <v>8</v>
      </c>
      <c r="E83" s="9">
        <v>8000</v>
      </c>
      <c r="F83" s="9">
        <f t="shared" si="1"/>
        <v>64000</v>
      </c>
      <c r="G83" s="22">
        <f>SUM(F83:F84)</f>
        <v>274000</v>
      </c>
    </row>
    <row r="84" spans="1:7" x14ac:dyDescent="0.2">
      <c r="A84" s="14"/>
      <c r="B84" s="15"/>
      <c r="C84" s="7" t="s">
        <v>20</v>
      </c>
      <c r="D84" s="8">
        <v>6</v>
      </c>
      <c r="E84" s="9">
        <v>35000</v>
      </c>
      <c r="F84" s="9">
        <f t="shared" si="1"/>
        <v>210000</v>
      </c>
      <c r="G84" s="24"/>
    </row>
    <row r="85" spans="1:7" x14ac:dyDescent="0.2">
      <c r="A85" s="5">
        <v>82064</v>
      </c>
      <c r="B85" s="6">
        <v>46107</v>
      </c>
      <c r="C85" s="7" t="s">
        <v>14</v>
      </c>
      <c r="D85" s="8">
        <v>1</v>
      </c>
      <c r="E85" s="9">
        <v>480000</v>
      </c>
      <c r="F85" s="9">
        <f t="shared" si="1"/>
        <v>480000</v>
      </c>
      <c r="G85" s="22">
        <f>SUM(F85:F89)</f>
        <v>809000</v>
      </c>
    </row>
    <row r="86" spans="1:7" x14ac:dyDescent="0.2">
      <c r="A86" s="11"/>
      <c r="B86" s="12"/>
      <c r="C86" s="7" t="s">
        <v>11</v>
      </c>
      <c r="D86" s="8">
        <v>2</v>
      </c>
      <c r="E86" s="9">
        <v>120000</v>
      </c>
      <c r="F86" s="9">
        <f t="shared" si="1"/>
        <v>240000</v>
      </c>
      <c r="G86" s="23"/>
    </row>
    <row r="87" spans="1:7" x14ac:dyDescent="0.2">
      <c r="A87" s="11"/>
      <c r="B87" s="12"/>
      <c r="C87" s="7" t="s">
        <v>8</v>
      </c>
      <c r="D87" s="8">
        <v>1</v>
      </c>
      <c r="E87" s="9">
        <v>21000</v>
      </c>
      <c r="F87" s="9">
        <f t="shared" si="1"/>
        <v>21000</v>
      </c>
      <c r="G87" s="23"/>
    </row>
    <row r="88" spans="1:7" x14ac:dyDescent="0.2">
      <c r="A88" s="11"/>
      <c r="B88" s="12"/>
      <c r="C88" s="7" t="s">
        <v>7</v>
      </c>
      <c r="D88" s="8">
        <v>4</v>
      </c>
      <c r="E88" s="9">
        <v>8000</v>
      </c>
      <c r="F88" s="9">
        <f t="shared" si="1"/>
        <v>32000</v>
      </c>
      <c r="G88" s="23"/>
    </row>
    <row r="89" spans="1:7" x14ac:dyDescent="0.2">
      <c r="A89" s="14"/>
      <c r="B89" s="15"/>
      <c r="C89" s="7" t="s">
        <v>15</v>
      </c>
      <c r="D89" s="8">
        <v>24</v>
      </c>
      <c r="E89" s="9">
        <v>1500</v>
      </c>
      <c r="F89" s="9">
        <f t="shared" si="1"/>
        <v>36000</v>
      </c>
      <c r="G89" s="24"/>
    </row>
    <row r="90" spans="1:7" x14ac:dyDescent="0.2">
      <c r="A90" s="5">
        <v>82150</v>
      </c>
      <c r="B90" s="6">
        <v>46108</v>
      </c>
      <c r="C90" s="7" t="s">
        <v>8</v>
      </c>
      <c r="D90" s="8">
        <v>1</v>
      </c>
      <c r="E90" s="9">
        <v>21000</v>
      </c>
      <c r="F90" s="9">
        <f t="shared" si="1"/>
        <v>21000</v>
      </c>
      <c r="G90" s="22">
        <f>SUM(F90:F92)</f>
        <v>84000</v>
      </c>
    </row>
    <row r="91" spans="1:7" x14ac:dyDescent="0.2">
      <c r="A91" s="11"/>
      <c r="B91" s="12"/>
      <c r="C91" s="7" t="s">
        <v>9</v>
      </c>
      <c r="D91" s="8">
        <v>1</v>
      </c>
      <c r="E91" s="9">
        <v>23000</v>
      </c>
      <c r="F91" s="9">
        <f t="shared" si="1"/>
        <v>23000</v>
      </c>
      <c r="G91" s="23"/>
    </row>
    <row r="92" spans="1:7" x14ac:dyDescent="0.2">
      <c r="A92" s="14"/>
      <c r="B92" s="15"/>
      <c r="C92" s="7" t="s">
        <v>7</v>
      </c>
      <c r="D92" s="8">
        <v>5</v>
      </c>
      <c r="E92" s="9">
        <v>8000</v>
      </c>
      <c r="F92" s="9">
        <f t="shared" si="1"/>
        <v>40000</v>
      </c>
      <c r="G92" s="24"/>
    </row>
    <row r="93" spans="1:7" x14ac:dyDescent="0.2">
      <c r="A93" s="5">
        <v>82226</v>
      </c>
      <c r="B93" s="6">
        <v>46109</v>
      </c>
      <c r="C93" s="7" t="s">
        <v>8</v>
      </c>
      <c r="D93" s="8">
        <v>1</v>
      </c>
      <c r="E93" s="9">
        <v>21000</v>
      </c>
      <c r="F93" s="9">
        <f t="shared" si="1"/>
        <v>21000</v>
      </c>
      <c r="G93" s="22">
        <f>SUM(F93:F95)</f>
        <v>76000</v>
      </c>
    </row>
    <row r="94" spans="1:7" x14ac:dyDescent="0.2">
      <c r="A94" s="11"/>
      <c r="B94" s="12"/>
      <c r="C94" s="7" t="s">
        <v>9</v>
      </c>
      <c r="D94" s="8">
        <v>1</v>
      </c>
      <c r="E94" s="9">
        <v>23000</v>
      </c>
      <c r="F94" s="9">
        <f t="shared" si="1"/>
        <v>23000</v>
      </c>
      <c r="G94" s="23"/>
    </row>
    <row r="95" spans="1:7" x14ac:dyDescent="0.2">
      <c r="A95" s="14"/>
      <c r="B95" s="15"/>
      <c r="C95" s="7" t="s">
        <v>7</v>
      </c>
      <c r="D95" s="8">
        <v>4</v>
      </c>
      <c r="E95" s="9">
        <v>8000</v>
      </c>
      <c r="F95" s="9">
        <f t="shared" si="1"/>
        <v>32000</v>
      </c>
      <c r="G95" s="24"/>
    </row>
    <row r="96" spans="1:7" x14ac:dyDescent="0.2">
      <c r="A96" s="5">
        <v>82305</v>
      </c>
      <c r="B96" s="6">
        <v>46110</v>
      </c>
      <c r="C96" s="7" t="s">
        <v>8</v>
      </c>
      <c r="D96" s="8">
        <v>2</v>
      </c>
      <c r="E96" s="9">
        <v>21000</v>
      </c>
      <c r="F96" s="9">
        <f t="shared" si="1"/>
        <v>42000</v>
      </c>
      <c r="G96" s="22">
        <f>SUM(F96:F97)</f>
        <v>74000</v>
      </c>
    </row>
    <row r="97" spans="1:7" x14ac:dyDescent="0.2">
      <c r="A97" s="14"/>
      <c r="B97" s="15"/>
      <c r="C97" s="7" t="s">
        <v>7</v>
      </c>
      <c r="D97" s="8">
        <v>4</v>
      </c>
      <c r="E97" s="9">
        <v>8000</v>
      </c>
      <c r="F97" s="9">
        <f t="shared" si="1"/>
        <v>32000</v>
      </c>
      <c r="G97" s="24"/>
    </row>
    <row r="98" spans="1:7" x14ac:dyDescent="0.2">
      <c r="A98" s="5">
        <v>82392</v>
      </c>
      <c r="B98" s="6">
        <v>46111</v>
      </c>
      <c r="C98" s="7" t="s">
        <v>7</v>
      </c>
      <c r="D98" s="8">
        <v>6</v>
      </c>
      <c r="E98" s="9">
        <v>8000</v>
      </c>
      <c r="F98" s="9">
        <f t="shared" si="1"/>
        <v>48000</v>
      </c>
      <c r="G98" s="22">
        <f>SUM(F98:F104)</f>
        <v>840000</v>
      </c>
    </row>
    <row r="99" spans="1:7" x14ac:dyDescent="0.2">
      <c r="A99" s="11"/>
      <c r="B99" s="12"/>
      <c r="C99" s="7" t="s">
        <v>9</v>
      </c>
      <c r="D99" s="8">
        <v>2</v>
      </c>
      <c r="E99" s="9">
        <v>23000</v>
      </c>
      <c r="F99" s="9">
        <f t="shared" si="1"/>
        <v>46000</v>
      </c>
      <c r="G99" s="23"/>
    </row>
    <row r="100" spans="1:7" x14ac:dyDescent="0.2">
      <c r="A100" s="11"/>
      <c r="B100" s="12"/>
      <c r="C100" s="7" t="s">
        <v>8</v>
      </c>
      <c r="D100" s="8">
        <v>1</v>
      </c>
      <c r="E100" s="9">
        <v>21000</v>
      </c>
      <c r="F100" s="9">
        <f t="shared" si="1"/>
        <v>21000</v>
      </c>
      <c r="G100" s="23"/>
    </row>
    <row r="101" spans="1:7" x14ac:dyDescent="0.2">
      <c r="A101" s="11"/>
      <c r="B101" s="12"/>
      <c r="C101" s="7" t="s">
        <v>16</v>
      </c>
      <c r="D101" s="8">
        <v>1</v>
      </c>
      <c r="E101" s="9">
        <v>135000</v>
      </c>
      <c r="F101" s="9">
        <f t="shared" si="1"/>
        <v>135000</v>
      </c>
      <c r="G101" s="23"/>
    </row>
    <row r="102" spans="1:7" x14ac:dyDescent="0.2">
      <c r="A102" s="11"/>
      <c r="B102" s="12"/>
      <c r="C102" s="7" t="s">
        <v>12</v>
      </c>
      <c r="D102" s="8">
        <v>1</v>
      </c>
      <c r="E102" s="9">
        <v>125000</v>
      </c>
      <c r="F102" s="9">
        <f t="shared" si="1"/>
        <v>125000</v>
      </c>
      <c r="G102" s="23"/>
    </row>
    <row r="103" spans="1:7" x14ac:dyDescent="0.2">
      <c r="A103" s="11"/>
      <c r="B103" s="12"/>
      <c r="C103" s="7" t="s">
        <v>13</v>
      </c>
      <c r="D103" s="8">
        <v>3</v>
      </c>
      <c r="E103" s="9">
        <v>115000</v>
      </c>
      <c r="F103" s="9">
        <f t="shared" si="1"/>
        <v>345000</v>
      </c>
      <c r="G103" s="23"/>
    </row>
    <row r="104" spans="1:7" x14ac:dyDescent="0.2">
      <c r="A104" s="14"/>
      <c r="B104" s="15"/>
      <c r="C104" s="7" t="s">
        <v>11</v>
      </c>
      <c r="D104" s="8">
        <v>1</v>
      </c>
      <c r="E104" s="9">
        <v>120000</v>
      </c>
      <c r="F104" s="9">
        <f t="shared" si="1"/>
        <v>120000</v>
      </c>
      <c r="G104" s="24"/>
    </row>
    <row r="105" spans="1:7" x14ac:dyDescent="0.2">
      <c r="A105" s="5">
        <v>82494</v>
      </c>
      <c r="B105" s="6">
        <v>46112</v>
      </c>
      <c r="C105" s="7" t="s">
        <v>7</v>
      </c>
      <c r="D105" s="8">
        <v>4</v>
      </c>
      <c r="E105" s="9">
        <v>8000</v>
      </c>
      <c r="F105" s="9">
        <f t="shared" si="1"/>
        <v>32000</v>
      </c>
      <c r="G105" s="22">
        <f>SUM(F105:F106)</f>
        <v>53000</v>
      </c>
    </row>
    <row r="106" spans="1:7" x14ac:dyDescent="0.2">
      <c r="A106" s="14"/>
      <c r="B106" s="15"/>
      <c r="C106" s="7" t="s">
        <v>8</v>
      </c>
      <c r="D106" s="8">
        <v>1</v>
      </c>
      <c r="E106" s="9">
        <v>21000</v>
      </c>
      <c r="F106" s="9">
        <f t="shared" si="1"/>
        <v>21000</v>
      </c>
      <c r="G106" s="24"/>
    </row>
    <row r="107" spans="1:7" x14ac:dyDescent="0.2">
      <c r="A107" s="8"/>
      <c r="B107" s="18"/>
      <c r="C107" s="7"/>
      <c r="D107" s="8"/>
      <c r="E107" s="9"/>
      <c r="F107" s="9"/>
      <c r="G107" s="31"/>
    </row>
    <row r="108" spans="1:7" x14ac:dyDescent="0.2">
      <c r="A108" s="8"/>
      <c r="B108" s="18"/>
      <c r="C108" s="7"/>
      <c r="D108" s="8"/>
      <c r="E108" s="9"/>
      <c r="F108" s="9"/>
      <c r="G108" s="31"/>
    </row>
    <row r="109" spans="1:7" x14ac:dyDescent="0.2">
      <c r="A109" s="8"/>
      <c r="B109" s="18"/>
      <c r="C109" s="7"/>
      <c r="D109" s="8"/>
      <c r="E109" s="9"/>
      <c r="F109" s="9"/>
      <c r="G109" s="31"/>
    </row>
    <row r="110" spans="1:7" x14ac:dyDescent="0.2">
      <c r="A110" s="8"/>
      <c r="B110" s="18"/>
      <c r="C110" s="7"/>
      <c r="D110" s="8"/>
      <c r="E110" s="9"/>
      <c r="F110" s="9"/>
      <c r="G110" s="31"/>
    </row>
    <row r="111" spans="1:7" x14ac:dyDescent="0.2">
      <c r="A111" s="8"/>
      <c r="B111" s="18"/>
      <c r="C111" s="7"/>
      <c r="D111" s="8"/>
      <c r="E111" s="9"/>
      <c r="F111" s="9"/>
      <c r="G111" s="31"/>
    </row>
    <row r="112" spans="1:7" x14ac:dyDescent="0.2">
      <c r="A112" s="8"/>
      <c r="B112" s="18"/>
      <c r="C112" s="7"/>
      <c r="D112" s="8"/>
      <c r="E112" s="9"/>
      <c r="F112" s="9"/>
      <c r="G112" s="31"/>
    </row>
    <row r="113" spans="1:8" x14ac:dyDescent="0.2">
      <c r="A113" s="8"/>
      <c r="B113" s="18"/>
      <c r="C113" s="7"/>
      <c r="D113" s="8"/>
      <c r="E113" s="9"/>
      <c r="F113" s="9"/>
      <c r="G113" s="31"/>
    </row>
    <row r="114" spans="1:8" x14ac:dyDescent="0.2">
      <c r="A114" s="8"/>
      <c r="B114" s="18"/>
      <c r="C114" s="7"/>
      <c r="D114" s="8"/>
      <c r="E114" s="9"/>
      <c r="F114" s="9"/>
      <c r="G114" s="31"/>
    </row>
    <row r="115" spans="1:8" x14ac:dyDescent="0.2">
      <c r="A115" s="8"/>
      <c r="B115" s="18"/>
      <c r="C115" s="7"/>
      <c r="D115" s="8"/>
      <c r="E115" s="9"/>
      <c r="F115" s="9"/>
      <c r="G115" s="31"/>
    </row>
    <row r="116" spans="1:8" x14ac:dyDescent="0.2">
      <c r="A116" s="8"/>
      <c r="B116" s="18"/>
      <c r="C116" s="7"/>
      <c r="D116" s="8"/>
      <c r="E116" s="9"/>
      <c r="F116" s="9"/>
      <c r="G116" s="31"/>
    </row>
    <row r="117" spans="1:8" x14ac:dyDescent="0.2">
      <c r="A117" s="8"/>
      <c r="B117" s="18"/>
      <c r="C117" s="7"/>
      <c r="D117" s="8"/>
      <c r="E117" s="9"/>
      <c r="F117" s="9"/>
      <c r="G117" s="31"/>
    </row>
    <row r="118" spans="1:8" x14ac:dyDescent="0.2">
      <c r="A118" s="8"/>
      <c r="B118" s="18"/>
      <c r="C118" s="7"/>
      <c r="D118" s="8"/>
      <c r="E118" s="9"/>
      <c r="F118" s="9"/>
      <c r="G118" s="31"/>
    </row>
    <row r="119" spans="1:8" x14ac:dyDescent="0.2">
      <c r="A119" s="8"/>
      <c r="B119" s="18"/>
      <c r="C119" s="7"/>
      <c r="D119" s="8"/>
      <c r="E119" s="9"/>
      <c r="F119" s="9"/>
      <c r="G119" s="31"/>
    </row>
    <row r="120" spans="1:8" x14ac:dyDescent="0.2">
      <c r="A120" s="8"/>
      <c r="B120" s="18"/>
      <c r="C120" s="7"/>
      <c r="D120" s="8"/>
      <c r="E120" s="9"/>
      <c r="F120" s="9"/>
      <c r="G120" s="31"/>
    </row>
    <row r="121" spans="1:8" x14ac:dyDescent="0.2">
      <c r="A121" s="8"/>
      <c r="B121" s="18"/>
      <c r="C121" s="7"/>
      <c r="D121" s="8"/>
      <c r="E121" s="9"/>
      <c r="F121" s="9"/>
      <c r="G121" s="31"/>
    </row>
    <row r="122" spans="1:8" x14ac:dyDescent="0.2">
      <c r="A122" s="8"/>
      <c r="B122" s="18"/>
      <c r="C122" s="7"/>
      <c r="D122" s="8"/>
      <c r="E122" s="9"/>
      <c r="F122" s="9"/>
      <c r="G122" s="31"/>
    </row>
    <row r="123" spans="1:8" x14ac:dyDescent="0.2">
      <c r="A123" s="8"/>
      <c r="B123" s="18"/>
      <c r="C123" s="7"/>
      <c r="D123" s="8"/>
      <c r="E123" s="9"/>
      <c r="F123" s="9"/>
      <c r="G123" s="31"/>
    </row>
    <row r="124" spans="1:8" x14ac:dyDescent="0.2">
      <c r="A124" s="8"/>
      <c r="B124" s="18"/>
      <c r="C124" s="7"/>
      <c r="D124" s="8"/>
      <c r="E124" s="9"/>
      <c r="F124" s="9"/>
      <c r="G124" s="31"/>
    </row>
    <row r="125" spans="1:8" x14ac:dyDescent="0.2">
      <c r="A125" s="8"/>
      <c r="B125" s="18"/>
      <c r="C125" s="7"/>
      <c r="D125" s="8"/>
      <c r="E125" s="9"/>
      <c r="F125" s="9"/>
      <c r="G125" s="31"/>
    </row>
    <row r="126" spans="1:8" x14ac:dyDescent="0.2">
      <c r="A126" s="32" t="s">
        <v>21</v>
      </c>
      <c r="B126" s="33"/>
      <c r="C126" s="33"/>
      <c r="D126" s="33"/>
      <c r="E126" s="33"/>
      <c r="F126" s="34">
        <f>SUM(G2:G125)</f>
        <v>9985000</v>
      </c>
      <c r="G126" s="34"/>
      <c r="H126" s="25"/>
    </row>
    <row r="161" spans="8:8" x14ac:dyDescent="0.2">
      <c r="H161" s="25"/>
    </row>
  </sheetData>
  <mergeCells count="78">
    <mergeCell ref="A105:A106"/>
    <mergeCell ref="B105:B106"/>
    <mergeCell ref="G105:G106"/>
    <mergeCell ref="A126:E126"/>
    <mergeCell ref="F126:G126"/>
    <mergeCell ref="A96:A97"/>
    <mergeCell ref="B96:B97"/>
    <mergeCell ref="G96:G97"/>
    <mergeCell ref="A98:A104"/>
    <mergeCell ref="B98:B104"/>
    <mergeCell ref="G98:G104"/>
    <mergeCell ref="A90:A92"/>
    <mergeCell ref="B90:B92"/>
    <mergeCell ref="G90:G92"/>
    <mergeCell ref="A93:A95"/>
    <mergeCell ref="B93:B95"/>
    <mergeCell ref="G93:G95"/>
    <mergeCell ref="A83:A84"/>
    <mergeCell ref="B83:B84"/>
    <mergeCell ref="G83:G84"/>
    <mergeCell ref="A85:A89"/>
    <mergeCell ref="B85:B89"/>
    <mergeCell ref="G85:G89"/>
    <mergeCell ref="N68:N70"/>
    <mergeCell ref="A70:A80"/>
    <mergeCell ref="B70:B80"/>
    <mergeCell ref="G70:G80"/>
    <mergeCell ref="A81:A82"/>
    <mergeCell ref="B81:B82"/>
    <mergeCell ref="G81:G82"/>
    <mergeCell ref="A62:A63"/>
    <mergeCell ref="B62:B63"/>
    <mergeCell ref="G62:G63"/>
    <mergeCell ref="A64:A69"/>
    <mergeCell ref="B64:B69"/>
    <mergeCell ref="G64:G69"/>
    <mergeCell ref="A54:A56"/>
    <mergeCell ref="B54:B56"/>
    <mergeCell ref="G54:G56"/>
    <mergeCell ref="A57:A61"/>
    <mergeCell ref="B57:B61"/>
    <mergeCell ref="G57:G61"/>
    <mergeCell ref="A42:A47"/>
    <mergeCell ref="B42:B47"/>
    <mergeCell ref="G42:G47"/>
    <mergeCell ref="A48:A53"/>
    <mergeCell ref="B48:B53"/>
    <mergeCell ref="G48:G53"/>
    <mergeCell ref="A34:A38"/>
    <mergeCell ref="B34:B38"/>
    <mergeCell ref="G34:G38"/>
    <mergeCell ref="A39:A41"/>
    <mergeCell ref="B39:B41"/>
    <mergeCell ref="G39:G41"/>
    <mergeCell ref="A28:A30"/>
    <mergeCell ref="B28:B30"/>
    <mergeCell ref="G28:G30"/>
    <mergeCell ref="A31:A33"/>
    <mergeCell ref="B31:B33"/>
    <mergeCell ref="G31:G33"/>
    <mergeCell ref="A17:A22"/>
    <mergeCell ref="B17:B22"/>
    <mergeCell ref="G17:G22"/>
    <mergeCell ref="A24:A27"/>
    <mergeCell ref="B24:B27"/>
    <mergeCell ref="G24:G27"/>
    <mergeCell ref="A8:A13"/>
    <mergeCell ref="B8:B13"/>
    <mergeCell ref="G8:G13"/>
    <mergeCell ref="A14:A16"/>
    <mergeCell ref="B14:B16"/>
    <mergeCell ref="G14:G16"/>
    <mergeCell ref="A2:A4"/>
    <mergeCell ref="B2:B4"/>
    <mergeCell ref="G2:G4"/>
    <mergeCell ref="A5:A7"/>
    <mergeCell ref="B5:B7"/>
    <mergeCell ref="G5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WARUNG EKA (Drinks, Etc)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2026-04-01T18:15:30Z</dcterms:created>
  <dcterms:modified xsi:type="dcterms:W3CDTF">2026-04-01T18:17:06Z</dcterms:modified>
</cp:coreProperties>
</file>