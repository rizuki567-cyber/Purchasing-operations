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COMBINED OUTSTANDING/"/>
    </mc:Choice>
  </mc:AlternateContent>
  <xr:revisionPtr revIDLastSave="0" documentId="13_ncr:1_{04367D85-715E-5549-BE89-1CBC64C72C39}" xr6:coauthVersionLast="47" xr6:coauthVersionMax="47" xr10:uidLastSave="{00000000-0000-0000-0000-000000000000}"/>
  <bookViews>
    <workbookView xWindow="5080" yWindow="4700" windowWidth="26040" windowHeight="14680" xr2:uid="{1F98C753-1266-A548-BE63-34F64563BA05}"/>
  </bookViews>
  <sheets>
    <sheet name="BUK BUNGA (Groceries)" sheetId="1" r:id="rId1"/>
  </sheets>
  <definedNames>
    <definedName name="_xlnm._FilterDatabase" localSheetId="0" hidden="1">'BUK BUNGA (Groceries)'!$A$1:$F$314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P205" i="1"/>
  <c r="P204" i="1"/>
  <c r="Q204" i="1" s="1"/>
  <c r="P203" i="1"/>
  <c r="P202" i="1"/>
  <c r="P201" i="1"/>
  <c r="P200" i="1"/>
  <c r="Q200" i="1" s="1"/>
  <c r="P198" i="1"/>
  <c r="P197" i="1"/>
  <c r="P196" i="1"/>
  <c r="P195" i="1"/>
  <c r="P194" i="1"/>
  <c r="P193" i="1"/>
  <c r="P192" i="1"/>
  <c r="Q192" i="1" s="1"/>
  <c r="P191" i="1"/>
  <c r="Q190" i="1"/>
  <c r="P190" i="1"/>
  <c r="P189" i="1"/>
  <c r="P188" i="1"/>
  <c r="P187" i="1"/>
  <c r="P186" i="1"/>
  <c r="Q186" i="1" s="1"/>
  <c r="P185" i="1"/>
  <c r="P184" i="1"/>
  <c r="P183" i="1"/>
  <c r="P182" i="1"/>
  <c r="P181" i="1"/>
  <c r="Q180" i="1" s="1"/>
  <c r="P179" i="1"/>
  <c r="P178" i="1"/>
  <c r="P177" i="1"/>
  <c r="P176" i="1"/>
  <c r="P175" i="1"/>
  <c r="P174" i="1"/>
  <c r="Q174" i="1" s="1"/>
  <c r="Q173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0" i="1"/>
  <c r="P159" i="1"/>
  <c r="P157" i="1"/>
  <c r="P156" i="1"/>
  <c r="P155" i="1"/>
  <c r="P154" i="1"/>
  <c r="Q154" i="1" s="1"/>
  <c r="P153" i="1"/>
  <c r="P152" i="1"/>
  <c r="P151" i="1"/>
  <c r="P150" i="1"/>
  <c r="P149" i="1"/>
  <c r="P148" i="1"/>
  <c r="Q148" i="1" s="1"/>
  <c r="P147" i="1"/>
  <c r="P146" i="1"/>
  <c r="P145" i="1"/>
  <c r="P144" i="1"/>
  <c r="P143" i="1"/>
  <c r="P142" i="1"/>
  <c r="P140" i="1"/>
  <c r="P139" i="1"/>
  <c r="P136" i="1"/>
  <c r="P135" i="1"/>
  <c r="P134" i="1"/>
  <c r="Q134" i="1" s="1"/>
  <c r="P133" i="1"/>
  <c r="P132" i="1"/>
  <c r="P131" i="1"/>
  <c r="P130" i="1"/>
  <c r="P129" i="1"/>
  <c r="Q129" i="1" s="1"/>
  <c r="P128" i="1"/>
  <c r="P127" i="1"/>
  <c r="P126" i="1"/>
  <c r="P125" i="1"/>
  <c r="P124" i="1"/>
  <c r="P123" i="1"/>
  <c r="P122" i="1"/>
  <c r="Q121" i="1" s="1"/>
  <c r="P121" i="1"/>
  <c r="P120" i="1"/>
  <c r="P119" i="1"/>
  <c r="P118" i="1"/>
  <c r="P117" i="1"/>
  <c r="P115" i="1"/>
  <c r="P113" i="1"/>
  <c r="P112" i="1"/>
  <c r="P109" i="1"/>
  <c r="Q106" i="1" s="1"/>
  <c r="P106" i="1"/>
  <c r="P105" i="1"/>
  <c r="P104" i="1"/>
  <c r="P103" i="1"/>
  <c r="P102" i="1"/>
  <c r="P100" i="1"/>
  <c r="P98" i="1"/>
  <c r="P97" i="1"/>
  <c r="Q96" i="1" s="1"/>
  <c r="P96" i="1"/>
  <c r="P95" i="1"/>
  <c r="P94" i="1"/>
  <c r="P93" i="1"/>
  <c r="P92" i="1"/>
  <c r="P91" i="1"/>
  <c r="P89" i="1"/>
  <c r="P88" i="1"/>
  <c r="Q88" i="1" s="1"/>
  <c r="P87" i="1"/>
  <c r="P86" i="1"/>
  <c r="P85" i="1"/>
  <c r="P84" i="1"/>
  <c r="P83" i="1"/>
  <c r="P82" i="1"/>
  <c r="P81" i="1"/>
  <c r="P80" i="1"/>
  <c r="P79" i="1"/>
  <c r="Q79" i="1" s="1"/>
  <c r="P78" i="1"/>
  <c r="P77" i="1"/>
  <c r="P76" i="1"/>
  <c r="P75" i="1"/>
  <c r="P74" i="1"/>
  <c r="P73" i="1"/>
  <c r="P71" i="1"/>
  <c r="P70" i="1"/>
  <c r="P69" i="1"/>
  <c r="Q68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Q56" i="1" s="1"/>
  <c r="P55" i="1"/>
  <c r="P54" i="1"/>
  <c r="P53" i="1"/>
  <c r="P52" i="1"/>
  <c r="P51" i="1"/>
  <c r="Q51" i="1" s="1"/>
  <c r="P50" i="1"/>
  <c r="P49" i="1"/>
  <c r="P48" i="1"/>
  <c r="P47" i="1"/>
  <c r="P46" i="1"/>
  <c r="P45" i="1"/>
  <c r="P44" i="1"/>
  <c r="P43" i="1"/>
  <c r="P42" i="1"/>
  <c r="P41" i="1"/>
  <c r="P40" i="1"/>
  <c r="Q39" i="1" s="1"/>
  <c r="P39" i="1"/>
  <c r="P38" i="1"/>
  <c r="P37" i="1"/>
  <c r="P36" i="1"/>
  <c r="P35" i="1"/>
  <c r="P34" i="1"/>
  <c r="P33" i="1"/>
  <c r="P32" i="1"/>
  <c r="P31" i="1"/>
  <c r="Q29" i="1" s="1"/>
  <c r="P29" i="1"/>
  <c r="P28" i="1"/>
  <c r="P27" i="1"/>
  <c r="P26" i="1"/>
  <c r="P25" i="1"/>
  <c r="P24" i="1"/>
  <c r="P23" i="1"/>
  <c r="P20" i="1"/>
  <c r="P19" i="1"/>
  <c r="P18" i="1"/>
  <c r="P17" i="1"/>
  <c r="P16" i="1"/>
  <c r="Q16" i="1" s="1"/>
  <c r="P15" i="1"/>
  <c r="P14" i="1"/>
  <c r="P13" i="1"/>
  <c r="P12" i="1"/>
  <c r="P11" i="1"/>
  <c r="P9" i="1"/>
  <c r="P8" i="1"/>
  <c r="P7" i="1"/>
  <c r="Q7" i="1" s="1"/>
  <c r="P6" i="1"/>
  <c r="P5" i="1"/>
  <c r="P4" i="1"/>
  <c r="P3" i="1"/>
  <c r="P2" i="1"/>
  <c r="Q2" i="1" s="1"/>
  <c r="E309" i="1"/>
  <c r="E308" i="1"/>
  <c r="E307" i="1"/>
  <c r="E306" i="1"/>
  <c r="E305" i="1"/>
  <c r="E304" i="1"/>
  <c r="E303" i="1"/>
  <c r="E302" i="1"/>
  <c r="E301" i="1"/>
  <c r="E300" i="1"/>
  <c r="F299" i="1" s="1"/>
  <c r="E299" i="1"/>
  <c r="E298" i="1"/>
  <c r="E297" i="1"/>
  <c r="E296" i="1"/>
  <c r="E295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F280" i="1" s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F265" i="1" s="1"/>
  <c r="E264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F248" i="1" s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3" i="1"/>
  <c r="E232" i="1"/>
  <c r="E231" i="1"/>
  <c r="E230" i="1"/>
  <c r="E229" i="1"/>
  <c r="E228" i="1"/>
  <c r="E227" i="1"/>
  <c r="F227" i="1" s="1"/>
  <c r="E226" i="1"/>
  <c r="E225" i="1"/>
  <c r="E224" i="1"/>
  <c r="E222" i="1"/>
  <c r="E221" i="1"/>
  <c r="E220" i="1"/>
  <c r="E219" i="1"/>
  <c r="E218" i="1"/>
  <c r="F218" i="1" s="1"/>
  <c r="E217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F196" i="1" s="1"/>
  <c r="E195" i="1"/>
  <c r="E194" i="1"/>
  <c r="E193" i="1"/>
  <c r="E192" i="1"/>
  <c r="E191" i="1"/>
  <c r="E189" i="1"/>
  <c r="E188" i="1"/>
  <c r="E187" i="1"/>
  <c r="E186" i="1"/>
  <c r="E185" i="1"/>
  <c r="E184" i="1"/>
  <c r="E183" i="1"/>
  <c r="E182" i="1"/>
  <c r="E180" i="1"/>
  <c r="F178" i="1" s="1"/>
  <c r="E179" i="1"/>
  <c r="E178" i="1"/>
  <c r="E177" i="1"/>
  <c r="E176" i="1"/>
  <c r="E175" i="1"/>
  <c r="E174" i="1"/>
  <c r="E173" i="1"/>
  <c r="E172" i="1"/>
  <c r="E171" i="1"/>
  <c r="E170" i="1"/>
  <c r="E169" i="1"/>
  <c r="F168" i="1" s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F155" i="1" s="1"/>
  <c r="E154" i="1"/>
  <c r="E153" i="1"/>
  <c r="E152" i="1"/>
  <c r="F152" i="1" s="1"/>
  <c r="E151" i="1"/>
  <c r="E150" i="1"/>
  <c r="E149" i="1"/>
  <c r="E148" i="1"/>
  <c r="E147" i="1"/>
  <c r="E146" i="1"/>
  <c r="E145" i="1"/>
  <c r="E144" i="1"/>
  <c r="E143" i="1"/>
  <c r="E142" i="1"/>
  <c r="F141" i="1" s="1"/>
  <c r="E141" i="1"/>
  <c r="E140" i="1"/>
  <c r="E139" i="1"/>
  <c r="E138" i="1"/>
  <c r="E137" i="1"/>
  <c r="E136" i="1"/>
  <c r="F135" i="1"/>
  <c r="E134" i="1"/>
  <c r="E133" i="1"/>
  <c r="E132" i="1"/>
  <c r="E131" i="1"/>
  <c r="E130" i="1"/>
  <c r="E129" i="1"/>
  <c r="E127" i="1"/>
  <c r="E126" i="1"/>
  <c r="F126" i="1" s="1"/>
  <c r="E125" i="1"/>
  <c r="E124" i="1"/>
  <c r="E123" i="1"/>
  <c r="E122" i="1"/>
  <c r="E121" i="1"/>
  <c r="E119" i="1"/>
  <c r="E118" i="1"/>
  <c r="E117" i="1"/>
  <c r="E116" i="1"/>
  <c r="F116" i="1" s="1"/>
  <c r="E115" i="1"/>
  <c r="E114" i="1"/>
  <c r="E113" i="1"/>
  <c r="E112" i="1"/>
  <c r="E111" i="1"/>
  <c r="E110" i="1"/>
  <c r="E109" i="1"/>
  <c r="E108" i="1"/>
  <c r="E107" i="1"/>
  <c r="E106" i="1"/>
  <c r="E105" i="1"/>
  <c r="E104" i="1"/>
  <c r="F104" i="1" s="1"/>
  <c r="E102" i="1"/>
  <c r="E101" i="1"/>
  <c r="E100" i="1"/>
  <c r="F100" i="1" s="1"/>
  <c r="E99" i="1"/>
  <c r="E98" i="1"/>
  <c r="E97" i="1"/>
  <c r="F96" i="1"/>
  <c r="E96" i="1"/>
  <c r="E95" i="1"/>
  <c r="E94" i="1"/>
  <c r="E93" i="1"/>
  <c r="E92" i="1"/>
  <c r="E91" i="1"/>
  <c r="E90" i="1"/>
  <c r="E87" i="1"/>
  <c r="E86" i="1"/>
  <c r="E85" i="1"/>
  <c r="F83" i="1" s="1"/>
  <c r="E84" i="1"/>
  <c r="E83" i="1"/>
  <c r="E82" i="1"/>
  <c r="E81" i="1"/>
  <c r="E80" i="1"/>
  <c r="E79" i="1"/>
  <c r="E78" i="1"/>
  <c r="E77" i="1"/>
  <c r="E76" i="1"/>
  <c r="E74" i="1"/>
  <c r="E73" i="1"/>
  <c r="E72" i="1"/>
  <c r="E71" i="1"/>
  <c r="E70" i="1"/>
  <c r="F70" i="1" s="1"/>
  <c r="E68" i="1"/>
  <c r="E67" i="1"/>
  <c r="E66" i="1"/>
  <c r="E65" i="1"/>
  <c r="E64" i="1"/>
  <c r="E63" i="1"/>
  <c r="F61" i="1" s="1"/>
  <c r="E62" i="1"/>
  <c r="E61" i="1"/>
  <c r="E60" i="1"/>
  <c r="E59" i="1"/>
  <c r="E58" i="1"/>
  <c r="E57" i="1"/>
  <c r="E56" i="1"/>
  <c r="E55" i="1"/>
  <c r="E54" i="1"/>
  <c r="E53" i="1"/>
  <c r="E52" i="1"/>
  <c r="E51" i="1"/>
  <c r="F51" i="1" s="1"/>
  <c r="E50" i="1"/>
  <c r="E49" i="1"/>
  <c r="E48" i="1"/>
  <c r="E47" i="1"/>
  <c r="E46" i="1"/>
  <c r="E45" i="1"/>
  <c r="E44" i="1"/>
  <c r="E43" i="1"/>
  <c r="E42" i="1"/>
  <c r="E39" i="1"/>
  <c r="E37" i="1"/>
  <c r="E36" i="1"/>
  <c r="E35" i="1"/>
  <c r="E34" i="1"/>
  <c r="E33" i="1"/>
  <c r="F33" i="1" s="1"/>
  <c r="E32" i="1"/>
  <c r="E31" i="1"/>
  <c r="E30" i="1"/>
  <c r="E29" i="1"/>
  <c r="E28" i="1"/>
  <c r="F28" i="1" s="1"/>
  <c r="E27" i="1"/>
  <c r="E26" i="1"/>
  <c r="E25" i="1"/>
  <c r="E24" i="1"/>
  <c r="E23" i="1"/>
  <c r="E22" i="1"/>
  <c r="E21" i="1"/>
  <c r="E20" i="1"/>
  <c r="E19" i="1"/>
  <c r="E18" i="1"/>
  <c r="E17" i="1"/>
  <c r="F17" i="1" s="1"/>
  <c r="E16" i="1"/>
  <c r="E15" i="1"/>
  <c r="E14" i="1"/>
  <c r="E13" i="1"/>
  <c r="E12" i="1"/>
  <c r="E11" i="1"/>
  <c r="E10" i="1"/>
  <c r="E9" i="1"/>
  <c r="E8" i="1"/>
  <c r="E7" i="1"/>
  <c r="E4" i="1"/>
  <c r="E3" i="1"/>
  <c r="E2" i="1"/>
  <c r="F2" i="1" s="1"/>
  <c r="P212" i="1" l="1"/>
  <c r="R1" i="1"/>
  <c r="E315" i="1"/>
  <c r="G1" i="1"/>
</calcChain>
</file>

<file path=xl/sharedStrings.xml><?xml version="1.0" encoding="utf-8"?>
<sst xmlns="http://schemas.openxmlformats.org/spreadsheetml/2006/main" count="525" uniqueCount="128">
  <si>
    <t>DATE</t>
  </si>
  <si>
    <t>ITEM</t>
  </si>
  <si>
    <t>QYT</t>
  </si>
  <si>
    <t>PRICE</t>
  </si>
  <si>
    <t>SUBTOTAL</t>
  </si>
  <si>
    <t>TOTAL</t>
  </si>
  <si>
    <t>SOUR CREAM</t>
  </si>
  <si>
    <t>PARSLEY</t>
  </si>
  <si>
    <t>CORIANDER</t>
  </si>
  <si>
    <t>SPRING ONION</t>
  </si>
  <si>
    <t>ROSEMARY</t>
  </si>
  <si>
    <t>FRESH MILK (DIAMOND)</t>
  </si>
  <si>
    <t>CREAM CHEESE</t>
  </si>
  <si>
    <t>MILAC WHIPPING CREAM</t>
  </si>
  <si>
    <t>KARA (200)</t>
  </si>
  <si>
    <t>BBQ SAUCE</t>
  </si>
  <si>
    <t>DOUBLE ZERO</t>
  </si>
  <si>
    <t>IMPORTED LEMON</t>
  </si>
  <si>
    <t>MANGO</t>
  </si>
  <si>
    <t>MIX BERRY</t>
  </si>
  <si>
    <t>BABY CUCUMBER</t>
  </si>
  <si>
    <t>MUSHROOM BUTTON</t>
  </si>
  <si>
    <t>EDAMAME</t>
  </si>
  <si>
    <t>NUTELLA</t>
  </si>
  <si>
    <t>COCOA POWDER (165)</t>
  </si>
  <si>
    <t>DIXI VINEGAR</t>
  </si>
  <si>
    <t>CHILI FLAKES</t>
  </si>
  <si>
    <t>OREGANO</t>
  </si>
  <si>
    <t>SAUSAGE (250)</t>
  </si>
  <si>
    <t>MAESTRO MAYONNAISE</t>
  </si>
  <si>
    <t>PARMESAN GRATED (1KG)</t>
  </si>
  <si>
    <t>MINT LEAVES</t>
  </si>
  <si>
    <t>SUNKIST</t>
  </si>
  <si>
    <t>WHOLE WHEAT FLOUR</t>
  </si>
  <si>
    <t>SESAME DRESSING</t>
  </si>
  <si>
    <t>KEWPIE MAYONNAISE</t>
  </si>
  <si>
    <t>CELERY</t>
  </si>
  <si>
    <t>DILL</t>
  </si>
  <si>
    <t>LEEK</t>
  </si>
  <si>
    <t>BASIL</t>
  </si>
  <si>
    <t>BAKING POWDER (110 GR)</t>
  </si>
  <si>
    <t>BAKING SODA KOEPOE (81GR)</t>
  </si>
  <si>
    <t>LADY FINGER</t>
  </si>
  <si>
    <t>ROMA KELAPA</t>
  </si>
  <si>
    <t>FRENCH FRIES (2KG)</t>
  </si>
  <si>
    <t>CASHEWNUT</t>
  </si>
  <si>
    <t>SALAD OIL</t>
  </si>
  <si>
    <t>CURRY POWDER</t>
  </si>
  <si>
    <t>GARLIC POWDER</t>
  </si>
  <si>
    <t>PARMESAN BLOCK</t>
  </si>
  <si>
    <t>BIG RED CHILI</t>
  </si>
  <si>
    <t>TORTILLA</t>
  </si>
  <si>
    <t>HAM (1KG)</t>
  </si>
  <si>
    <t>FETA CHEESE</t>
  </si>
  <si>
    <t>CHOCO CHIPS</t>
  </si>
  <si>
    <t>SEMOLINA</t>
  </si>
  <si>
    <t>PEANUT</t>
  </si>
  <si>
    <t>BANANA</t>
  </si>
  <si>
    <t>SALTY SOY SAUCE</t>
  </si>
  <si>
    <t>FISH SAUCE</t>
  </si>
  <si>
    <t>BACON</t>
  </si>
  <si>
    <t>LIME</t>
  </si>
  <si>
    <t>WILD ROCKET</t>
  </si>
  <si>
    <t>QUAIL EGG</t>
  </si>
  <si>
    <t>CHILLI PEPPER</t>
  </si>
  <si>
    <t>GREEN PEAS</t>
  </si>
  <si>
    <t>GORGONZOLA</t>
  </si>
  <si>
    <t>GREEN APPLE</t>
  </si>
  <si>
    <t>CUCUMBER</t>
  </si>
  <si>
    <t>CASHEW NUT</t>
  </si>
  <si>
    <t>TOMATO SAUCE</t>
  </si>
  <si>
    <t>CHILLI SAUCE</t>
  </si>
  <si>
    <t>CHOCO POWDER (165) VAN HOUTTEN</t>
  </si>
  <si>
    <t>BAKING POWDER (450 GR) HERCULES</t>
  </si>
  <si>
    <t>COCONUT FLAKES</t>
  </si>
  <si>
    <t>L&amp;P</t>
  </si>
  <si>
    <t>SHALLOT</t>
  </si>
  <si>
    <t>WHITE PEAR</t>
  </si>
  <si>
    <t>CHEDDAR CHEESE</t>
  </si>
  <si>
    <t>OAT MEAL</t>
  </si>
  <si>
    <t>BLACK OLIVE</t>
  </si>
  <si>
    <t>SPAGHETTI</t>
  </si>
  <si>
    <t>THYME</t>
  </si>
  <si>
    <t>BACON (1KG)</t>
  </si>
  <si>
    <t>BRIE CHEESE</t>
  </si>
  <si>
    <t>FRENCH FRIES (2KG) 3 PAX = 6 KG</t>
  </si>
  <si>
    <t>PENNE</t>
  </si>
  <si>
    <t>BAKED BEANS</t>
  </si>
  <si>
    <t>AVOCADO</t>
  </si>
  <si>
    <t>MOZARELLA</t>
  </si>
  <si>
    <t>BLACK PEPPER WHOLE</t>
  </si>
  <si>
    <t>CHEDDAR CHEESE SLICE</t>
  </si>
  <si>
    <t>JALAPENO</t>
  </si>
  <si>
    <t>PUMPKIN SEED</t>
  </si>
  <si>
    <t>MOZARELLA BLOCK</t>
  </si>
  <si>
    <t>ICEBERG</t>
  </si>
  <si>
    <t>WATERMELON</t>
  </si>
  <si>
    <t>BANGKOK SAUCE</t>
  </si>
  <si>
    <t>FRENCH FRIES (1 KG)</t>
  </si>
  <si>
    <t>SUB TOTAL</t>
  </si>
  <si>
    <t>KINTAMANI ORANGE</t>
  </si>
  <si>
    <t>WHITE SUGAR</t>
  </si>
  <si>
    <t>HONEY PINEAPPLE</t>
  </si>
  <si>
    <t>GREEN MUSTARD</t>
  </si>
  <si>
    <t>FRESH MILK (GREENFIELDS)</t>
  </si>
  <si>
    <t>OAT MILK</t>
  </si>
  <si>
    <t>ALMOND MILK</t>
  </si>
  <si>
    <t>CARROT</t>
  </si>
  <si>
    <t>BEET ROOT</t>
  </si>
  <si>
    <t>STRAWBERRY</t>
  </si>
  <si>
    <t>HONEY BLOSSOM</t>
  </si>
  <si>
    <t>YOGHURT</t>
  </si>
  <si>
    <t>PEANUT BUTTER (SKIPPY)</t>
  </si>
  <si>
    <t>ENGLISH SPINACH</t>
  </si>
  <si>
    <t>OAT SIDE</t>
  </si>
  <si>
    <t>CHILI</t>
  </si>
  <si>
    <t>SOYA MILK</t>
  </si>
  <si>
    <t>YAKULT</t>
  </si>
  <si>
    <t>SARIWANGI</t>
  </si>
  <si>
    <t>GINGER</t>
  </si>
  <si>
    <t>CHILI PEPPER</t>
  </si>
  <si>
    <t>LYCHEE CAN</t>
  </si>
  <si>
    <t>KARA</t>
  </si>
  <si>
    <t>HYDRO COCO</t>
  </si>
  <si>
    <t>CHERRY</t>
  </si>
  <si>
    <t>EGG</t>
  </si>
  <si>
    <t>TEH BOTOL KOTAK</t>
  </si>
  <si>
    <t>TOTAL BOTH KITCHEN &amp;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</si>
</sst>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[$Rp-421]#,##0;[Red][$Rp-421]#,##0"/>
    <numFmt numFmtId="166" formatCode="_-&quot;Rp&quot;* #,##0_-;\-&quot;Rp&quot;* #,##0_-;_-&quot;Rp&quot;* &quot;-&quot;??_-;_-@_-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5" fillId="3" borderId="0" xfId="0" applyNumberFormat="1" applyFont="1" applyFill="1">
      <alignment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66" fontId="0" fillId="4" borderId="1" xfId="0" applyNumberFormat="1" applyFill="1" applyBorder="1">
      <alignment vertical="center"/>
    </xf>
    <xf numFmtId="166" fontId="0" fillId="0" borderId="5" xfId="0" applyNumberForma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6" fontId="0" fillId="0" borderId="0" xfId="0" applyNumberFormat="1">
      <alignment vertical="center"/>
    </xf>
    <xf numFmtId="164" fontId="1" fillId="0" borderId="7" xfId="0" applyNumberFormat="1" applyFon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2" fillId="0" borderId="1" xfId="0" applyFont="1" applyBorder="1">
      <alignment vertical="center"/>
    </xf>
    <xf numFmtId="166" fontId="0" fillId="4" borderId="3" xfId="0" applyNumberFormat="1" applyFill="1" applyBorder="1">
      <alignment vertical="center"/>
    </xf>
    <xf numFmtId="166" fontId="0" fillId="4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1" fillId="0" borderId="7" xfId="0" applyNumberFormat="1" applyFon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64" fontId="1" fillId="0" borderId="1" xfId="0" applyNumberFormat="1" applyFont="1" applyBorder="1">
      <alignment vertical="center"/>
    </xf>
    <xf numFmtId="166" fontId="0" fillId="0" borderId="1" xfId="0" applyNumberFormat="1" applyBorder="1">
      <alignment vertical="center"/>
    </xf>
    <xf numFmtId="166" fontId="0" fillId="4" borderId="4" xfId="0" applyNumberFormat="1" applyFill="1" applyBorder="1" applyAlignment="1">
      <alignment horizontal="center" vertical="center"/>
    </xf>
    <xf numFmtId="166" fontId="0" fillId="4" borderId="3" xfId="0" applyNumberForma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1" fillId="4" borderId="5" xfId="0" applyNumberFormat="1" applyFont="1" applyFill="1" applyBorder="1" applyAlignment="1">
      <alignment horizontal="center" vertical="center"/>
    </xf>
    <xf numFmtId="166" fontId="0" fillId="4" borderId="5" xfId="0" applyNumberFormat="1" applyFill="1" applyBorder="1" applyAlignment="1">
      <alignment horizontal="center" vertical="center"/>
    </xf>
    <xf numFmtId="164" fontId="1" fillId="4" borderId="6" xfId="0" applyNumberFormat="1" applyFont="1" applyFill="1" applyBorder="1" applyAlignment="1">
      <alignment horizontal="center" vertical="center"/>
    </xf>
    <xf numFmtId="166" fontId="0" fillId="4" borderId="6" xfId="0" applyNumberFormat="1" applyFill="1" applyBorder="1" applyAlignment="1">
      <alignment horizontal="center" vertical="center"/>
    </xf>
    <xf numFmtId="164" fontId="1" fillId="4" borderId="7" xfId="0" applyNumberFormat="1" applyFont="1" applyFill="1" applyBorder="1" applyAlignment="1">
      <alignment horizontal="center" vertical="center"/>
    </xf>
    <xf numFmtId="166" fontId="0" fillId="4" borderId="7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6" fontId="0" fillId="4" borderId="5" xfId="0" applyNumberFormat="1" applyFill="1" applyBorder="1">
      <alignment vertical="center"/>
    </xf>
    <xf numFmtId="164" fontId="1" fillId="4" borderId="7" xfId="0" applyNumberFormat="1" applyFont="1" applyFill="1" applyBorder="1" applyAlignment="1">
      <alignment horizontal="center" vertical="center"/>
    </xf>
    <xf numFmtId="166" fontId="0" fillId="4" borderId="7" xfId="0" applyNumberFormat="1" applyFill="1" applyBorder="1" applyAlignment="1">
      <alignment horizontal="center" vertical="center"/>
    </xf>
    <xf numFmtId="0" fontId="2" fillId="0" borderId="0" xfId="0" applyFont="1">
      <alignment vertical="center"/>
    </xf>
    <xf numFmtId="166" fontId="0" fillId="4" borderId="1" xfId="0" applyNumberForma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3FC2F-3C2F-5B47-9BAA-233CFE80C691}">
  <dimension ref="A1:R321"/>
  <sheetViews>
    <sheetView tabSelected="1" zoomScale="125" zoomScaleNormal="10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H12" sqref="H12"/>
    </sheetView>
  </sheetViews>
  <sheetFormatPr baseColWidth="10" defaultColWidth="9.1640625" defaultRowHeight="16" x14ac:dyDescent="0.2"/>
  <cols>
    <col min="1" max="1" width="12" style="30" bestFit="1" customWidth="1"/>
    <col min="2" max="2" width="30.33203125" style="32" bestFit="1" customWidth="1"/>
    <col min="3" max="3" width="5.1640625" style="20" bestFit="1" customWidth="1"/>
    <col min="4" max="4" width="12.1640625" bestFit="1" customWidth="1"/>
    <col min="5" max="5" width="10.6640625" bestFit="1" customWidth="1"/>
    <col min="6" max="7" width="12.1640625" bestFit="1" customWidth="1"/>
    <col min="8" max="8" width="22.6640625" customWidth="1"/>
    <col min="12" max="12" width="12" bestFit="1" customWidth="1"/>
    <col min="13" max="13" width="22.1640625" bestFit="1" customWidth="1"/>
    <col min="14" max="14" width="7.1640625" bestFit="1" customWidth="1"/>
    <col min="15" max="15" width="10.6640625" bestFit="1" customWidth="1"/>
    <col min="16" max="16" width="11" bestFit="1" customWidth="1"/>
    <col min="17" max="18" width="12.1640625" bestFit="1" customWidth="1"/>
  </cols>
  <sheetData>
    <row r="1" spans="1:18" ht="22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>
        <f>SUM(F:F)</f>
        <v>36275000</v>
      </c>
      <c r="L1" s="33" t="s">
        <v>0</v>
      </c>
      <c r="M1" s="3" t="s">
        <v>1</v>
      </c>
      <c r="N1" s="3" t="s">
        <v>2</v>
      </c>
      <c r="O1" s="3" t="s">
        <v>3</v>
      </c>
      <c r="P1" s="3" t="s">
        <v>99</v>
      </c>
      <c r="Q1" s="34" t="s">
        <v>5</v>
      </c>
      <c r="R1" s="6">
        <f>SUM(Q:Q)</f>
        <v>15397000</v>
      </c>
    </row>
    <row r="2" spans="1:18" ht="15" customHeight="1" x14ac:dyDescent="0.2">
      <c r="A2" s="7">
        <v>46082</v>
      </c>
      <c r="B2" s="8" t="s">
        <v>6</v>
      </c>
      <c r="C2" s="9">
        <v>1</v>
      </c>
      <c r="D2" s="10">
        <v>170000</v>
      </c>
      <c r="E2" s="10">
        <f>D2*C2</f>
        <v>170000</v>
      </c>
      <c r="F2" s="11">
        <f>SUM(E2:E16)</f>
        <v>1694000</v>
      </c>
      <c r="L2" s="35">
        <v>46082</v>
      </c>
      <c r="M2" s="8" t="s">
        <v>32</v>
      </c>
      <c r="N2" s="9">
        <v>1</v>
      </c>
      <c r="O2" s="10">
        <v>40000</v>
      </c>
      <c r="P2" s="10">
        <f>O2*N2</f>
        <v>40000</v>
      </c>
      <c r="Q2" s="36">
        <f>SUM(P2:P6)</f>
        <v>390000</v>
      </c>
    </row>
    <row r="3" spans="1:18" ht="15" customHeight="1" x14ac:dyDescent="0.2">
      <c r="A3" s="12"/>
      <c r="B3" s="8" t="s">
        <v>7</v>
      </c>
      <c r="C3" s="9">
        <v>0.1</v>
      </c>
      <c r="D3" s="10">
        <v>80000</v>
      </c>
      <c r="E3" s="10">
        <f t="shared" ref="E3:E66" si="0">D3*C3</f>
        <v>8000</v>
      </c>
      <c r="F3" s="13"/>
      <c r="L3" s="37"/>
      <c r="M3" s="8" t="s">
        <v>17</v>
      </c>
      <c r="N3" s="9">
        <v>1</v>
      </c>
      <c r="O3" s="10">
        <v>70000</v>
      </c>
      <c r="P3" s="10">
        <f>O3*N3</f>
        <v>70000</v>
      </c>
      <c r="Q3" s="38"/>
    </row>
    <row r="4" spans="1:18" ht="15" customHeight="1" x14ac:dyDescent="0.2">
      <c r="A4" s="12"/>
      <c r="B4" s="8" t="s">
        <v>8</v>
      </c>
      <c r="C4" s="9">
        <v>0.1</v>
      </c>
      <c r="D4" s="10">
        <v>80000</v>
      </c>
      <c r="E4" s="10">
        <f t="shared" si="0"/>
        <v>8000</v>
      </c>
      <c r="F4" s="13"/>
      <c r="H4" s="49" t="s">
        <v>127</v>
      </c>
      <c r="I4" s="49"/>
      <c r="J4" s="49"/>
      <c r="L4" s="37"/>
      <c r="M4" s="8" t="s">
        <v>100</v>
      </c>
      <c r="N4" s="9">
        <v>2</v>
      </c>
      <c r="O4" s="10">
        <v>35000</v>
      </c>
      <c r="P4" s="10">
        <f>O4*N4</f>
        <v>70000</v>
      </c>
      <c r="Q4" s="38"/>
    </row>
    <row r="5" spans="1:18" ht="15" customHeight="1" x14ac:dyDescent="0.2">
      <c r="A5" s="12"/>
      <c r="B5" s="8" t="s">
        <v>9</v>
      </c>
      <c r="C5" s="9">
        <v>7.0000000000000007E-2</v>
      </c>
      <c r="D5" s="10">
        <v>80000</v>
      </c>
      <c r="E5" s="10">
        <v>6000</v>
      </c>
      <c r="F5" s="13"/>
      <c r="H5" s="50">
        <f>G1+R1</f>
        <v>51672000</v>
      </c>
      <c r="I5" s="50"/>
      <c r="J5" s="50"/>
      <c r="L5" s="37"/>
      <c r="M5" s="8" t="s">
        <v>18</v>
      </c>
      <c r="N5" s="9">
        <v>3</v>
      </c>
      <c r="O5" s="10">
        <v>50000</v>
      </c>
      <c r="P5" s="10">
        <f>O5*N5</f>
        <v>150000</v>
      </c>
      <c r="Q5" s="38"/>
    </row>
    <row r="6" spans="1:18" ht="15" customHeight="1" x14ac:dyDescent="0.2">
      <c r="A6" s="12"/>
      <c r="B6" s="8" t="s">
        <v>10</v>
      </c>
      <c r="C6" s="9">
        <v>7.0000000000000007E-2</v>
      </c>
      <c r="D6" s="10">
        <v>150000</v>
      </c>
      <c r="E6" s="10">
        <v>11000</v>
      </c>
      <c r="F6" s="13"/>
      <c r="L6" s="39"/>
      <c r="M6" s="8" t="s">
        <v>101</v>
      </c>
      <c r="N6" s="9">
        <v>3</v>
      </c>
      <c r="O6" s="10">
        <v>20000</v>
      </c>
      <c r="P6" s="10">
        <f>O6*N6</f>
        <v>60000</v>
      </c>
      <c r="Q6" s="40"/>
    </row>
    <row r="7" spans="1:18" ht="15" customHeight="1" x14ac:dyDescent="0.2">
      <c r="A7" s="12"/>
      <c r="B7" s="8" t="s">
        <v>11</v>
      </c>
      <c r="C7" s="9">
        <v>3</v>
      </c>
      <c r="D7" s="10">
        <v>22000</v>
      </c>
      <c r="E7" s="10">
        <f t="shared" si="0"/>
        <v>66000</v>
      </c>
      <c r="F7" s="13"/>
      <c r="L7" s="35">
        <v>46083</v>
      </c>
      <c r="M7" s="8" t="s">
        <v>102</v>
      </c>
      <c r="N7" s="9">
        <v>6</v>
      </c>
      <c r="O7" s="10">
        <v>10000</v>
      </c>
      <c r="P7" s="10">
        <f t="shared" ref="P7:P70" si="1">O7*N7</f>
        <v>60000</v>
      </c>
      <c r="Q7" s="36">
        <f>SUM(P7:P15)</f>
        <v>631000</v>
      </c>
    </row>
    <row r="8" spans="1:18" ht="15" customHeight="1" x14ac:dyDescent="0.2">
      <c r="A8" s="12"/>
      <c r="B8" s="8" t="s">
        <v>12</v>
      </c>
      <c r="C8" s="9">
        <v>1</v>
      </c>
      <c r="D8" s="10">
        <v>170000</v>
      </c>
      <c r="E8" s="10">
        <f t="shared" si="0"/>
        <v>170000</v>
      </c>
      <c r="F8" s="13"/>
      <c r="L8" s="37"/>
      <c r="M8" s="8" t="s">
        <v>17</v>
      </c>
      <c r="N8" s="9">
        <v>1</v>
      </c>
      <c r="O8" s="10">
        <v>70000</v>
      </c>
      <c r="P8" s="10">
        <f t="shared" si="1"/>
        <v>70000</v>
      </c>
      <c r="Q8" s="38"/>
    </row>
    <row r="9" spans="1:18" ht="15" customHeight="1" x14ac:dyDescent="0.2">
      <c r="A9" s="12"/>
      <c r="B9" s="8" t="s">
        <v>13</v>
      </c>
      <c r="C9" s="9">
        <v>3</v>
      </c>
      <c r="D9" s="10">
        <v>100000</v>
      </c>
      <c r="E9" s="10">
        <f t="shared" si="0"/>
        <v>300000</v>
      </c>
      <c r="F9" s="13"/>
      <c r="L9" s="37"/>
      <c r="M9" s="8" t="s">
        <v>100</v>
      </c>
      <c r="N9" s="9">
        <v>3</v>
      </c>
      <c r="O9" s="10">
        <v>35000</v>
      </c>
      <c r="P9" s="10">
        <f t="shared" si="1"/>
        <v>105000</v>
      </c>
      <c r="Q9" s="38"/>
    </row>
    <row r="10" spans="1:18" ht="15" customHeight="1" x14ac:dyDescent="0.2">
      <c r="A10" s="12"/>
      <c r="B10" s="8" t="s">
        <v>14</v>
      </c>
      <c r="C10" s="9">
        <v>1</v>
      </c>
      <c r="D10" s="10">
        <v>330000</v>
      </c>
      <c r="E10" s="10">
        <f t="shared" si="0"/>
        <v>330000</v>
      </c>
      <c r="F10" s="13"/>
      <c r="L10" s="37"/>
      <c r="M10" s="8" t="s">
        <v>96</v>
      </c>
      <c r="N10" s="9">
        <v>3.9550000000000001</v>
      </c>
      <c r="O10" s="10">
        <v>16000</v>
      </c>
      <c r="P10" s="10">
        <v>63000</v>
      </c>
      <c r="Q10" s="38"/>
    </row>
    <row r="11" spans="1:18" ht="15" customHeight="1" x14ac:dyDescent="0.2">
      <c r="A11" s="12"/>
      <c r="B11" s="8" t="s">
        <v>15</v>
      </c>
      <c r="C11" s="9">
        <v>3</v>
      </c>
      <c r="D11" s="10">
        <v>40000</v>
      </c>
      <c r="E11" s="10">
        <f t="shared" si="0"/>
        <v>120000</v>
      </c>
      <c r="F11" s="13"/>
      <c r="H11" s="14"/>
      <c r="L11" s="37"/>
      <c r="M11" s="8" t="s">
        <v>103</v>
      </c>
      <c r="N11" s="9">
        <v>0.3</v>
      </c>
      <c r="O11" s="10">
        <v>20000</v>
      </c>
      <c r="P11" s="10">
        <f t="shared" si="1"/>
        <v>6000</v>
      </c>
      <c r="Q11" s="38"/>
    </row>
    <row r="12" spans="1:18" ht="15" customHeight="1" x14ac:dyDescent="0.2">
      <c r="A12" s="12"/>
      <c r="B12" s="8" t="s">
        <v>16</v>
      </c>
      <c r="C12" s="9">
        <v>1</v>
      </c>
      <c r="D12" s="10">
        <v>220000</v>
      </c>
      <c r="E12" s="10">
        <f t="shared" si="0"/>
        <v>220000</v>
      </c>
      <c r="F12" s="13"/>
      <c r="L12" s="37"/>
      <c r="M12" s="8" t="s">
        <v>31</v>
      </c>
      <c r="N12" s="9">
        <v>0.2</v>
      </c>
      <c r="O12" s="10">
        <v>70000</v>
      </c>
      <c r="P12" s="10">
        <f t="shared" si="1"/>
        <v>14000</v>
      </c>
      <c r="Q12" s="38"/>
    </row>
    <row r="13" spans="1:18" ht="15" customHeight="1" x14ac:dyDescent="0.2">
      <c r="A13" s="12"/>
      <c r="B13" s="8" t="s">
        <v>17</v>
      </c>
      <c r="C13" s="9">
        <v>1</v>
      </c>
      <c r="D13" s="10">
        <v>70000</v>
      </c>
      <c r="E13" s="10">
        <f t="shared" si="0"/>
        <v>70000</v>
      </c>
      <c r="F13" s="13"/>
      <c r="L13" s="37"/>
      <c r="M13" s="8" t="s">
        <v>104</v>
      </c>
      <c r="N13" s="9">
        <v>6</v>
      </c>
      <c r="O13" s="10">
        <v>24000</v>
      </c>
      <c r="P13" s="10">
        <f t="shared" si="1"/>
        <v>144000</v>
      </c>
      <c r="Q13" s="38"/>
    </row>
    <row r="14" spans="1:18" ht="15" customHeight="1" x14ac:dyDescent="0.2">
      <c r="A14" s="12"/>
      <c r="B14" s="8" t="s">
        <v>18</v>
      </c>
      <c r="C14" s="9">
        <v>1</v>
      </c>
      <c r="D14" s="10">
        <v>50000</v>
      </c>
      <c r="E14" s="10">
        <f t="shared" si="0"/>
        <v>50000</v>
      </c>
      <c r="F14" s="13"/>
      <c r="L14" s="37"/>
      <c r="M14" s="8" t="s">
        <v>105</v>
      </c>
      <c r="N14" s="9">
        <v>3</v>
      </c>
      <c r="O14" s="10">
        <v>40000</v>
      </c>
      <c r="P14" s="10">
        <f t="shared" si="1"/>
        <v>120000</v>
      </c>
      <c r="Q14" s="38"/>
    </row>
    <row r="15" spans="1:18" ht="15" customHeight="1" x14ac:dyDescent="0.2">
      <c r="A15" s="12"/>
      <c r="B15" s="8" t="s">
        <v>19</v>
      </c>
      <c r="C15" s="9">
        <v>1</v>
      </c>
      <c r="D15" s="10">
        <v>130000</v>
      </c>
      <c r="E15" s="10">
        <f t="shared" si="0"/>
        <v>130000</v>
      </c>
      <c r="F15" s="13"/>
      <c r="L15" s="39"/>
      <c r="M15" s="8" t="s">
        <v>106</v>
      </c>
      <c r="N15" s="9">
        <v>1</v>
      </c>
      <c r="O15" s="10">
        <v>49000</v>
      </c>
      <c r="P15" s="10">
        <f t="shared" si="1"/>
        <v>49000</v>
      </c>
      <c r="Q15" s="40"/>
    </row>
    <row r="16" spans="1:18" ht="15" customHeight="1" x14ac:dyDescent="0.2">
      <c r="A16" s="15"/>
      <c r="B16" s="8" t="s">
        <v>20</v>
      </c>
      <c r="C16" s="9">
        <v>0.5</v>
      </c>
      <c r="D16" s="10">
        <v>70000</v>
      </c>
      <c r="E16" s="10">
        <f t="shared" si="0"/>
        <v>35000</v>
      </c>
      <c r="F16" s="16"/>
      <c r="L16" s="35">
        <v>46084</v>
      </c>
      <c r="M16" s="8" t="s">
        <v>100</v>
      </c>
      <c r="N16" s="9">
        <v>5</v>
      </c>
      <c r="O16" s="10">
        <v>35000</v>
      </c>
      <c r="P16" s="10">
        <f t="shared" si="1"/>
        <v>175000</v>
      </c>
      <c r="Q16" s="36">
        <f>SUM(P16:P28)</f>
        <v>770000</v>
      </c>
    </row>
    <row r="17" spans="1:17" ht="15" customHeight="1" x14ac:dyDescent="0.2">
      <c r="A17" s="7">
        <v>46083</v>
      </c>
      <c r="B17" s="8" t="s">
        <v>21</v>
      </c>
      <c r="C17" s="9">
        <v>1</v>
      </c>
      <c r="D17" s="10">
        <v>50000</v>
      </c>
      <c r="E17" s="10">
        <f t="shared" si="0"/>
        <v>50000</v>
      </c>
      <c r="F17" s="11">
        <f>SUM(E17:E27)</f>
        <v>1060000</v>
      </c>
      <c r="L17" s="37"/>
      <c r="M17" s="8" t="s">
        <v>17</v>
      </c>
      <c r="N17" s="9">
        <v>2</v>
      </c>
      <c r="O17" s="10">
        <v>70000</v>
      </c>
      <c r="P17" s="10">
        <f t="shared" si="1"/>
        <v>140000</v>
      </c>
      <c r="Q17" s="38"/>
    </row>
    <row r="18" spans="1:17" ht="15" customHeight="1" x14ac:dyDescent="0.2">
      <c r="A18" s="12"/>
      <c r="B18" s="8" t="s">
        <v>22</v>
      </c>
      <c r="C18" s="9">
        <v>1</v>
      </c>
      <c r="D18" s="10">
        <v>30000</v>
      </c>
      <c r="E18" s="10">
        <f t="shared" si="0"/>
        <v>30000</v>
      </c>
      <c r="F18" s="13"/>
      <c r="L18" s="37"/>
      <c r="M18" s="8" t="s">
        <v>102</v>
      </c>
      <c r="N18" s="9">
        <v>2</v>
      </c>
      <c r="O18" s="10">
        <v>10000</v>
      </c>
      <c r="P18" s="10">
        <f t="shared" si="1"/>
        <v>20000</v>
      </c>
      <c r="Q18" s="38"/>
    </row>
    <row r="19" spans="1:17" ht="15" customHeight="1" x14ac:dyDescent="0.2">
      <c r="A19" s="12"/>
      <c r="B19" s="8" t="s">
        <v>23</v>
      </c>
      <c r="C19" s="9">
        <v>1</v>
      </c>
      <c r="D19" s="10">
        <v>160000</v>
      </c>
      <c r="E19" s="10">
        <f t="shared" si="0"/>
        <v>160000</v>
      </c>
      <c r="F19" s="13"/>
      <c r="L19" s="37"/>
      <c r="M19" s="8" t="s">
        <v>107</v>
      </c>
      <c r="N19" s="9">
        <v>0.5</v>
      </c>
      <c r="O19" s="10">
        <v>30000</v>
      </c>
      <c r="P19" s="10">
        <f t="shared" si="1"/>
        <v>15000</v>
      </c>
      <c r="Q19" s="38"/>
    </row>
    <row r="20" spans="1:17" ht="15" customHeight="1" x14ac:dyDescent="0.2">
      <c r="A20" s="12"/>
      <c r="B20" s="8" t="s">
        <v>24</v>
      </c>
      <c r="C20" s="9">
        <v>2</v>
      </c>
      <c r="D20" s="10">
        <v>50000</v>
      </c>
      <c r="E20" s="10">
        <f t="shared" si="0"/>
        <v>100000</v>
      </c>
      <c r="F20" s="13"/>
      <c r="L20" s="37"/>
      <c r="M20" s="8" t="s">
        <v>18</v>
      </c>
      <c r="N20" s="9">
        <v>1.1399999999999999</v>
      </c>
      <c r="O20" s="10">
        <v>50000</v>
      </c>
      <c r="P20" s="10">
        <f t="shared" si="1"/>
        <v>56999.999999999993</v>
      </c>
      <c r="Q20" s="38"/>
    </row>
    <row r="21" spans="1:17" ht="15" customHeight="1" x14ac:dyDescent="0.2">
      <c r="A21" s="12"/>
      <c r="B21" s="8" t="s">
        <v>25</v>
      </c>
      <c r="C21" s="9">
        <v>1</v>
      </c>
      <c r="D21" s="10">
        <v>20000</v>
      </c>
      <c r="E21" s="10">
        <f t="shared" si="0"/>
        <v>20000</v>
      </c>
      <c r="F21" s="13"/>
      <c r="L21" s="37"/>
      <c r="M21" s="8" t="s">
        <v>108</v>
      </c>
      <c r="N21" s="9">
        <v>0.64</v>
      </c>
      <c r="O21" s="10">
        <v>45000</v>
      </c>
      <c r="P21" s="10">
        <v>29000</v>
      </c>
      <c r="Q21" s="38"/>
    </row>
    <row r="22" spans="1:17" ht="15" customHeight="1" x14ac:dyDescent="0.2">
      <c r="A22" s="12"/>
      <c r="B22" s="8" t="s">
        <v>26</v>
      </c>
      <c r="C22" s="9">
        <v>2</v>
      </c>
      <c r="D22" s="10">
        <v>35000</v>
      </c>
      <c r="E22" s="10">
        <f t="shared" si="0"/>
        <v>70000</v>
      </c>
      <c r="F22" s="13"/>
      <c r="L22" s="37"/>
      <c r="M22" s="8" t="s">
        <v>88</v>
      </c>
      <c r="N22" s="9">
        <v>0.67</v>
      </c>
      <c r="O22" s="10">
        <v>40000</v>
      </c>
      <c r="P22" s="10">
        <v>27000</v>
      </c>
      <c r="Q22" s="38"/>
    </row>
    <row r="23" spans="1:17" ht="15" customHeight="1" x14ac:dyDescent="0.2">
      <c r="A23" s="12"/>
      <c r="B23" s="8" t="s">
        <v>27</v>
      </c>
      <c r="C23" s="9">
        <v>1</v>
      </c>
      <c r="D23" s="10">
        <v>30000</v>
      </c>
      <c r="E23" s="10">
        <f t="shared" si="0"/>
        <v>30000</v>
      </c>
      <c r="F23" s="13"/>
      <c r="L23" s="37"/>
      <c r="M23" s="8" t="s">
        <v>39</v>
      </c>
      <c r="N23" s="9">
        <v>0.3</v>
      </c>
      <c r="O23" s="10">
        <v>60000</v>
      </c>
      <c r="P23" s="10">
        <f t="shared" si="1"/>
        <v>18000</v>
      </c>
      <c r="Q23" s="38"/>
    </row>
    <row r="24" spans="1:17" ht="15" customHeight="1" x14ac:dyDescent="0.2">
      <c r="A24" s="12"/>
      <c r="B24" s="8" t="s">
        <v>28</v>
      </c>
      <c r="C24" s="9">
        <v>2</v>
      </c>
      <c r="D24" s="10">
        <v>45000</v>
      </c>
      <c r="E24" s="10">
        <f t="shared" si="0"/>
        <v>90000</v>
      </c>
      <c r="F24" s="13"/>
      <c r="L24" s="37"/>
      <c r="M24" s="8" t="s">
        <v>61</v>
      </c>
      <c r="N24" s="9">
        <v>0.3</v>
      </c>
      <c r="O24" s="10">
        <v>20000</v>
      </c>
      <c r="P24" s="10">
        <f t="shared" si="1"/>
        <v>6000</v>
      </c>
      <c r="Q24" s="38"/>
    </row>
    <row r="25" spans="1:17" ht="15" customHeight="1" x14ac:dyDescent="0.2">
      <c r="A25" s="12"/>
      <c r="B25" s="8" t="s">
        <v>6</v>
      </c>
      <c r="C25" s="9">
        <v>1</v>
      </c>
      <c r="D25" s="10">
        <v>170000</v>
      </c>
      <c r="E25" s="10">
        <f t="shared" si="0"/>
        <v>170000</v>
      </c>
      <c r="F25" s="13"/>
      <c r="L25" s="37"/>
      <c r="M25" s="8" t="s">
        <v>109</v>
      </c>
      <c r="N25" s="9">
        <v>0.5</v>
      </c>
      <c r="O25" s="10">
        <v>100000</v>
      </c>
      <c r="P25" s="10">
        <f t="shared" si="1"/>
        <v>50000</v>
      </c>
      <c r="Q25" s="38"/>
    </row>
    <row r="26" spans="1:17" ht="15" customHeight="1" x14ac:dyDescent="0.2">
      <c r="A26" s="12"/>
      <c r="B26" s="8" t="s">
        <v>29</v>
      </c>
      <c r="C26" s="9">
        <v>1</v>
      </c>
      <c r="D26" s="10">
        <v>40000</v>
      </c>
      <c r="E26" s="10">
        <f t="shared" si="0"/>
        <v>40000</v>
      </c>
      <c r="F26" s="13"/>
      <c r="L26" s="37"/>
      <c r="M26" s="8" t="s">
        <v>104</v>
      </c>
      <c r="N26" s="9">
        <v>5</v>
      </c>
      <c r="O26" s="10">
        <v>24000</v>
      </c>
      <c r="P26" s="10">
        <f t="shared" si="1"/>
        <v>120000</v>
      </c>
      <c r="Q26" s="38"/>
    </row>
    <row r="27" spans="1:17" ht="15" customHeight="1" x14ac:dyDescent="0.2">
      <c r="A27" s="15"/>
      <c r="B27" s="8" t="s">
        <v>13</v>
      </c>
      <c r="C27" s="9">
        <v>3</v>
      </c>
      <c r="D27" s="10">
        <v>100000</v>
      </c>
      <c r="E27" s="10">
        <f t="shared" si="0"/>
        <v>300000</v>
      </c>
      <c r="F27" s="16"/>
      <c r="L27" s="37"/>
      <c r="M27" s="8" t="s">
        <v>105</v>
      </c>
      <c r="N27" s="9">
        <v>2</v>
      </c>
      <c r="O27" s="10">
        <v>40000</v>
      </c>
      <c r="P27" s="10">
        <f t="shared" si="1"/>
        <v>80000</v>
      </c>
      <c r="Q27" s="38"/>
    </row>
    <row r="28" spans="1:17" ht="15" customHeight="1" x14ac:dyDescent="0.2">
      <c r="A28" s="7">
        <v>46083</v>
      </c>
      <c r="B28" s="8" t="s">
        <v>30</v>
      </c>
      <c r="C28" s="9">
        <v>3</v>
      </c>
      <c r="D28" s="10">
        <v>270000</v>
      </c>
      <c r="E28" s="10">
        <f t="shared" si="0"/>
        <v>810000</v>
      </c>
      <c r="F28" s="11">
        <f>SUM(E28:E32)</f>
        <v>977000</v>
      </c>
      <c r="L28" s="39"/>
      <c r="M28" s="8" t="s">
        <v>110</v>
      </c>
      <c r="N28" s="9">
        <v>1</v>
      </c>
      <c r="O28" s="10">
        <v>33000</v>
      </c>
      <c r="P28" s="10">
        <f t="shared" si="1"/>
        <v>33000</v>
      </c>
      <c r="Q28" s="40"/>
    </row>
    <row r="29" spans="1:17" ht="15" customHeight="1" x14ac:dyDescent="0.2">
      <c r="A29" s="12"/>
      <c r="B29" s="8" t="s">
        <v>21</v>
      </c>
      <c r="C29" s="9">
        <v>1</v>
      </c>
      <c r="D29" s="10">
        <v>50000</v>
      </c>
      <c r="E29" s="10">
        <f t="shared" si="0"/>
        <v>50000</v>
      </c>
      <c r="F29" s="13"/>
      <c r="L29" s="35">
        <v>46085</v>
      </c>
      <c r="M29" s="8" t="s">
        <v>100</v>
      </c>
      <c r="N29" s="9">
        <v>5</v>
      </c>
      <c r="O29" s="10">
        <v>35000</v>
      </c>
      <c r="P29" s="10">
        <f t="shared" si="1"/>
        <v>175000</v>
      </c>
      <c r="Q29" s="36">
        <f>SUM(P29:P38)</f>
        <v>879000</v>
      </c>
    </row>
    <row r="30" spans="1:17" ht="15" customHeight="1" x14ac:dyDescent="0.2">
      <c r="A30" s="12"/>
      <c r="B30" s="8" t="s">
        <v>17</v>
      </c>
      <c r="C30" s="9">
        <v>1</v>
      </c>
      <c r="D30" s="10">
        <v>70000</v>
      </c>
      <c r="E30" s="10">
        <f t="shared" si="0"/>
        <v>70000</v>
      </c>
      <c r="F30" s="13"/>
      <c r="L30" s="37"/>
      <c r="M30" s="8" t="s">
        <v>17</v>
      </c>
      <c r="N30" s="9">
        <v>2.13</v>
      </c>
      <c r="O30" s="10">
        <v>70000</v>
      </c>
      <c r="P30" s="10">
        <v>149000</v>
      </c>
      <c r="Q30" s="38"/>
    </row>
    <row r="31" spans="1:17" ht="15" customHeight="1" x14ac:dyDescent="0.2">
      <c r="A31" s="12"/>
      <c r="B31" s="8" t="s">
        <v>31</v>
      </c>
      <c r="C31" s="9">
        <v>0.1</v>
      </c>
      <c r="D31" s="10">
        <v>70000</v>
      </c>
      <c r="E31" s="10">
        <f t="shared" si="0"/>
        <v>7000</v>
      </c>
      <c r="F31" s="13"/>
      <c r="L31" s="37"/>
      <c r="M31" s="8" t="s">
        <v>102</v>
      </c>
      <c r="N31" s="9">
        <v>4</v>
      </c>
      <c r="O31" s="10">
        <v>10000</v>
      </c>
      <c r="P31" s="10">
        <f t="shared" si="1"/>
        <v>40000</v>
      </c>
      <c r="Q31" s="38"/>
    </row>
    <row r="32" spans="1:17" ht="15" customHeight="1" x14ac:dyDescent="0.2">
      <c r="A32" s="15"/>
      <c r="B32" s="8" t="s">
        <v>32</v>
      </c>
      <c r="C32" s="9">
        <v>1</v>
      </c>
      <c r="D32" s="10">
        <v>40000</v>
      </c>
      <c r="E32" s="10">
        <f t="shared" si="0"/>
        <v>40000</v>
      </c>
      <c r="F32" s="16"/>
      <c r="L32" s="37"/>
      <c r="M32" s="8" t="s">
        <v>67</v>
      </c>
      <c r="N32" s="9">
        <v>2</v>
      </c>
      <c r="O32" s="10">
        <v>55000</v>
      </c>
      <c r="P32" s="10">
        <f t="shared" si="1"/>
        <v>110000</v>
      </c>
      <c r="Q32" s="38"/>
    </row>
    <row r="33" spans="1:17" ht="15" customHeight="1" x14ac:dyDescent="0.2">
      <c r="A33" s="7">
        <v>46084</v>
      </c>
      <c r="B33" s="8" t="s">
        <v>33</v>
      </c>
      <c r="C33" s="9">
        <v>2</v>
      </c>
      <c r="D33" s="10">
        <v>70000</v>
      </c>
      <c r="E33" s="10">
        <f t="shared" si="0"/>
        <v>140000</v>
      </c>
      <c r="F33" s="11">
        <f>SUM(E33:E50)</f>
        <v>1875000</v>
      </c>
      <c r="L33" s="37"/>
      <c r="M33" s="8" t="s">
        <v>61</v>
      </c>
      <c r="N33" s="9">
        <v>0.3</v>
      </c>
      <c r="O33" s="10">
        <v>30000</v>
      </c>
      <c r="P33" s="10">
        <f t="shared" si="1"/>
        <v>9000</v>
      </c>
      <c r="Q33" s="38"/>
    </row>
    <row r="34" spans="1:17" ht="15" customHeight="1" x14ac:dyDescent="0.2">
      <c r="A34" s="12"/>
      <c r="B34" s="8" t="s">
        <v>34</v>
      </c>
      <c r="C34" s="9">
        <v>2</v>
      </c>
      <c r="D34" s="10">
        <v>120000</v>
      </c>
      <c r="E34" s="10">
        <f t="shared" si="0"/>
        <v>240000</v>
      </c>
      <c r="F34" s="13"/>
      <c r="L34" s="37"/>
      <c r="M34" s="8" t="s">
        <v>104</v>
      </c>
      <c r="N34" s="9">
        <v>5</v>
      </c>
      <c r="O34" s="10">
        <v>24000</v>
      </c>
      <c r="P34" s="10">
        <f t="shared" si="1"/>
        <v>120000</v>
      </c>
      <c r="Q34" s="38"/>
    </row>
    <row r="35" spans="1:17" ht="15" customHeight="1" x14ac:dyDescent="0.2">
      <c r="A35" s="12"/>
      <c r="B35" s="8" t="s">
        <v>15</v>
      </c>
      <c r="C35" s="9">
        <v>3</v>
      </c>
      <c r="D35" s="10">
        <v>40000</v>
      </c>
      <c r="E35" s="10">
        <f t="shared" si="0"/>
        <v>120000</v>
      </c>
      <c r="F35" s="13"/>
      <c r="L35" s="37"/>
      <c r="M35" s="8" t="s">
        <v>105</v>
      </c>
      <c r="N35" s="9">
        <v>2</v>
      </c>
      <c r="O35" s="10">
        <v>40000</v>
      </c>
      <c r="P35" s="10">
        <f t="shared" si="1"/>
        <v>80000</v>
      </c>
      <c r="Q35" s="38"/>
    </row>
    <row r="36" spans="1:17" ht="15" customHeight="1" x14ac:dyDescent="0.2">
      <c r="A36" s="12"/>
      <c r="B36" s="8" t="s">
        <v>35</v>
      </c>
      <c r="C36" s="9">
        <v>2</v>
      </c>
      <c r="D36" s="10">
        <v>100000</v>
      </c>
      <c r="E36" s="10">
        <f t="shared" si="0"/>
        <v>200000</v>
      </c>
      <c r="F36" s="13"/>
      <c r="L36" s="37"/>
      <c r="M36" s="8" t="s">
        <v>111</v>
      </c>
      <c r="N36" s="9">
        <v>1</v>
      </c>
      <c r="O36" s="10">
        <v>95000</v>
      </c>
      <c r="P36" s="10">
        <f t="shared" si="1"/>
        <v>95000</v>
      </c>
      <c r="Q36" s="38"/>
    </row>
    <row r="37" spans="1:17" ht="15" customHeight="1" x14ac:dyDescent="0.2">
      <c r="A37" s="12"/>
      <c r="B37" s="8" t="s">
        <v>7</v>
      </c>
      <c r="C37" s="9">
        <v>0.15</v>
      </c>
      <c r="D37" s="10">
        <v>80000</v>
      </c>
      <c r="E37" s="10">
        <f t="shared" si="0"/>
        <v>12000</v>
      </c>
      <c r="F37" s="13"/>
      <c r="L37" s="37"/>
      <c r="M37" s="8" t="s">
        <v>88</v>
      </c>
      <c r="N37" s="9">
        <v>0.65</v>
      </c>
      <c r="O37" s="10">
        <v>40000</v>
      </c>
      <c r="P37" s="10">
        <f t="shared" si="1"/>
        <v>26000</v>
      </c>
      <c r="Q37" s="38"/>
    </row>
    <row r="38" spans="1:17" ht="15" customHeight="1" x14ac:dyDescent="0.2">
      <c r="A38" s="12"/>
      <c r="B38" s="8" t="s">
        <v>36</v>
      </c>
      <c r="C38" s="9">
        <v>7.0000000000000007E-2</v>
      </c>
      <c r="D38" s="10">
        <v>60000</v>
      </c>
      <c r="E38" s="10">
        <v>4000</v>
      </c>
      <c r="F38" s="13"/>
      <c r="L38" s="39"/>
      <c r="M38" s="8" t="s">
        <v>112</v>
      </c>
      <c r="N38" s="9">
        <v>1</v>
      </c>
      <c r="O38" s="10">
        <v>75000</v>
      </c>
      <c r="P38" s="10">
        <f t="shared" si="1"/>
        <v>75000</v>
      </c>
      <c r="Q38" s="40"/>
    </row>
    <row r="39" spans="1:17" ht="15" customHeight="1" x14ac:dyDescent="0.2">
      <c r="A39" s="12"/>
      <c r="B39" s="8" t="s">
        <v>37</v>
      </c>
      <c r="C39" s="9">
        <v>7.0000000000000007E-2</v>
      </c>
      <c r="D39" s="10">
        <v>100000</v>
      </c>
      <c r="E39" s="10">
        <f t="shared" si="0"/>
        <v>7000.0000000000009</v>
      </c>
      <c r="F39" s="13"/>
      <c r="L39" s="35">
        <v>46086</v>
      </c>
      <c r="M39" s="8" t="s">
        <v>100</v>
      </c>
      <c r="N39" s="9">
        <v>4</v>
      </c>
      <c r="O39" s="10">
        <v>35000</v>
      </c>
      <c r="P39" s="10">
        <f t="shared" si="1"/>
        <v>140000</v>
      </c>
      <c r="Q39" s="36">
        <f>SUM(P39:P50)</f>
        <v>759000</v>
      </c>
    </row>
    <row r="40" spans="1:17" ht="15" customHeight="1" x14ac:dyDescent="0.2">
      <c r="A40" s="12"/>
      <c r="B40" s="8" t="s">
        <v>38</v>
      </c>
      <c r="C40" s="9">
        <v>0.1</v>
      </c>
      <c r="D40" s="10">
        <v>25000</v>
      </c>
      <c r="E40" s="10">
        <v>3000</v>
      </c>
      <c r="F40" s="13"/>
      <c r="L40" s="37"/>
      <c r="M40" s="8" t="s">
        <v>102</v>
      </c>
      <c r="N40" s="9">
        <v>6</v>
      </c>
      <c r="O40" s="10">
        <v>10000</v>
      </c>
      <c r="P40" s="10">
        <f t="shared" si="1"/>
        <v>60000</v>
      </c>
      <c r="Q40" s="38"/>
    </row>
    <row r="41" spans="1:17" ht="15" customHeight="1" x14ac:dyDescent="0.2">
      <c r="A41" s="12"/>
      <c r="B41" s="8" t="s">
        <v>8</v>
      </c>
      <c r="C41" s="9">
        <v>7.0000000000000007E-2</v>
      </c>
      <c r="D41" s="10">
        <v>80000</v>
      </c>
      <c r="E41" s="10">
        <v>6000</v>
      </c>
      <c r="F41" s="13"/>
      <c r="L41" s="37"/>
      <c r="M41" s="8" t="s">
        <v>17</v>
      </c>
      <c r="N41" s="9">
        <v>1</v>
      </c>
      <c r="O41" s="10">
        <v>70000</v>
      </c>
      <c r="P41" s="10">
        <f t="shared" si="1"/>
        <v>70000</v>
      </c>
      <c r="Q41" s="38"/>
    </row>
    <row r="42" spans="1:17" ht="15" customHeight="1" x14ac:dyDescent="0.2">
      <c r="A42" s="12"/>
      <c r="B42" s="8" t="s">
        <v>12</v>
      </c>
      <c r="C42" s="9">
        <v>2</v>
      </c>
      <c r="D42" s="10">
        <v>170000</v>
      </c>
      <c r="E42" s="10">
        <f t="shared" si="0"/>
        <v>340000</v>
      </c>
      <c r="F42" s="13"/>
      <c r="L42" s="37"/>
      <c r="M42" s="8" t="s">
        <v>103</v>
      </c>
      <c r="N42" s="9">
        <v>0.3</v>
      </c>
      <c r="O42" s="10">
        <v>20000</v>
      </c>
      <c r="P42" s="10">
        <f t="shared" si="1"/>
        <v>6000</v>
      </c>
      <c r="Q42" s="38"/>
    </row>
    <row r="43" spans="1:17" ht="15" customHeight="1" x14ac:dyDescent="0.2">
      <c r="A43" s="12"/>
      <c r="B43" s="8" t="s">
        <v>13</v>
      </c>
      <c r="C43" s="9">
        <v>3</v>
      </c>
      <c r="D43" s="10">
        <v>100000</v>
      </c>
      <c r="E43" s="10">
        <f t="shared" si="0"/>
        <v>300000</v>
      </c>
      <c r="F43" s="13"/>
      <c r="L43" s="37"/>
      <c r="M43" s="8" t="s">
        <v>109</v>
      </c>
      <c r="N43" s="9">
        <v>1.25</v>
      </c>
      <c r="O43" s="10">
        <v>100000</v>
      </c>
      <c r="P43" s="10">
        <f t="shared" si="1"/>
        <v>125000</v>
      </c>
      <c r="Q43" s="38"/>
    </row>
    <row r="44" spans="1:17" ht="15" customHeight="1" x14ac:dyDescent="0.2">
      <c r="A44" s="12"/>
      <c r="B44" s="8" t="s">
        <v>39</v>
      </c>
      <c r="C44" s="9">
        <v>0.1</v>
      </c>
      <c r="D44" s="10">
        <v>80000</v>
      </c>
      <c r="E44" s="10">
        <f t="shared" si="0"/>
        <v>8000</v>
      </c>
      <c r="F44" s="13"/>
      <c r="L44" s="37"/>
      <c r="M44" s="8" t="s">
        <v>57</v>
      </c>
      <c r="N44" s="9">
        <v>16</v>
      </c>
      <c r="O44" s="10">
        <v>2000</v>
      </c>
      <c r="P44" s="10">
        <f t="shared" si="1"/>
        <v>32000</v>
      </c>
      <c r="Q44" s="38"/>
    </row>
    <row r="45" spans="1:17" ht="15" customHeight="1" x14ac:dyDescent="0.2">
      <c r="A45" s="12"/>
      <c r="B45" s="8" t="s">
        <v>17</v>
      </c>
      <c r="C45" s="9">
        <v>1</v>
      </c>
      <c r="D45" s="10">
        <v>70000</v>
      </c>
      <c r="E45" s="10">
        <f t="shared" si="0"/>
        <v>70000</v>
      </c>
      <c r="F45" s="13"/>
      <c r="L45" s="37"/>
      <c r="M45" s="8" t="s">
        <v>96</v>
      </c>
      <c r="N45" s="9">
        <v>4.125</v>
      </c>
      <c r="O45" s="10">
        <v>16000</v>
      </c>
      <c r="P45" s="10">
        <f t="shared" si="1"/>
        <v>66000</v>
      </c>
      <c r="Q45" s="38"/>
    </row>
    <row r="46" spans="1:17" ht="15" customHeight="1" x14ac:dyDescent="0.2">
      <c r="A46" s="12"/>
      <c r="B46" s="8" t="s">
        <v>40</v>
      </c>
      <c r="C46" s="9">
        <v>1</v>
      </c>
      <c r="D46" s="10">
        <v>15000</v>
      </c>
      <c r="E46" s="10">
        <f t="shared" si="0"/>
        <v>15000</v>
      </c>
      <c r="F46" s="13"/>
      <c r="L46" s="37"/>
      <c r="M46" s="8" t="s">
        <v>61</v>
      </c>
      <c r="N46" s="9">
        <v>0.5</v>
      </c>
      <c r="O46" s="10">
        <v>30000</v>
      </c>
      <c r="P46" s="10">
        <f t="shared" si="1"/>
        <v>15000</v>
      </c>
      <c r="Q46" s="38"/>
    </row>
    <row r="47" spans="1:17" ht="15" customHeight="1" x14ac:dyDescent="0.2">
      <c r="A47" s="12"/>
      <c r="B47" s="8" t="s">
        <v>41</v>
      </c>
      <c r="C47" s="9">
        <v>2</v>
      </c>
      <c r="D47" s="10">
        <v>45000</v>
      </c>
      <c r="E47" s="10">
        <f t="shared" si="0"/>
        <v>90000</v>
      </c>
      <c r="F47" s="13"/>
      <c r="L47" s="37"/>
      <c r="M47" s="8" t="s">
        <v>104</v>
      </c>
      <c r="N47" s="9">
        <v>4</v>
      </c>
      <c r="O47" s="10">
        <v>24000</v>
      </c>
      <c r="P47" s="10">
        <f t="shared" si="1"/>
        <v>96000</v>
      </c>
      <c r="Q47" s="38"/>
    </row>
    <row r="48" spans="1:17" ht="15" customHeight="1" x14ac:dyDescent="0.2">
      <c r="A48" s="12"/>
      <c r="B48" s="8" t="s">
        <v>42</v>
      </c>
      <c r="C48" s="9">
        <v>2</v>
      </c>
      <c r="D48" s="10">
        <v>55000</v>
      </c>
      <c r="E48" s="10">
        <f t="shared" si="0"/>
        <v>110000</v>
      </c>
      <c r="F48" s="13"/>
      <c r="L48" s="37"/>
      <c r="M48" s="8" t="s">
        <v>105</v>
      </c>
      <c r="N48" s="9">
        <v>1</v>
      </c>
      <c r="O48" s="10">
        <v>40000</v>
      </c>
      <c r="P48" s="10">
        <f t="shared" si="1"/>
        <v>40000</v>
      </c>
      <c r="Q48" s="38"/>
    </row>
    <row r="49" spans="1:17" ht="15" customHeight="1" x14ac:dyDescent="0.2">
      <c r="A49" s="12"/>
      <c r="B49" s="8" t="s">
        <v>43</v>
      </c>
      <c r="C49" s="9">
        <v>2</v>
      </c>
      <c r="D49" s="10">
        <v>15000</v>
      </c>
      <c r="E49" s="10">
        <f t="shared" si="0"/>
        <v>30000</v>
      </c>
      <c r="F49" s="13"/>
      <c r="L49" s="37"/>
      <c r="M49" s="8" t="s">
        <v>106</v>
      </c>
      <c r="N49" s="9">
        <v>1</v>
      </c>
      <c r="O49" s="10">
        <v>49000</v>
      </c>
      <c r="P49" s="10">
        <f t="shared" si="1"/>
        <v>49000</v>
      </c>
      <c r="Q49" s="38"/>
    </row>
    <row r="50" spans="1:17" ht="15" customHeight="1" x14ac:dyDescent="0.2">
      <c r="A50" s="15"/>
      <c r="B50" s="8" t="s">
        <v>44</v>
      </c>
      <c r="C50" s="9">
        <v>4</v>
      </c>
      <c r="D50" s="10">
        <v>45000</v>
      </c>
      <c r="E50" s="10">
        <f t="shared" si="0"/>
        <v>180000</v>
      </c>
      <c r="F50" s="16"/>
      <c r="L50" s="39"/>
      <c r="M50" s="8" t="s">
        <v>101</v>
      </c>
      <c r="N50" s="9">
        <v>3</v>
      </c>
      <c r="O50" s="10">
        <v>20000</v>
      </c>
      <c r="P50" s="10">
        <f t="shared" si="1"/>
        <v>60000</v>
      </c>
      <c r="Q50" s="40"/>
    </row>
    <row r="51" spans="1:17" ht="15" customHeight="1" x14ac:dyDescent="0.2">
      <c r="A51" s="7">
        <v>46085</v>
      </c>
      <c r="B51" s="8" t="s">
        <v>45</v>
      </c>
      <c r="C51" s="9">
        <v>1</v>
      </c>
      <c r="D51" s="10">
        <v>160000</v>
      </c>
      <c r="E51" s="10">
        <f t="shared" si="0"/>
        <v>160000</v>
      </c>
      <c r="F51" s="11">
        <f>SUM(E51:E60)</f>
        <v>1809000</v>
      </c>
      <c r="L51" s="37">
        <v>46087</v>
      </c>
      <c r="M51" s="8" t="s">
        <v>113</v>
      </c>
      <c r="N51" s="9">
        <v>0.2</v>
      </c>
      <c r="O51" s="10">
        <v>35000</v>
      </c>
      <c r="P51" s="10">
        <f t="shared" si="1"/>
        <v>7000</v>
      </c>
      <c r="Q51" s="38">
        <f>SUM(P51:P55)</f>
        <v>159000</v>
      </c>
    </row>
    <row r="52" spans="1:17" ht="15" customHeight="1" x14ac:dyDescent="0.2">
      <c r="A52" s="12"/>
      <c r="B52" s="8" t="s">
        <v>46</v>
      </c>
      <c r="C52" s="9">
        <v>1</v>
      </c>
      <c r="D52" s="10">
        <v>210000</v>
      </c>
      <c r="E52" s="10">
        <f t="shared" si="0"/>
        <v>210000</v>
      </c>
      <c r="F52" s="13"/>
      <c r="L52" s="37"/>
      <c r="M52" s="8" t="s">
        <v>107</v>
      </c>
      <c r="N52" s="9">
        <v>2</v>
      </c>
      <c r="O52" s="10">
        <v>30000</v>
      </c>
      <c r="P52" s="10">
        <f t="shared" si="1"/>
        <v>60000</v>
      </c>
      <c r="Q52" s="38"/>
    </row>
    <row r="53" spans="1:17" ht="15" customHeight="1" x14ac:dyDescent="0.2">
      <c r="A53" s="12"/>
      <c r="B53" s="8" t="s">
        <v>47</v>
      </c>
      <c r="C53" s="9">
        <v>2</v>
      </c>
      <c r="D53" s="10">
        <v>35000</v>
      </c>
      <c r="E53" s="10">
        <f t="shared" si="0"/>
        <v>70000</v>
      </c>
      <c r="F53" s="13"/>
      <c r="L53" s="37"/>
      <c r="M53" s="8" t="s">
        <v>103</v>
      </c>
      <c r="N53" s="9">
        <v>0.2</v>
      </c>
      <c r="O53" s="10">
        <v>20000</v>
      </c>
      <c r="P53" s="10">
        <f t="shared" si="1"/>
        <v>4000</v>
      </c>
      <c r="Q53" s="38"/>
    </row>
    <row r="54" spans="1:17" ht="15" customHeight="1" x14ac:dyDescent="0.2">
      <c r="A54" s="12"/>
      <c r="B54" s="8" t="s">
        <v>48</v>
      </c>
      <c r="C54" s="9">
        <v>2</v>
      </c>
      <c r="D54" s="10">
        <v>30000</v>
      </c>
      <c r="E54" s="10">
        <f t="shared" si="0"/>
        <v>60000</v>
      </c>
      <c r="F54" s="13"/>
      <c r="L54" s="37"/>
      <c r="M54" s="8" t="s">
        <v>104</v>
      </c>
      <c r="N54" s="9">
        <v>2</v>
      </c>
      <c r="O54" s="10">
        <v>24000</v>
      </c>
      <c r="P54" s="10">
        <f t="shared" si="1"/>
        <v>48000</v>
      </c>
      <c r="Q54" s="38"/>
    </row>
    <row r="55" spans="1:17" ht="15" customHeight="1" x14ac:dyDescent="0.2">
      <c r="A55" s="12"/>
      <c r="B55" s="8" t="s">
        <v>49</v>
      </c>
      <c r="C55" s="9">
        <v>1</v>
      </c>
      <c r="D55" s="10">
        <v>275000</v>
      </c>
      <c r="E55" s="10">
        <f t="shared" si="0"/>
        <v>275000</v>
      </c>
      <c r="F55" s="13"/>
      <c r="L55" s="39"/>
      <c r="M55" s="8" t="s">
        <v>114</v>
      </c>
      <c r="N55" s="9">
        <v>1</v>
      </c>
      <c r="O55" s="10">
        <v>40000</v>
      </c>
      <c r="P55" s="10">
        <f t="shared" si="1"/>
        <v>40000</v>
      </c>
      <c r="Q55" s="40"/>
    </row>
    <row r="56" spans="1:17" ht="15" customHeight="1" x14ac:dyDescent="0.2">
      <c r="A56" s="12"/>
      <c r="B56" s="8" t="s">
        <v>13</v>
      </c>
      <c r="C56" s="9">
        <v>2</v>
      </c>
      <c r="D56" s="10">
        <v>100000</v>
      </c>
      <c r="E56" s="10">
        <f t="shared" si="0"/>
        <v>200000</v>
      </c>
      <c r="F56" s="13"/>
      <c r="L56" s="37">
        <v>46088</v>
      </c>
      <c r="M56" s="8" t="s">
        <v>102</v>
      </c>
      <c r="N56" s="9">
        <v>6</v>
      </c>
      <c r="O56" s="10">
        <v>10000</v>
      </c>
      <c r="P56" s="10">
        <f t="shared" si="1"/>
        <v>60000</v>
      </c>
      <c r="Q56" s="38">
        <f>SUM(P56:P67)</f>
        <v>599000</v>
      </c>
    </row>
    <row r="57" spans="1:17" ht="15" customHeight="1" x14ac:dyDescent="0.2">
      <c r="A57" s="12"/>
      <c r="B57" s="8" t="s">
        <v>17</v>
      </c>
      <c r="C57" s="9">
        <v>1</v>
      </c>
      <c r="D57" s="10">
        <v>70000</v>
      </c>
      <c r="E57" s="10">
        <f t="shared" si="0"/>
        <v>70000</v>
      </c>
      <c r="F57" s="13"/>
      <c r="L57" s="37"/>
      <c r="M57" s="8" t="s">
        <v>17</v>
      </c>
      <c r="N57" s="9">
        <v>1</v>
      </c>
      <c r="O57" s="10">
        <v>70000</v>
      </c>
      <c r="P57" s="10">
        <f t="shared" si="1"/>
        <v>70000</v>
      </c>
      <c r="Q57" s="38"/>
    </row>
    <row r="58" spans="1:17" ht="15" customHeight="1" x14ac:dyDescent="0.2">
      <c r="A58" s="12"/>
      <c r="B58" s="8" t="s">
        <v>16</v>
      </c>
      <c r="C58" s="9">
        <v>3</v>
      </c>
      <c r="D58" s="10">
        <v>220000</v>
      </c>
      <c r="E58" s="10">
        <f t="shared" si="0"/>
        <v>660000</v>
      </c>
      <c r="F58" s="13"/>
      <c r="L58" s="37"/>
      <c r="M58" s="8" t="s">
        <v>100</v>
      </c>
      <c r="N58" s="9">
        <v>3</v>
      </c>
      <c r="O58" s="10">
        <v>35000</v>
      </c>
      <c r="P58" s="10">
        <f t="shared" si="1"/>
        <v>105000</v>
      </c>
      <c r="Q58" s="38"/>
    </row>
    <row r="59" spans="1:17" ht="15" customHeight="1" x14ac:dyDescent="0.2">
      <c r="A59" s="12"/>
      <c r="B59" s="8" t="s">
        <v>50</v>
      </c>
      <c r="C59" s="9">
        <v>0.2</v>
      </c>
      <c r="D59" s="10">
        <v>45000</v>
      </c>
      <c r="E59" s="10">
        <f t="shared" si="0"/>
        <v>9000</v>
      </c>
      <c r="F59" s="13"/>
      <c r="L59" s="37"/>
      <c r="M59" s="8" t="s">
        <v>108</v>
      </c>
      <c r="N59" s="9">
        <v>1</v>
      </c>
      <c r="O59" s="10">
        <v>45000</v>
      </c>
      <c r="P59" s="10">
        <f t="shared" si="1"/>
        <v>45000</v>
      </c>
      <c r="Q59" s="38"/>
    </row>
    <row r="60" spans="1:17" ht="15" customHeight="1" x14ac:dyDescent="0.2">
      <c r="A60" s="15"/>
      <c r="B60" s="8" t="s">
        <v>51</v>
      </c>
      <c r="C60" s="9">
        <v>1</v>
      </c>
      <c r="D60" s="10">
        <v>95000</v>
      </c>
      <c r="E60" s="10">
        <f t="shared" si="0"/>
        <v>95000</v>
      </c>
      <c r="F60" s="16"/>
      <c r="L60" s="37"/>
      <c r="M60" s="8" t="s">
        <v>103</v>
      </c>
      <c r="N60" s="9">
        <v>0.2</v>
      </c>
      <c r="O60" s="10">
        <v>20000</v>
      </c>
      <c r="P60" s="10">
        <f t="shared" si="1"/>
        <v>4000</v>
      </c>
      <c r="Q60" s="38"/>
    </row>
    <row r="61" spans="1:17" ht="15" customHeight="1" x14ac:dyDescent="0.2">
      <c r="A61" s="7">
        <v>46086</v>
      </c>
      <c r="B61" s="8" t="s">
        <v>13</v>
      </c>
      <c r="C61" s="9">
        <v>4</v>
      </c>
      <c r="D61" s="10">
        <v>100000</v>
      </c>
      <c r="E61" s="10">
        <f t="shared" si="0"/>
        <v>400000</v>
      </c>
      <c r="F61" s="11">
        <f>SUM(E61:E69)</f>
        <v>955000</v>
      </c>
      <c r="L61" s="37"/>
      <c r="M61" s="8" t="s">
        <v>61</v>
      </c>
      <c r="N61" s="9">
        <v>0.5</v>
      </c>
      <c r="O61" s="10">
        <v>30000</v>
      </c>
      <c r="P61" s="10">
        <f t="shared" si="1"/>
        <v>15000</v>
      </c>
      <c r="Q61" s="38"/>
    </row>
    <row r="62" spans="1:17" ht="15" customHeight="1" x14ac:dyDescent="0.2">
      <c r="A62" s="12"/>
      <c r="B62" s="8" t="s">
        <v>29</v>
      </c>
      <c r="C62" s="9">
        <v>1</v>
      </c>
      <c r="D62" s="10">
        <v>40000</v>
      </c>
      <c r="E62" s="10">
        <f t="shared" si="0"/>
        <v>40000</v>
      </c>
      <c r="F62" s="13"/>
      <c r="L62" s="37"/>
      <c r="M62" s="8" t="s">
        <v>115</v>
      </c>
      <c r="N62" s="9">
        <v>0.2</v>
      </c>
      <c r="O62" s="10">
        <v>120000</v>
      </c>
      <c r="P62" s="10">
        <f t="shared" si="1"/>
        <v>24000</v>
      </c>
      <c r="Q62" s="38"/>
    </row>
    <row r="63" spans="1:17" ht="15" customHeight="1" x14ac:dyDescent="0.2">
      <c r="A63" s="12"/>
      <c r="B63" s="8" t="s">
        <v>7</v>
      </c>
      <c r="C63" s="9">
        <v>0.1</v>
      </c>
      <c r="D63" s="10">
        <v>80000</v>
      </c>
      <c r="E63" s="10">
        <f t="shared" si="0"/>
        <v>8000</v>
      </c>
      <c r="F63" s="13"/>
      <c r="L63" s="37"/>
      <c r="M63" s="8" t="s">
        <v>104</v>
      </c>
      <c r="N63" s="9">
        <v>3</v>
      </c>
      <c r="O63" s="10">
        <v>24000</v>
      </c>
      <c r="P63" s="10">
        <f t="shared" si="1"/>
        <v>72000</v>
      </c>
      <c r="Q63" s="38"/>
    </row>
    <row r="64" spans="1:17" ht="15" customHeight="1" x14ac:dyDescent="0.2">
      <c r="A64" s="12"/>
      <c r="B64" s="8" t="s">
        <v>8</v>
      </c>
      <c r="C64" s="9">
        <v>0.1</v>
      </c>
      <c r="D64" s="10">
        <v>80000</v>
      </c>
      <c r="E64" s="10">
        <f t="shared" si="0"/>
        <v>8000</v>
      </c>
      <c r="F64" s="13"/>
      <c r="L64" s="37"/>
      <c r="M64" s="8" t="s">
        <v>106</v>
      </c>
      <c r="N64" s="9">
        <v>1</v>
      </c>
      <c r="O64" s="10">
        <v>49000</v>
      </c>
      <c r="P64" s="10">
        <f t="shared" si="1"/>
        <v>49000</v>
      </c>
      <c r="Q64" s="38"/>
    </row>
    <row r="65" spans="1:17" ht="15" customHeight="1" x14ac:dyDescent="0.2">
      <c r="A65" s="12"/>
      <c r="B65" s="8" t="s">
        <v>28</v>
      </c>
      <c r="C65" s="9">
        <v>2</v>
      </c>
      <c r="D65" s="10">
        <v>45000</v>
      </c>
      <c r="E65" s="10">
        <f t="shared" si="0"/>
        <v>90000</v>
      </c>
      <c r="F65" s="13"/>
      <c r="L65" s="37"/>
      <c r="M65" s="8" t="s">
        <v>114</v>
      </c>
      <c r="N65" s="9">
        <v>1</v>
      </c>
      <c r="O65" s="10">
        <v>40000</v>
      </c>
      <c r="P65" s="10">
        <f t="shared" si="1"/>
        <v>40000</v>
      </c>
      <c r="Q65" s="38"/>
    </row>
    <row r="66" spans="1:17" ht="15" customHeight="1" x14ac:dyDescent="0.2">
      <c r="A66" s="12"/>
      <c r="B66" s="8" t="s">
        <v>52</v>
      </c>
      <c r="C66" s="9">
        <v>2</v>
      </c>
      <c r="D66" s="10">
        <v>170000</v>
      </c>
      <c r="E66" s="10">
        <f t="shared" si="0"/>
        <v>340000</v>
      </c>
      <c r="F66" s="13"/>
      <c r="L66" s="37"/>
      <c r="M66" s="8" t="s">
        <v>116</v>
      </c>
      <c r="N66" s="9">
        <v>1</v>
      </c>
      <c r="O66" s="10">
        <v>45000</v>
      </c>
      <c r="P66" s="10">
        <f t="shared" si="1"/>
        <v>45000</v>
      </c>
      <c r="Q66" s="38"/>
    </row>
    <row r="67" spans="1:17" ht="15" customHeight="1" x14ac:dyDescent="0.2">
      <c r="A67" s="12"/>
      <c r="B67" s="8" t="s">
        <v>17</v>
      </c>
      <c r="C67" s="9">
        <v>1</v>
      </c>
      <c r="D67" s="10">
        <v>55000</v>
      </c>
      <c r="E67" s="10">
        <f t="shared" ref="E67:E74" si="2">D67*C67</f>
        <v>55000</v>
      </c>
      <c r="F67" s="13"/>
      <c r="L67" s="39"/>
      <c r="M67" s="8" t="s">
        <v>110</v>
      </c>
      <c r="N67" s="9">
        <v>2</v>
      </c>
      <c r="O67" s="10">
        <v>35000</v>
      </c>
      <c r="P67" s="10">
        <f t="shared" si="1"/>
        <v>70000</v>
      </c>
      <c r="Q67" s="40"/>
    </row>
    <row r="68" spans="1:17" ht="15" customHeight="1" x14ac:dyDescent="0.2">
      <c r="A68" s="12"/>
      <c r="B68" s="8" t="s">
        <v>39</v>
      </c>
      <c r="C68" s="9">
        <v>0.1</v>
      </c>
      <c r="D68" s="10">
        <v>80000</v>
      </c>
      <c r="E68" s="10">
        <f t="shared" si="2"/>
        <v>8000</v>
      </c>
      <c r="F68" s="13"/>
      <c r="L68" s="37">
        <v>46089</v>
      </c>
      <c r="M68" s="8" t="s">
        <v>102</v>
      </c>
      <c r="N68" s="9">
        <v>6</v>
      </c>
      <c r="O68" s="10">
        <v>10000</v>
      </c>
      <c r="P68" s="10">
        <f t="shared" si="1"/>
        <v>60000</v>
      </c>
      <c r="Q68" s="38">
        <f>SUM(P68:P78)</f>
        <v>896000</v>
      </c>
    </row>
    <row r="69" spans="1:17" ht="15" customHeight="1" x14ac:dyDescent="0.2">
      <c r="A69" s="15"/>
      <c r="B69" s="8" t="s">
        <v>31</v>
      </c>
      <c r="C69" s="9">
        <v>7.0000000000000007E-2</v>
      </c>
      <c r="D69" s="10">
        <v>80000</v>
      </c>
      <c r="E69" s="10">
        <v>6000</v>
      </c>
      <c r="F69" s="16"/>
      <c r="L69" s="37"/>
      <c r="M69" s="8" t="s">
        <v>100</v>
      </c>
      <c r="N69" s="9">
        <v>5</v>
      </c>
      <c r="O69" s="10">
        <v>35000</v>
      </c>
      <c r="P69" s="10">
        <f t="shared" si="1"/>
        <v>175000</v>
      </c>
      <c r="Q69" s="38"/>
    </row>
    <row r="70" spans="1:17" ht="15" customHeight="1" x14ac:dyDescent="0.2">
      <c r="A70" s="12">
        <v>46087</v>
      </c>
      <c r="B70" s="8" t="s">
        <v>53</v>
      </c>
      <c r="C70" s="9">
        <v>2</v>
      </c>
      <c r="D70" s="10">
        <v>90000</v>
      </c>
      <c r="E70" s="10">
        <f>D70*C70</f>
        <v>180000</v>
      </c>
      <c r="F70" s="13">
        <f>SUM(E70:E82)</f>
        <v>1036000</v>
      </c>
      <c r="L70" s="37"/>
      <c r="M70" s="8" t="s">
        <v>17</v>
      </c>
      <c r="N70" s="9">
        <v>2</v>
      </c>
      <c r="O70" s="10">
        <v>70000</v>
      </c>
      <c r="P70" s="10">
        <f t="shared" si="1"/>
        <v>140000</v>
      </c>
      <c r="Q70" s="38"/>
    </row>
    <row r="71" spans="1:17" ht="15" customHeight="1" x14ac:dyDescent="0.2">
      <c r="A71" s="12"/>
      <c r="B71" s="8" t="s">
        <v>12</v>
      </c>
      <c r="C71" s="9">
        <v>2</v>
      </c>
      <c r="D71" s="10">
        <v>170000</v>
      </c>
      <c r="E71" s="10">
        <f t="shared" ref="E71:E102" si="3">D71*C71</f>
        <v>340000</v>
      </c>
      <c r="F71" s="13"/>
      <c r="L71" s="37"/>
      <c r="M71" s="8" t="s">
        <v>67</v>
      </c>
      <c r="N71" s="9">
        <v>2.1</v>
      </c>
      <c r="O71" s="10">
        <v>60000</v>
      </c>
      <c r="P71" s="10">
        <f t="shared" ref="P71:P134" si="4">O71*N71</f>
        <v>126000</v>
      </c>
      <c r="Q71" s="38"/>
    </row>
    <row r="72" spans="1:17" ht="15" customHeight="1" x14ac:dyDescent="0.2">
      <c r="A72" s="12"/>
      <c r="B72" s="8" t="s">
        <v>13</v>
      </c>
      <c r="C72" s="9">
        <v>2</v>
      </c>
      <c r="D72" s="10">
        <v>100000</v>
      </c>
      <c r="E72" s="10">
        <f t="shared" si="3"/>
        <v>200000</v>
      </c>
      <c r="F72" s="13"/>
      <c r="L72" s="37"/>
      <c r="M72" s="8" t="s">
        <v>96</v>
      </c>
      <c r="N72" s="9">
        <v>3.68</v>
      </c>
      <c r="O72" s="10">
        <v>16000</v>
      </c>
      <c r="P72" s="10">
        <v>59000</v>
      </c>
      <c r="Q72" s="38"/>
    </row>
    <row r="73" spans="1:17" ht="15" customHeight="1" x14ac:dyDescent="0.2">
      <c r="A73" s="12"/>
      <c r="B73" s="8" t="s">
        <v>7</v>
      </c>
      <c r="C73" s="9">
        <v>0.1</v>
      </c>
      <c r="D73" s="10">
        <v>80000</v>
      </c>
      <c r="E73" s="10">
        <f t="shared" si="3"/>
        <v>8000</v>
      </c>
      <c r="F73" s="13"/>
      <c r="L73" s="37"/>
      <c r="M73" s="8" t="s">
        <v>31</v>
      </c>
      <c r="N73" s="9">
        <v>0.3</v>
      </c>
      <c r="O73" s="10">
        <v>80000</v>
      </c>
      <c r="P73" s="10">
        <f t="shared" si="4"/>
        <v>24000</v>
      </c>
      <c r="Q73" s="38"/>
    </row>
    <row r="74" spans="1:17" ht="15" customHeight="1" x14ac:dyDescent="0.2">
      <c r="A74" s="12"/>
      <c r="B74" s="8" t="s">
        <v>8</v>
      </c>
      <c r="C74" s="9">
        <v>0.1</v>
      </c>
      <c r="D74" s="10">
        <v>80000</v>
      </c>
      <c r="E74" s="10">
        <f t="shared" si="3"/>
        <v>8000</v>
      </c>
      <c r="F74" s="13"/>
      <c r="L74" s="37"/>
      <c r="M74" s="8" t="s">
        <v>18</v>
      </c>
      <c r="N74" s="9">
        <v>1</v>
      </c>
      <c r="O74" s="10">
        <v>45000</v>
      </c>
      <c r="P74" s="10">
        <f t="shared" si="4"/>
        <v>45000</v>
      </c>
      <c r="Q74" s="38"/>
    </row>
    <row r="75" spans="1:17" ht="15" customHeight="1" x14ac:dyDescent="0.2">
      <c r="A75" s="12"/>
      <c r="B75" s="8" t="s">
        <v>38</v>
      </c>
      <c r="C75" s="9">
        <v>0.1</v>
      </c>
      <c r="D75" s="10">
        <v>25000</v>
      </c>
      <c r="E75" s="10">
        <v>3000</v>
      </c>
      <c r="F75" s="13"/>
      <c r="L75" s="37"/>
      <c r="M75" s="8" t="s">
        <v>109</v>
      </c>
      <c r="N75" s="9">
        <v>0.25</v>
      </c>
      <c r="O75" s="10">
        <v>100000</v>
      </c>
      <c r="P75" s="10">
        <f t="shared" si="4"/>
        <v>25000</v>
      </c>
      <c r="Q75" s="38"/>
    </row>
    <row r="76" spans="1:17" ht="15" customHeight="1" x14ac:dyDescent="0.2">
      <c r="A76" s="12"/>
      <c r="B76" s="8" t="s">
        <v>9</v>
      </c>
      <c r="C76" s="9">
        <v>0.1</v>
      </c>
      <c r="D76" s="10">
        <v>80000</v>
      </c>
      <c r="E76" s="10">
        <f t="shared" si="3"/>
        <v>8000</v>
      </c>
      <c r="F76" s="13"/>
      <c r="L76" s="37"/>
      <c r="M76" s="8" t="s">
        <v>117</v>
      </c>
      <c r="N76" s="9">
        <v>5</v>
      </c>
      <c r="O76" s="10">
        <v>18000</v>
      </c>
      <c r="P76" s="10">
        <f t="shared" si="4"/>
        <v>90000</v>
      </c>
      <c r="Q76" s="38"/>
    </row>
    <row r="77" spans="1:17" ht="15" customHeight="1" x14ac:dyDescent="0.2">
      <c r="A77" s="12"/>
      <c r="B77" s="8" t="s">
        <v>36</v>
      </c>
      <c r="C77" s="9">
        <v>0.1</v>
      </c>
      <c r="D77" s="10">
        <v>60000</v>
      </c>
      <c r="E77" s="10">
        <f t="shared" si="3"/>
        <v>6000</v>
      </c>
      <c r="F77" s="13"/>
      <c r="L77" s="37"/>
      <c r="M77" s="8" t="s">
        <v>105</v>
      </c>
      <c r="N77" s="9">
        <v>2</v>
      </c>
      <c r="O77" s="10">
        <v>40000</v>
      </c>
      <c r="P77" s="10">
        <f t="shared" si="4"/>
        <v>80000</v>
      </c>
      <c r="Q77" s="38"/>
    </row>
    <row r="78" spans="1:17" ht="15" customHeight="1" x14ac:dyDescent="0.2">
      <c r="A78" s="12"/>
      <c r="B78" s="8" t="s">
        <v>34</v>
      </c>
      <c r="C78" s="9">
        <v>1</v>
      </c>
      <c r="D78" s="10">
        <v>120000</v>
      </c>
      <c r="E78" s="10">
        <f t="shared" si="3"/>
        <v>120000</v>
      </c>
      <c r="F78" s="13"/>
      <c r="L78" s="39"/>
      <c r="M78" s="8" t="s">
        <v>104</v>
      </c>
      <c r="N78" s="9">
        <v>3</v>
      </c>
      <c r="O78" s="10">
        <v>24000</v>
      </c>
      <c r="P78" s="10">
        <f t="shared" si="4"/>
        <v>72000</v>
      </c>
      <c r="Q78" s="40"/>
    </row>
    <row r="79" spans="1:17" ht="15" customHeight="1" x14ac:dyDescent="0.2">
      <c r="A79" s="12"/>
      <c r="B79" s="8" t="s">
        <v>39</v>
      </c>
      <c r="C79" s="9">
        <v>0.1</v>
      </c>
      <c r="D79" s="10">
        <v>80000</v>
      </c>
      <c r="E79" s="10">
        <f t="shared" si="3"/>
        <v>8000</v>
      </c>
      <c r="F79" s="13"/>
      <c r="L79" s="35">
        <v>46090</v>
      </c>
      <c r="M79" s="8" t="s">
        <v>102</v>
      </c>
      <c r="N79" s="9">
        <v>6</v>
      </c>
      <c r="O79" s="10">
        <v>10000</v>
      </c>
      <c r="P79" s="10">
        <f t="shared" si="4"/>
        <v>60000</v>
      </c>
      <c r="Q79" s="36">
        <f>SUM(P79:P87)</f>
        <v>398000</v>
      </c>
    </row>
    <row r="80" spans="1:17" ht="15" customHeight="1" x14ac:dyDescent="0.2">
      <c r="A80" s="12"/>
      <c r="B80" s="8" t="s">
        <v>54</v>
      </c>
      <c r="C80" s="9">
        <v>1</v>
      </c>
      <c r="D80" s="10">
        <v>30000</v>
      </c>
      <c r="E80" s="10">
        <f t="shared" si="3"/>
        <v>30000</v>
      </c>
      <c r="F80" s="13"/>
      <c r="L80" s="37"/>
      <c r="M80" s="8" t="s">
        <v>100</v>
      </c>
      <c r="N80" s="9">
        <v>4</v>
      </c>
      <c r="O80" s="10">
        <v>35000</v>
      </c>
      <c r="P80" s="10">
        <f t="shared" si="4"/>
        <v>140000</v>
      </c>
      <c r="Q80" s="38"/>
    </row>
    <row r="81" spans="1:17" ht="15" customHeight="1" x14ac:dyDescent="0.2">
      <c r="A81" s="12"/>
      <c r="B81" s="8" t="s">
        <v>55</v>
      </c>
      <c r="C81" s="9">
        <v>1</v>
      </c>
      <c r="D81" s="10">
        <v>55000</v>
      </c>
      <c r="E81" s="10">
        <f t="shared" si="3"/>
        <v>55000</v>
      </c>
      <c r="F81" s="13"/>
      <c r="L81" s="37"/>
      <c r="M81" s="8" t="s">
        <v>17</v>
      </c>
      <c r="N81" s="9">
        <v>1</v>
      </c>
      <c r="O81" s="10">
        <v>70000</v>
      </c>
      <c r="P81" s="10">
        <f t="shared" si="4"/>
        <v>70000</v>
      </c>
      <c r="Q81" s="38"/>
    </row>
    <row r="82" spans="1:17" ht="15" customHeight="1" x14ac:dyDescent="0.2">
      <c r="A82" s="15"/>
      <c r="B82" s="8" t="s">
        <v>17</v>
      </c>
      <c r="C82" s="9">
        <v>1</v>
      </c>
      <c r="D82" s="10">
        <v>70000</v>
      </c>
      <c r="E82" s="10">
        <f t="shared" si="3"/>
        <v>70000</v>
      </c>
      <c r="F82" s="16"/>
      <c r="L82" s="37"/>
      <c r="M82" s="8" t="s">
        <v>68</v>
      </c>
      <c r="N82" s="9">
        <v>1</v>
      </c>
      <c r="O82" s="10">
        <v>15000</v>
      </c>
      <c r="P82" s="10">
        <f t="shared" si="4"/>
        <v>15000</v>
      </c>
      <c r="Q82" s="38"/>
    </row>
    <row r="83" spans="1:17" ht="15" customHeight="1" x14ac:dyDescent="0.2">
      <c r="A83" s="12">
        <v>46088</v>
      </c>
      <c r="B83" s="8" t="s">
        <v>56</v>
      </c>
      <c r="C83" s="9">
        <v>1</v>
      </c>
      <c r="D83" s="10">
        <v>70000</v>
      </c>
      <c r="E83" s="10">
        <f t="shared" si="3"/>
        <v>70000</v>
      </c>
      <c r="F83" s="13">
        <f>SUM(E83:E95)</f>
        <v>799000</v>
      </c>
      <c r="L83" s="37"/>
      <c r="M83" s="8" t="s">
        <v>103</v>
      </c>
      <c r="N83" s="9">
        <v>0.3</v>
      </c>
      <c r="O83" s="10">
        <v>20000</v>
      </c>
      <c r="P83" s="10">
        <f t="shared" si="4"/>
        <v>6000</v>
      </c>
      <c r="Q83" s="38"/>
    </row>
    <row r="84" spans="1:17" ht="15" customHeight="1" x14ac:dyDescent="0.2">
      <c r="A84" s="12"/>
      <c r="B84" s="8" t="s">
        <v>54</v>
      </c>
      <c r="C84" s="9">
        <v>2</v>
      </c>
      <c r="D84" s="10">
        <v>30000</v>
      </c>
      <c r="E84" s="10">
        <f t="shared" si="3"/>
        <v>60000</v>
      </c>
      <c r="F84" s="13"/>
      <c r="L84" s="37"/>
      <c r="M84" s="8" t="s">
        <v>61</v>
      </c>
      <c r="N84" s="9">
        <v>0.3</v>
      </c>
      <c r="O84" s="10">
        <v>30000</v>
      </c>
      <c r="P84" s="10">
        <f t="shared" si="4"/>
        <v>9000</v>
      </c>
      <c r="Q84" s="38"/>
    </row>
    <row r="85" spans="1:17" ht="15" customHeight="1" x14ac:dyDescent="0.2">
      <c r="A85" s="12"/>
      <c r="B85" s="8" t="s">
        <v>57</v>
      </c>
      <c r="C85" s="9">
        <v>14</v>
      </c>
      <c r="D85" s="10">
        <v>2000</v>
      </c>
      <c r="E85" s="10">
        <f t="shared" si="3"/>
        <v>28000</v>
      </c>
      <c r="F85" s="13"/>
      <c r="L85" s="37"/>
      <c r="M85" s="8" t="s">
        <v>109</v>
      </c>
      <c r="N85" s="9">
        <v>0.25</v>
      </c>
      <c r="O85" s="10">
        <v>100000</v>
      </c>
      <c r="P85" s="10">
        <f t="shared" si="4"/>
        <v>25000</v>
      </c>
      <c r="Q85" s="38"/>
    </row>
    <row r="86" spans="1:17" ht="15" customHeight="1" x14ac:dyDescent="0.2">
      <c r="A86" s="12"/>
      <c r="B86" s="8" t="s">
        <v>58</v>
      </c>
      <c r="C86" s="9">
        <v>1</v>
      </c>
      <c r="D86" s="10">
        <v>20000</v>
      </c>
      <c r="E86" s="10">
        <f t="shared" si="3"/>
        <v>20000</v>
      </c>
      <c r="F86" s="13"/>
      <c r="L86" s="37"/>
      <c r="M86" s="8" t="s">
        <v>104</v>
      </c>
      <c r="N86" s="9">
        <v>2</v>
      </c>
      <c r="O86" s="10">
        <v>24000</v>
      </c>
      <c r="P86" s="10">
        <f t="shared" si="4"/>
        <v>48000</v>
      </c>
      <c r="Q86" s="38"/>
    </row>
    <row r="87" spans="1:17" ht="15" customHeight="1" x14ac:dyDescent="0.2">
      <c r="A87" s="12"/>
      <c r="B87" s="8" t="s">
        <v>59</v>
      </c>
      <c r="C87" s="9">
        <v>1</v>
      </c>
      <c r="D87" s="10">
        <v>50000</v>
      </c>
      <c r="E87" s="10">
        <f t="shared" si="3"/>
        <v>50000</v>
      </c>
      <c r="F87" s="13"/>
      <c r="L87" s="39"/>
      <c r="M87" s="8" t="s">
        <v>118</v>
      </c>
      <c r="N87" s="9">
        <v>1</v>
      </c>
      <c r="O87" s="10">
        <v>25000</v>
      </c>
      <c r="P87" s="10">
        <f t="shared" si="4"/>
        <v>25000</v>
      </c>
      <c r="Q87" s="38"/>
    </row>
    <row r="88" spans="1:17" ht="15" customHeight="1" x14ac:dyDescent="0.2">
      <c r="A88" s="12"/>
      <c r="B88" s="8" t="s">
        <v>20</v>
      </c>
      <c r="C88" s="9">
        <v>0.5</v>
      </c>
      <c r="D88" s="10">
        <v>65000</v>
      </c>
      <c r="E88" s="10">
        <v>33000</v>
      </c>
      <c r="F88" s="13"/>
      <c r="L88" s="35">
        <v>46091</v>
      </c>
      <c r="M88" s="8" t="s">
        <v>102</v>
      </c>
      <c r="N88" s="9">
        <v>2</v>
      </c>
      <c r="O88" s="10">
        <v>10000</v>
      </c>
      <c r="P88" s="10">
        <f t="shared" si="4"/>
        <v>20000</v>
      </c>
      <c r="Q88" s="36">
        <f>SUM(P88:P95)</f>
        <v>166000</v>
      </c>
    </row>
    <row r="89" spans="1:17" ht="15" customHeight="1" x14ac:dyDescent="0.2">
      <c r="A89" s="12"/>
      <c r="B89" s="8" t="s">
        <v>7</v>
      </c>
      <c r="C89" s="9">
        <v>7.0000000000000007E-2</v>
      </c>
      <c r="D89" s="10">
        <v>80000</v>
      </c>
      <c r="E89" s="10">
        <v>6000</v>
      </c>
      <c r="F89" s="13"/>
      <c r="L89" s="37"/>
      <c r="M89" s="8" t="s">
        <v>107</v>
      </c>
      <c r="N89" s="9">
        <v>0.5</v>
      </c>
      <c r="O89" s="10">
        <v>30000</v>
      </c>
      <c r="P89" s="10">
        <f t="shared" si="4"/>
        <v>15000</v>
      </c>
      <c r="Q89" s="38"/>
    </row>
    <row r="90" spans="1:17" ht="15" customHeight="1" x14ac:dyDescent="0.2">
      <c r="A90" s="12"/>
      <c r="B90" s="8" t="s">
        <v>60</v>
      </c>
      <c r="C90" s="9">
        <v>2</v>
      </c>
      <c r="D90" s="10">
        <v>170000</v>
      </c>
      <c r="E90" s="10">
        <f t="shared" si="3"/>
        <v>340000</v>
      </c>
      <c r="F90" s="13"/>
      <c r="L90" s="37"/>
      <c r="M90" s="8" t="s">
        <v>68</v>
      </c>
      <c r="N90" s="9">
        <v>0.5</v>
      </c>
      <c r="O90" s="10">
        <v>15000</v>
      </c>
      <c r="P90" s="10">
        <v>8000</v>
      </c>
      <c r="Q90" s="38"/>
    </row>
    <row r="91" spans="1:17" ht="15" customHeight="1" x14ac:dyDescent="0.2">
      <c r="A91" s="12"/>
      <c r="B91" s="8" t="s">
        <v>61</v>
      </c>
      <c r="C91" s="9">
        <v>0.2</v>
      </c>
      <c r="D91" s="10">
        <v>30000</v>
      </c>
      <c r="E91" s="10">
        <f t="shared" si="3"/>
        <v>6000</v>
      </c>
      <c r="F91" s="13"/>
      <c r="L91" s="37"/>
      <c r="M91" s="8" t="s">
        <v>103</v>
      </c>
      <c r="N91" s="9">
        <v>0.3</v>
      </c>
      <c r="O91" s="10">
        <v>20000</v>
      </c>
      <c r="P91" s="10">
        <f t="shared" si="4"/>
        <v>6000</v>
      </c>
      <c r="Q91" s="38"/>
    </row>
    <row r="92" spans="1:17" ht="15" customHeight="1" x14ac:dyDescent="0.2">
      <c r="A92" s="12"/>
      <c r="B92" s="8" t="s">
        <v>19</v>
      </c>
      <c r="C92" s="9">
        <v>1</v>
      </c>
      <c r="D92" s="10">
        <v>130000</v>
      </c>
      <c r="E92" s="10">
        <f t="shared" si="3"/>
        <v>130000</v>
      </c>
      <c r="F92" s="13"/>
      <c r="L92" s="37"/>
      <c r="M92" s="8" t="s">
        <v>61</v>
      </c>
      <c r="N92" s="9">
        <v>0.3</v>
      </c>
      <c r="O92" s="10">
        <v>30000</v>
      </c>
      <c r="P92" s="10">
        <f t="shared" si="4"/>
        <v>9000</v>
      </c>
      <c r="Q92" s="38"/>
    </row>
    <row r="93" spans="1:17" ht="15" customHeight="1" x14ac:dyDescent="0.2">
      <c r="A93" s="12"/>
      <c r="B93" s="8" t="s">
        <v>32</v>
      </c>
      <c r="C93" s="9">
        <v>1</v>
      </c>
      <c r="D93" s="10">
        <v>40000</v>
      </c>
      <c r="E93" s="10">
        <f t="shared" si="3"/>
        <v>40000</v>
      </c>
      <c r="F93" s="13"/>
      <c r="L93" s="37"/>
      <c r="M93" s="8" t="s">
        <v>104</v>
      </c>
      <c r="N93" s="9">
        <v>2</v>
      </c>
      <c r="O93" s="10">
        <v>24000</v>
      </c>
      <c r="P93" s="10">
        <f t="shared" si="4"/>
        <v>48000</v>
      </c>
      <c r="Q93" s="38"/>
    </row>
    <row r="94" spans="1:17" ht="15" customHeight="1" x14ac:dyDescent="0.2">
      <c r="A94" s="12"/>
      <c r="B94" s="8" t="s">
        <v>39</v>
      </c>
      <c r="C94" s="9">
        <v>0.1</v>
      </c>
      <c r="D94" s="10">
        <v>80000</v>
      </c>
      <c r="E94" s="10">
        <f t="shared" si="3"/>
        <v>8000</v>
      </c>
      <c r="F94" s="13"/>
      <c r="L94" s="37"/>
      <c r="M94" s="8" t="s">
        <v>105</v>
      </c>
      <c r="N94" s="9">
        <v>1</v>
      </c>
      <c r="O94" s="10">
        <v>40000</v>
      </c>
      <c r="P94" s="10">
        <f t="shared" si="4"/>
        <v>40000</v>
      </c>
      <c r="Q94" s="38"/>
    </row>
    <row r="95" spans="1:17" ht="15" customHeight="1" x14ac:dyDescent="0.2">
      <c r="A95" s="15"/>
      <c r="B95" s="8" t="s">
        <v>31</v>
      </c>
      <c r="C95" s="9">
        <v>0.1</v>
      </c>
      <c r="D95" s="10">
        <v>80000</v>
      </c>
      <c r="E95" s="10">
        <f t="shared" si="3"/>
        <v>8000</v>
      </c>
      <c r="F95" s="16"/>
      <c r="L95" s="39"/>
      <c r="M95" s="8" t="s">
        <v>101</v>
      </c>
      <c r="N95" s="9">
        <v>1</v>
      </c>
      <c r="O95" s="10">
        <v>20000</v>
      </c>
      <c r="P95" s="10">
        <f t="shared" si="4"/>
        <v>20000</v>
      </c>
      <c r="Q95" s="38"/>
    </row>
    <row r="96" spans="1:17" ht="15" customHeight="1" x14ac:dyDescent="0.2">
      <c r="A96" s="12">
        <v>46089</v>
      </c>
      <c r="B96" s="8" t="s">
        <v>62</v>
      </c>
      <c r="C96" s="9">
        <v>0.3</v>
      </c>
      <c r="D96" s="10">
        <v>150000</v>
      </c>
      <c r="E96" s="10">
        <f t="shared" si="3"/>
        <v>45000</v>
      </c>
      <c r="F96" s="13">
        <f>SUM(E96:E99)</f>
        <v>355000</v>
      </c>
      <c r="L96" s="37">
        <v>46092</v>
      </c>
      <c r="M96" s="8" t="s">
        <v>102</v>
      </c>
      <c r="N96" s="9">
        <v>5</v>
      </c>
      <c r="O96" s="10">
        <v>10000</v>
      </c>
      <c r="P96" s="10">
        <f t="shared" si="4"/>
        <v>50000</v>
      </c>
      <c r="Q96" s="41">
        <f>SUM(P96:P105)</f>
        <v>692000</v>
      </c>
    </row>
    <row r="97" spans="1:17" ht="15" customHeight="1" x14ac:dyDescent="0.2">
      <c r="A97" s="12"/>
      <c r="B97" s="8" t="s">
        <v>13</v>
      </c>
      <c r="C97" s="9">
        <v>2</v>
      </c>
      <c r="D97" s="10">
        <v>100000</v>
      </c>
      <c r="E97" s="10">
        <f t="shared" si="3"/>
        <v>200000</v>
      </c>
      <c r="F97" s="13"/>
      <c r="L97" s="37"/>
      <c r="M97" s="8" t="s">
        <v>100</v>
      </c>
      <c r="N97" s="9">
        <v>4</v>
      </c>
      <c r="O97" s="10">
        <v>35000</v>
      </c>
      <c r="P97" s="10">
        <f t="shared" si="4"/>
        <v>140000</v>
      </c>
      <c r="Q97" s="41"/>
    </row>
    <row r="98" spans="1:17" ht="15" customHeight="1" x14ac:dyDescent="0.2">
      <c r="A98" s="12"/>
      <c r="B98" s="8" t="s">
        <v>41</v>
      </c>
      <c r="C98" s="9">
        <v>5</v>
      </c>
      <c r="D98" s="10">
        <v>15000</v>
      </c>
      <c r="E98" s="10">
        <f t="shared" si="3"/>
        <v>75000</v>
      </c>
      <c r="F98" s="13"/>
      <c r="L98" s="37"/>
      <c r="M98" s="8" t="s">
        <v>17</v>
      </c>
      <c r="N98" s="9">
        <v>2</v>
      </c>
      <c r="O98" s="10">
        <v>70000</v>
      </c>
      <c r="P98" s="10">
        <f t="shared" si="4"/>
        <v>140000</v>
      </c>
      <c r="Q98" s="41"/>
    </row>
    <row r="99" spans="1:17" ht="15" customHeight="1" x14ac:dyDescent="0.2">
      <c r="A99" s="15"/>
      <c r="B99" s="8" t="s">
        <v>17</v>
      </c>
      <c r="C99" s="9">
        <v>0.5</v>
      </c>
      <c r="D99" s="10">
        <v>70000</v>
      </c>
      <c r="E99" s="10">
        <f t="shared" si="3"/>
        <v>35000</v>
      </c>
      <c r="F99" s="16"/>
      <c r="L99" s="37"/>
      <c r="M99" s="8" t="s">
        <v>68</v>
      </c>
      <c r="N99" s="9">
        <v>0.7</v>
      </c>
      <c r="O99" s="10">
        <v>15000</v>
      </c>
      <c r="P99" s="10">
        <v>11000</v>
      </c>
      <c r="Q99" s="41"/>
    </row>
    <row r="100" spans="1:17" ht="15" customHeight="1" x14ac:dyDescent="0.2">
      <c r="A100" s="12">
        <v>46089</v>
      </c>
      <c r="B100" s="8" t="s">
        <v>57</v>
      </c>
      <c r="C100" s="9">
        <v>22</v>
      </c>
      <c r="D100" s="10">
        <v>2000</v>
      </c>
      <c r="E100" s="10">
        <f t="shared" si="3"/>
        <v>44000</v>
      </c>
      <c r="F100" s="13">
        <f>SUM(E100:E103)</f>
        <v>114000</v>
      </c>
      <c r="L100" s="37"/>
      <c r="M100" s="8" t="s">
        <v>18</v>
      </c>
      <c r="N100" s="9">
        <v>1</v>
      </c>
      <c r="O100" s="10">
        <v>50000</v>
      </c>
      <c r="P100" s="10">
        <f t="shared" si="4"/>
        <v>50000</v>
      </c>
      <c r="Q100" s="41"/>
    </row>
    <row r="101" spans="1:17" ht="15" customHeight="1" x14ac:dyDescent="0.2">
      <c r="A101" s="12"/>
      <c r="B101" s="8" t="s">
        <v>18</v>
      </c>
      <c r="C101" s="9">
        <v>1</v>
      </c>
      <c r="D101" s="10">
        <v>50000</v>
      </c>
      <c r="E101" s="10">
        <f t="shared" si="3"/>
        <v>50000</v>
      </c>
      <c r="F101" s="13"/>
      <c r="L101" s="37"/>
      <c r="M101" s="8" t="s">
        <v>96</v>
      </c>
      <c r="N101" s="9">
        <v>4.18</v>
      </c>
      <c r="O101" s="10">
        <v>16000</v>
      </c>
      <c r="P101" s="10">
        <v>67000</v>
      </c>
      <c r="Q101" s="41"/>
    </row>
    <row r="102" spans="1:17" ht="15" customHeight="1" x14ac:dyDescent="0.2">
      <c r="A102" s="12"/>
      <c r="B102" s="8" t="s">
        <v>63</v>
      </c>
      <c r="C102" s="9">
        <v>15</v>
      </c>
      <c r="D102" s="10">
        <v>1000</v>
      </c>
      <c r="E102" s="10">
        <f t="shared" si="3"/>
        <v>15000</v>
      </c>
      <c r="F102" s="13"/>
      <c r="L102" s="37"/>
      <c r="M102" s="8" t="s">
        <v>109</v>
      </c>
      <c r="N102" s="9">
        <v>0.25</v>
      </c>
      <c r="O102" s="10">
        <v>100000</v>
      </c>
      <c r="P102" s="10">
        <f t="shared" si="4"/>
        <v>25000</v>
      </c>
      <c r="Q102" s="41"/>
    </row>
    <row r="103" spans="1:17" ht="15" customHeight="1" x14ac:dyDescent="0.2">
      <c r="A103" s="15"/>
      <c r="B103" s="8" t="s">
        <v>64</v>
      </c>
      <c r="C103" s="9">
        <v>0.1</v>
      </c>
      <c r="D103" s="10">
        <v>45000</v>
      </c>
      <c r="E103" s="10">
        <v>5000</v>
      </c>
      <c r="F103" s="16"/>
      <c r="L103" s="37"/>
      <c r="M103" s="8" t="s">
        <v>104</v>
      </c>
      <c r="N103" s="9">
        <v>5</v>
      </c>
      <c r="O103" s="10">
        <v>24000</v>
      </c>
      <c r="P103" s="10">
        <f t="shared" si="4"/>
        <v>120000</v>
      </c>
      <c r="Q103" s="41"/>
    </row>
    <row r="104" spans="1:17" ht="15" customHeight="1" x14ac:dyDescent="0.2">
      <c r="A104" s="12">
        <v>46090</v>
      </c>
      <c r="B104" s="8" t="s">
        <v>61</v>
      </c>
      <c r="C104" s="9">
        <v>0.2</v>
      </c>
      <c r="D104" s="10">
        <v>30000</v>
      </c>
      <c r="E104" s="10">
        <f>D104*C104</f>
        <v>6000</v>
      </c>
      <c r="F104" s="13">
        <f>SUM(E104:E115)</f>
        <v>1551000</v>
      </c>
      <c r="L104" s="37"/>
      <c r="M104" s="8" t="s">
        <v>105</v>
      </c>
      <c r="N104" s="9">
        <v>1</v>
      </c>
      <c r="O104" s="10">
        <v>40000</v>
      </c>
      <c r="P104" s="10">
        <f t="shared" si="4"/>
        <v>40000</v>
      </c>
      <c r="Q104" s="41"/>
    </row>
    <row r="105" spans="1:17" ht="15" customHeight="1" x14ac:dyDescent="0.2">
      <c r="A105" s="12"/>
      <c r="B105" s="8" t="s">
        <v>65</v>
      </c>
      <c r="C105" s="9">
        <v>1</v>
      </c>
      <c r="D105" s="10">
        <v>70000</v>
      </c>
      <c r="E105" s="10">
        <f t="shared" ref="E105:E168" si="5">D105*C105</f>
        <v>70000</v>
      </c>
      <c r="F105" s="13"/>
      <c r="L105" s="39"/>
      <c r="M105" s="8" t="s">
        <v>106</v>
      </c>
      <c r="N105" s="9">
        <v>1</v>
      </c>
      <c r="O105" s="10">
        <v>49000</v>
      </c>
      <c r="P105" s="10">
        <f t="shared" si="4"/>
        <v>49000</v>
      </c>
      <c r="Q105" s="41"/>
    </row>
    <row r="106" spans="1:17" ht="15" customHeight="1" x14ac:dyDescent="0.2">
      <c r="A106" s="12"/>
      <c r="B106" s="8" t="s">
        <v>18</v>
      </c>
      <c r="C106" s="9">
        <v>1</v>
      </c>
      <c r="D106" s="10">
        <v>50000</v>
      </c>
      <c r="E106" s="10">
        <f t="shared" si="5"/>
        <v>50000</v>
      </c>
      <c r="F106" s="13"/>
      <c r="L106" s="37">
        <v>46093</v>
      </c>
      <c r="M106" s="8" t="s">
        <v>102</v>
      </c>
      <c r="N106" s="9">
        <v>2</v>
      </c>
      <c r="O106" s="10">
        <v>10000</v>
      </c>
      <c r="P106" s="10">
        <f t="shared" si="4"/>
        <v>20000</v>
      </c>
      <c r="Q106" s="36">
        <f>SUM(P106:P120)</f>
        <v>740000</v>
      </c>
    </row>
    <row r="107" spans="1:17" ht="15" customHeight="1" x14ac:dyDescent="0.2">
      <c r="A107" s="12"/>
      <c r="B107" s="8" t="s">
        <v>32</v>
      </c>
      <c r="C107" s="9">
        <v>1.05</v>
      </c>
      <c r="D107" s="10">
        <v>40000</v>
      </c>
      <c r="E107" s="10">
        <f t="shared" si="5"/>
        <v>42000</v>
      </c>
      <c r="F107" s="13"/>
      <c r="L107" s="37"/>
      <c r="M107" s="8" t="s">
        <v>32</v>
      </c>
      <c r="N107" s="9">
        <v>0.63</v>
      </c>
      <c r="O107" s="10">
        <v>40000</v>
      </c>
      <c r="P107" s="10">
        <v>25000</v>
      </c>
      <c r="Q107" s="38"/>
    </row>
    <row r="108" spans="1:17" ht="15" customHeight="1" x14ac:dyDescent="0.2">
      <c r="A108" s="12"/>
      <c r="B108" s="8" t="s">
        <v>22</v>
      </c>
      <c r="C108" s="9">
        <v>1</v>
      </c>
      <c r="D108" s="10">
        <v>30000</v>
      </c>
      <c r="E108" s="10">
        <f t="shared" si="5"/>
        <v>30000</v>
      </c>
      <c r="F108" s="13"/>
      <c r="L108" s="37"/>
      <c r="M108" s="8" t="s">
        <v>17</v>
      </c>
      <c r="N108" s="9">
        <v>2.08</v>
      </c>
      <c r="O108" s="10">
        <v>70000</v>
      </c>
      <c r="P108" s="10">
        <v>146000</v>
      </c>
      <c r="Q108" s="38"/>
    </row>
    <row r="109" spans="1:17" ht="15" customHeight="1" x14ac:dyDescent="0.2">
      <c r="A109" s="12"/>
      <c r="B109" s="8" t="s">
        <v>66</v>
      </c>
      <c r="C109" s="9">
        <v>1</v>
      </c>
      <c r="D109" s="10">
        <v>195000</v>
      </c>
      <c r="E109" s="10">
        <f t="shared" si="5"/>
        <v>195000</v>
      </c>
      <c r="F109" s="13"/>
      <c r="L109" s="37"/>
      <c r="M109" s="8" t="s">
        <v>100</v>
      </c>
      <c r="N109" s="9">
        <v>4</v>
      </c>
      <c r="O109" s="10">
        <v>35000</v>
      </c>
      <c r="P109" s="10">
        <f t="shared" si="4"/>
        <v>140000</v>
      </c>
      <c r="Q109" s="38"/>
    </row>
    <row r="110" spans="1:17" ht="15" customHeight="1" x14ac:dyDescent="0.2">
      <c r="A110" s="12"/>
      <c r="B110" s="8" t="s">
        <v>7</v>
      </c>
      <c r="C110" s="9">
        <v>0.1</v>
      </c>
      <c r="D110" s="10">
        <v>80000</v>
      </c>
      <c r="E110" s="10">
        <f t="shared" si="5"/>
        <v>8000</v>
      </c>
      <c r="F110" s="13"/>
      <c r="L110" s="37"/>
      <c r="M110" s="8" t="s">
        <v>96</v>
      </c>
      <c r="N110" s="9">
        <v>5.92</v>
      </c>
      <c r="O110" s="10">
        <v>16000</v>
      </c>
      <c r="P110" s="10">
        <v>95000</v>
      </c>
      <c r="Q110" s="38"/>
    </row>
    <row r="111" spans="1:17" ht="15" customHeight="1" x14ac:dyDescent="0.2">
      <c r="A111" s="12"/>
      <c r="B111" s="8" t="s">
        <v>14</v>
      </c>
      <c r="C111" s="9">
        <v>1</v>
      </c>
      <c r="D111" s="10">
        <v>220000</v>
      </c>
      <c r="E111" s="10">
        <f t="shared" si="5"/>
        <v>220000</v>
      </c>
      <c r="F111" s="13"/>
      <c r="L111" s="37"/>
      <c r="M111" s="8" t="s">
        <v>119</v>
      </c>
      <c r="N111" s="9">
        <v>0.3</v>
      </c>
      <c r="O111" s="10">
        <v>35000</v>
      </c>
      <c r="P111" s="10">
        <v>11000</v>
      </c>
      <c r="Q111" s="38"/>
    </row>
    <row r="112" spans="1:17" ht="15" customHeight="1" x14ac:dyDescent="0.2">
      <c r="A112" s="12"/>
      <c r="B112" s="8" t="s">
        <v>34</v>
      </c>
      <c r="C112" s="9">
        <v>2</v>
      </c>
      <c r="D112" s="10">
        <v>120000</v>
      </c>
      <c r="E112" s="10">
        <f t="shared" si="5"/>
        <v>240000</v>
      </c>
      <c r="F112" s="13"/>
      <c r="L112" s="37"/>
      <c r="M112" s="8" t="s">
        <v>103</v>
      </c>
      <c r="N112" s="9">
        <v>0.3</v>
      </c>
      <c r="O112" s="10">
        <v>20000</v>
      </c>
      <c r="P112" s="10">
        <f t="shared" si="4"/>
        <v>6000</v>
      </c>
      <c r="Q112" s="38"/>
    </row>
    <row r="113" spans="1:17" ht="15" customHeight="1" x14ac:dyDescent="0.2">
      <c r="A113" s="12"/>
      <c r="B113" s="8" t="s">
        <v>15</v>
      </c>
      <c r="C113" s="9">
        <v>5</v>
      </c>
      <c r="D113" s="10">
        <v>40000</v>
      </c>
      <c r="E113" s="10">
        <f t="shared" si="5"/>
        <v>200000</v>
      </c>
      <c r="F113" s="13"/>
      <c r="L113" s="37"/>
      <c r="M113" s="8" t="s">
        <v>67</v>
      </c>
      <c r="N113" s="9">
        <v>1</v>
      </c>
      <c r="O113" s="10">
        <v>60000</v>
      </c>
      <c r="P113" s="10">
        <f t="shared" si="4"/>
        <v>60000</v>
      </c>
      <c r="Q113" s="38"/>
    </row>
    <row r="114" spans="1:17" ht="15" customHeight="1" x14ac:dyDescent="0.2">
      <c r="A114" s="12"/>
      <c r="B114" s="8" t="s">
        <v>13</v>
      </c>
      <c r="C114" s="9">
        <v>3</v>
      </c>
      <c r="D114" s="10">
        <v>100000</v>
      </c>
      <c r="E114" s="10">
        <f t="shared" si="5"/>
        <v>300000</v>
      </c>
      <c r="F114" s="13"/>
      <c r="L114" s="37"/>
      <c r="M114" s="8" t="s">
        <v>18</v>
      </c>
      <c r="N114" s="9">
        <v>0.59</v>
      </c>
      <c r="O114" s="10">
        <v>50000</v>
      </c>
      <c r="P114" s="10">
        <v>30000</v>
      </c>
      <c r="Q114" s="38"/>
    </row>
    <row r="115" spans="1:17" ht="15" customHeight="1" x14ac:dyDescent="0.2">
      <c r="A115" s="15"/>
      <c r="B115" s="8" t="s">
        <v>51</v>
      </c>
      <c r="C115" s="9">
        <v>2</v>
      </c>
      <c r="D115" s="10">
        <v>95000</v>
      </c>
      <c r="E115" s="10">
        <f t="shared" si="5"/>
        <v>190000</v>
      </c>
      <c r="F115" s="16"/>
      <c r="L115" s="37"/>
      <c r="M115" s="8" t="s">
        <v>107</v>
      </c>
      <c r="N115" s="9">
        <v>0.5</v>
      </c>
      <c r="O115" s="10">
        <v>30000</v>
      </c>
      <c r="P115" s="10">
        <f t="shared" si="4"/>
        <v>15000</v>
      </c>
      <c r="Q115" s="38"/>
    </row>
    <row r="116" spans="1:17" ht="15" customHeight="1" x14ac:dyDescent="0.2">
      <c r="A116" s="12">
        <v>46091</v>
      </c>
      <c r="B116" s="8" t="s">
        <v>14</v>
      </c>
      <c r="C116" s="9">
        <v>1</v>
      </c>
      <c r="D116" s="10">
        <v>220000</v>
      </c>
      <c r="E116" s="10">
        <f t="shared" si="5"/>
        <v>220000</v>
      </c>
      <c r="F116" s="13">
        <f>SUM(E116:E125)</f>
        <v>822000</v>
      </c>
      <c r="L116" s="37"/>
      <c r="M116" s="8" t="s">
        <v>68</v>
      </c>
      <c r="N116" s="9">
        <v>0.69</v>
      </c>
      <c r="O116" s="10">
        <v>15000</v>
      </c>
      <c r="P116" s="10">
        <v>10000</v>
      </c>
      <c r="Q116" s="38"/>
    </row>
    <row r="117" spans="1:17" ht="15" customHeight="1" x14ac:dyDescent="0.2">
      <c r="A117" s="12"/>
      <c r="B117" s="8" t="s">
        <v>20</v>
      </c>
      <c r="C117" s="9">
        <v>1</v>
      </c>
      <c r="D117" s="10">
        <v>65000</v>
      </c>
      <c r="E117" s="10">
        <f t="shared" si="5"/>
        <v>65000</v>
      </c>
      <c r="F117" s="13"/>
      <c r="L117" s="37"/>
      <c r="M117" s="8" t="s">
        <v>109</v>
      </c>
      <c r="N117" s="9">
        <v>0.5</v>
      </c>
      <c r="O117" s="10">
        <v>100000</v>
      </c>
      <c r="P117" s="10">
        <f t="shared" si="4"/>
        <v>50000</v>
      </c>
      <c r="Q117" s="38"/>
    </row>
    <row r="118" spans="1:17" ht="15" customHeight="1" x14ac:dyDescent="0.2">
      <c r="A118" s="12"/>
      <c r="B118" s="8" t="s">
        <v>29</v>
      </c>
      <c r="C118" s="9">
        <v>2</v>
      </c>
      <c r="D118" s="10">
        <v>40000</v>
      </c>
      <c r="E118" s="10">
        <f t="shared" si="5"/>
        <v>80000</v>
      </c>
      <c r="F118" s="13"/>
      <c r="L118" s="37"/>
      <c r="M118" s="8" t="s">
        <v>104</v>
      </c>
      <c r="N118" s="9">
        <v>3</v>
      </c>
      <c r="O118" s="10">
        <v>24000</v>
      </c>
      <c r="P118" s="10">
        <f t="shared" si="4"/>
        <v>72000</v>
      </c>
      <c r="Q118" s="38"/>
    </row>
    <row r="119" spans="1:17" ht="15" customHeight="1" x14ac:dyDescent="0.2">
      <c r="A119" s="12"/>
      <c r="B119" s="8" t="s">
        <v>6</v>
      </c>
      <c r="C119" s="9">
        <v>1</v>
      </c>
      <c r="D119" s="10">
        <v>170000</v>
      </c>
      <c r="E119" s="10">
        <f t="shared" si="5"/>
        <v>170000</v>
      </c>
      <c r="F119" s="13"/>
      <c r="L119" s="37"/>
      <c r="M119" s="8" t="s">
        <v>105</v>
      </c>
      <c r="N119" s="9">
        <v>1</v>
      </c>
      <c r="O119" s="10">
        <v>40000</v>
      </c>
      <c r="P119" s="10">
        <f t="shared" si="4"/>
        <v>40000</v>
      </c>
      <c r="Q119" s="38"/>
    </row>
    <row r="120" spans="1:17" ht="15" customHeight="1" x14ac:dyDescent="0.2">
      <c r="A120" s="12"/>
      <c r="B120" s="8" t="s">
        <v>8</v>
      </c>
      <c r="C120" s="9">
        <v>7.0000000000000007E-2</v>
      </c>
      <c r="D120" s="10">
        <v>80000</v>
      </c>
      <c r="E120" s="10">
        <v>6000</v>
      </c>
      <c r="F120" s="13"/>
      <c r="L120" s="39"/>
      <c r="M120" s="8" t="s">
        <v>101</v>
      </c>
      <c r="N120" s="9">
        <v>1</v>
      </c>
      <c r="O120" s="10">
        <v>20000</v>
      </c>
      <c r="P120" s="10">
        <f t="shared" si="4"/>
        <v>20000</v>
      </c>
      <c r="Q120" s="38"/>
    </row>
    <row r="121" spans="1:17" ht="15" customHeight="1" x14ac:dyDescent="0.2">
      <c r="A121" s="12"/>
      <c r="B121" s="8" t="s">
        <v>7</v>
      </c>
      <c r="C121" s="9">
        <v>0.1</v>
      </c>
      <c r="D121" s="10">
        <v>80000</v>
      </c>
      <c r="E121" s="10">
        <f t="shared" si="5"/>
        <v>8000</v>
      </c>
      <c r="F121" s="13"/>
      <c r="L121" s="35">
        <v>46094</v>
      </c>
      <c r="M121" s="17" t="s">
        <v>104</v>
      </c>
      <c r="N121" s="9">
        <v>5</v>
      </c>
      <c r="O121" s="10">
        <v>24000</v>
      </c>
      <c r="P121" s="10">
        <f t="shared" si="4"/>
        <v>120000</v>
      </c>
      <c r="Q121" s="36">
        <f>SUM(P121:P128)</f>
        <v>473000</v>
      </c>
    </row>
    <row r="122" spans="1:17" ht="15" customHeight="1" x14ac:dyDescent="0.2">
      <c r="A122" s="12"/>
      <c r="B122" s="8" t="s">
        <v>38</v>
      </c>
      <c r="C122" s="9">
        <v>0.2</v>
      </c>
      <c r="D122" s="10">
        <v>25000</v>
      </c>
      <c r="E122" s="10">
        <f t="shared" si="5"/>
        <v>5000</v>
      </c>
      <c r="F122" s="13"/>
      <c r="L122" s="37"/>
      <c r="M122" s="17" t="s">
        <v>105</v>
      </c>
      <c r="N122" s="9">
        <v>1</v>
      </c>
      <c r="O122" s="10">
        <v>40000</v>
      </c>
      <c r="P122" s="10">
        <f t="shared" si="4"/>
        <v>40000</v>
      </c>
      <c r="Q122" s="38"/>
    </row>
    <row r="123" spans="1:17" ht="15" customHeight="1" x14ac:dyDescent="0.2">
      <c r="A123" s="12"/>
      <c r="B123" s="8" t="s">
        <v>18</v>
      </c>
      <c r="C123" s="9">
        <v>3</v>
      </c>
      <c r="D123" s="10">
        <v>50000</v>
      </c>
      <c r="E123" s="10">
        <f t="shared" si="5"/>
        <v>150000</v>
      </c>
      <c r="F123" s="13"/>
      <c r="L123" s="37"/>
      <c r="M123" s="17" t="s">
        <v>106</v>
      </c>
      <c r="N123" s="9">
        <v>1</v>
      </c>
      <c r="O123" s="10">
        <v>49000</v>
      </c>
      <c r="P123" s="10">
        <f t="shared" si="4"/>
        <v>49000</v>
      </c>
      <c r="Q123" s="38"/>
    </row>
    <row r="124" spans="1:17" ht="15" customHeight="1" x14ac:dyDescent="0.2">
      <c r="A124" s="12"/>
      <c r="B124" s="8" t="s">
        <v>17</v>
      </c>
      <c r="C124" s="9">
        <v>1</v>
      </c>
      <c r="D124" s="10">
        <v>70000</v>
      </c>
      <c r="E124" s="10">
        <f t="shared" si="5"/>
        <v>70000</v>
      </c>
      <c r="F124" s="13"/>
      <c r="L124" s="37"/>
      <c r="M124" s="17" t="s">
        <v>61</v>
      </c>
      <c r="N124" s="9">
        <v>0.3</v>
      </c>
      <c r="O124" s="10">
        <v>30000</v>
      </c>
      <c r="P124" s="10">
        <f t="shared" si="4"/>
        <v>9000</v>
      </c>
      <c r="Q124" s="38"/>
    </row>
    <row r="125" spans="1:17" ht="15" customHeight="1" x14ac:dyDescent="0.2">
      <c r="A125" s="15"/>
      <c r="B125" s="8" t="s">
        <v>21</v>
      </c>
      <c r="C125" s="9">
        <v>1</v>
      </c>
      <c r="D125" s="10">
        <v>48000</v>
      </c>
      <c r="E125" s="10">
        <f t="shared" si="5"/>
        <v>48000</v>
      </c>
      <c r="F125" s="16"/>
      <c r="L125" s="37"/>
      <c r="M125" s="17" t="s">
        <v>107</v>
      </c>
      <c r="N125" s="9">
        <v>0.5</v>
      </c>
      <c r="O125" s="10">
        <v>30000</v>
      </c>
      <c r="P125" s="10">
        <f t="shared" si="4"/>
        <v>15000</v>
      </c>
      <c r="Q125" s="38"/>
    </row>
    <row r="126" spans="1:17" ht="15" customHeight="1" x14ac:dyDescent="0.2">
      <c r="A126" s="12">
        <v>46092</v>
      </c>
      <c r="B126" s="8" t="s">
        <v>7</v>
      </c>
      <c r="C126" s="9">
        <v>0.1</v>
      </c>
      <c r="D126" s="10">
        <v>80000</v>
      </c>
      <c r="E126" s="10">
        <f t="shared" si="5"/>
        <v>8000</v>
      </c>
      <c r="F126" s="13">
        <f>SUM(E126:E134)</f>
        <v>433000</v>
      </c>
      <c r="L126" s="37"/>
      <c r="M126" s="17" t="s">
        <v>17</v>
      </c>
      <c r="N126" s="9">
        <v>1</v>
      </c>
      <c r="O126" s="10">
        <v>70000</v>
      </c>
      <c r="P126" s="10">
        <f t="shared" si="4"/>
        <v>70000</v>
      </c>
      <c r="Q126" s="38"/>
    </row>
    <row r="127" spans="1:17" ht="15" customHeight="1" x14ac:dyDescent="0.2">
      <c r="A127" s="12"/>
      <c r="B127" s="8" t="s">
        <v>37</v>
      </c>
      <c r="C127" s="9">
        <v>7.0000000000000007E-2</v>
      </c>
      <c r="D127" s="10">
        <v>100000</v>
      </c>
      <c r="E127" s="10">
        <f t="shared" si="5"/>
        <v>7000.0000000000009</v>
      </c>
      <c r="F127" s="13"/>
      <c r="L127" s="37"/>
      <c r="M127" s="17" t="s">
        <v>100</v>
      </c>
      <c r="N127" s="9">
        <v>4</v>
      </c>
      <c r="O127" s="10">
        <v>35000</v>
      </c>
      <c r="P127" s="42">
        <f t="shared" si="4"/>
        <v>140000</v>
      </c>
      <c r="Q127" s="38"/>
    </row>
    <row r="128" spans="1:17" ht="15" customHeight="1" x14ac:dyDescent="0.2">
      <c r="A128" s="12"/>
      <c r="B128" s="8" t="s">
        <v>9</v>
      </c>
      <c r="C128" s="9">
        <v>7.0000000000000007E-2</v>
      </c>
      <c r="D128" s="10">
        <v>80000</v>
      </c>
      <c r="E128" s="10">
        <v>6000</v>
      </c>
      <c r="F128" s="13"/>
      <c r="L128" s="39"/>
      <c r="M128" s="17" t="s">
        <v>102</v>
      </c>
      <c r="N128" s="9">
        <v>3</v>
      </c>
      <c r="O128" s="10">
        <v>10000</v>
      </c>
      <c r="P128" s="42">
        <f t="shared" si="4"/>
        <v>30000</v>
      </c>
      <c r="Q128" s="40"/>
    </row>
    <row r="129" spans="1:17" ht="15" customHeight="1" x14ac:dyDescent="0.2">
      <c r="A129" s="12"/>
      <c r="B129" s="8" t="s">
        <v>17</v>
      </c>
      <c r="C129" s="9">
        <v>2</v>
      </c>
      <c r="D129" s="10">
        <v>70000</v>
      </c>
      <c r="E129" s="10">
        <f t="shared" si="5"/>
        <v>140000</v>
      </c>
      <c r="F129" s="13"/>
      <c r="L129" s="35">
        <v>46095</v>
      </c>
      <c r="M129" s="17" t="s">
        <v>103</v>
      </c>
      <c r="N129" s="9">
        <v>0.3</v>
      </c>
      <c r="O129" s="10">
        <v>20000</v>
      </c>
      <c r="P129" s="42">
        <f t="shared" si="4"/>
        <v>6000</v>
      </c>
      <c r="Q129" s="36">
        <f>SUM(P129:P133)</f>
        <v>227000</v>
      </c>
    </row>
    <row r="130" spans="1:17" ht="15" customHeight="1" x14ac:dyDescent="0.2">
      <c r="A130" s="12"/>
      <c r="B130" s="8" t="s">
        <v>67</v>
      </c>
      <c r="C130" s="9">
        <v>1</v>
      </c>
      <c r="D130" s="10">
        <v>60000</v>
      </c>
      <c r="E130" s="10">
        <f t="shared" si="5"/>
        <v>60000</v>
      </c>
      <c r="F130" s="13"/>
      <c r="L130" s="37"/>
      <c r="M130" s="17" t="s">
        <v>67</v>
      </c>
      <c r="N130" s="9">
        <v>1</v>
      </c>
      <c r="O130" s="10">
        <v>60000</v>
      </c>
      <c r="P130" s="42">
        <f t="shared" si="4"/>
        <v>60000</v>
      </c>
      <c r="Q130" s="38"/>
    </row>
    <row r="131" spans="1:17" ht="15" customHeight="1" x14ac:dyDescent="0.2">
      <c r="A131" s="12"/>
      <c r="B131" s="8" t="s">
        <v>61</v>
      </c>
      <c r="C131" s="9">
        <v>0.3</v>
      </c>
      <c r="D131" s="10">
        <v>30000</v>
      </c>
      <c r="E131" s="10">
        <f t="shared" si="5"/>
        <v>9000</v>
      </c>
      <c r="F131" s="13"/>
      <c r="L131" s="37"/>
      <c r="M131" s="17" t="s">
        <v>109</v>
      </c>
      <c r="N131" s="9">
        <v>0.25</v>
      </c>
      <c r="O131" s="10">
        <v>100000</v>
      </c>
      <c r="P131" s="42">
        <f t="shared" si="4"/>
        <v>25000</v>
      </c>
      <c r="Q131" s="38"/>
    </row>
    <row r="132" spans="1:17" ht="15" customHeight="1" x14ac:dyDescent="0.2">
      <c r="A132" s="12"/>
      <c r="B132" s="8" t="s">
        <v>23</v>
      </c>
      <c r="C132" s="9">
        <v>1</v>
      </c>
      <c r="D132" s="10">
        <v>160000</v>
      </c>
      <c r="E132" s="10">
        <f t="shared" si="5"/>
        <v>160000</v>
      </c>
      <c r="F132" s="13"/>
      <c r="L132" s="37"/>
      <c r="M132" s="17" t="s">
        <v>104</v>
      </c>
      <c r="N132" s="9">
        <v>4</v>
      </c>
      <c r="O132" s="10">
        <v>24000</v>
      </c>
      <c r="P132" s="42">
        <f t="shared" si="4"/>
        <v>96000</v>
      </c>
      <c r="Q132" s="38"/>
    </row>
    <row r="133" spans="1:17" ht="15" customHeight="1" x14ac:dyDescent="0.2">
      <c r="A133" s="12"/>
      <c r="B133" s="8" t="s">
        <v>57</v>
      </c>
      <c r="C133" s="9">
        <v>1</v>
      </c>
      <c r="D133" s="10">
        <v>28000</v>
      </c>
      <c r="E133" s="10">
        <f t="shared" si="5"/>
        <v>28000</v>
      </c>
      <c r="F133" s="13"/>
      <c r="L133" s="39"/>
      <c r="M133" s="17" t="s">
        <v>101</v>
      </c>
      <c r="N133" s="9">
        <v>2</v>
      </c>
      <c r="O133" s="10">
        <v>20000</v>
      </c>
      <c r="P133" s="42">
        <f t="shared" si="4"/>
        <v>40000</v>
      </c>
      <c r="Q133" s="40"/>
    </row>
    <row r="134" spans="1:17" ht="15" customHeight="1" x14ac:dyDescent="0.2">
      <c r="A134" s="15"/>
      <c r="B134" s="8" t="s">
        <v>68</v>
      </c>
      <c r="C134" s="9">
        <v>1</v>
      </c>
      <c r="D134" s="10">
        <v>15000</v>
      </c>
      <c r="E134" s="10">
        <f t="shared" si="5"/>
        <v>15000</v>
      </c>
      <c r="F134" s="16"/>
      <c r="L134" s="35">
        <v>46096</v>
      </c>
      <c r="M134" s="17" t="s">
        <v>102</v>
      </c>
      <c r="N134" s="9">
        <v>6</v>
      </c>
      <c r="O134" s="10">
        <v>10000</v>
      </c>
      <c r="P134" s="42">
        <f t="shared" si="4"/>
        <v>60000</v>
      </c>
      <c r="Q134" s="36">
        <f>SUM(P134:P147)</f>
        <v>639000</v>
      </c>
    </row>
    <row r="135" spans="1:17" ht="15" x14ac:dyDescent="0.2">
      <c r="A135" s="7">
        <v>46093</v>
      </c>
      <c r="B135" s="17" t="s">
        <v>54</v>
      </c>
      <c r="C135" s="9">
        <v>1</v>
      </c>
      <c r="D135" s="10">
        <v>50000</v>
      </c>
      <c r="E135" s="10">
        <v>30000</v>
      </c>
      <c r="F135" s="11">
        <f>SUM(E135:E140)</f>
        <v>980000</v>
      </c>
      <c r="L135" s="37"/>
      <c r="M135" s="17" t="s">
        <v>32</v>
      </c>
      <c r="N135" s="9">
        <v>0.6</v>
      </c>
      <c r="O135" s="10">
        <v>40000</v>
      </c>
      <c r="P135" s="42">
        <f t="shared" ref="P135:P198" si="6">O135*N135</f>
        <v>24000</v>
      </c>
      <c r="Q135" s="38"/>
    </row>
    <row r="136" spans="1:17" ht="15" x14ac:dyDescent="0.2">
      <c r="A136" s="12"/>
      <c r="B136" s="17" t="s">
        <v>69</v>
      </c>
      <c r="C136" s="9">
        <v>1</v>
      </c>
      <c r="D136" s="10">
        <v>160000</v>
      </c>
      <c r="E136" s="10">
        <f t="shared" si="5"/>
        <v>160000</v>
      </c>
      <c r="F136" s="13"/>
      <c r="L136" s="37"/>
      <c r="M136" s="17" t="s">
        <v>100</v>
      </c>
      <c r="N136" s="9">
        <v>4</v>
      </c>
      <c r="O136" s="10">
        <v>35000</v>
      </c>
      <c r="P136" s="42">
        <f t="shared" si="6"/>
        <v>140000</v>
      </c>
      <c r="Q136" s="38"/>
    </row>
    <row r="137" spans="1:17" ht="15" x14ac:dyDescent="0.2">
      <c r="A137" s="12"/>
      <c r="B137" s="17" t="s">
        <v>27</v>
      </c>
      <c r="C137" s="9">
        <v>2</v>
      </c>
      <c r="D137" s="10">
        <v>30000</v>
      </c>
      <c r="E137" s="10">
        <f t="shared" si="5"/>
        <v>60000</v>
      </c>
      <c r="F137" s="13"/>
      <c r="L137" s="37"/>
      <c r="M137" s="17" t="s">
        <v>107</v>
      </c>
      <c r="N137" s="9">
        <v>0.6</v>
      </c>
      <c r="O137" s="10">
        <v>35000</v>
      </c>
      <c r="P137" s="42">
        <v>18000</v>
      </c>
      <c r="Q137" s="38"/>
    </row>
    <row r="138" spans="1:17" ht="15" x14ac:dyDescent="0.2">
      <c r="A138" s="12"/>
      <c r="B138" s="17" t="s">
        <v>60</v>
      </c>
      <c r="C138" s="9">
        <v>1</v>
      </c>
      <c r="D138" s="10">
        <v>170000</v>
      </c>
      <c r="E138" s="10">
        <f t="shared" si="5"/>
        <v>170000</v>
      </c>
      <c r="F138" s="13"/>
      <c r="L138" s="37"/>
      <c r="M138" s="17" t="s">
        <v>68</v>
      </c>
      <c r="N138" s="9">
        <v>0.69</v>
      </c>
      <c r="O138" s="10">
        <v>15000</v>
      </c>
      <c r="P138" s="42">
        <v>10000</v>
      </c>
      <c r="Q138" s="38"/>
    </row>
    <row r="139" spans="1:17" ht="15" x14ac:dyDescent="0.2">
      <c r="A139" s="12"/>
      <c r="B139" s="17" t="s">
        <v>13</v>
      </c>
      <c r="C139" s="9">
        <v>3</v>
      </c>
      <c r="D139" s="10">
        <v>100000</v>
      </c>
      <c r="E139" s="10">
        <f t="shared" si="5"/>
        <v>300000</v>
      </c>
      <c r="F139" s="13"/>
      <c r="L139" s="37"/>
      <c r="M139" s="17" t="s">
        <v>18</v>
      </c>
      <c r="N139" s="9">
        <v>0.92</v>
      </c>
      <c r="O139" s="10">
        <v>50000</v>
      </c>
      <c r="P139" s="42">
        <f t="shared" si="6"/>
        <v>46000</v>
      </c>
      <c r="Q139" s="38"/>
    </row>
    <row r="140" spans="1:17" ht="15" x14ac:dyDescent="0.2">
      <c r="A140" s="15"/>
      <c r="B140" s="17" t="s">
        <v>19</v>
      </c>
      <c r="C140" s="9">
        <v>2</v>
      </c>
      <c r="D140" s="10">
        <v>130000</v>
      </c>
      <c r="E140" s="10">
        <f t="shared" si="5"/>
        <v>260000</v>
      </c>
      <c r="F140" s="16"/>
      <c r="L140" s="37"/>
      <c r="M140" s="17" t="s">
        <v>17</v>
      </c>
      <c r="N140" s="9">
        <v>1</v>
      </c>
      <c r="O140" s="10">
        <v>70000</v>
      </c>
      <c r="P140" s="42">
        <f t="shared" si="6"/>
        <v>70000</v>
      </c>
      <c r="Q140" s="38"/>
    </row>
    <row r="141" spans="1:17" ht="15" x14ac:dyDescent="0.2">
      <c r="A141" s="7">
        <v>46094</v>
      </c>
      <c r="B141" s="17" t="s">
        <v>13</v>
      </c>
      <c r="C141" s="9">
        <v>4</v>
      </c>
      <c r="D141" s="10">
        <v>100000</v>
      </c>
      <c r="E141" s="10">
        <f t="shared" si="5"/>
        <v>400000</v>
      </c>
      <c r="F141" s="11">
        <f>SUM(E141:E151)</f>
        <v>1191000</v>
      </c>
      <c r="L141" s="37"/>
      <c r="M141" s="17" t="s">
        <v>96</v>
      </c>
      <c r="N141" s="9">
        <v>3.2450000000000001</v>
      </c>
      <c r="O141" s="10">
        <v>16000</v>
      </c>
      <c r="P141" s="42">
        <v>52000</v>
      </c>
      <c r="Q141" s="38"/>
    </row>
    <row r="142" spans="1:17" ht="15" x14ac:dyDescent="0.2">
      <c r="A142" s="12"/>
      <c r="B142" s="17" t="s">
        <v>35</v>
      </c>
      <c r="C142" s="9">
        <v>2</v>
      </c>
      <c r="D142" s="10">
        <v>100000</v>
      </c>
      <c r="E142" s="10">
        <f t="shared" si="5"/>
        <v>200000</v>
      </c>
      <c r="F142" s="13"/>
      <c r="L142" s="37"/>
      <c r="M142" s="17" t="s">
        <v>31</v>
      </c>
      <c r="N142" s="9">
        <v>0.3</v>
      </c>
      <c r="O142" s="10">
        <v>60000</v>
      </c>
      <c r="P142" s="42">
        <f t="shared" si="6"/>
        <v>18000</v>
      </c>
      <c r="Q142" s="38"/>
    </row>
    <row r="143" spans="1:17" ht="15" x14ac:dyDescent="0.2">
      <c r="A143" s="12"/>
      <c r="B143" s="17" t="s">
        <v>29</v>
      </c>
      <c r="C143" s="9">
        <v>1</v>
      </c>
      <c r="D143" s="10">
        <v>40000</v>
      </c>
      <c r="E143" s="10">
        <f t="shared" si="5"/>
        <v>40000</v>
      </c>
      <c r="F143" s="13"/>
      <c r="L143" s="37"/>
      <c r="M143" s="17" t="s">
        <v>88</v>
      </c>
      <c r="N143" s="9">
        <v>0.75</v>
      </c>
      <c r="O143" s="10">
        <v>40000</v>
      </c>
      <c r="P143" s="42">
        <f t="shared" si="6"/>
        <v>30000</v>
      </c>
      <c r="Q143" s="38"/>
    </row>
    <row r="144" spans="1:17" ht="15" x14ac:dyDescent="0.2">
      <c r="A144" s="12"/>
      <c r="B144" s="17" t="s">
        <v>7</v>
      </c>
      <c r="C144" s="9">
        <v>0.1</v>
      </c>
      <c r="D144" s="10">
        <v>80000</v>
      </c>
      <c r="E144" s="10">
        <f t="shared" si="5"/>
        <v>8000</v>
      </c>
      <c r="F144" s="13"/>
      <c r="L144" s="37"/>
      <c r="M144" s="17" t="s">
        <v>109</v>
      </c>
      <c r="N144" s="9">
        <v>0.5</v>
      </c>
      <c r="O144" s="10">
        <v>100000</v>
      </c>
      <c r="P144" s="42">
        <f t="shared" si="6"/>
        <v>50000</v>
      </c>
      <c r="Q144" s="38"/>
    </row>
    <row r="145" spans="1:17" ht="15" x14ac:dyDescent="0.2">
      <c r="A145" s="12"/>
      <c r="B145" s="17" t="s">
        <v>8</v>
      </c>
      <c r="C145" s="9">
        <v>0.1</v>
      </c>
      <c r="D145" s="10">
        <v>80000</v>
      </c>
      <c r="E145" s="10">
        <f t="shared" si="5"/>
        <v>8000</v>
      </c>
      <c r="F145" s="13"/>
      <c r="L145" s="37"/>
      <c r="M145" s="17" t="s">
        <v>61</v>
      </c>
      <c r="N145" s="9">
        <v>0.3</v>
      </c>
      <c r="O145" s="10">
        <v>30000</v>
      </c>
      <c r="P145" s="42">
        <f t="shared" si="6"/>
        <v>9000</v>
      </c>
      <c r="Q145" s="38"/>
    </row>
    <row r="146" spans="1:17" ht="15" x14ac:dyDescent="0.2">
      <c r="A146" s="12"/>
      <c r="B146" s="17" t="s">
        <v>60</v>
      </c>
      <c r="C146" s="9">
        <v>1</v>
      </c>
      <c r="D146" s="10">
        <v>170000</v>
      </c>
      <c r="E146" s="10">
        <f t="shared" si="5"/>
        <v>170000</v>
      </c>
      <c r="F146" s="13"/>
      <c r="L146" s="37"/>
      <c r="M146" s="17" t="s">
        <v>105</v>
      </c>
      <c r="N146" s="9">
        <v>1</v>
      </c>
      <c r="O146" s="10">
        <v>40000</v>
      </c>
      <c r="P146" s="42">
        <f t="shared" si="6"/>
        <v>40000</v>
      </c>
      <c r="Q146" s="38"/>
    </row>
    <row r="147" spans="1:17" ht="15" x14ac:dyDescent="0.2">
      <c r="A147" s="12"/>
      <c r="B147" s="17" t="s">
        <v>15</v>
      </c>
      <c r="C147" s="9">
        <v>4</v>
      </c>
      <c r="D147" s="10">
        <v>40000</v>
      </c>
      <c r="E147" s="10">
        <f t="shared" si="5"/>
        <v>160000</v>
      </c>
      <c r="F147" s="13"/>
      <c r="L147" s="39"/>
      <c r="M147" s="17" t="s">
        <v>104</v>
      </c>
      <c r="N147" s="9">
        <v>3</v>
      </c>
      <c r="O147" s="10">
        <v>24000</v>
      </c>
      <c r="P147" s="42">
        <f t="shared" si="6"/>
        <v>72000</v>
      </c>
      <c r="Q147" s="40"/>
    </row>
    <row r="148" spans="1:17" ht="15" x14ac:dyDescent="0.2">
      <c r="A148" s="12"/>
      <c r="B148" s="17" t="s">
        <v>70</v>
      </c>
      <c r="C148" s="9">
        <v>3</v>
      </c>
      <c r="D148" s="10">
        <v>20000</v>
      </c>
      <c r="E148" s="10">
        <f t="shared" si="5"/>
        <v>60000</v>
      </c>
      <c r="F148" s="13"/>
      <c r="L148" s="35">
        <v>46098</v>
      </c>
      <c r="M148" s="17" t="s">
        <v>101</v>
      </c>
      <c r="N148" s="9">
        <v>1</v>
      </c>
      <c r="O148" s="10">
        <v>20000</v>
      </c>
      <c r="P148" s="42">
        <f t="shared" si="6"/>
        <v>20000</v>
      </c>
      <c r="Q148" s="36">
        <f>SUM(P148:P153)</f>
        <v>332000</v>
      </c>
    </row>
    <row r="149" spans="1:17" ht="15" x14ac:dyDescent="0.2">
      <c r="A149" s="12"/>
      <c r="B149" s="17" t="s">
        <v>71</v>
      </c>
      <c r="C149" s="9">
        <v>3</v>
      </c>
      <c r="D149" s="10">
        <v>25000</v>
      </c>
      <c r="E149" s="10">
        <f t="shared" si="5"/>
        <v>75000</v>
      </c>
      <c r="F149" s="13"/>
      <c r="L149" s="37"/>
      <c r="M149" s="17" t="s">
        <v>104</v>
      </c>
      <c r="N149" s="9">
        <v>3</v>
      </c>
      <c r="O149" s="10">
        <v>24000</v>
      </c>
      <c r="P149" s="42">
        <f t="shared" si="6"/>
        <v>72000</v>
      </c>
      <c r="Q149" s="38"/>
    </row>
    <row r="150" spans="1:17" ht="15" x14ac:dyDescent="0.2">
      <c r="A150" s="12"/>
      <c r="B150" s="17" t="s">
        <v>43</v>
      </c>
      <c r="C150" s="9">
        <v>2</v>
      </c>
      <c r="D150" s="10">
        <v>15000</v>
      </c>
      <c r="E150" s="10">
        <f t="shared" si="5"/>
        <v>30000</v>
      </c>
      <c r="F150" s="13"/>
      <c r="L150" s="37"/>
      <c r="M150" s="17" t="s">
        <v>105</v>
      </c>
      <c r="N150" s="9">
        <v>1</v>
      </c>
      <c r="O150" s="10">
        <v>40000</v>
      </c>
      <c r="P150" s="42">
        <f t="shared" si="6"/>
        <v>40000</v>
      </c>
      <c r="Q150" s="38"/>
    </row>
    <row r="151" spans="1:17" ht="15" x14ac:dyDescent="0.2">
      <c r="A151" s="15"/>
      <c r="B151" s="17" t="s">
        <v>32</v>
      </c>
      <c r="C151" s="9">
        <v>1</v>
      </c>
      <c r="D151" s="10">
        <v>40000</v>
      </c>
      <c r="E151" s="10">
        <f t="shared" si="5"/>
        <v>40000</v>
      </c>
      <c r="F151" s="16"/>
      <c r="L151" s="37"/>
      <c r="M151" s="17" t="s">
        <v>102</v>
      </c>
      <c r="N151" s="9">
        <v>3</v>
      </c>
      <c r="O151" s="10">
        <v>10000</v>
      </c>
      <c r="P151" s="42">
        <f t="shared" si="6"/>
        <v>30000</v>
      </c>
      <c r="Q151" s="38"/>
    </row>
    <row r="152" spans="1:17" ht="15" x14ac:dyDescent="0.2">
      <c r="A152" s="7">
        <v>46094</v>
      </c>
      <c r="B152" s="17" t="s">
        <v>39</v>
      </c>
      <c r="C152" s="9">
        <v>0.1</v>
      </c>
      <c r="D152" s="10">
        <v>80000</v>
      </c>
      <c r="E152" s="10">
        <f t="shared" si="5"/>
        <v>8000</v>
      </c>
      <c r="F152" s="11">
        <f>SUM(E152:E154)</f>
        <v>80000</v>
      </c>
      <c r="L152" s="37"/>
      <c r="M152" s="17" t="s">
        <v>100</v>
      </c>
      <c r="N152" s="9">
        <v>4</v>
      </c>
      <c r="O152" s="10">
        <v>35000</v>
      </c>
      <c r="P152" s="42">
        <f t="shared" si="6"/>
        <v>140000</v>
      </c>
      <c r="Q152" s="38"/>
    </row>
    <row r="153" spans="1:17" ht="15" x14ac:dyDescent="0.2">
      <c r="A153" s="12"/>
      <c r="B153" s="17" t="s">
        <v>31</v>
      </c>
      <c r="C153" s="9">
        <v>0.1</v>
      </c>
      <c r="D153" s="10">
        <v>80000</v>
      </c>
      <c r="E153" s="10">
        <f t="shared" si="5"/>
        <v>8000</v>
      </c>
      <c r="F153" s="13"/>
      <c r="L153" s="39"/>
      <c r="M153" s="17" t="s">
        <v>18</v>
      </c>
      <c r="N153" s="9">
        <v>0.6</v>
      </c>
      <c r="O153" s="10">
        <v>50000</v>
      </c>
      <c r="P153" s="42">
        <f t="shared" si="6"/>
        <v>30000</v>
      </c>
      <c r="Q153" s="40"/>
    </row>
    <row r="154" spans="1:17" ht="15" x14ac:dyDescent="0.2">
      <c r="A154" s="15"/>
      <c r="B154" s="17" t="s">
        <v>57</v>
      </c>
      <c r="C154" s="9">
        <v>32</v>
      </c>
      <c r="D154" s="10">
        <v>2000</v>
      </c>
      <c r="E154" s="10">
        <f t="shared" si="5"/>
        <v>64000</v>
      </c>
      <c r="F154" s="16"/>
      <c r="L154" s="35">
        <v>46099</v>
      </c>
      <c r="M154" s="17" t="s">
        <v>102</v>
      </c>
      <c r="N154" s="9">
        <v>15</v>
      </c>
      <c r="O154" s="10">
        <v>10000</v>
      </c>
      <c r="P154" s="42">
        <f t="shared" si="6"/>
        <v>150000</v>
      </c>
      <c r="Q154" s="36">
        <f>SUM(P154:P172)</f>
        <v>3691000</v>
      </c>
    </row>
    <row r="155" spans="1:17" ht="15" x14ac:dyDescent="0.2">
      <c r="A155" s="7">
        <v>46095</v>
      </c>
      <c r="B155" s="17" t="s">
        <v>49</v>
      </c>
      <c r="C155" s="9">
        <v>1</v>
      </c>
      <c r="D155" s="18">
        <v>275000</v>
      </c>
      <c r="E155" s="10">
        <f t="shared" si="5"/>
        <v>275000</v>
      </c>
      <c r="F155" s="11">
        <f>SUM(E155:E167)</f>
        <v>1231000</v>
      </c>
      <c r="L155" s="37"/>
      <c r="M155" s="17" t="s">
        <v>32</v>
      </c>
      <c r="N155" s="9">
        <v>2</v>
      </c>
      <c r="O155" s="10">
        <v>40000</v>
      </c>
      <c r="P155" s="42">
        <f t="shared" si="6"/>
        <v>80000</v>
      </c>
      <c r="Q155" s="38"/>
    </row>
    <row r="156" spans="1:17" ht="15" x14ac:dyDescent="0.2">
      <c r="A156" s="12"/>
      <c r="B156" s="17" t="s">
        <v>53</v>
      </c>
      <c r="C156" s="9">
        <v>1</v>
      </c>
      <c r="D156" s="18">
        <v>90000</v>
      </c>
      <c r="E156" s="10">
        <f t="shared" si="5"/>
        <v>90000</v>
      </c>
      <c r="F156" s="13"/>
      <c r="L156" s="37"/>
      <c r="M156" s="17" t="s">
        <v>17</v>
      </c>
      <c r="N156" s="9">
        <v>5</v>
      </c>
      <c r="O156" s="10">
        <v>70000</v>
      </c>
      <c r="P156" s="42">
        <f t="shared" si="6"/>
        <v>350000</v>
      </c>
      <c r="Q156" s="38"/>
    </row>
    <row r="157" spans="1:17" ht="15" x14ac:dyDescent="0.2">
      <c r="A157" s="12"/>
      <c r="B157" s="17" t="s">
        <v>13</v>
      </c>
      <c r="C157" s="9">
        <v>2</v>
      </c>
      <c r="D157" s="18">
        <v>100000</v>
      </c>
      <c r="E157" s="10">
        <f t="shared" si="5"/>
        <v>200000</v>
      </c>
      <c r="F157" s="13"/>
      <c r="L157" s="37"/>
      <c r="M157" s="17" t="s">
        <v>100</v>
      </c>
      <c r="N157" s="9">
        <v>8</v>
      </c>
      <c r="O157" s="10">
        <v>35000</v>
      </c>
      <c r="P157" s="42">
        <f t="shared" si="6"/>
        <v>280000</v>
      </c>
      <c r="Q157" s="38"/>
    </row>
    <row r="158" spans="1:17" ht="15" x14ac:dyDescent="0.2">
      <c r="A158" s="12"/>
      <c r="B158" s="17" t="s">
        <v>7</v>
      </c>
      <c r="C158" s="9">
        <v>0.1</v>
      </c>
      <c r="D158" s="18">
        <v>80000</v>
      </c>
      <c r="E158" s="10">
        <f t="shared" si="5"/>
        <v>8000</v>
      </c>
      <c r="F158" s="13"/>
      <c r="L158" s="37"/>
      <c r="M158" s="17" t="s">
        <v>18</v>
      </c>
      <c r="N158" s="9">
        <v>4.2149999999999999</v>
      </c>
      <c r="O158" s="10">
        <v>50000</v>
      </c>
      <c r="P158" s="42">
        <v>211000</v>
      </c>
      <c r="Q158" s="38"/>
    </row>
    <row r="159" spans="1:17" ht="15" x14ac:dyDescent="0.2">
      <c r="A159" s="12"/>
      <c r="B159" s="17" t="s">
        <v>9</v>
      </c>
      <c r="C159" s="9">
        <v>0.1</v>
      </c>
      <c r="D159" s="18">
        <v>80000</v>
      </c>
      <c r="E159" s="10">
        <f t="shared" si="5"/>
        <v>8000</v>
      </c>
      <c r="F159" s="13"/>
      <c r="L159" s="37"/>
      <c r="M159" s="17" t="s">
        <v>107</v>
      </c>
      <c r="N159" s="9">
        <v>4</v>
      </c>
      <c r="O159" s="10">
        <v>25000</v>
      </c>
      <c r="P159" s="42">
        <f t="shared" si="6"/>
        <v>100000</v>
      </c>
      <c r="Q159" s="38"/>
    </row>
    <row r="160" spans="1:17" ht="15" x14ac:dyDescent="0.2">
      <c r="A160" s="12"/>
      <c r="B160" s="17" t="s">
        <v>36</v>
      </c>
      <c r="C160" s="9">
        <v>0.1</v>
      </c>
      <c r="D160" s="18">
        <v>60000</v>
      </c>
      <c r="E160" s="10">
        <f t="shared" si="5"/>
        <v>6000</v>
      </c>
      <c r="F160" s="13"/>
      <c r="L160" s="37"/>
      <c r="M160" s="17" t="s">
        <v>68</v>
      </c>
      <c r="N160" s="9">
        <v>4</v>
      </c>
      <c r="O160" s="10">
        <v>15000</v>
      </c>
      <c r="P160" s="42">
        <f t="shared" si="6"/>
        <v>60000</v>
      </c>
      <c r="Q160" s="38"/>
    </row>
    <row r="161" spans="1:18" ht="15" x14ac:dyDescent="0.2">
      <c r="A161" s="12"/>
      <c r="B161" s="17" t="s">
        <v>46</v>
      </c>
      <c r="C161" s="9">
        <v>1</v>
      </c>
      <c r="D161" s="18">
        <v>210000</v>
      </c>
      <c r="E161" s="10">
        <f t="shared" si="5"/>
        <v>210000</v>
      </c>
      <c r="F161" s="13"/>
      <c r="L161" s="37"/>
      <c r="M161" s="17" t="s">
        <v>96</v>
      </c>
      <c r="N161" s="9">
        <v>20.245000000000001</v>
      </c>
      <c r="O161" s="10">
        <v>18000</v>
      </c>
      <c r="P161" s="42">
        <v>364000</v>
      </c>
      <c r="Q161" s="38"/>
    </row>
    <row r="162" spans="1:18" ht="15" x14ac:dyDescent="0.2">
      <c r="A162" s="12"/>
      <c r="B162" s="17" t="s">
        <v>39</v>
      </c>
      <c r="C162" s="9">
        <v>0.1</v>
      </c>
      <c r="D162" s="18">
        <v>80000</v>
      </c>
      <c r="E162" s="10">
        <f t="shared" si="5"/>
        <v>8000</v>
      </c>
      <c r="F162" s="13"/>
      <c r="L162" s="37"/>
      <c r="M162" s="17" t="s">
        <v>119</v>
      </c>
      <c r="N162" s="9">
        <v>1</v>
      </c>
      <c r="O162" s="10">
        <v>35000</v>
      </c>
      <c r="P162" s="42">
        <f t="shared" si="6"/>
        <v>35000</v>
      </c>
      <c r="Q162" s="38"/>
    </row>
    <row r="163" spans="1:18" ht="15" x14ac:dyDescent="0.2">
      <c r="A163" s="12"/>
      <c r="B163" s="17" t="s">
        <v>72</v>
      </c>
      <c r="C163" s="9">
        <v>2</v>
      </c>
      <c r="D163" s="18">
        <v>50000</v>
      </c>
      <c r="E163" s="10">
        <f t="shared" si="5"/>
        <v>100000</v>
      </c>
      <c r="F163" s="13"/>
      <c r="L163" s="37"/>
      <c r="M163" s="17" t="s">
        <v>67</v>
      </c>
      <c r="N163" s="9">
        <v>4.0999999999999996</v>
      </c>
      <c r="O163" s="10">
        <v>60000</v>
      </c>
      <c r="P163" s="42">
        <f t="shared" si="6"/>
        <v>245999.99999999997</v>
      </c>
      <c r="Q163" s="38"/>
    </row>
    <row r="164" spans="1:18" ht="15" x14ac:dyDescent="0.2">
      <c r="A164" s="12"/>
      <c r="B164" s="17" t="s">
        <v>73</v>
      </c>
      <c r="C164" s="9">
        <v>1</v>
      </c>
      <c r="D164" s="18">
        <v>60000</v>
      </c>
      <c r="E164" s="10">
        <f t="shared" si="5"/>
        <v>60000</v>
      </c>
      <c r="F164" s="13"/>
      <c r="L164" s="37"/>
      <c r="M164" s="17" t="s">
        <v>120</v>
      </c>
      <c r="N164" s="9">
        <v>0.4</v>
      </c>
      <c r="O164" s="10">
        <v>130000</v>
      </c>
      <c r="P164" s="42">
        <f t="shared" si="6"/>
        <v>52000</v>
      </c>
      <c r="Q164" s="38"/>
    </row>
    <row r="165" spans="1:18" ht="15" x14ac:dyDescent="0.2">
      <c r="A165" s="12"/>
      <c r="B165" s="17" t="s">
        <v>61</v>
      </c>
      <c r="C165" s="9">
        <v>0.2</v>
      </c>
      <c r="D165" s="18">
        <v>30000</v>
      </c>
      <c r="E165" s="10">
        <f t="shared" si="5"/>
        <v>6000</v>
      </c>
      <c r="F165" s="13"/>
      <c r="L165" s="37"/>
      <c r="M165" s="17" t="s">
        <v>109</v>
      </c>
      <c r="N165" s="9">
        <v>1.5</v>
      </c>
      <c r="O165" s="10">
        <v>100000</v>
      </c>
      <c r="P165" s="42">
        <f t="shared" si="6"/>
        <v>150000</v>
      </c>
      <c r="Q165" s="38"/>
    </row>
    <row r="166" spans="1:18" ht="15" x14ac:dyDescent="0.2">
      <c r="A166" s="12"/>
      <c r="B166" s="17" t="s">
        <v>17</v>
      </c>
      <c r="C166" s="9">
        <v>1</v>
      </c>
      <c r="D166" s="18">
        <v>70000</v>
      </c>
      <c r="E166" s="10">
        <f t="shared" si="5"/>
        <v>70000</v>
      </c>
      <c r="F166" s="13"/>
      <c r="L166" s="37"/>
      <c r="M166" s="17" t="s">
        <v>61</v>
      </c>
      <c r="N166" s="9">
        <v>1</v>
      </c>
      <c r="O166" s="10">
        <v>30000</v>
      </c>
      <c r="P166" s="42">
        <f t="shared" si="6"/>
        <v>30000</v>
      </c>
      <c r="Q166" s="38"/>
    </row>
    <row r="167" spans="1:18" ht="15" x14ac:dyDescent="0.2">
      <c r="A167" s="15"/>
      <c r="B167" s="17" t="s">
        <v>51</v>
      </c>
      <c r="C167" s="9">
        <v>2</v>
      </c>
      <c r="D167" s="18">
        <v>95000</v>
      </c>
      <c r="E167" s="10">
        <f t="shared" si="5"/>
        <v>190000</v>
      </c>
      <c r="F167" s="16"/>
      <c r="L167" s="37"/>
      <c r="M167" s="17" t="s">
        <v>104</v>
      </c>
      <c r="N167" s="9">
        <v>24</v>
      </c>
      <c r="O167" s="10">
        <v>24000</v>
      </c>
      <c r="P167" s="42">
        <f t="shared" si="6"/>
        <v>576000</v>
      </c>
      <c r="Q167" s="38"/>
    </row>
    <row r="168" spans="1:18" ht="15" x14ac:dyDescent="0.2">
      <c r="A168" s="7">
        <v>46096</v>
      </c>
      <c r="B168" s="17" t="s">
        <v>6</v>
      </c>
      <c r="C168" s="9">
        <v>2</v>
      </c>
      <c r="D168" s="18">
        <v>170000</v>
      </c>
      <c r="E168" s="10">
        <f t="shared" si="5"/>
        <v>340000</v>
      </c>
      <c r="F168" s="11">
        <f>SUM(E168:E177)</f>
        <v>1408000</v>
      </c>
      <c r="L168" s="37"/>
      <c r="M168" s="17" t="s">
        <v>116</v>
      </c>
      <c r="N168" s="9">
        <v>4</v>
      </c>
      <c r="O168" s="10">
        <v>45000</v>
      </c>
      <c r="P168" s="42">
        <f t="shared" si="6"/>
        <v>180000</v>
      </c>
      <c r="Q168" s="38"/>
    </row>
    <row r="169" spans="1:18" ht="15" x14ac:dyDescent="0.2">
      <c r="A169" s="12"/>
      <c r="B169" s="17" t="s">
        <v>8</v>
      </c>
      <c r="C169" s="9">
        <v>0.1</v>
      </c>
      <c r="D169" s="18">
        <v>80000</v>
      </c>
      <c r="E169" s="10">
        <f t="shared" ref="E169:E232" si="7">D169*C169</f>
        <v>8000</v>
      </c>
      <c r="F169" s="13"/>
      <c r="L169" s="37"/>
      <c r="M169" s="17" t="s">
        <v>106</v>
      </c>
      <c r="N169" s="9">
        <v>8</v>
      </c>
      <c r="O169" s="10">
        <v>49000</v>
      </c>
      <c r="P169" s="42">
        <f t="shared" si="6"/>
        <v>392000</v>
      </c>
      <c r="Q169" s="38"/>
    </row>
    <row r="170" spans="1:18" ht="15" x14ac:dyDescent="0.2">
      <c r="A170" s="12"/>
      <c r="B170" s="17" t="s">
        <v>13</v>
      </c>
      <c r="C170" s="9">
        <v>2</v>
      </c>
      <c r="D170" s="18">
        <v>100000</v>
      </c>
      <c r="E170" s="10">
        <f t="shared" si="7"/>
        <v>200000</v>
      </c>
      <c r="F170" s="13"/>
      <c r="L170" s="37"/>
      <c r="M170" s="17" t="s">
        <v>105</v>
      </c>
      <c r="N170" s="9">
        <v>7</v>
      </c>
      <c r="O170" s="10">
        <v>40000</v>
      </c>
      <c r="P170" s="42">
        <f t="shared" si="6"/>
        <v>280000</v>
      </c>
      <c r="Q170" s="38"/>
    </row>
    <row r="171" spans="1:18" s="20" customFormat="1" ht="15" x14ac:dyDescent="0.2">
      <c r="A171" s="12"/>
      <c r="B171" s="17" t="s">
        <v>74</v>
      </c>
      <c r="C171" s="9">
        <v>0.5</v>
      </c>
      <c r="D171" s="19">
        <v>140000</v>
      </c>
      <c r="E171" s="10">
        <f t="shared" si="7"/>
        <v>70000</v>
      </c>
      <c r="F171" s="13"/>
      <c r="L171" s="37"/>
      <c r="M171" s="17" t="s">
        <v>101</v>
      </c>
      <c r="N171" s="9">
        <v>6</v>
      </c>
      <c r="O171" s="10">
        <v>20000</v>
      </c>
      <c r="P171" s="42">
        <f t="shared" si="6"/>
        <v>120000</v>
      </c>
      <c r="Q171" s="38"/>
      <c r="R171"/>
    </row>
    <row r="172" spans="1:18" ht="15" x14ac:dyDescent="0.2">
      <c r="A172" s="12"/>
      <c r="B172" s="17" t="s">
        <v>71</v>
      </c>
      <c r="C172" s="9">
        <v>3</v>
      </c>
      <c r="D172" s="18">
        <v>25000</v>
      </c>
      <c r="E172" s="10">
        <f t="shared" si="7"/>
        <v>75000</v>
      </c>
      <c r="F172" s="13"/>
      <c r="L172" s="39"/>
      <c r="M172" s="17" t="s">
        <v>121</v>
      </c>
      <c r="N172" s="9">
        <v>1</v>
      </c>
      <c r="O172" s="10">
        <v>35000</v>
      </c>
      <c r="P172" s="42">
        <f t="shared" si="6"/>
        <v>35000</v>
      </c>
      <c r="Q172" s="40"/>
    </row>
    <row r="173" spans="1:18" x14ac:dyDescent="0.2">
      <c r="A173" s="12"/>
      <c r="B173" s="17" t="s">
        <v>14</v>
      </c>
      <c r="C173" s="9">
        <v>1</v>
      </c>
      <c r="D173" s="18">
        <v>220000</v>
      </c>
      <c r="E173" s="10">
        <f t="shared" si="7"/>
        <v>220000</v>
      </c>
      <c r="F173" s="13"/>
      <c r="L173" s="43">
        <v>46104</v>
      </c>
      <c r="M173" s="17" t="s">
        <v>109</v>
      </c>
      <c r="N173" s="9">
        <v>1</v>
      </c>
      <c r="O173" s="10">
        <v>100000</v>
      </c>
      <c r="P173" s="42">
        <f t="shared" si="6"/>
        <v>100000</v>
      </c>
      <c r="Q173" s="44">
        <f>SUM(P173)</f>
        <v>100000</v>
      </c>
    </row>
    <row r="174" spans="1:18" ht="15" x14ac:dyDescent="0.2">
      <c r="A174" s="12"/>
      <c r="B174" s="17" t="s">
        <v>52</v>
      </c>
      <c r="C174" s="9">
        <v>1</v>
      </c>
      <c r="D174" s="18">
        <v>170000</v>
      </c>
      <c r="E174" s="10">
        <f t="shared" si="7"/>
        <v>170000</v>
      </c>
      <c r="F174" s="13"/>
      <c r="L174" s="35">
        <v>46104</v>
      </c>
      <c r="M174" s="17" t="s">
        <v>102</v>
      </c>
      <c r="N174" s="9">
        <v>7</v>
      </c>
      <c r="O174" s="10">
        <v>10000</v>
      </c>
      <c r="P174" s="42">
        <f t="shared" si="6"/>
        <v>70000</v>
      </c>
      <c r="Q174" s="36">
        <f>SUM(P174:P179)</f>
        <v>342000</v>
      </c>
    </row>
    <row r="175" spans="1:18" ht="15" x14ac:dyDescent="0.2">
      <c r="A175" s="12"/>
      <c r="B175" s="17" t="s">
        <v>17</v>
      </c>
      <c r="C175" s="9">
        <v>1</v>
      </c>
      <c r="D175" s="18">
        <v>70000</v>
      </c>
      <c r="E175" s="10">
        <f t="shared" si="7"/>
        <v>70000</v>
      </c>
      <c r="F175" s="13"/>
      <c r="L175" s="37"/>
      <c r="M175" s="17" t="s">
        <v>104</v>
      </c>
      <c r="N175" s="9">
        <v>3</v>
      </c>
      <c r="O175" s="10">
        <v>24000</v>
      </c>
      <c r="P175" s="42">
        <f t="shared" si="6"/>
        <v>72000</v>
      </c>
      <c r="Q175" s="38"/>
    </row>
    <row r="176" spans="1:18" ht="15" x14ac:dyDescent="0.2">
      <c r="A176" s="12"/>
      <c r="B176" s="17" t="s">
        <v>23</v>
      </c>
      <c r="C176" s="9">
        <v>1</v>
      </c>
      <c r="D176" s="18">
        <v>160000</v>
      </c>
      <c r="E176" s="10">
        <f t="shared" si="7"/>
        <v>160000</v>
      </c>
      <c r="F176" s="13"/>
      <c r="L176" s="37"/>
      <c r="M176" s="17" t="s">
        <v>103</v>
      </c>
      <c r="N176" s="9">
        <v>0.3</v>
      </c>
      <c r="O176" s="10">
        <v>20000</v>
      </c>
      <c r="P176" s="42">
        <f t="shared" si="6"/>
        <v>6000</v>
      </c>
      <c r="Q176" s="38"/>
    </row>
    <row r="177" spans="1:17" ht="15" x14ac:dyDescent="0.2">
      <c r="A177" s="15"/>
      <c r="B177" s="17" t="s">
        <v>51</v>
      </c>
      <c r="C177" s="9">
        <v>1</v>
      </c>
      <c r="D177" s="18">
        <v>95000</v>
      </c>
      <c r="E177" s="10">
        <f t="shared" si="7"/>
        <v>95000</v>
      </c>
      <c r="F177" s="16"/>
      <c r="L177" s="37"/>
      <c r="M177" s="17" t="s">
        <v>57</v>
      </c>
      <c r="N177" s="9">
        <v>12</v>
      </c>
      <c r="O177" s="10">
        <v>2000</v>
      </c>
      <c r="P177" s="42">
        <f t="shared" si="6"/>
        <v>24000</v>
      </c>
      <c r="Q177" s="38"/>
    </row>
    <row r="178" spans="1:17" ht="15" x14ac:dyDescent="0.2">
      <c r="A178" s="7">
        <v>46097</v>
      </c>
      <c r="B178" s="17" t="s">
        <v>25</v>
      </c>
      <c r="C178" s="9">
        <v>2</v>
      </c>
      <c r="D178" s="18">
        <v>20000</v>
      </c>
      <c r="E178" s="10">
        <f t="shared" si="7"/>
        <v>40000</v>
      </c>
      <c r="F178" s="11">
        <f>SUM(E178:E195)</f>
        <v>1910000</v>
      </c>
      <c r="L178" s="37"/>
      <c r="M178" s="17" t="s">
        <v>18</v>
      </c>
      <c r="N178" s="9">
        <v>1</v>
      </c>
      <c r="O178" s="10">
        <v>50000</v>
      </c>
      <c r="P178" s="42">
        <f t="shared" si="6"/>
        <v>50000</v>
      </c>
      <c r="Q178" s="38"/>
    </row>
    <row r="179" spans="1:17" ht="15" x14ac:dyDescent="0.2">
      <c r="A179" s="12"/>
      <c r="B179" s="17" t="s">
        <v>75</v>
      </c>
      <c r="C179" s="9">
        <v>1</v>
      </c>
      <c r="D179" s="18">
        <v>90000</v>
      </c>
      <c r="E179" s="10">
        <f t="shared" si="7"/>
        <v>90000</v>
      </c>
      <c r="F179" s="13"/>
      <c r="L179" s="39"/>
      <c r="M179" s="17" t="s">
        <v>105</v>
      </c>
      <c r="N179" s="9">
        <v>3</v>
      </c>
      <c r="O179" s="10">
        <v>40000</v>
      </c>
      <c r="P179" s="42">
        <f t="shared" si="6"/>
        <v>120000</v>
      </c>
      <c r="Q179" s="40"/>
    </row>
    <row r="180" spans="1:17" ht="15" x14ac:dyDescent="0.2">
      <c r="A180" s="12"/>
      <c r="B180" s="17" t="s">
        <v>7</v>
      </c>
      <c r="C180" s="9">
        <v>0.3</v>
      </c>
      <c r="D180" s="18">
        <v>80000</v>
      </c>
      <c r="E180" s="10">
        <f t="shared" si="7"/>
        <v>24000</v>
      </c>
      <c r="F180" s="13"/>
      <c r="L180" s="35">
        <v>46105</v>
      </c>
      <c r="M180" s="17" t="s">
        <v>17</v>
      </c>
      <c r="N180" s="9">
        <v>2.145</v>
      </c>
      <c r="O180" s="10">
        <v>70000</v>
      </c>
      <c r="P180" s="42">
        <v>150000</v>
      </c>
      <c r="Q180" s="36">
        <f>SUM(P180:P185)</f>
        <v>435000</v>
      </c>
    </row>
    <row r="181" spans="1:17" ht="15" x14ac:dyDescent="0.2">
      <c r="A181" s="12"/>
      <c r="B181" s="17" t="s">
        <v>38</v>
      </c>
      <c r="C181" s="9">
        <v>0.2</v>
      </c>
      <c r="D181" s="18">
        <v>28000</v>
      </c>
      <c r="E181" s="10">
        <v>6000</v>
      </c>
      <c r="F181" s="13"/>
      <c r="L181" s="37"/>
      <c r="M181" s="17" t="s">
        <v>100</v>
      </c>
      <c r="N181" s="9">
        <v>2</v>
      </c>
      <c r="O181" s="10">
        <v>35000</v>
      </c>
      <c r="P181" s="42">
        <f t="shared" si="6"/>
        <v>70000</v>
      </c>
      <c r="Q181" s="38"/>
    </row>
    <row r="182" spans="1:17" ht="15" x14ac:dyDescent="0.2">
      <c r="A182" s="12"/>
      <c r="B182" s="17" t="s">
        <v>36</v>
      </c>
      <c r="C182" s="9">
        <v>0.15</v>
      </c>
      <c r="D182" s="18">
        <v>60000</v>
      </c>
      <c r="E182" s="10">
        <f t="shared" si="7"/>
        <v>9000</v>
      </c>
      <c r="F182" s="13"/>
      <c r="L182" s="37"/>
      <c r="M182" s="45" t="s">
        <v>61</v>
      </c>
      <c r="N182" s="9">
        <v>0.5</v>
      </c>
      <c r="O182" s="10">
        <v>30000</v>
      </c>
      <c r="P182" s="42">
        <f t="shared" si="6"/>
        <v>15000</v>
      </c>
      <c r="Q182" s="38"/>
    </row>
    <row r="183" spans="1:17" ht="15" x14ac:dyDescent="0.2">
      <c r="A183" s="12"/>
      <c r="B183" s="17" t="s">
        <v>9</v>
      </c>
      <c r="C183" s="9">
        <v>0.1</v>
      </c>
      <c r="D183" s="18">
        <v>80000</v>
      </c>
      <c r="E183" s="10">
        <f t="shared" si="7"/>
        <v>8000</v>
      </c>
      <c r="F183" s="13"/>
      <c r="L183" s="37"/>
      <c r="M183" s="17" t="s">
        <v>31</v>
      </c>
      <c r="N183" s="9">
        <v>0.3</v>
      </c>
      <c r="O183" s="10">
        <v>80000</v>
      </c>
      <c r="P183" s="42">
        <f t="shared" si="6"/>
        <v>24000</v>
      </c>
      <c r="Q183" s="38"/>
    </row>
    <row r="184" spans="1:17" ht="15" x14ac:dyDescent="0.2">
      <c r="A184" s="12"/>
      <c r="B184" s="17" t="s">
        <v>76</v>
      </c>
      <c r="C184" s="9">
        <v>0.3</v>
      </c>
      <c r="D184" s="18">
        <v>70000</v>
      </c>
      <c r="E184" s="10">
        <f t="shared" si="7"/>
        <v>21000</v>
      </c>
      <c r="F184" s="13"/>
      <c r="L184" s="37"/>
      <c r="M184" s="17" t="s">
        <v>104</v>
      </c>
      <c r="N184" s="9">
        <v>4</v>
      </c>
      <c r="O184" s="10">
        <v>24000</v>
      </c>
      <c r="P184" s="42">
        <f t="shared" si="6"/>
        <v>96000</v>
      </c>
      <c r="Q184" s="38"/>
    </row>
    <row r="185" spans="1:17" ht="15" x14ac:dyDescent="0.2">
      <c r="A185" s="12"/>
      <c r="B185" s="17" t="s">
        <v>12</v>
      </c>
      <c r="C185" s="9">
        <v>2</v>
      </c>
      <c r="D185" s="18">
        <v>170000</v>
      </c>
      <c r="E185" s="10">
        <f t="shared" si="7"/>
        <v>340000</v>
      </c>
      <c r="F185" s="13"/>
      <c r="L185" s="39"/>
      <c r="M185" s="17" t="s">
        <v>105</v>
      </c>
      <c r="N185" s="9">
        <v>2</v>
      </c>
      <c r="O185" s="10">
        <v>40000</v>
      </c>
      <c r="P185" s="42">
        <f t="shared" si="6"/>
        <v>80000</v>
      </c>
      <c r="Q185" s="40"/>
    </row>
    <row r="186" spans="1:17" ht="15" x14ac:dyDescent="0.2">
      <c r="A186" s="12"/>
      <c r="B186" s="17" t="s">
        <v>13</v>
      </c>
      <c r="C186" s="9">
        <v>2</v>
      </c>
      <c r="D186" s="18">
        <v>100000</v>
      </c>
      <c r="E186" s="10">
        <f t="shared" si="7"/>
        <v>200000</v>
      </c>
      <c r="F186" s="13"/>
      <c r="L186" s="35">
        <v>46108</v>
      </c>
      <c r="M186" s="17" t="s">
        <v>104</v>
      </c>
      <c r="N186" s="9">
        <v>3</v>
      </c>
      <c r="O186" s="10">
        <v>24000</v>
      </c>
      <c r="P186" s="42">
        <f t="shared" si="6"/>
        <v>72000</v>
      </c>
      <c r="Q186" s="36">
        <f>SUM(P186:P189)</f>
        <v>256000</v>
      </c>
    </row>
    <row r="187" spans="1:17" ht="15" x14ac:dyDescent="0.2">
      <c r="A187" s="12"/>
      <c r="B187" s="17" t="s">
        <v>16</v>
      </c>
      <c r="C187" s="9">
        <v>2</v>
      </c>
      <c r="D187" s="18">
        <v>220000</v>
      </c>
      <c r="E187" s="10">
        <f t="shared" si="7"/>
        <v>440000</v>
      </c>
      <c r="F187" s="13"/>
      <c r="L187" s="37"/>
      <c r="M187" s="17" t="s">
        <v>105</v>
      </c>
      <c r="N187" s="9">
        <v>2</v>
      </c>
      <c r="O187" s="10">
        <v>40000</v>
      </c>
      <c r="P187" s="42">
        <f t="shared" si="6"/>
        <v>80000</v>
      </c>
      <c r="Q187" s="38"/>
    </row>
    <row r="188" spans="1:17" ht="15" x14ac:dyDescent="0.2">
      <c r="A188" s="12"/>
      <c r="B188" s="17" t="s">
        <v>66</v>
      </c>
      <c r="C188" s="9">
        <v>1</v>
      </c>
      <c r="D188" s="18">
        <v>195000</v>
      </c>
      <c r="E188" s="10">
        <f t="shared" si="7"/>
        <v>195000</v>
      </c>
      <c r="F188" s="13"/>
      <c r="L188" s="37"/>
      <c r="M188" s="17" t="s">
        <v>122</v>
      </c>
      <c r="N188" s="9">
        <v>2</v>
      </c>
      <c r="O188" s="10">
        <v>22000</v>
      </c>
      <c r="P188" s="42">
        <f t="shared" si="6"/>
        <v>44000</v>
      </c>
      <c r="Q188" s="38"/>
    </row>
    <row r="189" spans="1:17" ht="15" x14ac:dyDescent="0.2">
      <c r="A189" s="12"/>
      <c r="B189" s="17" t="s">
        <v>77</v>
      </c>
      <c r="C189" s="9">
        <v>2</v>
      </c>
      <c r="D189" s="18">
        <v>30000</v>
      </c>
      <c r="E189" s="10">
        <f t="shared" si="7"/>
        <v>60000</v>
      </c>
      <c r="F189" s="13"/>
      <c r="L189" s="39"/>
      <c r="M189" s="17" t="s">
        <v>123</v>
      </c>
      <c r="N189" s="9">
        <v>2</v>
      </c>
      <c r="O189" s="10">
        <v>30000</v>
      </c>
      <c r="P189" s="42">
        <f t="shared" si="6"/>
        <v>60000</v>
      </c>
      <c r="Q189" s="40"/>
    </row>
    <row r="190" spans="1:17" ht="15" x14ac:dyDescent="0.2">
      <c r="A190" s="12"/>
      <c r="B190" s="17" t="s">
        <v>17</v>
      </c>
      <c r="C190" s="9">
        <v>1.1599999999999999</v>
      </c>
      <c r="D190" s="18">
        <v>70000</v>
      </c>
      <c r="E190" s="10">
        <v>81000</v>
      </c>
      <c r="F190" s="13"/>
      <c r="L190" s="35">
        <v>46109</v>
      </c>
      <c r="M190" s="17" t="s">
        <v>104</v>
      </c>
      <c r="N190" s="9">
        <v>3</v>
      </c>
      <c r="O190" s="10">
        <v>24000</v>
      </c>
      <c r="P190" s="42">
        <f t="shared" si="6"/>
        <v>72000</v>
      </c>
      <c r="Q190" s="36">
        <f>SUM(P190:P191)</f>
        <v>112000</v>
      </c>
    </row>
    <row r="191" spans="1:17" ht="15" x14ac:dyDescent="0.2">
      <c r="A191" s="12"/>
      <c r="B191" s="17" t="s">
        <v>31</v>
      </c>
      <c r="C191" s="9">
        <v>0.1</v>
      </c>
      <c r="D191" s="18">
        <v>80000</v>
      </c>
      <c r="E191" s="10">
        <f t="shared" ref="E191:E247" si="8">D191*C191</f>
        <v>8000</v>
      </c>
      <c r="F191" s="13"/>
      <c r="L191" s="39"/>
      <c r="M191" s="17" t="s">
        <v>105</v>
      </c>
      <c r="N191" s="9">
        <v>1</v>
      </c>
      <c r="O191" s="10">
        <v>40000</v>
      </c>
      <c r="P191" s="42">
        <f t="shared" si="6"/>
        <v>40000</v>
      </c>
      <c r="Q191" s="40"/>
    </row>
    <row r="192" spans="1:17" ht="15" x14ac:dyDescent="0.2">
      <c r="A192" s="12"/>
      <c r="B192" s="17" t="s">
        <v>39</v>
      </c>
      <c r="C192" s="9">
        <v>0.1</v>
      </c>
      <c r="D192" s="18">
        <v>80000</v>
      </c>
      <c r="E192" s="10">
        <f t="shared" si="8"/>
        <v>8000</v>
      </c>
      <c r="F192" s="13"/>
      <c r="L192" s="35">
        <v>46110</v>
      </c>
      <c r="M192" s="17" t="s">
        <v>104</v>
      </c>
      <c r="N192" s="9">
        <v>4</v>
      </c>
      <c r="O192" s="10">
        <v>24000</v>
      </c>
      <c r="P192" s="42">
        <f t="shared" si="6"/>
        <v>96000</v>
      </c>
      <c r="Q192" s="36">
        <f>SUM(P192:P199)</f>
        <v>815000</v>
      </c>
    </row>
    <row r="193" spans="1:17" ht="15" x14ac:dyDescent="0.2">
      <c r="A193" s="12"/>
      <c r="B193" s="17" t="s">
        <v>43</v>
      </c>
      <c r="C193" s="9">
        <v>2</v>
      </c>
      <c r="D193" s="18">
        <v>15000</v>
      </c>
      <c r="E193" s="10">
        <f t="shared" si="8"/>
        <v>30000</v>
      </c>
      <c r="F193" s="13"/>
      <c r="L193" s="37"/>
      <c r="M193" s="17" t="s">
        <v>105</v>
      </c>
      <c r="N193" s="9">
        <v>4</v>
      </c>
      <c r="O193" s="10">
        <v>40000</v>
      </c>
      <c r="P193" s="42">
        <f t="shared" si="6"/>
        <v>160000</v>
      </c>
      <c r="Q193" s="38"/>
    </row>
    <row r="194" spans="1:17" ht="15" x14ac:dyDescent="0.2">
      <c r="A194" s="12"/>
      <c r="B194" s="17" t="s">
        <v>42</v>
      </c>
      <c r="C194" s="9">
        <v>2</v>
      </c>
      <c r="D194" s="18">
        <v>55000</v>
      </c>
      <c r="E194" s="10">
        <f t="shared" si="8"/>
        <v>110000</v>
      </c>
      <c r="F194" s="13"/>
      <c r="L194" s="37"/>
      <c r="M194" s="17" t="s">
        <v>121</v>
      </c>
      <c r="N194" s="9">
        <v>1</v>
      </c>
      <c r="O194" s="10">
        <v>40000</v>
      </c>
      <c r="P194" s="42">
        <f t="shared" si="6"/>
        <v>40000</v>
      </c>
      <c r="Q194" s="38"/>
    </row>
    <row r="195" spans="1:17" ht="15" x14ac:dyDescent="0.2">
      <c r="A195" s="15"/>
      <c r="B195" s="17" t="s">
        <v>34</v>
      </c>
      <c r="C195" s="9">
        <v>2</v>
      </c>
      <c r="D195" s="18">
        <v>120000</v>
      </c>
      <c r="E195" s="10">
        <f t="shared" si="8"/>
        <v>240000</v>
      </c>
      <c r="F195" s="16"/>
      <c r="L195" s="37"/>
      <c r="M195" s="17" t="s">
        <v>124</v>
      </c>
      <c r="N195" s="9">
        <v>1</v>
      </c>
      <c r="O195" s="10">
        <v>70000</v>
      </c>
      <c r="P195" s="42">
        <f t="shared" si="6"/>
        <v>70000</v>
      </c>
      <c r="Q195" s="38"/>
    </row>
    <row r="196" spans="1:17" ht="15" x14ac:dyDescent="0.2">
      <c r="A196" s="7">
        <v>46103</v>
      </c>
      <c r="B196" s="17" t="s">
        <v>53</v>
      </c>
      <c r="C196" s="9">
        <v>3</v>
      </c>
      <c r="D196" s="18">
        <v>90000</v>
      </c>
      <c r="E196" s="10">
        <f t="shared" si="8"/>
        <v>270000</v>
      </c>
      <c r="F196" s="11">
        <f>SUM(E196:E217)</f>
        <v>3394000</v>
      </c>
      <c r="L196" s="37"/>
      <c r="M196" s="17" t="s">
        <v>32</v>
      </c>
      <c r="N196" s="9">
        <v>1.08</v>
      </c>
      <c r="O196" s="10">
        <v>50000</v>
      </c>
      <c r="P196" s="42">
        <f t="shared" si="6"/>
        <v>54000</v>
      </c>
      <c r="Q196" s="38"/>
    </row>
    <row r="197" spans="1:17" ht="15" x14ac:dyDescent="0.2">
      <c r="A197" s="12"/>
      <c r="B197" s="17" t="s">
        <v>49</v>
      </c>
      <c r="C197" s="9">
        <v>1</v>
      </c>
      <c r="D197" s="18">
        <v>275000</v>
      </c>
      <c r="E197" s="10">
        <f t="shared" si="8"/>
        <v>275000</v>
      </c>
      <c r="F197" s="13"/>
      <c r="L197" s="37"/>
      <c r="M197" s="17" t="s">
        <v>17</v>
      </c>
      <c r="N197" s="9">
        <v>2.1</v>
      </c>
      <c r="O197" s="10">
        <v>70000</v>
      </c>
      <c r="P197" s="42">
        <f t="shared" si="6"/>
        <v>147000</v>
      </c>
      <c r="Q197" s="38"/>
    </row>
    <row r="198" spans="1:17" ht="15" x14ac:dyDescent="0.2">
      <c r="A198" s="12"/>
      <c r="B198" s="17" t="s">
        <v>78</v>
      </c>
      <c r="C198" s="9">
        <v>5</v>
      </c>
      <c r="D198" s="18">
        <v>15000</v>
      </c>
      <c r="E198" s="10">
        <f t="shared" si="8"/>
        <v>75000</v>
      </c>
      <c r="F198" s="13"/>
      <c r="L198" s="37"/>
      <c r="M198" s="17" t="s">
        <v>125</v>
      </c>
      <c r="N198" s="9">
        <v>4</v>
      </c>
      <c r="O198" s="10">
        <v>35000</v>
      </c>
      <c r="P198" s="42">
        <f t="shared" si="6"/>
        <v>140000</v>
      </c>
      <c r="Q198" s="38"/>
    </row>
    <row r="199" spans="1:17" ht="15" x14ac:dyDescent="0.2">
      <c r="A199" s="12"/>
      <c r="B199" s="17" t="s">
        <v>13</v>
      </c>
      <c r="C199" s="9">
        <v>8</v>
      </c>
      <c r="D199" s="18">
        <v>100000</v>
      </c>
      <c r="E199" s="10">
        <f t="shared" si="8"/>
        <v>800000</v>
      </c>
      <c r="F199" s="13"/>
      <c r="L199" s="39"/>
      <c r="M199" s="17" t="s">
        <v>96</v>
      </c>
      <c r="N199" s="9">
        <v>5.3849999999999998</v>
      </c>
      <c r="O199" s="10">
        <v>20000</v>
      </c>
      <c r="P199" s="42">
        <v>108000</v>
      </c>
      <c r="Q199" s="40"/>
    </row>
    <row r="200" spans="1:17" ht="15" x14ac:dyDescent="0.2">
      <c r="A200" s="12"/>
      <c r="B200" s="17" t="s">
        <v>12</v>
      </c>
      <c r="C200" s="9">
        <v>1</v>
      </c>
      <c r="D200" s="18">
        <v>170000</v>
      </c>
      <c r="E200" s="10">
        <f t="shared" si="8"/>
        <v>170000</v>
      </c>
      <c r="F200" s="13"/>
      <c r="L200" s="35">
        <v>46111</v>
      </c>
      <c r="M200" s="17" t="s">
        <v>100</v>
      </c>
      <c r="N200" s="9">
        <v>4</v>
      </c>
      <c r="O200" s="10">
        <v>35000</v>
      </c>
      <c r="P200" s="42">
        <f>O200*N200</f>
        <v>140000</v>
      </c>
      <c r="Q200" s="36">
        <f>SUM(P200:P203)</f>
        <v>416000</v>
      </c>
    </row>
    <row r="201" spans="1:17" ht="15" x14ac:dyDescent="0.2">
      <c r="A201" s="12"/>
      <c r="B201" s="17" t="s">
        <v>14</v>
      </c>
      <c r="C201" s="9">
        <v>2</v>
      </c>
      <c r="D201" s="18">
        <v>220000</v>
      </c>
      <c r="E201" s="10">
        <f t="shared" si="8"/>
        <v>440000</v>
      </c>
      <c r="F201" s="13"/>
      <c r="L201" s="37"/>
      <c r="M201" s="17" t="s">
        <v>17</v>
      </c>
      <c r="N201" s="9">
        <v>2</v>
      </c>
      <c r="O201" s="10">
        <v>70000</v>
      </c>
      <c r="P201" s="42">
        <f t="shared" ref="P201:P203" si="9">O201*N201</f>
        <v>140000</v>
      </c>
      <c r="Q201" s="38"/>
    </row>
    <row r="202" spans="1:17" ht="15" x14ac:dyDescent="0.2">
      <c r="A202" s="12"/>
      <c r="B202" s="17" t="s">
        <v>58</v>
      </c>
      <c r="C202" s="9">
        <v>1</v>
      </c>
      <c r="D202" s="18">
        <v>115000</v>
      </c>
      <c r="E202" s="10">
        <f t="shared" si="8"/>
        <v>115000</v>
      </c>
      <c r="F202" s="13"/>
      <c r="L202" s="37"/>
      <c r="M202" s="17" t="s">
        <v>104</v>
      </c>
      <c r="N202" s="9">
        <v>4</v>
      </c>
      <c r="O202" s="10">
        <v>24000</v>
      </c>
      <c r="P202" s="42">
        <f t="shared" si="9"/>
        <v>96000</v>
      </c>
      <c r="Q202" s="38"/>
    </row>
    <row r="203" spans="1:17" ht="15" x14ac:dyDescent="0.2">
      <c r="A203" s="12"/>
      <c r="B203" s="17" t="s">
        <v>79</v>
      </c>
      <c r="C203" s="9">
        <v>1</v>
      </c>
      <c r="D203" s="18">
        <v>60000</v>
      </c>
      <c r="E203" s="10">
        <f t="shared" si="8"/>
        <v>60000</v>
      </c>
      <c r="F203" s="13"/>
      <c r="L203" s="39"/>
      <c r="M203" s="17" t="s">
        <v>105</v>
      </c>
      <c r="N203" s="9">
        <v>1</v>
      </c>
      <c r="O203" s="10">
        <v>40000</v>
      </c>
      <c r="P203" s="42">
        <f t="shared" si="9"/>
        <v>40000</v>
      </c>
      <c r="Q203" s="40"/>
    </row>
    <row r="204" spans="1:17" ht="15" x14ac:dyDescent="0.2">
      <c r="A204" s="12"/>
      <c r="B204" s="17" t="s">
        <v>46</v>
      </c>
      <c r="C204" s="9">
        <v>1</v>
      </c>
      <c r="D204" s="18">
        <v>210000</v>
      </c>
      <c r="E204" s="10">
        <f t="shared" si="8"/>
        <v>210000</v>
      </c>
      <c r="F204" s="13"/>
      <c r="L204" s="35">
        <v>46112</v>
      </c>
      <c r="M204" s="17" t="s">
        <v>126</v>
      </c>
      <c r="N204" s="9">
        <v>4</v>
      </c>
      <c r="O204" s="10">
        <v>96000</v>
      </c>
      <c r="P204" s="42">
        <f>O204*N204</f>
        <v>384000</v>
      </c>
      <c r="Q204" s="36">
        <f>SUM(P204:P205)</f>
        <v>480000</v>
      </c>
    </row>
    <row r="205" spans="1:17" ht="15" x14ac:dyDescent="0.2">
      <c r="A205" s="12"/>
      <c r="B205" s="17" t="s">
        <v>26</v>
      </c>
      <c r="C205" s="9">
        <v>2</v>
      </c>
      <c r="D205" s="18">
        <v>30000</v>
      </c>
      <c r="E205" s="10">
        <f t="shared" si="8"/>
        <v>60000</v>
      </c>
      <c r="F205" s="13"/>
      <c r="L205" s="39"/>
      <c r="M205" s="17" t="s">
        <v>104</v>
      </c>
      <c r="N205" s="9">
        <v>4</v>
      </c>
      <c r="O205" s="10">
        <v>24000</v>
      </c>
      <c r="P205" s="42">
        <f>O205*N205</f>
        <v>96000</v>
      </c>
      <c r="Q205" s="40"/>
    </row>
    <row r="206" spans="1:17" x14ac:dyDescent="0.2">
      <c r="A206" s="12"/>
      <c r="B206" s="17" t="s">
        <v>27</v>
      </c>
      <c r="C206" s="9">
        <v>2</v>
      </c>
      <c r="D206" s="18">
        <v>30000</v>
      </c>
      <c r="E206" s="10">
        <f t="shared" si="8"/>
        <v>60000</v>
      </c>
      <c r="F206" s="13"/>
      <c r="L206" s="43"/>
      <c r="M206" s="17"/>
      <c r="N206" s="9"/>
      <c r="O206" s="10"/>
      <c r="P206" s="42"/>
      <c r="Q206" s="44"/>
    </row>
    <row r="207" spans="1:17" x14ac:dyDescent="0.2">
      <c r="A207" s="12"/>
      <c r="B207" s="17" t="s">
        <v>25</v>
      </c>
      <c r="C207" s="9">
        <v>2</v>
      </c>
      <c r="D207" s="18">
        <v>20000</v>
      </c>
      <c r="E207" s="10">
        <f t="shared" si="8"/>
        <v>40000</v>
      </c>
      <c r="F207" s="13"/>
      <c r="L207" s="43"/>
      <c r="M207" s="17"/>
      <c r="N207" s="9"/>
      <c r="O207" s="10"/>
      <c r="P207" s="42"/>
      <c r="Q207" s="44"/>
    </row>
    <row r="208" spans="1:17" x14ac:dyDescent="0.2">
      <c r="A208" s="12"/>
      <c r="B208" s="17" t="s">
        <v>34</v>
      </c>
      <c r="C208" s="9">
        <v>3</v>
      </c>
      <c r="D208" s="18">
        <v>120000</v>
      </c>
      <c r="E208" s="10">
        <f t="shared" si="8"/>
        <v>360000</v>
      </c>
      <c r="F208" s="13"/>
      <c r="L208" s="43"/>
      <c r="M208" s="17"/>
      <c r="N208" s="9"/>
      <c r="O208" s="10"/>
      <c r="P208" s="42"/>
      <c r="Q208" s="44"/>
    </row>
    <row r="209" spans="1:17" x14ac:dyDescent="0.2">
      <c r="A209" s="12"/>
      <c r="B209" s="17" t="s">
        <v>80</v>
      </c>
      <c r="C209" s="9">
        <v>2</v>
      </c>
      <c r="D209" s="18">
        <v>70000</v>
      </c>
      <c r="E209" s="10">
        <f t="shared" si="8"/>
        <v>140000</v>
      </c>
      <c r="F209" s="13"/>
      <c r="L209" s="43"/>
      <c r="M209" s="17"/>
      <c r="N209" s="9"/>
      <c r="O209" s="10"/>
      <c r="P209" s="42"/>
      <c r="Q209" s="44"/>
    </row>
    <row r="210" spans="1:17" x14ac:dyDescent="0.2">
      <c r="A210" s="12"/>
      <c r="B210" s="17" t="s">
        <v>59</v>
      </c>
      <c r="C210" s="9">
        <v>1</v>
      </c>
      <c r="D210" s="18">
        <v>45000</v>
      </c>
      <c r="E210" s="10">
        <f t="shared" si="8"/>
        <v>45000</v>
      </c>
      <c r="F210" s="13"/>
      <c r="L210" s="43"/>
      <c r="M210" s="17"/>
      <c r="N210" s="9"/>
      <c r="O210" s="10"/>
      <c r="P210" s="42"/>
      <c r="Q210" s="46"/>
    </row>
    <row r="211" spans="1:17" x14ac:dyDescent="0.2">
      <c r="A211" s="12"/>
      <c r="B211" s="17" t="s">
        <v>81</v>
      </c>
      <c r="C211" s="9">
        <v>2</v>
      </c>
      <c r="D211" s="18">
        <v>20000</v>
      </c>
      <c r="E211" s="10">
        <f t="shared" si="8"/>
        <v>40000</v>
      </c>
      <c r="F211" s="13"/>
      <c r="L211" s="47"/>
      <c r="M211" s="8"/>
      <c r="N211" s="9"/>
      <c r="O211" s="10"/>
      <c r="P211" s="42"/>
      <c r="Q211" s="42"/>
    </row>
    <row r="212" spans="1:17" ht="16" customHeight="1" x14ac:dyDescent="0.2">
      <c r="A212" s="12"/>
      <c r="B212" s="17" t="s">
        <v>15</v>
      </c>
      <c r="C212" s="9">
        <v>3</v>
      </c>
      <c r="D212" s="18">
        <v>40000</v>
      </c>
      <c r="E212" s="10">
        <f t="shared" si="8"/>
        <v>120000</v>
      </c>
      <c r="F212" s="13"/>
      <c r="L212" s="48"/>
      <c r="N212" s="20"/>
      <c r="P212" s="41">
        <f>SUM(Q2:Q211)</f>
        <v>15397000</v>
      </c>
      <c r="Q212" s="41"/>
    </row>
    <row r="213" spans="1:17" ht="16" customHeight="1" x14ac:dyDescent="0.2">
      <c r="A213" s="12"/>
      <c r="B213" s="17" t="s">
        <v>82</v>
      </c>
      <c r="C213" s="9">
        <v>7.0000000000000007E-2</v>
      </c>
      <c r="D213" s="18">
        <v>200000</v>
      </c>
      <c r="E213" s="10">
        <f t="shared" si="8"/>
        <v>14000.000000000002</v>
      </c>
      <c r="F213" s="13"/>
    </row>
    <row r="214" spans="1:17" ht="16" customHeight="1" x14ac:dyDescent="0.2">
      <c r="A214" s="12"/>
      <c r="B214" s="17" t="s">
        <v>7</v>
      </c>
      <c r="C214" s="9">
        <v>0.1</v>
      </c>
      <c r="D214" s="18">
        <v>100000</v>
      </c>
      <c r="E214" s="10">
        <f t="shared" si="8"/>
        <v>10000</v>
      </c>
      <c r="F214" s="13"/>
    </row>
    <row r="215" spans="1:17" ht="16" customHeight="1" x14ac:dyDescent="0.2">
      <c r="A215" s="12"/>
      <c r="B215" s="17" t="s">
        <v>8</v>
      </c>
      <c r="C215" s="9">
        <v>7.0000000000000007E-2</v>
      </c>
      <c r="D215" s="18">
        <v>80000</v>
      </c>
      <c r="E215" s="10">
        <v>6000</v>
      </c>
      <c r="F215" s="13"/>
    </row>
    <row r="216" spans="1:17" ht="16" customHeight="1" x14ac:dyDescent="0.2">
      <c r="A216" s="12"/>
      <c r="B216" s="17" t="s">
        <v>36</v>
      </c>
      <c r="C216" s="9">
        <v>7.0000000000000007E-2</v>
      </c>
      <c r="D216" s="18">
        <v>60000</v>
      </c>
      <c r="E216" s="10">
        <v>4000</v>
      </c>
      <c r="F216" s="13"/>
    </row>
    <row r="217" spans="1:17" ht="16" customHeight="1" x14ac:dyDescent="0.2">
      <c r="A217" s="15"/>
      <c r="B217" s="17" t="s">
        <v>29</v>
      </c>
      <c r="C217" s="9">
        <v>2</v>
      </c>
      <c r="D217" s="18">
        <v>40000</v>
      </c>
      <c r="E217" s="10">
        <f t="shared" si="8"/>
        <v>80000</v>
      </c>
      <c r="F217" s="16"/>
    </row>
    <row r="218" spans="1:17" ht="16" customHeight="1" x14ac:dyDescent="0.2">
      <c r="A218" s="7">
        <v>46103</v>
      </c>
      <c r="B218" s="17" t="s">
        <v>83</v>
      </c>
      <c r="C218" s="9">
        <v>2</v>
      </c>
      <c r="D218" s="18">
        <v>170000</v>
      </c>
      <c r="E218" s="10">
        <f t="shared" si="8"/>
        <v>340000</v>
      </c>
      <c r="F218" s="11">
        <f>SUM(E218:E226)</f>
        <v>1426000</v>
      </c>
    </row>
    <row r="219" spans="1:17" ht="16" customHeight="1" x14ac:dyDescent="0.2">
      <c r="A219" s="12"/>
      <c r="B219" s="17" t="s">
        <v>16</v>
      </c>
      <c r="C219" s="9">
        <v>16</v>
      </c>
      <c r="D219" s="18">
        <v>22000</v>
      </c>
      <c r="E219" s="10">
        <f t="shared" si="8"/>
        <v>352000</v>
      </c>
      <c r="F219" s="13"/>
    </row>
    <row r="220" spans="1:17" ht="16" customHeight="1" x14ac:dyDescent="0.2">
      <c r="A220" s="12"/>
      <c r="B220" s="17" t="s">
        <v>23</v>
      </c>
      <c r="C220" s="9">
        <v>1</v>
      </c>
      <c r="D220" s="18">
        <v>160000</v>
      </c>
      <c r="E220" s="10">
        <f t="shared" si="8"/>
        <v>160000</v>
      </c>
      <c r="F220" s="13"/>
    </row>
    <row r="221" spans="1:17" ht="16" customHeight="1" x14ac:dyDescent="0.2">
      <c r="A221" s="12"/>
      <c r="B221" s="17" t="s">
        <v>39</v>
      </c>
      <c r="C221" s="9">
        <v>0.1</v>
      </c>
      <c r="D221" s="18">
        <v>80000</v>
      </c>
      <c r="E221" s="10">
        <f t="shared" si="8"/>
        <v>8000</v>
      </c>
      <c r="F221" s="13"/>
    </row>
    <row r="222" spans="1:17" ht="16" customHeight="1" x14ac:dyDescent="0.2">
      <c r="A222" s="12"/>
      <c r="B222" s="17" t="s">
        <v>32</v>
      </c>
      <c r="C222" s="9">
        <v>1</v>
      </c>
      <c r="D222" s="18">
        <v>50000</v>
      </c>
      <c r="E222" s="10">
        <f t="shared" si="8"/>
        <v>50000</v>
      </c>
      <c r="F222" s="13"/>
    </row>
    <row r="223" spans="1:17" ht="16" customHeight="1" x14ac:dyDescent="0.2">
      <c r="A223" s="12"/>
      <c r="B223" s="17" t="s">
        <v>17</v>
      </c>
      <c r="C223" s="9">
        <v>1.08</v>
      </c>
      <c r="D223" s="18">
        <v>70000</v>
      </c>
      <c r="E223" s="10">
        <v>76000</v>
      </c>
      <c r="F223" s="13"/>
    </row>
    <row r="224" spans="1:17" ht="16" customHeight="1" x14ac:dyDescent="0.2">
      <c r="A224" s="12"/>
      <c r="B224" s="17" t="s">
        <v>73</v>
      </c>
      <c r="C224" s="9">
        <v>1</v>
      </c>
      <c r="D224" s="18">
        <v>55000</v>
      </c>
      <c r="E224" s="10">
        <f t="shared" si="8"/>
        <v>55000</v>
      </c>
      <c r="F224" s="13"/>
    </row>
    <row r="225" spans="1:6" ht="16" customHeight="1" x14ac:dyDescent="0.2">
      <c r="A225" s="12"/>
      <c r="B225" s="17" t="s">
        <v>84</v>
      </c>
      <c r="C225" s="9">
        <v>1</v>
      </c>
      <c r="D225" s="18">
        <v>115000</v>
      </c>
      <c r="E225" s="10">
        <f t="shared" si="8"/>
        <v>115000</v>
      </c>
      <c r="F225" s="13"/>
    </row>
    <row r="226" spans="1:6" ht="16" customHeight="1" x14ac:dyDescent="0.2">
      <c r="A226" s="15"/>
      <c r="B226" s="17" t="s">
        <v>85</v>
      </c>
      <c r="C226" s="9">
        <v>6</v>
      </c>
      <c r="D226" s="18">
        <v>45000</v>
      </c>
      <c r="E226" s="10">
        <f t="shared" si="8"/>
        <v>270000</v>
      </c>
      <c r="F226" s="16"/>
    </row>
    <row r="227" spans="1:6" ht="16" customHeight="1" x14ac:dyDescent="0.2">
      <c r="A227" s="7">
        <v>46104</v>
      </c>
      <c r="B227" s="17" t="s">
        <v>86</v>
      </c>
      <c r="C227" s="9">
        <v>2</v>
      </c>
      <c r="D227" s="18">
        <v>25000</v>
      </c>
      <c r="E227" s="10">
        <f t="shared" si="8"/>
        <v>50000</v>
      </c>
      <c r="F227" s="11">
        <f>SUM(E227:E247)</f>
        <v>2785000</v>
      </c>
    </row>
    <row r="228" spans="1:6" ht="16" customHeight="1" x14ac:dyDescent="0.2">
      <c r="A228" s="12"/>
      <c r="B228" s="17" t="s">
        <v>87</v>
      </c>
      <c r="C228" s="9">
        <v>2</v>
      </c>
      <c r="D228" s="18">
        <v>30000</v>
      </c>
      <c r="E228" s="10">
        <f t="shared" si="8"/>
        <v>60000</v>
      </c>
      <c r="F228" s="13"/>
    </row>
    <row r="229" spans="1:6" ht="16" customHeight="1" x14ac:dyDescent="0.2">
      <c r="A229" s="12"/>
      <c r="B229" s="17" t="s">
        <v>79</v>
      </c>
      <c r="C229" s="9">
        <v>2</v>
      </c>
      <c r="D229" s="18">
        <v>60000</v>
      </c>
      <c r="E229" s="10">
        <f t="shared" si="8"/>
        <v>120000</v>
      </c>
      <c r="F229" s="13"/>
    </row>
    <row r="230" spans="1:6" ht="16" customHeight="1" x14ac:dyDescent="0.2">
      <c r="A230" s="12"/>
      <c r="B230" s="17" t="s">
        <v>69</v>
      </c>
      <c r="C230" s="9">
        <v>1</v>
      </c>
      <c r="D230" s="18">
        <v>160000</v>
      </c>
      <c r="E230" s="10">
        <f t="shared" si="8"/>
        <v>160000</v>
      </c>
      <c r="F230" s="13"/>
    </row>
    <row r="231" spans="1:6" ht="16" customHeight="1" x14ac:dyDescent="0.2">
      <c r="A231" s="12"/>
      <c r="B231" s="17" t="s">
        <v>6</v>
      </c>
      <c r="C231" s="9">
        <v>2</v>
      </c>
      <c r="D231" s="18">
        <v>170000</v>
      </c>
      <c r="E231" s="10">
        <f t="shared" si="8"/>
        <v>340000</v>
      </c>
      <c r="F231" s="13"/>
    </row>
    <row r="232" spans="1:6" ht="16" customHeight="1" x14ac:dyDescent="0.2">
      <c r="A232" s="12"/>
      <c r="B232" s="17" t="s">
        <v>35</v>
      </c>
      <c r="C232" s="9">
        <v>2</v>
      </c>
      <c r="D232" s="18">
        <v>100000</v>
      </c>
      <c r="E232" s="10">
        <f t="shared" si="8"/>
        <v>200000</v>
      </c>
      <c r="F232" s="13"/>
    </row>
    <row r="233" spans="1:6" ht="16" customHeight="1" x14ac:dyDescent="0.2">
      <c r="A233" s="12"/>
      <c r="B233" s="17" t="s">
        <v>10</v>
      </c>
      <c r="C233" s="9">
        <v>0.1</v>
      </c>
      <c r="D233" s="18">
        <v>150000</v>
      </c>
      <c r="E233" s="10">
        <f t="shared" si="8"/>
        <v>15000</v>
      </c>
      <c r="F233" s="13"/>
    </row>
    <row r="234" spans="1:6" ht="16" customHeight="1" x14ac:dyDescent="0.2">
      <c r="A234" s="12"/>
      <c r="B234" s="17" t="s">
        <v>38</v>
      </c>
      <c r="C234" s="9">
        <v>0.1</v>
      </c>
      <c r="D234" s="18">
        <v>25000</v>
      </c>
      <c r="E234" s="10">
        <v>3000</v>
      </c>
      <c r="F234" s="13"/>
    </row>
    <row r="235" spans="1:6" ht="16" customHeight="1" x14ac:dyDescent="0.2">
      <c r="A235" s="12"/>
      <c r="B235" s="17" t="s">
        <v>36</v>
      </c>
      <c r="C235" s="9">
        <v>0.1</v>
      </c>
      <c r="D235" s="18">
        <v>60000</v>
      </c>
      <c r="E235" s="10">
        <f t="shared" si="8"/>
        <v>6000</v>
      </c>
      <c r="F235" s="13"/>
    </row>
    <row r="236" spans="1:6" ht="16" customHeight="1" x14ac:dyDescent="0.2">
      <c r="A236" s="12"/>
      <c r="B236" s="17" t="s">
        <v>7</v>
      </c>
      <c r="C236" s="9">
        <v>0.2</v>
      </c>
      <c r="D236" s="18">
        <v>100000</v>
      </c>
      <c r="E236" s="10">
        <f t="shared" si="8"/>
        <v>20000</v>
      </c>
      <c r="F236" s="13"/>
    </row>
    <row r="237" spans="1:6" ht="16" customHeight="1" x14ac:dyDescent="0.2">
      <c r="A237" s="12"/>
      <c r="B237" s="17" t="s">
        <v>8</v>
      </c>
      <c r="C237" s="9">
        <v>0.1</v>
      </c>
      <c r="D237" s="18">
        <v>80000</v>
      </c>
      <c r="E237" s="10">
        <f t="shared" si="8"/>
        <v>8000</v>
      </c>
      <c r="F237" s="13"/>
    </row>
    <row r="238" spans="1:6" ht="16" customHeight="1" x14ac:dyDescent="0.2">
      <c r="A238" s="12"/>
      <c r="B238" s="17" t="s">
        <v>13</v>
      </c>
      <c r="C238" s="9">
        <v>5</v>
      </c>
      <c r="D238" s="18">
        <v>100000</v>
      </c>
      <c r="E238" s="10">
        <f t="shared" si="8"/>
        <v>500000</v>
      </c>
      <c r="F238" s="13"/>
    </row>
    <row r="239" spans="1:6" ht="16" customHeight="1" x14ac:dyDescent="0.2">
      <c r="A239" s="12"/>
      <c r="B239" s="17" t="s">
        <v>16</v>
      </c>
      <c r="C239" s="9">
        <v>1</v>
      </c>
      <c r="D239" s="18">
        <v>220000</v>
      </c>
      <c r="E239" s="10">
        <f t="shared" si="8"/>
        <v>220000</v>
      </c>
      <c r="F239" s="13"/>
    </row>
    <row r="240" spans="1:6" ht="16" customHeight="1" x14ac:dyDescent="0.2">
      <c r="A240" s="12"/>
      <c r="B240" s="17" t="s">
        <v>88</v>
      </c>
      <c r="C240" s="9">
        <v>1</v>
      </c>
      <c r="D240" s="18">
        <v>40000</v>
      </c>
      <c r="E240" s="10">
        <f t="shared" si="8"/>
        <v>40000</v>
      </c>
      <c r="F240" s="13"/>
    </row>
    <row r="241" spans="1:6" ht="16" customHeight="1" x14ac:dyDescent="0.2">
      <c r="A241" s="12"/>
      <c r="B241" s="17" t="s">
        <v>39</v>
      </c>
      <c r="C241" s="9">
        <v>0.1</v>
      </c>
      <c r="D241" s="18">
        <v>80000</v>
      </c>
      <c r="E241" s="10">
        <f t="shared" si="8"/>
        <v>8000</v>
      </c>
      <c r="F241" s="13"/>
    </row>
    <row r="242" spans="1:6" ht="16" customHeight="1" x14ac:dyDescent="0.2">
      <c r="A242" s="12"/>
      <c r="B242" s="17" t="s">
        <v>17</v>
      </c>
      <c r="C242" s="9">
        <v>2</v>
      </c>
      <c r="D242" s="18">
        <v>70000</v>
      </c>
      <c r="E242" s="10">
        <f t="shared" si="8"/>
        <v>140000</v>
      </c>
      <c r="F242" s="13"/>
    </row>
    <row r="243" spans="1:6" ht="16" customHeight="1" x14ac:dyDescent="0.2">
      <c r="A243" s="12"/>
      <c r="B243" s="17" t="s">
        <v>66</v>
      </c>
      <c r="C243" s="9">
        <v>1</v>
      </c>
      <c r="D243" s="18">
        <v>195000</v>
      </c>
      <c r="E243" s="10">
        <f t="shared" si="8"/>
        <v>195000</v>
      </c>
      <c r="F243" s="13"/>
    </row>
    <row r="244" spans="1:6" ht="16" customHeight="1" x14ac:dyDescent="0.2">
      <c r="A244" s="12"/>
      <c r="B244" s="17" t="s">
        <v>84</v>
      </c>
      <c r="C244" s="9">
        <v>1</v>
      </c>
      <c r="D244" s="18">
        <v>110000</v>
      </c>
      <c r="E244" s="10">
        <f t="shared" si="8"/>
        <v>110000</v>
      </c>
      <c r="F244" s="13"/>
    </row>
    <row r="245" spans="1:6" ht="16" customHeight="1" x14ac:dyDescent="0.2">
      <c r="A245" s="12"/>
      <c r="B245" s="17" t="s">
        <v>89</v>
      </c>
      <c r="C245" s="9">
        <v>1</v>
      </c>
      <c r="D245" s="18">
        <v>330000</v>
      </c>
      <c r="E245" s="10">
        <f t="shared" si="8"/>
        <v>330000</v>
      </c>
      <c r="F245" s="13"/>
    </row>
    <row r="246" spans="1:6" ht="16" customHeight="1" x14ac:dyDescent="0.2">
      <c r="A246" s="12"/>
      <c r="B246" s="17" t="s">
        <v>28</v>
      </c>
      <c r="C246" s="9">
        <v>2</v>
      </c>
      <c r="D246" s="18">
        <v>45000</v>
      </c>
      <c r="E246" s="10">
        <f t="shared" si="8"/>
        <v>90000</v>
      </c>
      <c r="F246" s="13"/>
    </row>
    <row r="247" spans="1:6" ht="16" customHeight="1" x14ac:dyDescent="0.2">
      <c r="A247" s="15"/>
      <c r="B247" s="17" t="s">
        <v>83</v>
      </c>
      <c r="C247" s="9">
        <v>1</v>
      </c>
      <c r="D247" s="18">
        <v>170000</v>
      </c>
      <c r="E247" s="10">
        <f t="shared" si="8"/>
        <v>170000</v>
      </c>
      <c r="F247" s="16"/>
    </row>
    <row r="248" spans="1:6" ht="16" customHeight="1" x14ac:dyDescent="0.2">
      <c r="A248" s="21">
        <v>46107</v>
      </c>
      <c r="B248" s="17" t="s">
        <v>38</v>
      </c>
      <c r="C248" s="9">
        <v>0.1</v>
      </c>
      <c r="D248" s="10">
        <v>28000</v>
      </c>
      <c r="E248" s="10">
        <v>3000</v>
      </c>
      <c r="F248" s="22">
        <f>SUM(E248:E264)</f>
        <v>1877000</v>
      </c>
    </row>
    <row r="249" spans="1:6" ht="16" customHeight="1" x14ac:dyDescent="0.2">
      <c r="A249" s="21"/>
      <c r="B249" s="17" t="s">
        <v>36</v>
      </c>
      <c r="C249" s="9">
        <v>7.0000000000000007E-2</v>
      </c>
      <c r="D249" s="10">
        <v>60000</v>
      </c>
      <c r="E249" s="10">
        <v>4000</v>
      </c>
      <c r="F249" s="22"/>
    </row>
    <row r="250" spans="1:6" ht="16" customHeight="1" x14ac:dyDescent="0.2">
      <c r="A250" s="21"/>
      <c r="B250" s="17" t="s">
        <v>7</v>
      </c>
      <c r="C250" s="9">
        <v>0.1</v>
      </c>
      <c r="D250" s="10">
        <v>90000</v>
      </c>
      <c r="E250" s="10">
        <f t="shared" ref="E250:E262" si="10">D250*C250</f>
        <v>9000</v>
      </c>
      <c r="F250" s="22"/>
    </row>
    <row r="251" spans="1:6" ht="16" customHeight="1" x14ac:dyDescent="0.2">
      <c r="A251" s="21"/>
      <c r="B251" s="17" t="s">
        <v>14</v>
      </c>
      <c r="C251" s="9">
        <v>1</v>
      </c>
      <c r="D251" s="10">
        <v>220000</v>
      </c>
      <c r="E251" s="10">
        <f t="shared" si="10"/>
        <v>220000</v>
      </c>
      <c r="F251" s="22"/>
    </row>
    <row r="252" spans="1:6" ht="16" customHeight="1" x14ac:dyDescent="0.2">
      <c r="A252" s="21"/>
      <c r="B252" s="17" t="s">
        <v>56</v>
      </c>
      <c r="C252" s="9">
        <v>1</v>
      </c>
      <c r="D252" s="10">
        <v>50000</v>
      </c>
      <c r="E252" s="10">
        <f t="shared" si="10"/>
        <v>50000</v>
      </c>
      <c r="F252" s="22"/>
    </row>
    <row r="253" spans="1:6" ht="16" customHeight="1" x14ac:dyDescent="0.2">
      <c r="A253" s="21"/>
      <c r="B253" s="17" t="s">
        <v>90</v>
      </c>
      <c r="C253" s="9">
        <v>0.5</v>
      </c>
      <c r="D253" s="10">
        <v>180000</v>
      </c>
      <c r="E253" s="10">
        <f t="shared" si="10"/>
        <v>90000</v>
      </c>
      <c r="F253" s="22"/>
    </row>
    <row r="254" spans="1:6" ht="16" customHeight="1" x14ac:dyDescent="0.2">
      <c r="A254" s="21"/>
      <c r="B254" s="17" t="s">
        <v>33</v>
      </c>
      <c r="C254" s="9">
        <v>2</v>
      </c>
      <c r="D254" s="10">
        <v>75000</v>
      </c>
      <c r="E254" s="10">
        <f t="shared" si="10"/>
        <v>150000</v>
      </c>
      <c r="F254" s="22"/>
    </row>
    <row r="255" spans="1:6" ht="16" customHeight="1" x14ac:dyDescent="0.2">
      <c r="A255" s="21"/>
      <c r="B255" s="17" t="s">
        <v>28</v>
      </c>
      <c r="C255" s="9">
        <v>2</v>
      </c>
      <c r="D255" s="10">
        <v>45000</v>
      </c>
      <c r="E255" s="10">
        <f t="shared" si="10"/>
        <v>90000</v>
      </c>
      <c r="F255" s="22"/>
    </row>
    <row r="256" spans="1:6" ht="16" customHeight="1" x14ac:dyDescent="0.2">
      <c r="A256" s="21"/>
      <c r="B256" s="17" t="s">
        <v>83</v>
      </c>
      <c r="C256" s="9">
        <v>2</v>
      </c>
      <c r="D256" s="10">
        <v>170000</v>
      </c>
      <c r="E256" s="10">
        <f t="shared" si="10"/>
        <v>340000</v>
      </c>
      <c r="F256" s="22"/>
    </row>
    <row r="257" spans="1:6" ht="16" customHeight="1" x14ac:dyDescent="0.2">
      <c r="A257" s="21"/>
      <c r="B257" s="17" t="s">
        <v>52</v>
      </c>
      <c r="C257" s="9">
        <v>1</v>
      </c>
      <c r="D257" s="10">
        <v>170000</v>
      </c>
      <c r="E257" s="10">
        <f t="shared" si="10"/>
        <v>170000</v>
      </c>
      <c r="F257" s="22"/>
    </row>
    <row r="258" spans="1:6" ht="16" customHeight="1" x14ac:dyDescent="0.2">
      <c r="A258" s="21"/>
      <c r="B258" s="23" t="s">
        <v>13</v>
      </c>
      <c r="C258" s="9">
        <v>3</v>
      </c>
      <c r="D258" s="10">
        <v>100000</v>
      </c>
      <c r="E258" s="10">
        <f t="shared" si="10"/>
        <v>300000</v>
      </c>
      <c r="F258" s="22"/>
    </row>
    <row r="259" spans="1:6" ht="16" customHeight="1" x14ac:dyDescent="0.2">
      <c r="A259" s="21"/>
      <c r="B259" s="23" t="s">
        <v>12</v>
      </c>
      <c r="C259" s="9">
        <v>1</v>
      </c>
      <c r="D259" s="10">
        <v>170000</v>
      </c>
      <c r="E259" s="10">
        <f t="shared" si="10"/>
        <v>170000</v>
      </c>
      <c r="F259" s="22"/>
    </row>
    <row r="260" spans="1:6" ht="16" customHeight="1" x14ac:dyDescent="0.2">
      <c r="A260" s="21"/>
      <c r="B260" s="23" t="s">
        <v>61</v>
      </c>
      <c r="C260" s="9">
        <v>0.3</v>
      </c>
      <c r="D260" s="10">
        <v>30000</v>
      </c>
      <c r="E260" s="10">
        <f t="shared" si="10"/>
        <v>9000</v>
      </c>
      <c r="F260" s="22"/>
    </row>
    <row r="261" spans="1:6" ht="16" customHeight="1" x14ac:dyDescent="0.2">
      <c r="A261" s="21"/>
      <c r="B261" s="23" t="s">
        <v>31</v>
      </c>
      <c r="C261" s="9">
        <v>0.1</v>
      </c>
      <c r="D261" s="10">
        <v>80000</v>
      </c>
      <c r="E261" s="10">
        <f t="shared" si="10"/>
        <v>8000</v>
      </c>
      <c r="F261" s="22"/>
    </row>
    <row r="262" spans="1:6" ht="16" customHeight="1" x14ac:dyDescent="0.2">
      <c r="A262" s="21"/>
      <c r="B262" s="23" t="s">
        <v>17</v>
      </c>
      <c r="C262" s="9">
        <v>1</v>
      </c>
      <c r="D262" s="10">
        <v>70000</v>
      </c>
      <c r="E262" s="10">
        <f t="shared" si="10"/>
        <v>70000</v>
      </c>
      <c r="F262" s="22"/>
    </row>
    <row r="263" spans="1:6" ht="16" customHeight="1" x14ac:dyDescent="0.2">
      <c r="A263" s="21"/>
      <c r="B263" s="23" t="s">
        <v>18</v>
      </c>
      <c r="C263" s="9">
        <v>2.44</v>
      </c>
      <c r="D263" s="10">
        <v>55000</v>
      </c>
      <c r="E263" s="10">
        <v>134000</v>
      </c>
      <c r="F263" s="22"/>
    </row>
    <row r="264" spans="1:6" ht="16" customHeight="1" x14ac:dyDescent="0.2">
      <c r="A264" s="21"/>
      <c r="B264" s="17" t="s">
        <v>77</v>
      </c>
      <c r="C264" s="9">
        <v>2</v>
      </c>
      <c r="D264" s="10">
        <v>30000</v>
      </c>
      <c r="E264" s="10">
        <f>D264*C264</f>
        <v>60000</v>
      </c>
      <c r="F264" s="22"/>
    </row>
    <row r="265" spans="1:6" ht="16" customHeight="1" x14ac:dyDescent="0.2">
      <c r="A265" s="7">
        <v>46109</v>
      </c>
      <c r="B265" s="17" t="s">
        <v>91</v>
      </c>
      <c r="C265" s="9">
        <v>10</v>
      </c>
      <c r="D265" s="18">
        <v>15000</v>
      </c>
      <c r="E265" s="10">
        <f t="shared" ref="E265:E309" si="11">D265*C265</f>
        <v>150000</v>
      </c>
      <c r="F265" s="11">
        <f>SUM(E265:E279)</f>
        <v>2210000</v>
      </c>
    </row>
    <row r="266" spans="1:6" ht="16" customHeight="1" x14ac:dyDescent="0.2">
      <c r="A266" s="12"/>
      <c r="B266" s="17" t="s">
        <v>13</v>
      </c>
      <c r="C266" s="9">
        <v>2</v>
      </c>
      <c r="D266" s="18">
        <v>100000</v>
      </c>
      <c r="E266" s="10">
        <f t="shared" si="11"/>
        <v>200000</v>
      </c>
      <c r="F266" s="13"/>
    </row>
    <row r="267" spans="1:6" ht="16" customHeight="1" x14ac:dyDescent="0.2">
      <c r="A267" s="12"/>
      <c r="B267" s="17" t="s">
        <v>6</v>
      </c>
      <c r="C267" s="9">
        <v>2</v>
      </c>
      <c r="D267" s="18">
        <v>170000</v>
      </c>
      <c r="E267" s="10">
        <f t="shared" si="11"/>
        <v>340000</v>
      </c>
      <c r="F267" s="13"/>
    </row>
    <row r="268" spans="1:6" ht="16" customHeight="1" x14ac:dyDescent="0.2">
      <c r="A268" s="12"/>
      <c r="B268" s="17" t="s">
        <v>29</v>
      </c>
      <c r="C268" s="9">
        <v>2</v>
      </c>
      <c r="D268" s="18">
        <v>40000</v>
      </c>
      <c r="E268" s="10">
        <f t="shared" si="11"/>
        <v>80000</v>
      </c>
      <c r="F268" s="13"/>
    </row>
    <row r="269" spans="1:6" ht="16" customHeight="1" x14ac:dyDescent="0.2">
      <c r="A269" s="12"/>
      <c r="B269" s="17" t="s">
        <v>92</v>
      </c>
      <c r="C269" s="9">
        <v>0.65</v>
      </c>
      <c r="D269" s="18">
        <v>200000</v>
      </c>
      <c r="E269" s="10">
        <f t="shared" si="11"/>
        <v>130000</v>
      </c>
      <c r="F269" s="13"/>
    </row>
    <row r="270" spans="1:6" ht="16" customHeight="1" x14ac:dyDescent="0.2">
      <c r="A270" s="12"/>
      <c r="B270" s="17" t="s">
        <v>75</v>
      </c>
      <c r="C270" s="9">
        <v>1</v>
      </c>
      <c r="D270" s="18">
        <v>80000</v>
      </c>
      <c r="E270" s="10">
        <f t="shared" si="11"/>
        <v>80000</v>
      </c>
      <c r="F270" s="13"/>
    </row>
    <row r="271" spans="1:6" ht="16" customHeight="1" x14ac:dyDescent="0.2">
      <c r="A271" s="12"/>
      <c r="B271" s="17" t="s">
        <v>24</v>
      </c>
      <c r="C271" s="9">
        <v>2</v>
      </c>
      <c r="D271" s="18">
        <v>50000</v>
      </c>
      <c r="E271" s="10">
        <f t="shared" si="11"/>
        <v>100000</v>
      </c>
      <c r="F271" s="13"/>
    </row>
    <row r="272" spans="1:6" ht="16" customHeight="1" x14ac:dyDescent="0.2">
      <c r="A272" s="12"/>
      <c r="B272" s="17" t="s">
        <v>54</v>
      </c>
      <c r="C272" s="9">
        <v>2</v>
      </c>
      <c r="D272" s="18">
        <v>30000</v>
      </c>
      <c r="E272" s="10">
        <f t="shared" si="11"/>
        <v>60000</v>
      </c>
      <c r="F272" s="13"/>
    </row>
    <row r="273" spans="1:6" ht="16" customHeight="1" x14ac:dyDescent="0.2">
      <c r="A273" s="12"/>
      <c r="B273" s="17" t="s">
        <v>74</v>
      </c>
      <c r="C273" s="9">
        <v>0.5</v>
      </c>
      <c r="D273" s="18">
        <v>140000</v>
      </c>
      <c r="E273" s="10">
        <f t="shared" si="11"/>
        <v>70000</v>
      </c>
      <c r="F273" s="13"/>
    </row>
    <row r="274" spans="1:6" ht="16" customHeight="1" x14ac:dyDescent="0.2">
      <c r="A274" s="12"/>
      <c r="B274" s="17" t="s">
        <v>93</v>
      </c>
      <c r="C274" s="9">
        <v>0.5</v>
      </c>
      <c r="D274" s="18">
        <v>100000</v>
      </c>
      <c r="E274" s="10">
        <f t="shared" si="11"/>
        <v>50000</v>
      </c>
      <c r="F274" s="13"/>
    </row>
    <row r="275" spans="1:6" ht="16" customHeight="1" x14ac:dyDescent="0.2">
      <c r="A275" s="12"/>
      <c r="B275" s="17" t="s">
        <v>69</v>
      </c>
      <c r="C275" s="9">
        <v>1</v>
      </c>
      <c r="D275" s="18">
        <v>160000</v>
      </c>
      <c r="E275" s="10">
        <f t="shared" si="11"/>
        <v>160000</v>
      </c>
      <c r="F275" s="13"/>
    </row>
    <row r="276" spans="1:6" ht="16" customHeight="1" x14ac:dyDescent="0.2">
      <c r="A276" s="12"/>
      <c r="B276" s="17" t="s">
        <v>46</v>
      </c>
      <c r="C276" s="9">
        <v>1</v>
      </c>
      <c r="D276" s="18">
        <v>210000</v>
      </c>
      <c r="E276" s="10">
        <f t="shared" si="11"/>
        <v>210000</v>
      </c>
      <c r="F276" s="13"/>
    </row>
    <row r="277" spans="1:6" ht="16" customHeight="1" x14ac:dyDescent="0.2">
      <c r="A277" s="12"/>
      <c r="B277" s="17" t="s">
        <v>27</v>
      </c>
      <c r="C277" s="9">
        <v>1</v>
      </c>
      <c r="D277" s="18">
        <v>30000</v>
      </c>
      <c r="E277" s="10">
        <f t="shared" si="11"/>
        <v>30000</v>
      </c>
      <c r="F277" s="13"/>
    </row>
    <row r="278" spans="1:6" ht="16" customHeight="1" x14ac:dyDescent="0.2">
      <c r="A278" s="12"/>
      <c r="B278" s="17" t="s">
        <v>94</v>
      </c>
      <c r="C278" s="9">
        <v>1</v>
      </c>
      <c r="D278" s="18">
        <v>330000</v>
      </c>
      <c r="E278" s="10">
        <f t="shared" si="11"/>
        <v>330000</v>
      </c>
      <c r="F278" s="13"/>
    </row>
    <row r="279" spans="1:6" ht="16" customHeight="1" x14ac:dyDescent="0.2">
      <c r="A279" s="15"/>
      <c r="B279" s="17" t="s">
        <v>16</v>
      </c>
      <c r="C279" s="9">
        <v>1</v>
      </c>
      <c r="D279" s="18">
        <v>220000</v>
      </c>
      <c r="E279" s="10">
        <f t="shared" si="11"/>
        <v>220000</v>
      </c>
      <c r="F279" s="16"/>
    </row>
    <row r="280" spans="1:6" ht="16" customHeight="1" x14ac:dyDescent="0.2">
      <c r="A280" s="7">
        <v>46110</v>
      </c>
      <c r="B280" s="17" t="s">
        <v>81</v>
      </c>
      <c r="C280" s="9">
        <v>2</v>
      </c>
      <c r="D280" s="18">
        <v>25000</v>
      </c>
      <c r="E280" s="10">
        <f t="shared" si="11"/>
        <v>50000</v>
      </c>
      <c r="F280" s="11">
        <f>SUM(E280:E298)</f>
        <v>2168000</v>
      </c>
    </row>
    <row r="281" spans="1:6" ht="16" customHeight="1" x14ac:dyDescent="0.2">
      <c r="A281" s="12"/>
      <c r="B281" s="17" t="s">
        <v>15</v>
      </c>
      <c r="C281" s="9">
        <v>5</v>
      </c>
      <c r="D281" s="18">
        <v>40000</v>
      </c>
      <c r="E281" s="10">
        <f t="shared" si="11"/>
        <v>200000</v>
      </c>
      <c r="F281" s="13"/>
    </row>
    <row r="282" spans="1:6" ht="16" customHeight="1" x14ac:dyDescent="0.2">
      <c r="A282" s="12"/>
      <c r="B282" s="17" t="s">
        <v>34</v>
      </c>
      <c r="C282" s="9">
        <v>2</v>
      </c>
      <c r="D282" s="18">
        <v>120000</v>
      </c>
      <c r="E282" s="10">
        <f t="shared" si="11"/>
        <v>240000</v>
      </c>
      <c r="F282" s="13"/>
    </row>
    <row r="283" spans="1:6" ht="16" customHeight="1" x14ac:dyDescent="0.2">
      <c r="A283" s="12"/>
      <c r="B283" s="17" t="s">
        <v>29</v>
      </c>
      <c r="C283" s="9">
        <v>2</v>
      </c>
      <c r="D283" s="18">
        <v>40000</v>
      </c>
      <c r="E283" s="10">
        <f t="shared" si="11"/>
        <v>80000</v>
      </c>
      <c r="F283" s="13"/>
    </row>
    <row r="284" spans="1:6" ht="16" customHeight="1" x14ac:dyDescent="0.2">
      <c r="A284" s="12"/>
      <c r="B284" s="17" t="s">
        <v>35</v>
      </c>
      <c r="C284" s="9">
        <v>2</v>
      </c>
      <c r="D284" s="18">
        <v>100000</v>
      </c>
      <c r="E284" s="10">
        <f t="shared" si="11"/>
        <v>200000</v>
      </c>
      <c r="F284" s="13"/>
    </row>
    <row r="285" spans="1:6" ht="16" customHeight="1" x14ac:dyDescent="0.2">
      <c r="A285" s="12"/>
      <c r="B285" s="17" t="s">
        <v>7</v>
      </c>
      <c r="C285" s="9">
        <v>0.1</v>
      </c>
      <c r="D285" s="18">
        <v>90000</v>
      </c>
      <c r="E285" s="10">
        <f t="shared" si="11"/>
        <v>9000</v>
      </c>
      <c r="F285" s="13"/>
    </row>
    <row r="286" spans="1:6" ht="16" customHeight="1" x14ac:dyDescent="0.2">
      <c r="A286" s="12"/>
      <c r="B286" s="17" t="s">
        <v>8</v>
      </c>
      <c r="C286" s="9">
        <v>0.1</v>
      </c>
      <c r="D286" s="18">
        <v>80000</v>
      </c>
      <c r="E286" s="10">
        <f t="shared" si="11"/>
        <v>8000</v>
      </c>
      <c r="F286" s="13"/>
    </row>
    <row r="287" spans="1:6" ht="16" customHeight="1" x14ac:dyDescent="0.2">
      <c r="A287" s="12"/>
      <c r="B287" s="17" t="s">
        <v>36</v>
      </c>
      <c r="C287" s="9">
        <v>0.1</v>
      </c>
      <c r="D287" s="18">
        <v>80000</v>
      </c>
      <c r="E287" s="10">
        <f t="shared" si="11"/>
        <v>8000</v>
      </c>
      <c r="F287" s="13"/>
    </row>
    <row r="288" spans="1:6" ht="16" customHeight="1" x14ac:dyDescent="0.2">
      <c r="A288" s="12"/>
      <c r="B288" s="17" t="s">
        <v>12</v>
      </c>
      <c r="C288" s="9">
        <v>1</v>
      </c>
      <c r="D288" s="18">
        <v>170000</v>
      </c>
      <c r="E288" s="10">
        <f t="shared" si="11"/>
        <v>170000</v>
      </c>
      <c r="F288" s="13"/>
    </row>
    <row r="289" spans="1:6" ht="16" customHeight="1" x14ac:dyDescent="0.2">
      <c r="A289" s="12"/>
      <c r="B289" s="17" t="s">
        <v>30</v>
      </c>
      <c r="C289" s="9">
        <v>1</v>
      </c>
      <c r="D289" s="18">
        <v>270000</v>
      </c>
      <c r="E289" s="10">
        <f t="shared" si="11"/>
        <v>270000</v>
      </c>
      <c r="F289" s="13"/>
    </row>
    <row r="290" spans="1:6" ht="16" customHeight="1" x14ac:dyDescent="0.2">
      <c r="A290" s="12"/>
      <c r="B290" s="17" t="s">
        <v>95</v>
      </c>
      <c r="C290" s="9">
        <v>1</v>
      </c>
      <c r="D290" s="18">
        <v>60000</v>
      </c>
      <c r="E290" s="10">
        <f t="shared" si="11"/>
        <v>60000</v>
      </c>
      <c r="F290" s="13"/>
    </row>
    <row r="291" spans="1:6" ht="16" customHeight="1" x14ac:dyDescent="0.2">
      <c r="A291" s="12"/>
      <c r="B291" s="17" t="s">
        <v>61</v>
      </c>
      <c r="C291" s="9">
        <v>0.2</v>
      </c>
      <c r="D291" s="18">
        <v>30000</v>
      </c>
      <c r="E291" s="10">
        <f t="shared" si="11"/>
        <v>6000</v>
      </c>
      <c r="F291" s="13"/>
    </row>
    <row r="292" spans="1:6" ht="16" customHeight="1" x14ac:dyDescent="0.2">
      <c r="A292" s="12"/>
      <c r="B292" s="17" t="s">
        <v>23</v>
      </c>
      <c r="C292" s="9">
        <v>1</v>
      </c>
      <c r="D292" s="18">
        <v>160000</v>
      </c>
      <c r="E292" s="10">
        <f t="shared" si="11"/>
        <v>160000</v>
      </c>
      <c r="F292" s="13"/>
    </row>
    <row r="293" spans="1:6" ht="16" customHeight="1" x14ac:dyDescent="0.2">
      <c r="A293" s="12"/>
      <c r="B293" s="17" t="s">
        <v>66</v>
      </c>
      <c r="C293" s="9">
        <v>1</v>
      </c>
      <c r="D293" s="18">
        <v>195000</v>
      </c>
      <c r="E293" s="10">
        <f t="shared" si="11"/>
        <v>195000</v>
      </c>
      <c r="F293" s="13"/>
    </row>
    <row r="294" spans="1:6" ht="16" customHeight="1" x14ac:dyDescent="0.2">
      <c r="A294" s="12"/>
      <c r="B294" s="17" t="s">
        <v>96</v>
      </c>
      <c r="C294" s="9">
        <v>2.665</v>
      </c>
      <c r="D294" s="18">
        <v>20000</v>
      </c>
      <c r="E294" s="10">
        <v>53000</v>
      </c>
      <c r="F294" s="13"/>
    </row>
    <row r="295" spans="1:6" ht="16" customHeight="1" x14ac:dyDescent="0.2">
      <c r="A295" s="12"/>
      <c r="B295" s="17" t="s">
        <v>17</v>
      </c>
      <c r="C295" s="9">
        <v>2.1</v>
      </c>
      <c r="D295" s="18">
        <v>70000</v>
      </c>
      <c r="E295" s="10">
        <f t="shared" si="11"/>
        <v>147000</v>
      </c>
      <c r="F295" s="13"/>
    </row>
    <row r="296" spans="1:6" ht="16" customHeight="1" x14ac:dyDescent="0.2">
      <c r="A296" s="12"/>
      <c r="B296" s="17" t="s">
        <v>32</v>
      </c>
      <c r="C296" s="9">
        <v>1.1399999999999999</v>
      </c>
      <c r="D296" s="18">
        <v>50000</v>
      </c>
      <c r="E296" s="10">
        <f t="shared" si="11"/>
        <v>56999.999999999993</v>
      </c>
      <c r="F296" s="13"/>
    </row>
    <row r="297" spans="1:6" ht="16" customHeight="1" x14ac:dyDescent="0.2">
      <c r="A297" s="12"/>
      <c r="B297" s="17" t="s">
        <v>55</v>
      </c>
      <c r="C297" s="9">
        <v>1</v>
      </c>
      <c r="D297" s="18">
        <v>55000</v>
      </c>
      <c r="E297" s="10">
        <f t="shared" si="11"/>
        <v>55000</v>
      </c>
      <c r="F297" s="13"/>
    </row>
    <row r="298" spans="1:6" ht="16" customHeight="1" x14ac:dyDescent="0.2">
      <c r="A298" s="15"/>
      <c r="B298" s="17" t="s">
        <v>13</v>
      </c>
      <c r="C298" s="9">
        <v>2</v>
      </c>
      <c r="D298" s="18">
        <v>100000</v>
      </c>
      <c r="E298" s="10">
        <f t="shared" si="11"/>
        <v>200000</v>
      </c>
      <c r="F298" s="16"/>
    </row>
    <row r="299" spans="1:6" ht="16" customHeight="1" x14ac:dyDescent="0.2">
      <c r="A299" s="7">
        <v>46112</v>
      </c>
      <c r="B299" s="17" t="s">
        <v>91</v>
      </c>
      <c r="C299" s="9">
        <v>10</v>
      </c>
      <c r="D299" s="18">
        <v>15000</v>
      </c>
      <c r="E299" s="10">
        <f t="shared" si="11"/>
        <v>150000</v>
      </c>
      <c r="F299" s="11">
        <f>SUM(E299:E309)</f>
        <v>2135000</v>
      </c>
    </row>
    <row r="300" spans="1:6" ht="16" customHeight="1" x14ac:dyDescent="0.2">
      <c r="A300" s="12"/>
      <c r="B300" s="17" t="s">
        <v>53</v>
      </c>
      <c r="C300" s="9">
        <v>3</v>
      </c>
      <c r="D300" s="18">
        <v>90000</v>
      </c>
      <c r="E300" s="10">
        <f t="shared" si="11"/>
        <v>270000</v>
      </c>
      <c r="F300" s="13"/>
    </row>
    <row r="301" spans="1:6" ht="16" customHeight="1" x14ac:dyDescent="0.2">
      <c r="A301" s="12"/>
      <c r="B301" s="17" t="s">
        <v>49</v>
      </c>
      <c r="C301" s="9">
        <v>1</v>
      </c>
      <c r="D301" s="18">
        <v>275000</v>
      </c>
      <c r="E301" s="10">
        <f t="shared" si="11"/>
        <v>275000</v>
      </c>
      <c r="F301" s="13"/>
    </row>
    <row r="302" spans="1:6" ht="16" customHeight="1" x14ac:dyDescent="0.2">
      <c r="A302" s="12"/>
      <c r="B302" s="17" t="s">
        <v>13</v>
      </c>
      <c r="C302" s="9">
        <v>3</v>
      </c>
      <c r="D302" s="18">
        <v>100000</v>
      </c>
      <c r="E302" s="10">
        <f t="shared" si="11"/>
        <v>300000</v>
      </c>
      <c r="F302" s="13"/>
    </row>
    <row r="303" spans="1:6" ht="16" customHeight="1" x14ac:dyDescent="0.2">
      <c r="A303" s="12"/>
      <c r="B303" s="17" t="s">
        <v>79</v>
      </c>
      <c r="C303" s="9">
        <v>2</v>
      </c>
      <c r="D303" s="18">
        <v>60000</v>
      </c>
      <c r="E303" s="10">
        <f t="shared" si="11"/>
        <v>120000</v>
      </c>
      <c r="F303" s="13"/>
    </row>
    <row r="304" spans="1:6" ht="16" customHeight="1" x14ac:dyDescent="0.2">
      <c r="A304" s="12"/>
      <c r="B304" s="17" t="s">
        <v>97</v>
      </c>
      <c r="C304" s="9">
        <v>2</v>
      </c>
      <c r="D304" s="18">
        <v>20000</v>
      </c>
      <c r="E304" s="10">
        <f t="shared" si="11"/>
        <v>40000</v>
      </c>
      <c r="F304" s="13"/>
    </row>
    <row r="305" spans="1:6" ht="16" customHeight="1" x14ac:dyDescent="0.2">
      <c r="A305" s="12"/>
      <c r="B305" s="17" t="s">
        <v>83</v>
      </c>
      <c r="C305" s="9">
        <v>2</v>
      </c>
      <c r="D305" s="18">
        <v>170000</v>
      </c>
      <c r="E305" s="10">
        <f t="shared" si="11"/>
        <v>340000</v>
      </c>
      <c r="F305" s="13"/>
    </row>
    <row r="306" spans="1:6" ht="16" customHeight="1" x14ac:dyDescent="0.2">
      <c r="A306" s="12"/>
      <c r="B306" s="17" t="s">
        <v>98</v>
      </c>
      <c r="C306" s="9">
        <v>3</v>
      </c>
      <c r="D306" s="18">
        <v>45000</v>
      </c>
      <c r="E306" s="10">
        <f t="shared" si="11"/>
        <v>135000</v>
      </c>
      <c r="F306" s="13"/>
    </row>
    <row r="307" spans="1:6" ht="16" customHeight="1" x14ac:dyDescent="0.2">
      <c r="A307" s="12"/>
      <c r="B307" s="17" t="s">
        <v>67</v>
      </c>
      <c r="C307" s="9">
        <v>1</v>
      </c>
      <c r="D307" s="18">
        <v>60000</v>
      </c>
      <c r="E307" s="10">
        <f t="shared" si="11"/>
        <v>60000</v>
      </c>
      <c r="F307" s="13"/>
    </row>
    <row r="308" spans="1:6" ht="16" customHeight="1" x14ac:dyDescent="0.2">
      <c r="A308" s="12"/>
      <c r="B308" s="17" t="s">
        <v>94</v>
      </c>
      <c r="C308" s="9">
        <v>1</v>
      </c>
      <c r="D308" s="18">
        <v>330000</v>
      </c>
      <c r="E308" s="10">
        <f t="shared" si="11"/>
        <v>330000</v>
      </c>
      <c r="F308" s="13"/>
    </row>
    <row r="309" spans="1:6" ht="16" customHeight="1" x14ac:dyDescent="0.2">
      <c r="A309" s="15"/>
      <c r="B309" s="17" t="s">
        <v>84</v>
      </c>
      <c r="C309" s="9">
        <v>1</v>
      </c>
      <c r="D309" s="18">
        <v>115000</v>
      </c>
      <c r="E309" s="10">
        <f t="shared" si="11"/>
        <v>115000</v>
      </c>
      <c r="F309" s="16"/>
    </row>
    <row r="310" spans="1:6" ht="16" customHeight="1" x14ac:dyDescent="0.2">
      <c r="A310" s="24"/>
      <c r="B310" s="17"/>
      <c r="C310" s="9"/>
      <c r="D310" s="18"/>
      <c r="E310" s="10"/>
      <c r="F310" s="25"/>
    </row>
    <row r="311" spans="1:6" ht="16" customHeight="1" x14ac:dyDescent="0.2">
      <c r="A311" s="24"/>
      <c r="B311" s="17"/>
      <c r="C311" s="9"/>
      <c r="D311" s="18"/>
      <c r="E311" s="10"/>
      <c r="F311" s="25"/>
    </row>
    <row r="312" spans="1:6" ht="16" customHeight="1" x14ac:dyDescent="0.2">
      <c r="A312" s="24"/>
      <c r="B312" s="17"/>
      <c r="C312" s="9"/>
      <c r="D312" s="18"/>
      <c r="E312" s="10"/>
      <c r="F312" s="25"/>
    </row>
    <row r="313" spans="1:6" ht="16" customHeight="1" x14ac:dyDescent="0.2">
      <c r="A313" s="24"/>
      <c r="B313" s="17"/>
      <c r="C313" s="9"/>
      <c r="D313" s="18"/>
      <c r="E313" s="10"/>
      <c r="F313" s="25"/>
    </row>
    <row r="314" spans="1:6" ht="16" customHeight="1" x14ac:dyDescent="0.2">
      <c r="A314" s="26"/>
      <c r="B314" s="17"/>
      <c r="C314" s="9"/>
      <c r="D314" s="18"/>
      <c r="E314" s="10"/>
      <c r="F314" s="27"/>
    </row>
    <row r="315" spans="1:6" ht="16" customHeight="1" x14ac:dyDescent="0.2">
      <c r="A315" s="26"/>
      <c r="B315" s="23"/>
      <c r="C315" s="9"/>
      <c r="D315" s="18"/>
      <c r="E315" s="28">
        <f>SUM(F2:F314)</f>
        <v>36275000</v>
      </c>
      <c r="F315" s="29"/>
    </row>
    <row r="316" spans="1:6" ht="16" customHeight="1" x14ac:dyDescent="0.2">
      <c r="A316" s="26"/>
      <c r="B316" s="23"/>
      <c r="C316" s="9"/>
    </row>
    <row r="317" spans="1:6" x14ac:dyDescent="0.2">
      <c r="B317" s="31"/>
    </row>
    <row r="318" spans="1:6" x14ac:dyDescent="0.2">
      <c r="B318" s="31"/>
    </row>
    <row r="319" spans="1:6" x14ac:dyDescent="0.2">
      <c r="B319" s="31"/>
    </row>
    <row r="320" spans="1:6" x14ac:dyDescent="0.2">
      <c r="B320" s="31"/>
    </row>
    <row r="321" spans="2:2" x14ac:dyDescent="0.2">
      <c r="B321" s="31"/>
    </row>
  </sheetData>
  <mergeCells count="104">
    <mergeCell ref="L204:L205"/>
    <mergeCell ref="Q204:Q205"/>
    <mergeCell ref="P212:Q212"/>
    <mergeCell ref="H4:J4"/>
    <mergeCell ref="H5:J5"/>
    <mergeCell ref="L190:L191"/>
    <mergeCell ref="Q190:Q191"/>
    <mergeCell ref="L192:L199"/>
    <mergeCell ref="Q192:Q199"/>
    <mergeCell ref="L200:L203"/>
    <mergeCell ref="Q200:Q203"/>
    <mergeCell ref="Q154:Q172"/>
    <mergeCell ref="L174:L179"/>
    <mergeCell ref="Q174:Q179"/>
    <mergeCell ref="L180:L185"/>
    <mergeCell ref="Q180:Q185"/>
    <mergeCell ref="L186:L189"/>
    <mergeCell ref="Q186:Q189"/>
    <mergeCell ref="Q121:Q128"/>
    <mergeCell ref="L129:L133"/>
    <mergeCell ref="Q129:Q133"/>
    <mergeCell ref="L134:L147"/>
    <mergeCell ref="Q134:Q147"/>
    <mergeCell ref="L148:L153"/>
    <mergeCell ref="Q148:Q153"/>
    <mergeCell ref="Q79:Q87"/>
    <mergeCell ref="L88:L95"/>
    <mergeCell ref="Q88:Q95"/>
    <mergeCell ref="L96:L105"/>
    <mergeCell ref="Q96:Q105"/>
    <mergeCell ref="L106:L120"/>
    <mergeCell ref="Q106:Q120"/>
    <mergeCell ref="Q39:Q50"/>
    <mergeCell ref="L51:L55"/>
    <mergeCell ref="Q51:Q55"/>
    <mergeCell ref="L56:L67"/>
    <mergeCell ref="Q56:Q67"/>
    <mergeCell ref="L68:L78"/>
    <mergeCell ref="Q68:Q78"/>
    <mergeCell ref="Q2:Q6"/>
    <mergeCell ref="L7:L15"/>
    <mergeCell ref="Q7:Q15"/>
    <mergeCell ref="L16:L28"/>
    <mergeCell ref="Q16:Q28"/>
    <mergeCell ref="L29:L38"/>
    <mergeCell ref="Q29:Q38"/>
    <mergeCell ref="A280:A298"/>
    <mergeCell ref="F280:F298"/>
    <mergeCell ref="A299:A309"/>
    <mergeCell ref="F299:F309"/>
    <mergeCell ref="E315:F315"/>
    <mergeCell ref="L2:L6"/>
    <mergeCell ref="L39:L50"/>
    <mergeCell ref="L79:L87"/>
    <mergeCell ref="L121:L128"/>
    <mergeCell ref="L154:L172"/>
    <mergeCell ref="A227:A247"/>
    <mergeCell ref="F227:F247"/>
    <mergeCell ref="A248:A264"/>
    <mergeCell ref="F248:F264"/>
    <mergeCell ref="A265:A279"/>
    <mergeCell ref="F265:F279"/>
    <mergeCell ref="A178:A195"/>
    <mergeCell ref="F178:F195"/>
    <mergeCell ref="A196:A217"/>
    <mergeCell ref="F196:F217"/>
    <mergeCell ref="A218:A226"/>
    <mergeCell ref="F218:F226"/>
    <mergeCell ref="A152:A154"/>
    <mergeCell ref="F152:F154"/>
    <mergeCell ref="A155:A167"/>
    <mergeCell ref="F155:F167"/>
    <mergeCell ref="A168:A177"/>
    <mergeCell ref="F168:F177"/>
    <mergeCell ref="A126:A134"/>
    <mergeCell ref="F126:F134"/>
    <mergeCell ref="A135:A140"/>
    <mergeCell ref="F135:F140"/>
    <mergeCell ref="A141:A151"/>
    <mergeCell ref="F141:F151"/>
    <mergeCell ref="A100:A103"/>
    <mergeCell ref="F100:F103"/>
    <mergeCell ref="A104:A115"/>
    <mergeCell ref="F104:F115"/>
    <mergeCell ref="A116:A125"/>
    <mergeCell ref="F116:F125"/>
    <mergeCell ref="A70:A82"/>
    <mergeCell ref="F70:F82"/>
    <mergeCell ref="A83:A95"/>
    <mergeCell ref="F83:F95"/>
    <mergeCell ref="A96:A99"/>
    <mergeCell ref="F96:F99"/>
    <mergeCell ref="A33:A50"/>
    <mergeCell ref="F33:F50"/>
    <mergeCell ref="A51:A60"/>
    <mergeCell ref="F51:F60"/>
    <mergeCell ref="A61:A69"/>
    <mergeCell ref="F61:F69"/>
    <mergeCell ref="A2:A16"/>
    <mergeCell ref="F2:F16"/>
    <mergeCell ref="A17:A27"/>
    <mergeCell ref="F17:F27"/>
    <mergeCell ref="A28:A32"/>
    <mergeCell ref="F28:F3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 BUNGA (Groceries)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2026-03-31T15:50:49Z</dcterms:created>
  <dcterms:modified xsi:type="dcterms:W3CDTF">2026-03-31T15:54:37Z</dcterms:modified>
</cp:coreProperties>
</file>