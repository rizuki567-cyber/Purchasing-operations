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40" windowHeight="17020"/>
  </bookViews>
  <sheets>
    <sheet name="PT. SUPARMA JAYA TBK (Tissue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<sst xmlns="http://schemas.openxmlformats.org/spreadsheetml/2006/main" count="20" uniqueCount="14">
  <si>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DATE</t>
  </si>
  <si>
    <t>INV NO.</t>
  </si>
  <si>
    <t>DESCRIPTIONS</t>
  </si>
  <si>
    <t>AMOUNT</t>
  </si>
  <si>
    <t>BILLS</t>
  </si>
  <si>
    <t>PRICE</t>
  </si>
  <si>
    <t>TOTAL</t>
  </si>
  <si>
    <t>SO05LC2602000202/00</t>
  </si>
  <si>
    <t>SEE-U HTM DE / ECONO RED / 20 PK FSC MIX 85% / SUHT-046NN</t>
  </si>
  <si>
    <t>SALES PRICE</t>
  </si>
  <si>
    <t>PPN</t>
  </si>
  <si>
    <t>PPh 22</t>
  </si>
  <si>
    <t>SO05LC2602002826/00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</si>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</sst>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176" formatCode="_ * #,##0.00_ ;_ * \-#,##0.00_ ;_ * &quot;-&quot;??_ ;_ @_ "/>
    <numFmt numFmtId="177" formatCode="[$-409]d\-mmm\-yyyy;@"/>
    <numFmt numFmtId="178" formatCode="dd\-mmm"/>
    <numFmt numFmtId="179" formatCode="_-&quot;Rp&quot;* #,##0_-;\-&quot;Rp&quot;* #,##0_-;_-&quot;Rp&quot;* &quot;-&quot;??_-;_-@_-"/>
    <numFmt numFmtId="180" formatCode="[$Rp-421]#,##0.0000;[Red][$Rp-421]#,##0.0000"/>
    <numFmt numFmtId="181" formatCode="[$Rp-421]#,##0.00;[Red][$Rp-421]#,##0.00"/>
  </numFmts>
  <fonts count="23">
    <font>
      <sz val="11"/>
      <color theme="1"/>
      <name val="Calibri"/>
      <charset val="134"/>
      <scheme val="minor"/>
    </font>
    <font>
      <sz val="16"/>
      <color theme="1"/>
      <name val="Garamond"/>
      <charset val="134"/>
    </font>
    <font>
      <b/>
      <sz val="11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2" applyNumberFormat="0" applyAlignment="0" applyProtection="0">
      <alignment vertical="center"/>
    </xf>
    <xf numFmtId="0" fontId="13" fillId="7" borderId="13" applyNumberFormat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8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179" fontId="0" fillId="3" borderId="2" xfId="0" applyNumberFormat="1" applyFill="1" applyBorder="1" applyAlignment="1">
      <alignment horizontal="center" vertical="center" wrapText="1"/>
    </xf>
    <xf numFmtId="0" fontId="0" fillId="0" borderId="2" xfId="0" applyNumberFormat="1" applyFill="1" applyBorder="1" applyAlignment="1">
      <alignment horizontal="center" vertical="center"/>
    </xf>
    <xf numFmtId="179" fontId="0" fillId="3" borderId="3" xfId="0" applyNumberFormat="1" applyFill="1" applyBorder="1" applyAlignment="1">
      <alignment horizontal="center" vertical="center" wrapText="1"/>
    </xf>
    <xf numFmtId="0" fontId="0" fillId="0" borderId="3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79" fontId="0" fillId="0" borderId="1" xfId="0" applyNumberFormat="1" applyBorder="1" applyAlignment="1">
      <alignment horizontal="center"/>
    </xf>
    <xf numFmtId="178" fontId="0" fillId="3" borderId="4" xfId="0" applyNumberForma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180" fontId="0" fillId="0" borderId="2" xfId="0" applyNumberFormat="1" applyFill="1" applyBorder="1" applyAlignment="1">
      <alignment horizontal="center" vertical="center"/>
    </xf>
    <xf numFmtId="181" fontId="0" fillId="0" borderId="1" xfId="1" applyNumberFormat="1" applyFill="1" applyBorder="1" applyAlignment="1">
      <alignment vertical="center"/>
    </xf>
    <xf numFmtId="180" fontId="0" fillId="0" borderId="3" xfId="0" applyNumberFormat="1" applyFill="1" applyBorder="1" applyAlignment="1">
      <alignment horizontal="center" vertical="center"/>
    </xf>
    <xf numFmtId="180" fontId="0" fillId="0" borderId="1" xfId="0" applyNumberFormat="1" applyBorder="1" applyAlignment="1">
      <alignment horizontal="center"/>
    </xf>
    <xf numFmtId="181" fontId="0" fillId="0" borderId="1" xfId="0" applyNumberFormat="1" applyBorder="1" applyAlignment="1"/>
    <xf numFmtId="179" fontId="0" fillId="0" borderId="1" xfId="0" applyNumberFormat="1" applyBorder="1" applyAlignment="1"/>
    <xf numFmtId="180" fontId="0" fillId="0" borderId="1" xfId="0" applyNumberFormat="1" applyBorder="1" applyAlignment="1"/>
    <xf numFmtId="0" fontId="0" fillId="0" borderId="1" xfId="0" applyFill="1" applyBorder="1" applyAlignment="1">
      <alignment vertical="center"/>
    </xf>
    <xf numFmtId="180" fontId="0" fillId="0" borderId="1" xfId="0" applyNumberFormat="1" applyFill="1" applyBorder="1" applyAlignment="1">
      <alignment vertical="center"/>
    </xf>
    <xf numFmtId="179" fontId="0" fillId="0" borderId="3" xfId="0" applyNumberFormat="1" applyBorder="1" applyAlignment="1">
      <alignment horizontal="center"/>
    </xf>
    <xf numFmtId="180" fontId="0" fillId="0" borderId="8" xfId="0" applyNumberFormat="1" applyBorder="1" applyAlignment="1"/>
    <xf numFmtId="179" fontId="3" fillId="4" borderId="8" xfId="0" applyNumberFormat="1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4" xfId="0" applyFont="1" applyFill="1" applyBorder="1" applyAlignment="1"/>
    <xf numFmtId="18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59055</xdr:colOff>
      <xdr:row>1</xdr:row>
      <xdr:rowOff>22860</xdr:rowOff>
    </xdr:from>
    <xdr:to>
      <xdr:col>4</xdr:col>
      <xdr:colOff>2770505</xdr:colOff>
      <xdr:row>2</xdr:row>
      <xdr:rowOff>2414905</xdr:rowOff>
    </xdr:to>
    <xdr:pic>
      <xdr:nvPicPr>
        <xdr:cNvPr id="2" name="ID_8FF5512763384473938F6E49BD1D9406" descr="PHOTO-2026-02-05-12-06-17"/>
        <xdr:cNvPicPr>
          <a:picLocks noChangeAspect="1"/>
        </xdr:cNvPicPr>
      </xdr:nvPicPr>
      <xdr:blipFill>
        <a:blip r:embed="rId1"/>
        <a:srcRect l="2616" b="22866"/>
        <a:stretch>
          <a:fillRect/>
        </a:stretch>
      </xdr:blipFill>
      <xdr:spPr>
        <a:xfrm>
          <a:off x="6073140" y="226060"/>
          <a:ext cx="2711450" cy="3960495"/>
        </a:xfrm>
        <a:prstGeom prst="rect">
          <a:avLst/>
        </a:prstGeom>
      </xdr:spPr>
    </xdr:pic>
    <xdr:clientData/>
  </xdr:twoCellAnchor>
  <xdr:twoCellAnchor editAs="oneCell">
    <xdr:from>
      <xdr:col>4</xdr:col>
      <xdr:colOff>23495</xdr:colOff>
      <xdr:row>7</xdr:row>
      <xdr:rowOff>22860</xdr:rowOff>
    </xdr:from>
    <xdr:to>
      <xdr:col>4</xdr:col>
      <xdr:colOff>2805430</xdr:colOff>
      <xdr:row>7</xdr:row>
      <xdr:rowOff>4034155</xdr:rowOff>
    </xdr:to>
    <xdr:pic>
      <xdr:nvPicPr>
        <xdr:cNvPr id="3" name="ID_41D803318DAD49E7860597AB1912F478" descr="PHOTO-2026-02-21-10-02-52"/>
        <xdr:cNvPicPr>
          <a:picLocks noChangeAspect="1"/>
        </xdr:cNvPicPr>
      </xdr:nvPicPr>
      <xdr:blipFill>
        <a:blip r:embed="rId2"/>
        <a:srcRect b="22446"/>
        <a:stretch>
          <a:fillRect/>
        </a:stretch>
      </xdr:blipFill>
      <xdr:spPr>
        <a:xfrm>
          <a:off x="6037580" y="5073650"/>
          <a:ext cx="2781935" cy="40112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topLeftCell="C1" workbookViewId="0">
      <pane ySplit="1" topLeftCell="A3" activePane="bottomLeft" state="frozen"/>
      <selection/>
      <selection pane="bottomLeft" activeCell="G8" sqref="G8"/>
    </sheetView>
  </sheetViews>
  <sheetFormatPr defaultColWidth="9.140625" defaultRowHeight="16.8"/>
  <cols>
    <col min="1" max="1" width="11.7109375" customWidth="1"/>
    <col min="2" max="2" width="22.140625" style="1" customWidth="1"/>
    <col min="3" max="3" width="22.5703125" customWidth="1"/>
    <col min="4" max="4" width="17.5703125" customWidth="1"/>
    <col min="5" max="5" width="34.5703125" customWidth="1"/>
    <col min="6" max="6" width="19.4296875" customWidth="1"/>
    <col min="7" max="7" width="17.2890625" style="2" customWidth="1"/>
    <col min="9" max="9" width="13.0625"/>
  </cols>
  <sheetData>
    <row r="1" ht="16" customHeight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23" t="s">
        <v>6</v>
      </c>
    </row>
    <row r="2" ht="123.5" customHeight="1" spans="1:7">
      <c r="A2" s="5">
        <v>46055</v>
      </c>
      <c r="B2" s="6" t="s">
        <v>7</v>
      </c>
      <c r="C2" s="7" t="s">
        <v>8</v>
      </c>
      <c r="D2" s="8">
        <v>80</v>
      </c>
      <c r="E2" s="24"/>
      <c r="F2" s="25">
        <v>6063.9632</v>
      </c>
      <c r="G2" s="26">
        <f>SUM(D2*F2)</f>
        <v>485117.056</v>
      </c>
    </row>
    <row r="3" ht="191" customHeight="1" spans="1:7">
      <c r="A3" s="5"/>
      <c r="B3" s="6"/>
      <c r="C3" s="9"/>
      <c r="D3" s="10"/>
      <c r="E3" s="24"/>
      <c r="F3" s="27"/>
      <c r="G3" s="26"/>
    </row>
    <row r="4" spans="1:9">
      <c r="A4" s="5"/>
      <c r="B4" s="11" t="s">
        <v>9</v>
      </c>
      <c r="C4" s="11"/>
      <c r="D4" s="12"/>
      <c r="E4" s="12"/>
      <c r="F4" s="28"/>
      <c r="G4" s="29">
        <f>SUM(G2:G3)</f>
        <v>485117.056</v>
      </c>
      <c r="I4" s="39"/>
    </row>
    <row r="5" spans="1:9">
      <c r="A5" s="5"/>
      <c r="B5" s="11" t="s">
        <v>10</v>
      </c>
      <c r="C5" s="11"/>
      <c r="D5" s="12"/>
      <c r="E5" s="12"/>
      <c r="F5" s="28"/>
      <c r="G5" s="29">
        <f>G4*11%</f>
        <v>53362.87616</v>
      </c>
      <c r="I5" s="39"/>
    </row>
    <row r="6" spans="1:7">
      <c r="A6" s="5"/>
      <c r="B6" s="11" t="s">
        <v>11</v>
      </c>
      <c r="C6" s="11"/>
      <c r="D6" s="12"/>
      <c r="E6" s="12"/>
      <c r="F6" s="28"/>
      <c r="G6" s="29">
        <f>((G4*100)/111)*0.111%</f>
        <v>485.117056</v>
      </c>
    </row>
    <row r="7" spans="1:7">
      <c r="A7" s="5"/>
      <c r="B7" s="11" t="s">
        <v>6</v>
      </c>
      <c r="C7" s="11"/>
      <c r="D7" s="12"/>
      <c r="E7" s="30"/>
      <c r="F7" s="31"/>
      <c r="G7" s="29">
        <f>SUM(G4:G6)</f>
        <v>538965.049216</v>
      </c>
    </row>
    <row r="8" ht="318.45" customHeight="1" spans="1:7">
      <c r="A8" s="5">
        <v>46072</v>
      </c>
      <c r="B8" s="13" t="s">
        <v>12</v>
      </c>
      <c r="C8" s="14" t="s">
        <v>8</v>
      </c>
      <c r="D8" s="15">
        <v>120</v>
      </c>
      <c r="E8" s="32"/>
      <c r="F8" s="33">
        <v>6063.9632</v>
      </c>
      <c r="G8" s="26">
        <f>F8*D8</f>
        <v>727675.584</v>
      </c>
    </row>
    <row r="9" spans="1:7">
      <c r="A9" s="5"/>
      <c r="B9" s="16" t="s">
        <v>9</v>
      </c>
      <c r="C9" s="11"/>
      <c r="D9" s="12"/>
      <c r="E9" s="34"/>
      <c r="F9" s="28"/>
      <c r="G9" s="29">
        <f>SUM(G8:G8)</f>
        <v>727675.584</v>
      </c>
    </row>
    <row r="10" spans="1:7">
      <c r="A10" s="5"/>
      <c r="B10" s="17" t="s">
        <v>10</v>
      </c>
      <c r="C10" s="16"/>
      <c r="D10" s="12"/>
      <c r="E10" s="34"/>
      <c r="F10" s="28"/>
      <c r="G10" s="29">
        <f>G9*11%</f>
        <v>80044.31424</v>
      </c>
    </row>
    <row r="11" spans="1:7">
      <c r="A11" s="5"/>
      <c r="B11" s="16" t="s">
        <v>11</v>
      </c>
      <c r="C11" s="11"/>
      <c r="D11" s="12"/>
      <c r="E11" s="34"/>
      <c r="F11" s="28"/>
      <c r="G11" s="29">
        <f>((G9*100)/111)*0.111%</f>
        <v>727.675584</v>
      </c>
    </row>
    <row r="12" spans="1:7">
      <c r="A12" s="5"/>
      <c r="B12" s="18" t="s">
        <v>6</v>
      </c>
      <c r="C12" s="19"/>
      <c r="D12" s="12"/>
      <c r="E12" s="30"/>
      <c r="F12" s="35"/>
      <c r="G12" s="29">
        <f>SUM(G9:G11)</f>
        <v>808447.573824</v>
      </c>
    </row>
    <row r="13" spans="1:7">
      <c r="A13" s="20" t="s">
        <v>13</v>
      </c>
      <c r="B13" s="21"/>
      <c r="C13" s="21"/>
      <c r="D13" s="22"/>
      <c r="E13" s="36">
        <v>1347412</v>
      </c>
      <c r="F13" s="37"/>
      <c r="G13" s="38"/>
    </row>
  </sheetData>
  <mergeCells count="18">
    <mergeCell ref="B4:C4"/>
    <mergeCell ref="B5:C5"/>
    <mergeCell ref="B6:C6"/>
    <mergeCell ref="B7:C7"/>
    <mergeCell ref="B9:C9"/>
    <mergeCell ref="B10:C10"/>
    <mergeCell ref="B11:C11"/>
    <mergeCell ref="B12:C12"/>
    <mergeCell ref="A13:D13"/>
    <mergeCell ref="E13:G13"/>
    <mergeCell ref="A2:A7"/>
    <mergeCell ref="A8:A12"/>
    <mergeCell ref="B2:B3"/>
    <mergeCell ref="C2:C3"/>
    <mergeCell ref="D2:D3"/>
    <mergeCell ref="E2:E3"/>
    <mergeCell ref="F2:F3"/>
    <mergeCell ref="G2:G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PT. SUPARMA JAYA TBK (Tissue)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2026-03-01T03:47:08Z</dcterms:created>
  <dcterms:modified xsi:type="dcterms:W3CDTF">2026-03-01T03:47:30Z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6C4B8CDA0F3B7F3C3C46A369C4CB4C22_41</vt:lpwstr>
  </property>
  <property fmtid="{D5CDD505-2E9C-101B-9397-08002B2CF9AE}" pid="3" name="KSOProductBuildVer">
    <vt:lpwstr>1033-12.1.23155.23155</vt:lpwstr>
  </property>
</Properties>
</file>