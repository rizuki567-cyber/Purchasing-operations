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7120" windowHeight="19840"/>
  </bookViews>
  <sheets>
    <sheet name="SURYA CIPTA NIAGA BALI (Beef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<sst xmlns="http://schemas.openxmlformats.org/spreadsheetml/2006/main" count="14" uniqueCount="13">
  <si>
    <t>DATE</t>
  </si>
  <si>
    <t>INV NO.</t>
  </si>
  <si>
    <t>DESCRIPTIONS</t>
  </si>
  <si>
    <t>QTY</t>
  </si>
  <si>
    <t>BILLS</t>
  </si>
  <si>
    <t>PRICE</t>
  </si>
  <si>
    <t>SUBTOTAL</t>
  </si>
  <si>
    <t>TOTAL</t>
  </si>
  <si>
    <t>DUE DATE</t>
  </si>
  <si>
    <t>2602/FK-0599</t>
  </si>
  <si>
    <t>COW MEAT</t>
  </si>
  <si>
    <t>STRIPLOIN ICHI BROWN</t>
  </si>
  <si>
    <t>TOP SIDE BLACK ANGUS GF ONYX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</si>
</sst>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[$-409]d\-mmm\-yyyy;@"/>
    <numFmt numFmtId="177" formatCode="_-&quot;Rp&quot;* #,##0_-;\-&quot;Rp&quot;* #,##0_-;_-&quot;Rp&quot;* &quot;-&quot;??_-;_-@_-"/>
    <numFmt numFmtId="178" formatCode="[$-809]dd\ mmmm\ yyyy;@"/>
  </numFmts>
  <fonts count="23">
    <font>
      <sz val="11"/>
      <color theme="1"/>
      <name val="Calibri"/>
      <charset val="134"/>
      <scheme val="minor"/>
    </font>
    <font>
      <sz val="18"/>
      <color theme="1"/>
      <name val="Garamond"/>
      <charset val="134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8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9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11" applyNumberFormat="0" applyAlignment="0" applyProtection="0">
      <alignment vertical="center"/>
    </xf>
    <xf numFmtId="0" fontId="13" fillId="7" borderId="12" applyNumberFormat="0" applyAlignment="0" applyProtection="0">
      <alignment vertical="center"/>
    </xf>
    <xf numFmtId="0" fontId="14" fillId="7" borderId="11" applyNumberFormat="0" applyAlignment="0" applyProtection="0">
      <alignment vertical="center"/>
    </xf>
    <xf numFmtId="0" fontId="15" fillId="8" borderId="13" applyNumberFormat="0" applyAlignment="0" applyProtection="0">
      <alignment vertical="center"/>
    </xf>
    <xf numFmtId="0" fontId="16" fillId="0" borderId="14" applyNumberFormat="0" applyFill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3" borderId="2" xfId="0" applyNumberFormat="1" applyFill="1" applyBorder="1" applyAlignment="1">
      <alignment horizontal="center" vertical="center"/>
    </xf>
    <xf numFmtId="0" fontId="0" fillId="3" borderId="2" xfId="0" applyNumberFormat="1" applyFill="1" applyBorder="1" applyAlignment="1">
      <alignment horizontal="center" vertical="center"/>
    </xf>
    <xf numFmtId="177" fontId="0" fillId="3" borderId="1" xfId="0" applyNumberFormat="1" applyFill="1" applyBorder="1" applyAlignment="1">
      <alignment vertical="center" wrapText="1"/>
    </xf>
    <xf numFmtId="0" fontId="0" fillId="3" borderId="1" xfId="0" applyNumberFormat="1" applyFill="1" applyBorder="1" applyAlignment="1">
      <alignment horizontal="center" vertical="center" wrapText="1"/>
    </xf>
    <xf numFmtId="176" fontId="0" fillId="3" borderId="3" xfId="0" applyNumberFormat="1" applyFill="1" applyBorder="1" applyAlignment="1">
      <alignment horizontal="center" vertical="center"/>
    </xf>
    <xf numFmtId="0" fontId="0" fillId="3" borderId="3" xfId="0" applyNumberFormat="1" applyFill="1" applyBorder="1" applyAlignment="1">
      <alignment horizontal="center" vertical="center"/>
    </xf>
    <xf numFmtId="176" fontId="0" fillId="3" borderId="4" xfId="0" applyNumberFormat="1" applyFill="1" applyBorder="1" applyAlignment="1">
      <alignment horizontal="center" vertical="center"/>
    </xf>
    <xf numFmtId="0" fontId="0" fillId="3" borderId="4" xfId="0" applyNumberFormat="1" applyFill="1" applyBorder="1" applyAlignment="1">
      <alignment horizontal="center" vertical="center"/>
    </xf>
    <xf numFmtId="176" fontId="0" fillId="3" borderId="1" xfId="0" applyNumberFormat="1" applyFont="1" applyFill="1" applyBorder="1" applyAlignment="1">
      <alignment vertical="center"/>
    </xf>
    <xf numFmtId="0" fontId="0" fillId="3" borderId="1" xfId="0" applyNumberFormat="1" applyFont="1" applyFill="1" applyBorder="1" applyAlignment="1">
      <alignment vertical="center"/>
    </xf>
    <xf numFmtId="0" fontId="0" fillId="3" borderId="1" xfId="0" applyNumberFormat="1" applyFont="1" applyFill="1" applyBorder="1" applyAlignment="1">
      <alignment horizontal="center" vertical="center"/>
    </xf>
    <xf numFmtId="176" fontId="2" fillId="4" borderId="5" xfId="0" applyNumberFormat="1" applyFont="1" applyFill="1" applyBorder="1" applyAlignment="1">
      <alignment horizontal="center" vertical="center"/>
    </xf>
    <xf numFmtId="176" fontId="2" fillId="4" borderId="6" xfId="0" applyNumberFormat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177" fontId="0" fillId="3" borderId="1" xfId="0" applyNumberFormat="1" applyFill="1" applyBorder="1" applyAlignment="1">
      <alignment vertical="center"/>
    </xf>
    <xf numFmtId="177" fontId="0" fillId="3" borderId="2" xfId="0" applyNumberForma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 wrapText="1"/>
    </xf>
    <xf numFmtId="177" fontId="0" fillId="3" borderId="3" xfId="0" applyNumberForma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177" fontId="0" fillId="3" borderId="4" xfId="0" applyNumberFormat="1" applyFill="1" applyBorder="1" applyAlignment="1">
      <alignment horizontal="center" vertical="center"/>
    </xf>
    <xf numFmtId="177" fontId="0" fillId="3" borderId="1" xfId="0" applyNumberFormat="1" applyFont="1" applyFill="1" applyBorder="1" applyAlignment="1">
      <alignment vertical="center"/>
    </xf>
    <xf numFmtId="177" fontId="3" fillId="4" borderId="5" xfId="0" applyNumberFormat="1" applyFont="1" applyFill="1" applyBorder="1" applyAlignment="1">
      <alignment horizontal="center" vertical="center"/>
    </xf>
    <xf numFmtId="177" fontId="3" fillId="4" borderId="6" xfId="0" applyNumberFormat="1" applyFont="1" applyFill="1" applyBorder="1" applyAlignment="1">
      <alignment horizontal="center" vertical="center"/>
    </xf>
    <xf numFmtId="178" fontId="0" fillId="0" borderId="2" xfId="0" applyNumberFormat="1" applyFill="1" applyBorder="1" applyAlignment="1">
      <alignment horizontal="center" vertical="center"/>
    </xf>
    <xf numFmtId="178" fontId="0" fillId="0" borderId="3" xfId="0" applyNumberFormat="1" applyFill="1" applyBorder="1" applyAlignment="1">
      <alignment horizontal="center" vertical="center"/>
    </xf>
    <xf numFmtId="178" fontId="0" fillId="0" borderId="4" xfId="0" applyNumberFormat="1" applyFill="1" applyBorder="1" applyAlignment="1">
      <alignment horizontal="center" vertical="center"/>
    </xf>
    <xf numFmtId="178" fontId="0" fillId="0" borderId="1" xfId="0" applyNumberFormat="1" applyFill="1" applyBorder="1" applyAlignment="1">
      <alignment vertical="center"/>
    </xf>
    <xf numFmtId="177" fontId="3" fillId="4" borderId="7" xfId="0" applyNumberFormat="1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24447</xdr:colOff>
      <xdr:row>2</xdr:row>
      <xdr:rowOff>26352</xdr:rowOff>
    </xdr:from>
    <xdr:to>
      <xdr:col>4</xdr:col>
      <xdr:colOff>2961957</xdr:colOff>
      <xdr:row>4</xdr:row>
      <xdr:rowOff>682307</xdr:rowOff>
    </xdr:to>
    <xdr:pic>
      <xdr:nvPicPr>
        <xdr:cNvPr id="2" name="ID_F27715BF6DBA4DF5B3C9B3FB31698DF8" descr="PHOTO-2026-02-06-18-12-28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7537450" y="0"/>
          <a:ext cx="2052955" cy="293751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tabSelected="1" zoomScale="85" zoomScaleNormal="85" workbookViewId="0">
      <pane ySplit="1" topLeftCell="A2" activePane="bottomLeft" state="frozen"/>
      <selection/>
      <selection pane="bottomLeft" activeCell="I2" sqref="I2"/>
    </sheetView>
  </sheetViews>
  <sheetFormatPr defaultColWidth="9.140625" defaultRowHeight="16.8"/>
  <cols>
    <col min="1" max="1" width="19" style="1" customWidth="1"/>
    <col min="2" max="2" width="13.7109375" style="2" customWidth="1"/>
    <col min="3" max="3" width="28.859375" customWidth="1"/>
    <col min="4" max="4" width="25.4296875" style="3" customWidth="1"/>
    <col min="5" max="5" width="36.5546875" customWidth="1"/>
    <col min="6" max="7" width="18.7109375" customWidth="1"/>
    <col min="8" max="8" width="22.859375" customWidth="1"/>
    <col min="9" max="9" width="15.4296875" customWidth="1"/>
  </cols>
  <sheetData>
    <row r="1" ht="16" customHeight="1" spans="1:9">
      <c r="A1" s="4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</row>
    <row r="2" customFormat="1" spans="1:9">
      <c r="A2" s="7"/>
      <c r="B2" s="7"/>
      <c r="C2" s="7"/>
      <c r="D2" s="8"/>
      <c r="E2" s="7"/>
      <c r="F2" s="7"/>
      <c r="G2" s="7"/>
      <c r="H2" s="7"/>
      <c r="I2" s="7"/>
    </row>
    <row r="3" ht="55" customHeight="1" spans="1:9">
      <c r="A3" s="9">
        <v>46059</v>
      </c>
      <c r="B3" s="10" t="s">
        <v>9</v>
      </c>
      <c r="C3" s="11" t="s">
        <v>10</v>
      </c>
      <c r="D3" s="12">
        <v>5.02</v>
      </c>
      <c r="E3" s="22"/>
      <c r="F3" s="23">
        <v>150000</v>
      </c>
      <c r="G3" s="23">
        <f>F3*D3</f>
        <v>753000</v>
      </c>
      <c r="H3" s="24">
        <f>SUM(G3:G5)</f>
        <v>8553600</v>
      </c>
      <c r="I3" s="32">
        <v>46066</v>
      </c>
    </row>
    <row r="4" ht="55" customHeight="1" spans="1:9">
      <c r="A4" s="13"/>
      <c r="B4" s="14"/>
      <c r="C4" s="11" t="s">
        <v>11</v>
      </c>
      <c r="D4" s="12">
        <v>7.42</v>
      </c>
      <c r="E4" s="25"/>
      <c r="F4" s="23">
        <v>180000</v>
      </c>
      <c r="G4" s="23">
        <f>F4*D4</f>
        <v>1335600</v>
      </c>
      <c r="H4" s="26"/>
      <c r="I4" s="33"/>
    </row>
    <row r="5" ht="55" customHeight="1" spans="1:9">
      <c r="A5" s="15"/>
      <c r="B5" s="16"/>
      <c r="C5" s="11" t="s">
        <v>12</v>
      </c>
      <c r="D5" s="12">
        <v>25.86</v>
      </c>
      <c r="E5" s="27"/>
      <c r="F5" s="23">
        <v>250000</v>
      </c>
      <c r="G5" s="23">
        <f>F5*D5</f>
        <v>6465000</v>
      </c>
      <c r="H5" s="28"/>
      <c r="I5" s="34"/>
    </row>
    <row r="6" ht="70" customHeight="1" spans="1:9">
      <c r="A6" s="17"/>
      <c r="B6" s="18"/>
      <c r="C6" s="18"/>
      <c r="D6" s="19"/>
      <c r="E6" s="18"/>
      <c r="F6" s="29"/>
      <c r="G6" s="23"/>
      <c r="H6" s="29">
        <f>SUM(G6:G7)</f>
        <v>0</v>
      </c>
      <c r="I6" s="35"/>
    </row>
    <row r="7" ht="70" customHeight="1" spans="1:9">
      <c r="A7" s="17"/>
      <c r="B7" s="18"/>
      <c r="C7" s="18"/>
      <c r="D7" s="19"/>
      <c r="E7" s="18"/>
      <c r="F7" s="29"/>
      <c r="G7" s="23"/>
      <c r="H7" s="29"/>
      <c r="I7" s="35"/>
    </row>
    <row r="8" spans="1:9">
      <c r="A8" s="17"/>
      <c r="B8" s="18"/>
      <c r="C8" s="18"/>
      <c r="D8" s="19"/>
      <c r="E8" s="29"/>
      <c r="F8" s="29"/>
      <c r="G8" s="23"/>
      <c r="H8" s="29"/>
      <c r="I8" s="35"/>
    </row>
    <row r="9" spans="1:9">
      <c r="A9" s="17"/>
      <c r="B9" s="18"/>
      <c r="C9" s="18"/>
      <c r="D9" s="19"/>
      <c r="E9" s="29"/>
      <c r="F9" s="29"/>
      <c r="G9" s="23">
        <f>D9*F9</f>
        <v>0</v>
      </c>
      <c r="H9" s="29">
        <f>SUM(D9*F9)</f>
        <v>0</v>
      </c>
      <c r="I9" s="35"/>
    </row>
    <row r="10" ht="26" spans="1:9">
      <c r="A10" s="20" t="s">
        <v>7</v>
      </c>
      <c r="B10" s="21"/>
      <c r="C10" s="21"/>
      <c r="D10" s="21"/>
      <c r="E10" s="21"/>
      <c r="F10" s="21"/>
      <c r="G10" s="30">
        <f>SUM(H:H)-SUMIF(I:I,"PAID*",H:H)</f>
        <v>8553600</v>
      </c>
      <c r="H10" s="31"/>
      <c r="I10" s="36"/>
    </row>
  </sheetData>
  <mergeCells count="7">
    <mergeCell ref="A10:F10"/>
    <mergeCell ref="G10:I10"/>
    <mergeCell ref="A3:A5"/>
    <mergeCell ref="B3:B5"/>
    <mergeCell ref="E3:E5"/>
    <mergeCell ref="H3:H5"/>
    <mergeCell ref="I3:I5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SURYA CIPTA NIAGA BALI (Beef)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andreal</dc:creator>
  <cp:lastModifiedBy>andika putra</cp:lastModifiedBy>
  <dcterms:created xsi:type="dcterms:W3CDTF">2026-02-06T19:34:18Z</dcterms:created>
  <dcterms:modified xsi:type="dcterms:W3CDTF">2026-02-06T19:35:54Z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0C4F4D5434EA0CCDBAD18569F0304059_41</vt:lpwstr>
  </property>
  <property fmtid="{D5CDD505-2E9C-101B-9397-08002B2CF9AE}" pid="3" name="KSOProductBuildVer">
    <vt:lpwstr>1033-12.1.23155.23155</vt:lpwstr>
  </property>
</Properties>
</file>