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4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<sst xmlns="http://schemas.openxmlformats.org/spreadsheetml/2006/main" count="214" uniqueCount="58">
  <si>
    <t>DATE</t>
  </si>
  <si>
    <t>ITEM</t>
  </si>
  <si>
    <t>QYT</t>
  </si>
  <si>
    <t>PRICE</t>
  </si>
  <si>
    <t>SUB TOTAL</t>
  </si>
  <si>
    <t>TOTAL</t>
  </si>
  <si>
    <t>INV NO</t>
  </si>
  <si>
    <t>SUBTOTAL</t>
  </si>
  <si>
    <t>TOTALPRICE</t>
  </si>
  <si>
    <t>CRYSTAL ICE 5KG</t>
  </si>
  <si>
    <t>AQUA GALLON 19LTR</t>
  </si>
  <si>
    <t>CLEO GALLON 19LTR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</si>
  <si>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</si>
  <si>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</si>
  <si>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</si>
  <si>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</si>
  <si>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</si>
  <si>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</si>
  <si>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</si>
  <si>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LUMAJANG ORANGE</t>
  </si>
  <si>
    <t>IMPORTED LEMON</t>
  </si>
  <si>
    <t>MUSTARD</t>
  </si>
  <si>
    <t>MALANG APPLE</t>
  </si>
  <si>
    <t>CUCUMBER</t>
  </si>
  <si>
    <t>CARROT</t>
  </si>
  <si>
    <t>WATERMELON</t>
  </si>
  <si>
    <t>FRESH MILK</t>
  </si>
  <si>
    <t>LYCHEE CAN</t>
  </si>
  <si>
    <t>QTY</t>
  </si>
  <si>
    <t>UNIT PRICE</t>
  </si>
  <si>
    <t>S</t>
  </si>
  <si>
    <t>JOSE CUERVO GOLD</t>
  </si>
  <si>
    <t>DISCOUNT</t>
  </si>
  <si>
    <t>BILL</t>
  </si>
  <si>
    <t>PPN (11%)</t>
  </si>
  <si>
    <t>PPN</t>
  </si>
  <si>
    <t>STATUS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</si>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</sst>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  <numFmt numFmtId="183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sz val="2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29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4" xfId="0" applyNumberFormat="1" applyFill="1" applyBorder="1" applyAlignment="1">
      <alignment horizontal="center" vertical="center"/>
    </xf>
    <xf numFmtId="178" fontId="0" fillId="4" borderId="5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4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5" fillId="7" borderId="5" xfId="0" applyNumberFormat="1" applyFont="1" applyFill="1" applyBorder="1" applyAlignment="1">
      <alignment horizontal="center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5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4" xfId="0" applyNumberFormat="1" applyFont="1" applyFill="1" applyBorder="1" applyAlignment="1">
      <alignment horizontal="center" vertical="center"/>
    </xf>
    <xf numFmtId="181" fontId="20" fillId="4" borderId="5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183" fontId="24" fillId="9" borderId="0" xfId="0" applyNumberFormat="1" applyFont="1" applyFill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9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78" fontId="3" fillId="4" borderId="2" xfId="0" applyNumberFormat="1" applyFont="1" applyFill="1" applyBorder="1" applyAlignment="1">
      <alignment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vertical="center"/>
    </xf>
    <xf numFmtId="178" fontId="3" fillId="0" borderId="2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4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79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178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178" fontId="27" fillId="4" borderId="2" xfId="0" applyNumberFormat="1" applyFont="1" applyFill="1" applyBorder="1" applyAlignment="1">
      <alignment horizontal="left" vertical="center"/>
    </xf>
    <xf numFmtId="0" fontId="0" fillId="4" borderId="10" xfId="0" applyFill="1" applyBorder="1" applyAlignment="1">
      <alignment horizontal="center" vertical="center"/>
    </xf>
    <xf numFmtId="178" fontId="27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0" fillId="0" borderId="0" xfId="0" applyNumberFormat="1" applyFont="1" applyFill="1" applyBorder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79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0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0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0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4521835" y="-241935"/>
          <a:ext cx="1321435" cy="25584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256" activePane="bottomLeft" state="frozen"/>
      <selection/>
      <selection pane="bottomLeft" activeCell="C271" sqref="C271"/>
    </sheetView>
  </sheetViews>
  <sheetFormatPr defaultColWidth="9.14285714285714" defaultRowHeight="15" outlineLevelCol="7"/>
  <cols>
    <col min="1" max="1" width="17.5714285714286" style="242" customWidth="1"/>
    <col min="2" max="2" width="30.5714285714286" style="240" customWidth="1"/>
    <col min="3" max="3" width="9.14285714285714" style="241"/>
    <col min="4" max="4" width="15.8571428571429" style="240" customWidth="1"/>
    <col min="5" max="5" width="13.7142857142857" style="240" customWidth="1"/>
    <col min="6" max="6" width="25.8666666666667" style="240" customWidth="1"/>
    <col min="7" max="8" width="13.1428571428571" style="240"/>
    <col min="9" max="16384" width="9.14285714285714" style="240"/>
  </cols>
  <sheetData>
    <row r="1" s="240" customFormat="1" ht="20" customHeight="1" spans="1:6">
      <c r="A1" s="247" t="s">
        <v>0</v>
      </c>
      <c r="B1" s="248" t="s">
        <v>1</v>
      </c>
      <c r="C1" s="249" t="s">
        <v>2</v>
      </c>
      <c r="D1" s="248" t="s">
        <v>3</v>
      </c>
      <c r="E1" s="248" t="s">
        <v>4</v>
      </c>
      <c r="F1" s="276" t="s">
        <v>5</v>
      </c>
    </row>
    <row r="2" s="240" customFormat="1" ht="14" customHeight="1" spans="1:6">
      <c r="A2" s="277"/>
      <c r="B2" s="278"/>
      <c r="C2" s="279"/>
      <c r="D2" s="7"/>
      <c r="E2" s="7">
        <f t="shared" ref="E2:E7" si="0">SUM(C2*D2)</f>
        <v>0</v>
      </c>
      <c r="F2" s="280">
        <f>SUM(E2:E13)</f>
        <v>0</v>
      </c>
    </row>
    <row r="3" s="240" customFormat="1" ht="14" customHeight="1" spans="1:6">
      <c r="A3" s="281"/>
      <c r="B3" s="278"/>
      <c r="C3" s="279"/>
      <c r="D3" s="7"/>
      <c r="E3" s="7">
        <f t="shared" si="0"/>
        <v>0</v>
      </c>
      <c r="F3" s="282"/>
    </row>
    <row r="4" s="240" customFormat="1" ht="14" customHeight="1" spans="1:6">
      <c r="A4" s="281"/>
      <c r="B4" s="278"/>
      <c r="C4" s="279"/>
      <c r="D4" s="7"/>
      <c r="E4" s="7">
        <f t="shared" si="0"/>
        <v>0</v>
      </c>
      <c r="F4" s="282"/>
    </row>
    <row r="5" s="240" customFormat="1" ht="14" customHeight="1" spans="1:6">
      <c r="A5" s="281"/>
      <c r="B5" s="278"/>
      <c r="C5" s="279"/>
      <c r="D5" s="7"/>
      <c r="E5" s="7">
        <f t="shared" ref="E5:E68" si="1">SUM(C5*D5)</f>
        <v>0</v>
      </c>
      <c r="F5" s="282"/>
    </row>
    <row r="6" s="240" customFormat="1" ht="14" customHeight="1" spans="1:6">
      <c r="A6" s="281"/>
      <c r="B6" s="278"/>
      <c r="C6" s="279"/>
      <c r="D6" s="7"/>
      <c r="E6" s="7">
        <f t="shared" si="1"/>
        <v>0</v>
      </c>
      <c r="F6" s="282"/>
    </row>
    <row r="7" s="240" customFormat="1" ht="14" customHeight="1" spans="1:6">
      <c r="A7" s="281"/>
      <c r="B7" s="278"/>
      <c r="C7" s="279"/>
      <c r="D7" s="7"/>
      <c r="E7" s="7">
        <f t="shared" si="1"/>
        <v>0</v>
      </c>
      <c r="F7" s="282"/>
    </row>
    <row r="8" s="240" customFormat="1" ht="14" customHeight="1" spans="1:6">
      <c r="A8" s="281"/>
      <c r="B8" s="278"/>
      <c r="C8" s="279"/>
      <c r="D8" s="7"/>
      <c r="E8" s="7">
        <f t="shared" si="1"/>
        <v>0</v>
      </c>
      <c r="F8" s="282"/>
    </row>
    <row r="9" s="240" customFormat="1" ht="14" customHeight="1" spans="1:6">
      <c r="A9" s="281"/>
      <c r="B9" s="278"/>
      <c r="C9" s="279"/>
      <c r="D9" s="7"/>
      <c r="E9" s="7">
        <f t="shared" si="1"/>
        <v>0</v>
      </c>
      <c r="F9" s="282"/>
    </row>
    <row r="10" s="240" customFormat="1" ht="14" customHeight="1" spans="1:6">
      <c r="A10" s="281"/>
      <c r="B10" s="278"/>
      <c r="C10" s="279"/>
      <c r="D10" s="7"/>
      <c r="E10" s="7">
        <f t="shared" si="1"/>
        <v>0</v>
      </c>
      <c r="F10" s="282"/>
    </row>
    <row r="11" s="240" customFormat="1" ht="14" customHeight="1" spans="1:6">
      <c r="A11" s="281"/>
      <c r="B11" s="278"/>
      <c r="C11" s="279"/>
      <c r="D11" s="7"/>
      <c r="E11" s="7">
        <f t="shared" si="1"/>
        <v>0</v>
      </c>
      <c r="F11" s="282"/>
    </row>
    <row r="12" s="240" customFormat="1" ht="14" customHeight="1" spans="1:6">
      <c r="A12" s="283"/>
      <c r="B12" s="278"/>
      <c r="C12" s="279"/>
      <c r="D12" s="7"/>
      <c r="E12" s="7">
        <f t="shared" si="1"/>
        <v>0</v>
      </c>
      <c r="F12" s="264"/>
    </row>
    <row r="13" s="240" customFormat="1" ht="14" customHeight="1" spans="1:6">
      <c r="A13" s="277"/>
      <c r="B13" s="278"/>
      <c r="C13" s="279"/>
      <c r="D13" s="7"/>
      <c r="E13" s="7">
        <f t="shared" si="1"/>
        <v>0</v>
      </c>
      <c r="F13" s="280">
        <f>SUM(E13:E19)</f>
        <v>0</v>
      </c>
    </row>
    <row r="14" s="240" customFormat="1" ht="14" customHeight="1" spans="1:6">
      <c r="A14" s="281"/>
      <c r="B14" s="278"/>
      <c r="C14" s="279"/>
      <c r="D14" s="7"/>
      <c r="E14" s="7">
        <f t="shared" si="1"/>
        <v>0</v>
      </c>
      <c r="F14" s="282"/>
    </row>
    <row r="15" s="240" customFormat="1" ht="14" customHeight="1" spans="1:6">
      <c r="A15" s="281"/>
      <c r="B15" s="278"/>
      <c r="C15" s="279"/>
      <c r="D15" s="7"/>
      <c r="E15" s="7">
        <f t="shared" si="1"/>
        <v>0</v>
      </c>
      <c r="F15" s="282"/>
    </row>
    <row r="16" s="240" customFormat="1" ht="14" customHeight="1" spans="1:6">
      <c r="A16" s="281"/>
      <c r="B16" s="278"/>
      <c r="C16" s="279"/>
      <c r="D16" s="7"/>
      <c r="E16" s="7">
        <f t="shared" si="1"/>
        <v>0</v>
      </c>
      <c r="F16" s="282"/>
    </row>
    <row r="17" s="240" customFormat="1" ht="14" customHeight="1" spans="1:6">
      <c r="A17" s="281"/>
      <c r="B17" s="278"/>
      <c r="C17" s="279"/>
      <c r="D17" s="7"/>
      <c r="E17" s="7">
        <f t="shared" si="1"/>
        <v>0</v>
      </c>
      <c r="F17" s="282"/>
    </row>
    <row r="18" s="240" customFormat="1" ht="14" customHeight="1" spans="1:6">
      <c r="A18" s="281"/>
      <c r="B18" s="278"/>
      <c r="C18" s="279"/>
      <c r="D18" s="7"/>
      <c r="E18" s="7">
        <f t="shared" si="1"/>
        <v>0</v>
      </c>
      <c r="F18" s="282"/>
    </row>
    <row r="19" s="240" customFormat="1" ht="14" customHeight="1" spans="1:6">
      <c r="A19" s="281"/>
      <c r="B19" s="284"/>
      <c r="C19" s="285"/>
      <c r="D19" s="280"/>
      <c r="E19" s="7">
        <f t="shared" si="1"/>
        <v>0</v>
      </c>
      <c r="F19" s="282"/>
    </row>
    <row r="20" s="240" customFormat="1" ht="14" customHeight="1" spans="1:6">
      <c r="A20" s="277"/>
      <c r="B20" s="286"/>
      <c r="C20" s="279"/>
      <c r="D20" s="252"/>
      <c r="E20" s="7">
        <f t="shared" si="1"/>
        <v>0</v>
      </c>
      <c r="F20" s="280">
        <f>SUM(E20:E35)</f>
        <v>0</v>
      </c>
    </row>
    <row r="21" s="240" customFormat="1" ht="14" customHeight="1" spans="1:6">
      <c r="A21" s="281"/>
      <c r="B21" s="286"/>
      <c r="C21" s="279"/>
      <c r="D21" s="252"/>
      <c r="E21" s="7">
        <f t="shared" si="1"/>
        <v>0</v>
      </c>
      <c r="F21" s="282"/>
    </row>
    <row r="22" s="240" customFormat="1" ht="14" customHeight="1" spans="1:6">
      <c r="A22" s="281"/>
      <c r="B22" s="286"/>
      <c r="C22" s="279"/>
      <c r="D22" s="252"/>
      <c r="E22" s="7">
        <f t="shared" si="1"/>
        <v>0</v>
      </c>
      <c r="F22" s="282"/>
    </row>
    <row r="23" s="240" customFormat="1" ht="14" customHeight="1" spans="1:6">
      <c r="A23" s="281"/>
      <c r="B23" s="286"/>
      <c r="C23" s="279"/>
      <c r="D23" s="252"/>
      <c r="E23" s="7">
        <f t="shared" si="1"/>
        <v>0</v>
      </c>
      <c r="F23" s="282"/>
    </row>
    <row r="24" s="240" customFormat="1" ht="14" customHeight="1" spans="1:6">
      <c r="A24" s="281"/>
      <c r="B24" s="286"/>
      <c r="C24" s="279"/>
      <c r="D24" s="252"/>
      <c r="E24" s="7">
        <f t="shared" si="1"/>
        <v>0</v>
      </c>
      <c r="F24" s="282"/>
    </row>
    <row r="25" s="240" customFormat="1" ht="14" customHeight="1" spans="1:6">
      <c r="A25" s="281"/>
      <c r="B25" s="286"/>
      <c r="C25" s="279"/>
      <c r="D25" s="252"/>
      <c r="E25" s="7">
        <f t="shared" si="1"/>
        <v>0</v>
      </c>
      <c r="F25" s="282"/>
    </row>
    <row r="26" s="240" customFormat="1" ht="14" customHeight="1" spans="1:6">
      <c r="A26" s="281"/>
      <c r="B26" s="286"/>
      <c r="C26" s="279"/>
      <c r="D26" s="252"/>
      <c r="E26" s="7">
        <f t="shared" si="1"/>
        <v>0</v>
      </c>
      <c r="F26" s="282"/>
    </row>
    <row r="27" s="240" customFormat="1" ht="14" customHeight="1" spans="1:6">
      <c r="A27" s="281"/>
      <c r="B27" s="286"/>
      <c r="C27" s="279"/>
      <c r="D27" s="252"/>
      <c r="E27" s="7">
        <f t="shared" si="1"/>
        <v>0</v>
      </c>
      <c r="F27" s="282"/>
    </row>
    <row r="28" s="240" customFormat="1" ht="14" customHeight="1" spans="1:6">
      <c r="A28" s="281"/>
      <c r="B28" s="286"/>
      <c r="C28" s="279"/>
      <c r="D28" s="252"/>
      <c r="E28" s="7">
        <f t="shared" si="1"/>
        <v>0</v>
      </c>
      <c r="F28" s="282"/>
    </row>
    <row r="29" s="240" customFormat="1" ht="14" customHeight="1" spans="1:6">
      <c r="A29" s="281"/>
      <c r="B29" s="286"/>
      <c r="C29" s="279"/>
      <c r="D29" s="252"/>
      <c r="E29" s="7">
        <f t="shared" si="1"/>
        <v>0</v>
      </c>
      <c r="F29" s="282"/>
    </row>
    <row r="30" s="240" customFormat="1" ht="14" customHeight="1" spans="1:6">
      <c r="A30" s="281"/>
      <c r="B30" s="286"/>
      <c r="C30" s="279"/>
      <c r="D30" s="252"/>
      <c r="E30" s="7">
        <f t="shared" si="1"/>
        <v>0</v>
      </c>
      <c r="F30" s="282"/>
    </row>
    <row r="31" s="240" customFormat="1" ht="14" customHeight="1" spans="1:6">
      <c r="A31" s="281"/>
      <c r="B31" s="286"/>
      <c r="C31" s="279"/>
      <c r="D31" s="252"/>
      <c r="E31" s="7">
        <f t="shared" si="1"/>
        <v>0</v>
      </c>
      <c r="F31" s="282"/>
    </row>
    <row r="32" s="240" customFormat="1" ht="14" customHeight="1" spans="1:6">
      <c r="A32" s="281"/>
      <c r="B32" s="278"/>
      <c r="C32" s="279"/>
      <c r="D32" s="7"/>
      <c r="E32" s="7">
        <f t="shared" si="1"/>
        <v>0</v>
      </c>
      <c r="F32" s="282"/>
    </row>
    <row r="33" s="240" customFormat="1" ht="14" customHeight="1" spans="1:6">
      <c r="A33" s="281"/>
      <c r="B33" s="278"/>
      <c r="C33" s="279"/>
      <c r="D33" s="7"/>
      <c r="E33" s="7">
        <f t="shared" si="1"/>
        <v>0</v>
      </c>
      <c r="F33" s="282"/>
    </row>
    <row r="34" s="240" customFormat="1" ht="14" customHeight="1" spans="1:6">
      <c r="A34" s="281"/>
      <c r="B34" s="278"/>
      <c r="C34" s="279"/>
      <c r="D34" s="7"/>
      <c r="E34" s="7">
        <f t="shared" si="1"/>
        <v>0</v>
      </c>
      <c r="F34" s="282"/>
    </row>
    <row r="35" s="240" customFormat="1" ht="14" customHeight="1" spans="1:6">
      <c r="A35" s="283"/>
      <c r="B35" s="278"/>
      <c r="C35" s="279"/>
      <c r="D35" s="7"/>
      <c r="E35" s="7">
        <f t="shared" si="1"/>
        <v>0</v>
      </c>
      <c r="F35" s="264"/>
    </row>
    <row r="36" s="240" customFormat="1" ht="14" customHeight="1" spans="1:6">
      <c r="A36" s="277"/>
      <c r="B36" s="278"/>
      <c r="C36" s="279"/>
      <c r="D36" s="7"/>
      <c r="E36" s="7">
        <f t="shared" si="1"/>
        <v>0</v>
      </c>
      <c r="F36" s="280">
        <f>SUM(E36:E41)</f>
        <v>0</v>
      </c>
    </row>
    <row r="37" s="240" customFormat="1" ht="14" customHeight="1" spans="1:6">
      <c r="A37" s="281"/>
      <c r="B37" s="278"/>
      <c r="C37" s="279"/>
      <c r="D37" s="7"/>
      <c r="E37" s="7">
        <f t="shared" si="1"/>
        <v>0</v>
      </c>
      <c r="F37" s="282"/>
    </row>
    <row r="38" s="240" customFormat="1" ht="14" customHeight="1" spans="1:6">
      <c r="A38" s="281"/>
      <c r="B38" s="278"/>
      <c r="C38" s="279"/>
      <c r="D38" s="7"/>
      <c r="E38" s="7">
        <f t="shared" si="1"/>
        <v>0</v>
      </c>
      <c r="F38" s="282"/>
    </row>
    <row r="39" s="240" customFormat="1" ht="14" customHeight="1" spans="1:6">
      <c r="A39" s="281"/>
      <c r="B39" s="278"/>
      <c r="C39" s="279"/>
      <c r="D39" s="7"/>
      <c r="E39" s="7">
        <f t="shared" si="1"/>
        <v>0</v>
      </c>
      <c r="F39" s="282"/>
    </row>
    <row r="40" s="240" customFormat="1" ht="14" customHeight="1" spans="1:6">
      <c r="A40" s="281"/>
      <c r="B40" s="278"/>
      <c r="C40" s="279"/>
      <c r="D40" s="7"/>
      <c r="E40" s="7">
        <f t="shared" si="1"/>
        <v>0</v>
      </c>
      <c r="F40" s="282"/>
    </row>
    <row r="41" s="240" customFormat="1" ht="14" customHeight="1" spans="1:6">
      <c r="A41" s="283"/>
      <c r="B41" s="278"/>
      <c r="C41" s="279"/>
      <c r="D41" s="7"/>
      <c r="E41" s="7">
        <f t="shared" si="1"/>
        <v>0</v>
      </c>
      <c r="F41" s="264"/>
    </row>
    <row r="42" s="240" customFormat="1" ht="14" customHeight="1" spans="1:6">
      <c r="A42" s="277"/>
      <c r="B42" s="278"/>
      <c r="C42" s="279"/>
      <c r="D42" s="7"/>
      <c r="E42" s="7">
        <f t="shared" si="1"/>
        <v>0</v>
      </c>
      <c r="F42" s="280">
        <f>SUM(E42:E47)</f>
        <v>0</v>
      </c>
    </row>
    <row r="43" s="240" customFormat="1" ht="14" customHeight="1" spans="1:6">
      <c r="A43" s="281"/>
      <c r="B43" s="278"/>
      <c r="C43" s="279"/>
      <c r="D43" s="7"/>
      <c r="E43" s="7">
        <f t="shared" si="1"/>
        <v>0</v>
      </c>
      <c r="F43" s="282"/>
    </row>
    <row r="44" s="240" customFormat="1" ht="14" customHeight="1" spans="1:6">
      <c r="A44" s="281"/>
      <c r="B44" s="278"/>
      <c r="C44" s="279"/>
      <c r="D44" s="7"/>
      <c r="E44" s="7">
        <f t="shared" si="1"/>
        <v>0</v>
      </c>
      <c r="F44" s="282"/>
    </row>
    <row r="45" s="240" customFormat="1" ht="14" customHeight="1" spans="1:6">
      <c r="A45" s="281"/>
      <c r="B45" s="278"/>
      <c r="C45" s="279"/>
      <c r="D45" s="7"/>
      <c r="E45" s="7">
        <f t="shared" si="1"/>
        <v>0</v>
      </c>
      <c r="F45" s="282"/>
    </row>
    <row r="46" s="240" customFormat="1" ht="14" customHeight="1" spans="1:6">
      <c r="A46" s="281"/>
      <c r="B46" s="278"/>
      <c r="C46" s="279"/>
      <c r="D46" s="7"/>
      <c r="E46" s="7">
        <f t="shared" si="1"/>
        <v>0</v>
      </c>
      <c r="F46" s="282"/>
    </row>
    <row r="47" s="240" customFormat="1" ht="14" customHeight="1" spans="1:6">
      <c r="A47" s="283"/>
      <c r="B47" s="278"/>
      <c r="C47" s="279"/>
      <c r="D47" s="7"/>
      <c r="E47" s="7">
        <f t="shared" si="1"/>
        <v>0</v>
      </c>
      <c r="F47" s="264"/>
    </row>
    <row r="48" s="240" customFormat="1" ht="14" customHeight="1" spans="1:6">
      <c r="A48" s="277"/>
      <c r="B48" s="278"/>
      <c r="C48" s="279"/>
      <c r="D48" s="7"/>
      <c r="E48" s="7">
        <f t="shared" si="1"/>
        <v>0</v>
      </c>
      <c r="F48" s="280">
        <f>SUM(E48:E56)</f>
        <v>0</v>
      </c>
    </row>
    <row r="49" s="240" customFormat="1" ht="14" customHeight="1" spans="1:6">
      <c r="A49" s="281"/>
      <c r="B49" s="278"/>
      <c r="C49" s="279"/>
      <c r="D49" s="7"/>
      <c r="E49" s="7">
        <f t="shared" si="1"/>
        <v>0</v>
      </c>
      <c r="F49" s="282"/>
    </row>
    <row r="50" s="240" customFormat="1" ht="14" customHeight="1" spans="1:6">
      <c r="A50" s="281"/>
      <c r="B50" s="278"/>
      <c r="C50" s="279"/>
      <c r="D50" s="7"/>
      <c r="E50" s="7">
        <f t="shared" si="1"/>
        <v>0</v>
      </c>
      <c r="F50" s="282"/>
    </row>
    <row r="51" s="240" customFormat="1" ht="14" customHeight="1" spans="1:6">
      <c r="A51" s="281"/>
      <c r="B51" s="278"/>
      <c r="C51" s="279"/>
      <c r="D51" s="7"/>
      <c r="E51" s="7">
        <f t="shared" si="1"/>
        <v>0</v>
      </c>
      <c r="F51" s="282"/>
    </row>
    <row r="52" s="240" customFormat="1" ht="14" customHeight="1" spans="1:6">
      <c r="A52" s="281"/>
      <c r="B52" s="278"/>
      <c r="C52" s="279"/>
      <c r="D52" s="7"/>
      <c r="E52" s="7">
        <f t="shared" si="1"/>
        <v>0</v>
      </c>
      <c r="F52" s="282"/>
    </row>
    <row r="53" s="240" customFormat="1" ht="14" customHeight="1" spans="1:6">
      <c r="A53" s="281"/>
      <c r="B53" s="278"/>
      <c r="C53" s="279"/>
      <c r="D53" s="7"/>
      <c r="E53" s="7">
        <f t="shared" si="1"/>
        <v>0</v>
      </c>
      <c r="F53" s="282"/>
    </row>
    <row r="54" s="240" customFormat="1" ht="14" customHeight="1" spans="1:6">
      <c r="A54" s="281"/>
      <c r="B54" s="278"/>
      <c r="C54" s="279"/>
      <c r="D54" s="7"/>
      <c r="E54" s="7">
        <f t="shared" si="1"/>
        <v>0</v>
      </c>
      <c r="F54" s="282"/>
    </row>
    <row r="55" s="240" customFormat="1" ht="14" customHeight="1" spans="1:6">
      <c r="A55" s="281"/>
      <c r="B55" s="278"/>
      <c r="C55" s="279"/>
      <c r="D55" s="7"/>
      <c r="E55" s="7">
        <f t="shared" si="1"/>
        <v>0</v>
      </c>
      <c r="F55" s="282"/>
    </row>
    <row r="56" s="240" customFormat="1" ht="14" customHeight="1" spans="1:6">
      <c r="A56" s="283"/>
      <c r="B56" s="278"/>
      <c r="C56" s="279"/>
      <c r="D56" s="7"/>
      <c r="E56" s="7">
        <f t="shared" si="1"/>
        <v>0</v>
      </c>
      <c r="F56" s="264"/>
    </row>
    <row r="57" s="240" customFormat="1" ht="14" customHeight="1" spans="1:6">
      <c r="A57" s="277"/>
      <c r="B57" s="278"/>
      <c r="C57" s="279"/>
      <c r="D57" s="7"/>
      <c r="E57" s="7">
        <f t="shared" si="1"/>
        <v>0</v>
      </c>
      <c r="F57" s="280">
        <f>SUM(E57:E71)</f>
        <v>0</v>
      </c>
    </row>
    <row r="58" s="240" customFormat="1" ht="14" customHeight="1" spans="1:6">
      <c r="A58" s="281"/>
      <c r="B58" s="278"/>
      <c r="C58" s="279"/>
      <c r="D58" s="7"/>
      <c r="E58" s="7">
        <f t="shared" si="1"/>
        <v>0</v>
      </c>
      <c r="F58" s="282"/>
    </row>
    <row r="59" s="240" customFormat="1" ht="14" customHeight="1" spans="1:6">
      <c r="A59" s="281"/>
      <c r="B59" s="278"/>
      <c r="C59" s="279"/>
      <c r="D59" s="7"/>
      <c r="E59" s="7">
        <f t="shared" si="1"/>
        <v>0</v>
      </c>
      <c r="F59" s="282"/>
    </row>
    <row r="60" s="240" customFormat="1" ht="14" customHeight="1" spans="1:6">
      <c r="A60" s="281"/>
      <c r="B60" s="278"/>
      <c r="C60" s="279"/>
      <c r="D60" s="7"/>
      <c r="E60" s="7">
        <f t="shared" si="1"/>
        <v>0</v>
      </c>
      <c r="F60" s="282"/>
    </row>
    <row r="61" s="240" customFormat="1" ht="14" customHeight="1" spans="1:6">
      <c r="A61" s="281"/>
      <c r="B61" s="278"/>
      <c r="C61" s="279"/>
      <c r="D61" s="7"/>
      <c r="E61" s="7">
        <f t="shared" si="1"/>
        <v>0</v>
      </c>
      <c r="F61" s="282"/>
    </row>
    <row r="62" s="240" customFormat="1" ht="14" customHeight="1" spans="1:6">
      <c r="A62" s="281"/>
      <c r="B62" s="278"/>
      <c r="C62" s="279"/>
      <c r="D62" s="7"/>
      <c r="E62" s="7">
        <f t="shared" si="1"/>
        <v>0</v>
      </c>
      <c r="F62" s="282"/>
    </row>
    <row r="63" s="240" customFormat="1" ht="14" customHeight="1" spans="1:6">
      <c r="A63" s="281"/>
      <c r="B63" s="278"/>
      <c r="C63" s="279"/>
      <c r="D63" s="7"/>
      <c r="E63" s="7">
        <f t="shared" si="1"/>
        <v>0</v>
      </c>
      <c r="F63" s="282"/>
    </row>
    <row r="64" s="240" customFormat="1" ht="14" customHeight="1" spans="1:6">
      <c r="A64" s="281"/>
      <c r="B64" s="278"/>
      <c r="C64" s="279"/>
      <c r="D64" s="7"/>
      <c r="E64" s="7">
        <f t="shared" si="1"/>
        <v>0</v>
      </c>
      <c r="F64" s="282"/>
    </row>
    <row r="65" s="240" customFormat="1" ht="14" customHeight="1" spans="1:6">
      <c r="A65" s="281"/>
      <c r="B65" s="278"/>
      <c r="C65" s="279"/>
      <c r="D65" s="7"/>
      <c r="E65" s="7">
        <f t="shared" si="1"/>
        <v>0</v>
      </c>
      <c r="F65" s="282"/>
    </row>
    <row r="66" s="240" customFormat="1" ht="14" customHeight="1" spans="1:6">
      <c r="A66" s="281"/>
      <c r="B66" s="278"/>
      <c r="C66" s="279"/>
      <c r="D66" s="7"/>
      <c r="E66" s="7">
        <f t="shared" si="1"/>
        <v>0</v>
      </c>
      <c r="F66" s="282"/>
    </row>
    <row r="67" s="240" customFormat="1" ht="14" customHeight="1" spans="1:6">
      <c r="A67" s="281"/>
      <c r="B67" s="278"/>
      <c r="C67" s="279"/>
      <c r="D67" s="7"/>
      <c r="E67" s="7">
        <f t="shared" si="1"/>
        <v>0</v>
      </c>
      <c r="F67" s="282"/>
    </row>
    <row r="68" s="240" customFormat="1" ht="14" customHeight="1" spans="1:6">
      <c r="A68" s="281"/>
      <c r="B68" s="278"/>
      <c r="C68" s="279"/>
      <c r="D68" s="7"/>
      <c r="E68" s="7">
        <f t="shared" si="1"/>
        <v>0</v>
      </c>
      <c r="F68" s="282"/>
    </row>
    <row r="69" s="240" customFormat="1" ht="14" customHeight="1" spans="1:6">
      <c r="A69" s="281"/>
      <c r="B69" s="278"/>
      <c r="C69" s="279"/>
      <c r="D69" s="7"/>
      <c r="E69" s="7">
        <f t="shared" ref="E69:E132" si="2">SUM(C69*D69)</f>
        <v>0</v>
      </c>
      <c r="F69" s="282"/>
    </row>
    <row r="70" s="240" customFormat="1" ht="14" customHeight="1" spans="1:6">
      <c r="A70" s="281"/>
      <c r="B70" s="278"/>
      <c r="C70" s="279"/>
      <c r="D70" s="7"/>
      <c r="E70" s="7">
        <f t="shared" si="2"/>
        <v>0</v>
      </c>
      <c r="F70" s="282"/>
    </row>
    <row r="71" s="240" customFormat="1" ht="14" customHeight="1" spans="1:6">
      <c r="A71" s="283"/>
      <c r="B71" s="278"/>
      <c r="C71" s="279"/>
      <c r="D71" s="7"/>
      <c r="E71" s="7">
        <f t="shared" si="2"/>
        <v>0</v>
      </c>
      <c r="F71" s="264"/>
    </row>
    <row r="72" s="240" customFormat="1" ht="14" customHeight="1" spans="1:6">
      <c r="A72" s="277"/>
      <c r="B72" s="278"/>
      <c r="C72" s="279"/>
      <c r="D72" s="7"/>
      <c r="E72" s="7">
        <f t="shared" si="2"/>
        <v>0</v>
      </c>
      <c r="F72" s="280">
        <f>-SUM(E72:E83)</f>
        <v>0</v>
      </c>
    </row>
    <row r="73" s="240" customFormat="1" ht="14" customHeight="1" spans="1:6">
      <c r="A73" s="281"/>
      <c r="B73" s="278"/>
      <c r="C73" s="279"/>
      <c r="D73" s="7"/>
      <c r="E73" s="7">
        <f t="shared" si="2"/>
        <v>0</v>
      </c>
      <c r="F73" s="282"/>
    </row>
    <row r="74" s="240" customFormat="1" ht="14" customHeight="1" spans="1:8">
      <c r="A74" s="281"/>
      <c r="B74" s="278"/>
      <c r="C74" s="279"/>
      <c r="D74" s="7"/>
      <c r="E74" s="7">
        <f t="shared" si="2"/>
        <v>0</v>
      </c>
      <c r="F74" s="282"/>
      <c r="H74" s="265"/>
    </row>
    <row r="75" s="240" customFormat="1" ht="14" customHeight="1" spans="1:6">
      <c r="A75" s="281"/>
      <c r="B75" s="278"/>
      <c r="C75" s="279"/>
      <c r="D75" s="7"/>
      <c r="E75" s="7">
        <f t="shared" si="2"/>
        <v>0</v>
      </c>
      <c r="F75" s="282"/>
    </row>
    <row r="76" s="240" customFormat="1" ht="14" customHeight="1" spans="1:6">
      <c r="A76" s="281"/>
      <c r="B76" s="278"/>
      <c r="C76" s="279"/>
      <c r="D76" s="7"/>
      <c r="E76" s="7">
        <f t="shared" si="2"/>
        <v>0</v>
      </c>
      <c r="F76" s="282"/>
    </row>
    <row r="77" s="240" customFormat="1" ht="14" customHeight="1" spans="1:6">
      <c r="A77" s="281"/>
      <c r="B77" s="278"/>
      <c r="C77" s="279"/>
      <c r="D77" s="7"/>
      <c r="E77" s="7">
        <f t="shared" si="2"/>
        <v>0</v>
      </c>
      <c r="F77" s="282"/>
    </row>
    <row r="78" s="240" customFormat="1" ht="14" customHeight="1" spans="1:6">
      <c r="A78" s="281"/>
      <c r="B78" s="278"/>
      <c r="C78" s="279"/>
      <c r="D78" s="7"/>
      <c r="E78" s="7">
        <f t="shared" si="2"/>
        <v>0</v>
      </c>
      <c r="F78" s="282"/>
    </row>
    <row r="79" s="240" customFormat="1" ht="14" customHeight="1" spans="1:6">
      <c r="A79" s="281"/>
      <c r="B79" s="278"/>
      <c r="C79" s="279"/>
      <c r="D79" s="7"/>
      <c r="E79" s="7">
        <f t="shared" si="2"/>
        <v>0</v>
      </c>
      <c r="F79" s="282"/>
    </row>
    <row r="80" s="240" customFormat="1" ht="14" customHeight="1" spans="1:6">
      <c r="A80" s="281"/>
      <c r="B80" s="278"/>
      <c r="C80" s="279"/>
      <c r="D80" s="7"/>
      <c r="E80" s="7">
        <f t="shared" si="2"/>
        <v>0</v>
      </c>
      <c r="F80" s="282"/>
    </row>
    <row r="81" s="240" customFormat="1" ht="14" customHeight="1" spans="1:6">
      <c r="A81" s="281"/>
      <c r="B81" s="286"/>
      <c r="C81" s="287"/>
      <c r="D81" s="7"/>
      <c r="E81" s="7">
        <f t="shared" si="2"/>
        <v>0</v>
      </c>
      <c r="F81" s="282"/>
    </row>
    <row r="82" s="240" customFormat="1" ht="14" customHeight="1" spans="1:6">
      <c r="A82" s="281"/>
      <c r="B82" s="286"/>
      <c r="C82" s="287"/>
      <c r="D82" s="7"/>
      <c r="E82" s="7">
        <f t="shared" si="2"/>
        <v>0</v>
      </c>
      <c r="F82" s="282"/>
    </row>
    <row r="83" s="240" customFormat="1" ht="14" customHeight="1" spans="1:6">
      <c r="A83" s="283"/>
      <c r="B83" s="286"/>
      <c r="C83" s="287"/>
      <c r="D83" s="7"/>
      <c r="E83" s="7">
        <f t="shared" si="2"/>
        <v>0</v>
      </c>
      <c r="F83" s="264"/>
    </row>
    <row r="84" s="240" customFormat="1" ht="14" customHeight="1" spans="1:6">
      <c r="A84" s="277"/>
      <c r="B84" s="286"/>
      <c r="C84" s="287"/>
      <c r="D84" s="7"/>
      <c r="E84" s="7">
        <f t="shared" si="2"/>
        <v>0</v>
      </c>
      <c r="F84" s="280">
        <f>SUM(E84:E90)</f>
        <v>0</v>
      </c>
    </row>
    <row r="85" s="240" customFormat="1" ht="14" customHeight="1" spans="1:6">
      <c r="A85" s="281"/>
      <c r="B85" s="286"/>
      <c r="C85" s="287"/>
      <c r="D85" s="7"/>
      <c r="E85" s="7">
        <f t="shared" si="2"/>
        <v>0</v>
      </c>
      <c r="F85" s="282"/>
    </row>
    <row r="86" s="240" customFormat="1" ht="14" customHeight="1" spans="1:6">
      <c r="A86" s="281"/>
      <c r="B86" s="286"/>
      <c r="C86" s="287"/>
      <c r="D86" s="7"/>
      <c r="E86" s="7">
        <f t="shared" si="2"/>
        <v>0</v>
      </c>
      <c r="F86" s="282"/>
    </row>
    <row r="87" s="240" customFormat="1" ht="14" customHeight="1" spans="1:6">
      <c r="A87" s="281"/>
      <c r="B87" s="286"/>
      <c r="C87" s="287"/>
      <c r="D87" s="7"/>
      <c r="E87" s="7">
        <f t="shared" si="2"/>
        <v>0</v>
      </c>
      <c r="F87" s="282"/>
    </row>
    <row r="88" s="240" customFormat="1" ht="14" customHeight="1" spans="1:6">
      <c r="A88" s="281"/>
      <c r="B88" s="286"/>
      <c r="C88" s="287"/>
      <c r="D88" s="7"/>
      <c r="E88" s="7">
        <f t="shared" si="2"/>
        <v>0</v>
      </c>
      <c r="F88" s="282"/>
    </row>
    <row r="89" s="240" customFormat="1" ht="14" customHeight="1" spans="1:6">
      <c r="A89" s="281"/>
      <c r="B89" s="286"/>
      <c r="C89" s="287"/>
      <c r="D89" s="7"/>
      <c r="E89" s="7">
        <f t="shared" si="2"/>
        <v>0</v>
      </c>
      <c r="F89" s="282"/>
    </row>
    <row r="90" s="240" customFormat="1" ht="14" customHeight="1" spans="1:6">
      <c r="A90" s="283"/>
      <c r="B90" s="286"/>
      <c r="C90" s="287"/>
      <c r="D90" s="7"/>
      <c r="E90" s="7">
        <f t="shared" si="2"/>
        <v>0</v>
      </c>
      <c r="F90" s="264"/>
    </row>
    <row r="91" s="240" customFormat="1" ht="14" customHeight="1" spans="1:6">
      <c r="A91" s="277"/>
      <c r="B91" s="286"/>
      <c r="C91" s="287"/>
      <c r="D91" s="7"/>
      <c r="E91" s="7">
        <f t="shared" si="2"/>
        <v>0</v>
      </c>
      <c r="F91" s="280">
        <f>SUM(E91:E105)</f>
        <v>0</v>
      </c>
    </row>
    <row r="92" s="240" customFormat="1" ht="14" customHeight="1" spans="1:6">
      <c r="A92" s="281"/>
      <c r="B92" s="286"/>
      <c r="C92" s="287"/>
      <c r="D92" s="7"/>
      <c r="E92" s="7">
        <f t="shared" si="2"/>
        <v>0</v>
      </c>
      <c r="F92" s="282"/>
    </row>
    <row r="93" s="240" customFormat="1" ht="14" customHeight="1" spans="1:6">
      <c r="A93" s="281"/>
      <c r="B93" s="286"/>
      <c r="C93" s="287"/>
      <c r="D93" s="7"/>
      <c r="E93" s="7">
        <f t="shared" si="2"/>
        <v>0</v>
      </c>
      <c r="F93" s="282"/>
    </row>
    <row r="94" s="240" customFormat="1" ht="14" customHeight="1" spans="1:6">
      <c r="A94" s="281"/>
      <c r="B94" s="286"/>
      <c r="C94" s="287"/>
      <c r="D94" s="7"/>
      <c r="E94" s="7">
        <f t="shared" si="2"/>
        <v>0</v>
      </c>
      <c r="F94" s="282"/>
    </row>
    <row r="95" s="240" customFormat="1" ht="14" customHeight="1" spans="1:6">
      <c r="A95" s="281"/>
      <c r="B95" s="286"/>
      <c r="C95" s="287"/>
      <c r="D95" s="7"/>
      <c r="E95" s="7">
        <f t="shared" si="2"/>
        <v>0</v>
      </c>
      <c r="F95" s="282"/>
    </row>
    <row r="96" s="240" customFormat="1" ht="14" customHeight="1" spans="1:6">
      <c r="A96" s="281"/>
      <c r="B96" s="286"/>
      <c r="C96" s="287"/>
      <c r="D96" s="7"/>
      <c r="E96" s="7">
        <f t="shared" si="2"/>
        <v>0</v>
      </c>
      <c r="F96" s="282"/>
    </row>
    <row r="97" s="240" customFormat="1" ht="14" customHeight="1" spans="1:6">
      <c r="A97" s="281"/>
      <c r="B97" s="286"/>
      <c r="C97" s="287"/>
      <c r="D97" s="7"/>
      <c r="E97" s="7">
        <f t="shared" si="2"/>
        <v>0</v>
      </c>
      <c r="F97" s="282"/>
    </row>
    <row r="98" s="240" customFormat="1" ht="14" customHeight="1" spans="1:6">
      <c r="A98" s="281"/>
      <c r="B98" s="286"/>
      <c r="C98" s="287"/>
      <c r="D98" s="7"/>
      <c r="E98" s="7">
        <f t="shared" si="2"/>
        <v>0</v>
      </c>
      <c r="F98" s="282"/>
    </row>
    <row r="99" s="240" customFormat="1" ht="14" customHeight="1" spans="1:6">
      <c r="A99" s="281"/>
      <c r="B99" s="286"/>
      <c r="C99" s="287"/>
      <c r="D99" s="7"/>
      <c r="E99" s="7">
        <f t="shared" si="2"/>
        <v>0</v>
      </c>
      <c r="F99" s="282"/>
    </row>
    <row r="100" s="240" customFormat="1" ht="14" customHeight="1" spans="1:6">
      <c r="A100" s="281"/>
      <c r="B100" s="286"/>
      <c r="C100" s="287"/>
      <c r="D100" s="7"/>
      <c r="E100" s="7">
        <f t="shared" si="2"/>
        <v>0</v>
      </c>
      <c r="F100" s="282"/>
    </row>
    <row r="101" s="240" customFormat="1" ht="14" customHeight="1" spans="1:6">
      <c r="A101" s="281"/>
      <c r="B101" s="286"/>
      <c r="C101" s="287"/>
      <c r="D101" s="7"/>
      <c r="E101" s="7">
        <f t="shared" si="2"/>
        <v>0</v>
      </c>
      <c r="F101" s="282"/>
    </row>
    <row r="102" s="240" customFormat="1" ht="14" customHeight="1" spans="1:6">
      <c r="A102" s="281"/>
      <c r="B102" s="286"/>
      <c r="C102" s="287"/>
      <c r="D102" s="7"/>
      <c r="E102" s="7">
        <f t="shared" si="2"/>
        <v>0</v>
      </c>
      <c r="F102" s="282"/>
    </row>
    <row r="103" s="240" customFormat="1" ht="14" customHeight="1" spans="1:6">
      <c r="A103" s="281"/>
      <c r="B103" s="286"/>
      <c r="C103" s="287"/>
      <c r="D103" s="7"/>
      <c r="E103" s="7">
        <f t="shared" si="2"/>
        <v>0</v>
      </c>
      <c r="F103" s="282"/>
    </row>
    <row r="104" s="240" customFormat="1" ht="14" customHeight="1" spans="1:6">
      <c r="A104" s="281"/>
      <c r="B104" s="286"/>
      <c r="C104" s="287"/>
      <c r="D104" s="7"/>
      <c r="E104" s="7">
        <f t="shared" si="2"/>
        <v>0</v>
      </c>
      <c r="F104" s="282"/>
    </row>
    <row r="105" s="240" customFormat="1" ht="14" customHeight="1" spans="1:6">
      <c r="A105" s="283"/>
      <c r="B105" s="286"/>
      <c r="C105" s="287"/>
      <c r="D105" s="7"/>
      <c r="E105" s="7">
        <f t="shared" si="2"/>
        <v>0</v>
      </c>
      <c r="F105" s="264"/>
    </row>
    <row r="106" s="240" customFormat="1" ht="14" customHeight="1" spans="1:6">
      <c r="A106" s="277"/>
      <c r="B106" s="286"/>
      <c r="C106" s="287"/>
      <c r="D106" s="7"/>
      <c r="E106" s="7">
        <f t="shared" si="2"/>
        <v>0</v>
      </c>
      <c r="F106" s="280">
        <f>SUM(E106:E121)</f>
        <v>0</v>
      </c>
    </row>
    <row r="107" s="240" customFormat="1" ht="14" customHeight="1" spans="1:6">
      <c r="A107" s="281"/>
      <c r="B107" s="286"/>
      <c r="C107" s="287"/>
      <c r="D107" s="7"/>
      <c r="E107" s="7">
        <f t="shared" si="2"/>
        <v>0</v>
      </c>
      <c r="F107" s="282"/>
    </row>
    <row r="108" s="240" customFormat="1" ht="14" customHeight="1" spans="1:6">
      <c r="A108" s="281"/>
      <c r="B108" s="286"/>
      <c r="C108" s="287"/>
      <c r="D108" s="7"/>
      <c r="E108" s="7">
        <f t="shared" si="2"/>
        <v>0</v>
      </c>
      <c r="F108" s="282"/>
    </row>
    <row r="109" s="240" customFormat="1" ht="14" customHeight="1" spans="1:6">
      <c r="A109" s="281"/>
      <c r="B109" s="286"/>
      <c r="C109" s="287"/>
      <c r="D109" s="7"/>
      <c r="E109" s="7">
        <f t="shared" si="2"/>
        <v>0</v>
      </c>
      <c r="F109" s="282"/>
    </row>
    <row r="110" s="240" customFormat="1" ht="14" customHeight="1" spans="1:6">
      <c r="A110" s="281"/>
      <c r="B110" s="286"/>
      <c r="C110" s="287"/>
      <c r="D110" s="7"/>
      <c r="E110" s="7">
        <f t="shared" si="2"/>
        <v>0</v>
      </c>
      <c r="F110" s="282"/>
    </row>
    <row r="111" s="240" customFormat="1" ht="14" customHeight="1" spans="1:6">
      <c r="A111" s="281"/>
      <c r="B111" s="286"/>
      <c r="C111" s="287"/>
      <c r="D111" s="7"/>
      <c r="E111" s="7">
        <f t="shared" si="2"/>
        <v>0</v>
      </c>
      <c r="F111" s="282"/>
    </row>
    <row r="112" s="240" customFormat="1" ht="14" customHeight="1" spans="1:6">
      <c r="A112" s="281"/>
      <c r="B112" s="286"/>
      <c r="C112" s="287"/>
      <c r="D112" s="7"/>
      <c r="E112" s="7">
        <f t="shared" si="2"/>
        <v>0</v>
      </c>
      <c r="F112" s="282"/>
    </row>
    <row r="113" s="240" customFormat="1" ht="14" customHeight="1" spans="1:6">
      <c r="A113" s="281"/>
      <c r="B113" s="286"/>
      <c r="C113" s="287"/>
      <c r="D113" s="7"/>
      <c r="E113" s="7">
        <f t="shared" si="2"/>
        <v>0</v>
      </c>
      <c r="F113" s="282"/>
    </row>
    <row r="114" s="240" customFormat="1" ht="14" customHeight="1" spans="1:6">
      <c r="A114" s="281"/>
      <c r="B114" s="286"/>
      <c r="C114" s="287"/>
      <c r="D114" s="7"/>
      <c r="E114" s="7">
        <f t="shared" si="2"/>
        <v>0</v>
      </c>
      <c r="F114" s="282"/>
    </row>
    <row r="115" s="240" customFormat="1" ht="14" customHeight="1" spans="1:6">
      <c r="A115" s="281"/>
      <c r="B115" s="286"/>
      <c r="C115" s="287"/>
      <c r="D115" s="7"/>
      <c r="E115" s="7">
        <f t="shared" si="2"/>
        <v>0</v>
      </c>
      <c r="F115" s="282"/>
    </row>
    <row r="116" s="240" customFormat="1" ht="14" customHeight="1" spans="1:6">
      <c r="A116" s="281"/>
      <c r="B116" s="286"/>
      <c r="C116" s="287"/>
      <c r="D116" s="7"/>
      <c r="E116" s="7">
        <f t="shared" si="2"/>
        <v>0</v>
      </c>
      <c r="F116" s="282"/>
    </row>
    <row r="117" s="240" customFormat="1" ht="14" customHeight="1" spans="1:6">
      <c r="A117" s="281"/>
      <c r="B117" s="286"/>
      <c r="C117" s="287"/>
      <c r="D117" s="7"/>
      <c r="E117" s="7">
        <f t="shared" si="2"/>
        <v>0</v>
      </c>
      <c r="F117" s="282"/>
    </row>
    <row r="118" s="240" customFormat="1" ht="14" customHeight="1" spans="1:6">
      <c r="A118" s="281"/>
      <c r="B118" s="286"/>
      <c r="C118" s="287"/>
      <c r="D118" s="7"/>
      <c r="E118" s="7">
        <f t="shared" si="2"/>
        <v>0</v>
      </c>
      <c r="F118" s="282"/>
    </row>
    <row r="119" s="240" customFormat="1" ht="14" customHeight="1" spans="1:6">
      <c r="A119" s="281"/>
      <c r="B119" s="286"/>
      <c r="C119" s="287"/>
      <c r="D119" s="7"/>
      <c r="E119" s="7">
        <f t="shared" si="2"/>
        <v>0</v>
      </c>
      <c r="F119" s="282"/>
    </row>
    <row r="120" s="240" customFormat="1" ht="14" customHeight="1" spans="1:6">
      <c r="A120" s="281"/>
      <c r="B120" s="286"/>
      <c r="C120" s="287"/>
      <c r="D120" s="7"/>
      <c r="E120" s="7">
        <f t="shared" si="2"/>
        <v>0</v>
      </c>
      <c r="F120" s="282"/>
    </row>
    <row r="121" s="240" customFormat="1" ht="14" customHeight="1" spans="1:6">
      <c r="A121" s="283"/>
      <c r="B121" s="286"/>
      <c r="C121" s="287"/>
      <c r="D121" s="7"/>
      <c r="E121" s="7">
        <f t="shared" si="2"/>
        <v>0</v>
      </c>
      <c r="F121" s="264"/>
    </row>
    <row r="122" s="240" customFormat="1" ht="14" customHeight="1" spans="1:6">
      <c r="A122" s="288"/>
      <c r="B122" s="286"/>
      <c r="C122" s="287"/>
      <c r="D122" s="7"/>
      <c r="E122" s="7">
        <f t="shared" si="2"/>
        <v>0</v>
      </c>
      <c r="F122" s="252">
        <f>SUM(E122)</f>
        <v>0</v>
      </c>
    </row>
    <row r="123" s="240" customFormat="1" ht="14" customHeight="1" spans="1:7">
      <c r="A123" s="288"/>
      <c r="B123" s="286"/>
      <c r="C123" s="287"/>
      <c r="D123" s="7"/>
      <c r="E123" s="7">
        <f t="shared" si="2"/>
        <v>0</v>
      </c>
      <c r="F123" s="7">
        <f>SUM(E123:E127)</f>
        <v>0</v>
      </c>
      <c r="G123" s="265"/>
    </row>
    <row r="124" s="240" customFormat="1" spans="1:6">
      <c r="A124" s="288"/>
      <c r="B124" s="286"/>
      <c r="C124" s="287"/>
      <c r="D124" s="7"/>
      <c r="E124" s="7">
        <f t="shared" si="2"/>
        <v>0</v>
      </c>
      <c r="F124" s="7"/>
    </row>
    <row r="125" s="240" customFormat="1" spans="1:6">
      <c r="A125" s="288"/>
      <c r="B125" s="286"/>
      <c r="C125" s="287"/>
      <c r="D125" s="7"/>
      <c r="E125" s="7">
        <f t="shared" si="2"/>
        <v>0</v>
      </c>
      <c r="F125" s="7"/>
    </row>
    <row r="126" s="240" customFormat="1" spans="1:6">
      <c r="A126" s="288"/>
      <c r="B126" s="286"/>
      <c r="C126" s="287"/>
      <c r="D126" s="7"/>
      <c r="E126" s="7">
        <f t="shared" si="2"/>
        <v>0</v>
      </c>
      <c r="F126" s="7"/>
    </row>
    <row r="127" s="240" customFormat="1" spans="1:6">
      <c r="A127" s="288"/>
      <c r="B127" s="286"/>
      <c r="C127" s="287"/>
      <c r="D127" s="7"/>
      <c r="E127" s="7">
        <f t="shared" si="2"/>
        <v>0</v>
      </c>
      <c r="F127" s="7"/>
    </row>
    <row r="128" s="240" customFormat="1" spans="1:6">
      <c r="A128" s="281"/>
      <c r="B128" s="289"/>
      <c r="C128" s="290"/>
      <c r="D128" s="264"/>
      <c r="E128" s="7">
        <f t="shared" si="2"/>
        <v>0</v>
      </c>
      <c r="F128" s="280">
        <f>SUM(E128:E134)</f>
        <v>0</v>
      </c>
    </row>
    <row r="129" s="240" customFormat="1" spans="1:6">
      <c r="A129" s="281"/>
      <c r="B129" s="286"/>
      <c r="C129" s="287"/>
      <c r="D129" s="7"/>
      <c r="E129" s="7">
        <f t="shared" si="2"/>
        <v>0</v>
      </c>
      <c r="F129" s="282"/>
    </row>
    <row r="130" s="240" customFormat="1" spans="1:6">
      <c r="A130" s="281"/>
      <c r="B130" s="286"/>
      <c r="C130" s="287"/>
      <c r="D130" s="7"/>
      <c r="E130" s="7">
        <f t="shared" si="2"/>
        <v>0</v>
      </c>
      <c r="F130" s="282"/>
    </row>
    <row r="131" s="240" customFormat="1" spans="1:6">
      <c r="A131" s="281"/>
      <c r="B131" s="286"/>
      <c r="C131" s="287"/>
      <c r="D131" s="7"/>
      <c r="E131" s="7">
        <f t="shared" si="2"/>
        <v>0</v>
      </c>
      <c r="F131" s="282"/>
    </row>
    <row r="132" s="240" customFormat="1" spans="1:6">
      <c r="A132" s="281"/>
      <c r="B132" s="286"/>
      <c r="C132" s="287"/>
      <c r="D132" s="7"/>
      <c r="E132" s="7">
        <f t="shared" si="2"/>
        <v>0</v>
      </c>
      <c r="F132" s="282"/>
    </row>
    <row r="133" s="240" customFormat="1" spans="1:6">
      <c r="A133" s="281"/>
      <c r="B133" s="286"/>
      <c r="C133" s="287"/>
      <c r="D133" s="7"/>
      <c r="E133" s="7">
        <f t="shared" ref="E133:E196" si="3">SUM(C133*D133)</f>
        <v>0</v>
      </c>
      <c r="F133" s="282"/>
    </row>
    <row r="134" s="240" customFormat="1" spans="1:6">
      <c r="A134" s="283"/>
      <c r="B134" s="286"/>
      <c r="C134" s="287"/>
      <c r="D134" s="7"/>
      <c r="E134" s="7">
        <f t="shared" si="3"/>
        <v>0</v>
      </c>
      <c r="F134" s="264"/>
    </row>
    <row r="135" s="240" customFormat="1" spans="1:6">
      <c r="A135" s="277"/>
      <c r="B135" s="286"/>
      <c r="C135" s="287"/>
      <c r="D135" s="7"/>
      <c r="E135" s="7">
        <f t="shared" si="3"/>
        <v>0</v>
      </c>
      <c r="F135" s="280">
        <f>SUM(E135:E142)</f>
        <v>0</v>
      </c>
    </row>
    <row r="136" s="240" customFormat="1" spans="1:6">
      <c r="A136" s="281"/>
      <c r="B136" s="286"/>
      <c r="C136" s="287"/>
      <c r="D136" s="7"/>
      <c r="E136" s="7">
        <f t="shared" si="3"/>
        <v>0</v>
      </c>
      <c r="F136" s="282"/>
    </row>
    <row r="137" s="240" customFormat="1" spans="1:6">
      <c r="A137" s="281"/>
      <c r="B137" s="286"/>
      <c r="C137" s="287"/>
      <c r="D137" s="7"/>
      <c r="E137" s="7">
        <f t="shared" si="3"/>
        <v>0</v>
      </c>
      <c r="F137" s="282"/>
    </row>
    <row r="138" s="240" customFormat="1" spans="1:6">
      <c r="A138" s="281"/>
      <c r="B138" s="286"/>
      <c r="C138" s="287"/>
      <c r="D138" s="7"/>
      <c r="E138" s="7">
        <f t="shared" si="3"/>
        <v>0</v>
      </c>
      <c r="F138" s="282"/>
    </row>
    <row r="139" s="240" customFormat="1" spans="1:6">
      <c r="A139" s="281"/>
      <c r="B139" s="286"/>
      <c r="C139" s="287"/>
      <c r="D139" s="7"/>
      <c r="E139" s="7">
        <f t="shared" si="3"/>
        <v>0</v>
      </c>
      <c r="F139" s="282"/>
    </row>
    <row r="140" s="240" customFormat="1" spans="1:6">
      <c r="A140" s="281"/>
      <c r="B140" s="286"/>
      <c r="C140" s="287"/>
      <c r="D140" s="7"/>
      <c r="E140" s="7">
        <f t="shared" si="3"/>
        <v>0</v>
      </c>
      <c r="F140" s="282"/>
    </row>
    <row r="141" s="240" customFormat="1" spans="1:6">
      <c r="A141" s="281"/>
      <c r="B141" s="286"/>
      <c r="C141" s="287"/>
      <c r="D141" s="7"/>
      <c r="E141" s="7">
        <f t="shared" si="3"/>
        <v>0</v>
      </c>
      <c r="F141" s="282"/>
    </row>
    <row r="142" s="240" customFormat="1" spans="1:6">
      <c r="A142" s="283"/>
      <c r="B142" s="286"/>
      <c r="C142" s="287"/>
      <c r="D142" s="7"/>
      <c r="E142" s="7">
        <f t="shared" si="3"/>
        <v>0</v>
      </c>
      <c r="F142" s="264"/>
    </row>
    <row r="143" s="240" customFormat="1" spans="1:6">
      <c r="A143" s="277"/>
      <c r="B143" s="286"/>
      <c r="C143" s="287"/>
      <c r="D143" s="7"/>
      <c r="E143" s="7">
        <f t="shared" si="3"/>
        <v>0</v>
      </c>
      <c r="F143" s="280">
        <f>SUM(E143:E149)</f>
        <v>0</v>
      </c>
    </row>
    <row r="144" s="240" customFormat="1" spans="1:6">
      <c r="A144" s="281"/>
      <c r="B144" s="286"/>
      <c r="C144" s="287"/>
      <c r="D144" s="7"/>
      <c r="E144" s="7">
        <f t="shared" si="3"/>
        <v>0</v>
      </c>
      <c r="F144" s="282"/>
    </row>
    <row r="145" s="240" customFormat="1" spans="1:6">
      <c r="A145" s="281"/>
      <c r="B145" s="286"/>
      <c r="C145" s="287"/>
      <c r="D145" s="7"/>
      <c r="E145" s="7">
        <f t="shared" si="3"/>
        <v>0</v>
      </c>
      <c r="F145" s="282"/>
    </row>
    <row r="146" s="240" customFormat="1" spans="1:6">
      <c r="A146" s="281"/>
      <c r="B146" s="286"/>
      <c r="C146" s="287"/>
      <c r="D146" s="7"/>
      <c r="E146" s="7">
        <f t="shared" si="3"/>
        <v>0</v>
      </c>
      <c r="F146" s="282"/>
    </row>
    <row r="147" s="240" customFormat="1" spans="1:6">
      <c r="A147" s="281"/>
      <c r="B147" s="286"/>
      <c r="C147" s="287"/>
      <c r="D147" s="7"/>
      <c r="E147" s="7">
        <f t="shared" si="3"/>
        <v>0</v>
      </c>
      <c r="F147" s="282"/>
    </row>
    <row r="148" s="240" customFormat="1" spans="1:6">
      <c r="A148" s="281"/>
      <c r="B148" s="286"/>
      <c r="C148" s="287"/>
      <c r="D148" s="7"/>
      <c r="E148" s="7">
        <f t="shared" si="3"/>
        <v>0</v>
      </c>
      <c r="F148" s="282"/>
    </row>
    <row r="149" s="240" customFormat="1" spans="1:6">
      <c r="A149" s="283"/>
      <c r="B149" s="286"/>
      <c r="C149" s="287"/>
      <c r="D149" s="7"/>
      <c r="E149" s="7">
        <f t="shared" si="3"/>
        <v>0</v>
      </c>
      <c r="F149" s="264"/>
    </row>
    <row r="150" s="240" customFormat="1" spans="1:6">
      <c r="A150" s="277"/>
      <c r="B150" s="286"/>
      <c r="C150" s="287"/>
      <c r="D150" s="7"/>
      <c r="E150" s="7">
        <f t="shared" si="3"/>
        <v>0</v>
      </c>
      <c r="F150" s="280">
        <f>SUM(E150:E159)</f>
        <v>0</v>
      </c>
    </row>
    <row r="151" s="240" customFormat="1" spans="1:6">
      <c r="A151" s="281"/>
      <c r="B151" s="286"/>
      <c r="C151" s="287"/>
      <c r="D151" s="7"/>
      <c r="E151" s="7">
        <f t="shared" si="3"/>
        <v>0</v>
      </c>
      <c r="F151" s="282"/>
    </row>
    <row r="152" s="240" customFormat="1" spans="1:6">
      <c r="A152" s="281"/>
      <c r="B152" s="286"/>
      <c r="C152" s="287"/>
      <c r="D152" s="7"/>
      <c r="E152" s="7">
        <f t="shared" si="3"/>
        <v>0</v>
      </c>
      <c r="F152" s="282"/>
    </row>
    <row r="153" s="240" customFormat="1" spans="1:6">
      <c r="A153" s="281"/>
      <c r="B153" s="286"/>
      <c r="C153" s="287"/>
      <c r="D153" s="7"/>
      <c r="E153" s="7">
        <f t="shared" si="3"/>
        <v>0</v>
      </c>
      <c r="F153" s="282"/>
    </row>
    <row r="154" s="240" customFormat="1" spans="1:6">
      <c r="A154" s="281"/>
      <c r="B154" s="286"/>
      <c r="C154" s="287"/>
      <c r="D154" s="7"/>
      <c r="E154" s="7">
        <f t="shared" si="3"/>
        <v>0</v>
      </c>
      <c r="F154" s="282"/>
    </row>
    <row r="155" s="240" customFormat="1" spans="1:6">
      <c r="A155" s="281"/>
      <c r="B155" s="286"/>
      <c r="C155" s="287"/>
      <c r="D155" s="7"/>
      <c r="E155" s="7">
        <f t="shared" si="3"/>
        <v>0</v>
      </c>
      <c r="F155" s="282"/>
    </row>
    <row r="156" s="240" customFormat="1" spans="1:6">
      <c r="A156" s="281"/>
      <c r="B156" s="286"/>
      <c r="C156" s="287"/>
      <c r="D156" s="7"/>
      <c r="E156" s="7">
        <f t="shared" si="3"/>
        <v>0</v>
      </c>
      <c r="F156" s="282"/>
    </row>
    <row r="157" s="240" customFormat="1" spans="1:6">
      <c r="A157" s="281"/>
      <c r="B157" s="286"/>
      <c r="C157" s="287"/>
      <c r="D157" s="7"/>
      <c r="E157" s="7">
        <f t="shared" si="3"/>
        <v>0</v>
      </c>
      <c r="F157" s="282"/>
    </row>
    <row r="158" s="240" customFormat="1" spans="1:6">
      <c r="A158" s="281"/>
      <c r="B158" s="286"/>
      <c r="C158" s="287"/>
      <c r="D158" s="7"/>
      <c r="E158" s="7">
        <f t="shared" si="3"/>
        <v>0</v>
      </c>
      <c r="F158" s="282"/>
    </row>
    <row r="159" s="240" customFormat="1" spans="1:6">
      <c r="A159" s="283"/>
      <c r="B159" s="286"/>
      <c r="C159" s="287"/>
      <c r="D159" s="7"/>
      <c r="E159" s="7">
        <f t="shared" si="3"/>
        <v>0</v>
      </c>
      <c r="F159" s="264"/>
    </row>
    <row r="160" s="240" customFormat="1" spans="1:6">
      <c r="A160" s="277"/>
      <c r="B160" s="286"/>
      <c r="C160" s="287"/>
      <c r="D160" s="7"/>
      <c r="E160" s="7">
        <f t="shared" si="3"/>
        <v>0</v>
      </c>
      <c r="F160" s="280">
        <f>SUM(E160:E173)</f>
        <v>0</v>
      </c>
    </row>
    <row r="161" s="240" customFormat="1" spans="1:6">
      <c r="A161" s="281"/>
      <c r="B161" s="286"/>
      <c r="C161" s="287"/>
      <c r="D161" s="7"/>
      <c r="E161" s="7">
        <f t="shared" si="3"/>
        <v>0</v>
      </c>
      <c r="F161" s="282"/>
    </row>
    <row r="162" s="240" customFormat="1" spans="1:6">
      <c r="A162" s="281"/>
      <c r="B162" s="286"/>
      <c r="C162" s="287"/>
      <c r="D162" s="7"/>
      <c r="E162" s="7">
        <f t="shared" si="3"/>
        <v>0</v>
      </c>
      <c r="F162" s="282"/>
    </row>
    <row r="163" s="240" customFormat="1" spans="1:6">
      <c r="A163" s="281"/>
      <c r="B163" s="286"/>
      <c r="C163" s="287"/>
      <c r="D163" s="7"/>
      <c r="E163" s="7">
        <f t="shared" si="3"/>
        <v>0</v>
      </c>
      <c r="F163" s="282"/>
    </row>
    <row r="164" s="240" customFormat="1" spans="1:6">
      <c r="A164" s="281"/>
      <c r="B164" s="286"/>
      <c r="C164" s="287"/>
      <c r="D164" s="7"/>
      <c r="E164" s="7">
        <f t="shared" si="3"/>
        <v>0</v>
      </c>
      <c r="F164" s="282"/>
    </row>
    <row r="165" s="240" customFormat="1" spans="1:6">
      <c r="A165" s="281"/>
      <c r="B165" s="286"/>
      <c r="C165" s="287"/>
      <c r="D165" s="7"/>
      <c r="E165" s="7">
        <f t="shared" si="3"/>
        <v>0</v>
      </c>
      <c r="F165" s="282"/>
    </row>
    <row r="166" s="240" customFormat="1" spans="1:6">
      <c r="A166" s="281"/>
      <c r="B166" s="286"/>
      <c r="C166" s="287"/>
      <c r="D166" s="7"/>
      <c r="E166" s="7">
        <f t="shared" si="3"/>
        <v>0</v>
      </c>
      <c r="F166" s="282"/>
    </row>
    <row r="167" s="240" customFormat="1" spans="1:6">
      <c r="A167" s="281"/>
      <c r="B167" s="286"/>
      <c r="C167" s="287"/>
      <c r="D167" s="7"/>
      <c r="E167" s="7">
        <f t="shared" si="3"/>
        <v>0</v>
      </c>
      <c r="F167" s="282"/>
    </row>
    <row r="168" s="240" customFormat="1" spans="1:6">
      <c r="A168" s="281"/>
      <c r="B168" s="286"/>
      <c r="C168" s="287"/>
      <c r="D168" s="7"/>
      <c r="E168" s="7">
        <f t="shared" si="3"/>
        <v>0</v>
      </c>
      <c r="F168" s="282"/>
    </row>
    <row r="169" s="240" customFormat="1" spans="1:6">
      <c r="A169" s="281"/>
      <c r="B169" s="286"/>
      <c r="C169" s="287"/>
      <c r="D169" s="7"/>
      <c r="E169" s="7">
        <f t="shared" si="3"/>
        <v>0</v>
      </c>
      <c r="F169" s="282"/>
    </row>
    <row r="170" s="240" customFormat="1" spans="1:6">
      <c r="A170" s="281"/>
      <c r="B170" s="286"/>
      <c r="C170" s="287"/>
      <c r="D170" s="7"/>
      <c r="E170" s="7">
        <f t="shared" si="3"/>
        <v>0</v>
      </c>
      <c r="F170" s="282"/>
    </row>
    <row r="171" s="240" customFormat="1" spans="1:6">
      <c r="A171" s="281"/>
      <c r="B171" s="286"/>
      <c r="C171" s="287"/>
      <c r="D171" s="7"/>
      <c r="E171" s="7">
        <f t="shared" si="3"/>
        <v>0</v>
      </c>
      <c r="F171" s="282"/>
    </row>
    <row r="172" s="240" customFormat="1" spans="1:6">
      <c r="A172" s="281"/>
      <c r="B172" s="286"/>
      <c r="C172" s="287"/>
      <c r="D172" s="7"/>
      <c r="E172" s="7">
        <f t="shared" si="3"/>
        <v>0</v>
      </c>
      <c r="F172" s="282"/>
    </row>
    <row r="173" s="240" customFormat="1" spans="1:6">
      <c r="A173" s="283"/>
      <c r="B173" s="286"/>
      <c r="C173" s="287"/>
      <c r="D173" s="7"/>
      <c r="E173" s="7">
        <f t="shared" si="3"/>
        <v>0</v>
      </c>
      <c r="F173" s="264"/>
    </row>
    <row r="174" s="240" customFormat="1" ht="15.75" spans="1:6">
      <c r="A174" s="281"/>
      <c r="B174" s="286"/>
      <c r="C174" s="287"/>
      <c r="D174" s="7"/>
      <c r="E174" s="7">
        <f t="shared" si="3"/>
        <v>0</v>
      </c>
      <c r="F174" s="282">
        <f>SUM(E174)</f>
        <v>0</v>
      </c>
    </row>
    <row r="175" s="240" customFormat="1" spans="1:6">
      <c r="A175" s="277"/>
      <c r="B175" s="286"/>
      <c r="C175" s="287"/>
      <c r="D175" s="7"/>
      <c r="E175" s="7">
        <f t="shared" si="3"/>
        <v>0</v>
      </c>
      <c r="F175" s="280">
        <f>SUM(E175:E190)</f>
        <v>0</v>
      </c>
    </row>
    <row r="176" s="240" customFormat="1" spans="1:6">
      <c r="A176" s="281"/>
      <c r="B176" s="286"/>
      <c r="C176" s="287"/>
      <c r="D176" s="7"/>
      <c r="E176" s="7">
        <f t="shared" si="3"/>
        <v>0</v>
      </c>
      <c r="F176" s="282"/>
    </row>
    <row r="177" s="240" customFormat="1" spans="1:6">
      <c r="A177" s="281"/>
      <c r="B177" s="286"/>
      <c r="C177" s="287"/>
      <c r="D177" s="7"/>
      <c r="E177" s="7">
        <f t="shared" si="3"/>
        <v>0</v>
      </c>
      <c r="F177" s="282"/>
    </row>
    <row r="178" s="240" customFormat="1" spans="1:6">
      <c r="A178" s="281"/>
      <c r="B178" s="286"/>
      <c r="C178" s="287"/>
      <c r="D178" s="7"/>
      <c r="E178" s="7">
        <f t="shared" si="3"/>
        <v>0</v>
      </c>
      <c r="F178" s="282"/>
    </row>
    <row r="179" s="240" customFormat="1" spans="1:6">
      <c r="A179" s="281"/>
      <c r="B179" s="286"/>
      <c r="C179" s="287"/>
      <c r="D179" s="7"/>
      <c r="E179" s="7">
        <f t="shared" si="3"/>
        <v>0</v>
      </c>
      <c r="F179" s="282"/>
    </row>
    <row r="180" s="240" customFormat="1" spans="1:6">
      <c r="A180" s="281"/>
      <c r="B180" s="286"/>
      <c r="C180" s="287"/>
      <c r="D180" s="7"/>
      <c r="E180" s="7">
        <f t="shared" si="3"/>
        <v>0</v>
      </c>
      <c r="F180" s="282"/>
    </row>
    <row r="181" s="240" customFormat="1" spans="1:6">
      <c r="A181" s="281"/>
      <c r="B181" s="286"/>
      <c r="C181" s="287"/>
      <c r="D181" s="7"/>
      <c r="E181" s="7">
        <f t="shared" si="3"/>
        <v>0</v>
      </c>
      <c r="F181" s="282"/>
    </row>
    <row r="182" s="240" customFormat="1" spans="1:6">
      <c r="A182" s="281"/>
      <c r="B182" s="286"/>
      <c r="C182" s="287"/>
      <c r="D182" s="7"/>
      <c r="E182" s="7">
        <f t="shared" si="3"/>
        <v>0</v>
      </c>
      <c r="F182" s="282"/>
    </row>
    <row r="183" s="240" customFormat="1" spans="1:6">
      <c r="A183" s="281"/>
      <c r="B183" s="286"/>
      <c r="C183" s="287"/>
      <c r="D183" s="7"/>
      <c r="E183" s="7">
        <f t="shared" si="3"/>
        <v>0</v>
      </c>
      <c r="F183" s="282"/>
    </row>
    <row r="184" s="240" customFormat="1" spans="1:6">
      <c r="A184" s="281"/>
      <c r="B184" s="286"/>
      <c r="C184" s="287"/>
      <c r="D184" s="7"/>
      <c r="E184" s="7">
        <f t="shared" si="3"/>
        <v>0</v>
      </c>
      <c r="F184" s="282"/>
    </row>
    <row r="185" s="240" customFormat="1" spans="1:6">
      <c r="A185" s="281"/>
      <c r="B185" s="286"/>
      <c r="C185" s="287"/>
      <c r="D185" s="7"/>
      <c r="E185" s="7">
        <f t="shared" si="3"/>
        <v>0</v>
      </c>
      <c r="F185" s="282"/>
    </row>
    <row r="186" s="240" customFormat="1" spans="1:6">
      <c r="A186" s="281"/>
      <c r="B186" s="286"/>
      <c r="C186" s="287"/>
      <c r="D186" s="7"/>
      <c r="E186" s="7">
        <f t="shared" si="3"/>
        <v>0</v>
      </c>
      <c r="F186" s="282"/>
    </row>
    <row r="187" s="240" customFormat="1" spans="1:6">
      <c r="A187" s="281"/>
      <c r="B187" s="286"/>
      <c r="C187" s="287"/>
      <c r="D187" s="7"/>
      <c r="E187" s="7">
        <f t="shared" si="3"/>
        <v>0</v>
      </c>
      <c r="F187" s="282"/>
    </row>
    <row r="188" s="240" customFormat="1" spans="1:6">
      <c r="A188" s="281"/>
      <c r="B188" s="286"/>
      <c r="C188" s="287"/>
      <c r="D188" s="7"/>
      <c r="E188" s="7">
        <f t="shared" si="3"/>
        <v>0</v>
      </c>
      <c r="F188" s="282"/>
    </row>
    <row r="189" s="240" customFormat="1" spans="1:6">
      <c r="A189" s="281"/>
      <c r="B189" s="289"/>
      <c r="C189" s="290"/>
      <c r="D189" s="264"/>
      <c r="E189" s="7">
        <f t="shared" si="3"/>
        <v>0</v>
      </c>
      <c r="F189" s="282"/>
    </row>
    <row r="190" s="240" customFormat="1" spans="1:6">
      <c r="A190" s="281"/>
      <c r="B190" s="286"/>
      <c r="C190" s="287"/>
      <c r="D190" s="7"/>
      <c r="E190" s="7">
        <f t="shared" si="3"/>
        <v>0</v>
      </c>
      <c r="F190" s="264"/>
    </row>
    <row r="191" s="240" customFormat="1" spans="1:6">
      <c r="A191" s="277"/>
      <c r="B191" s="286"/>
      <c r="C191" s="287"/>
      <c r="D191" s="7"/>
      <c r="E191" s="7">
        <f t="shared" si="3"/>
        <v>0</v>
      </c>
      <c r="F191" s="280">
        <f>SUM(E191:E198)</f>
        <v>0</v>
      </c>
    </row>
    <row r="192" s="240" customFormat="1" spans="1:6">
      <c r="A192" s="281"/>
      <c r="B192" s="286"/>
      <c r="C192" s="287"/>
      <c r="D192" s="7"/>
      <c r="E192" s="7">
        <f t="shared" si="3"/>
        <v>0</v>
      </c>
      <c r="F192" s="282"/>
    </row>
    <row r="193" s="240" customFormat="1" spans="1:6">
      <c r="A193" s="281"/>
      <c r="B193" s="286"/>
      <c r="C193" s="287"/>
      <c r="D193" s="7"/>
      <c r="E193" s="7">
        <f t="shared" si="3"/>
        <v>0</v>
      </c>
      <c r="F193" s="282"/>
    </row>
    <row r="194" s="240" customFormat="1" spans="1:6">
      <c r="A194" s="281"/>
      <c r="B194" s="286"/>
      <c r="C194" s="287"/>
      <c r="D194" s="7"/>
      <c r="E194" s="7">
        <f t="shared" si="3"/>
        <v>0</v>
      </c>
      <c r="F194" s="282"/>
    </row>
    <row r="195" s="240" customFormat="1" spans="1:6">
      <c r="A195" s="281"/>
      <c r="B195" s="286"/>
      <c r="C195" s="287"/>
      <c r="D195" s="7"/>
      <c r="E195" s="7">
        <f t="shared" si="3"/>
        <v>0</v>
      </c>
      <c r="F195" s="282"/>
    </row>
    <row r="196" s="240" customFormat="1" spans="1:6">
      <c r="A196" s="281"/>
      <c r="B196" s="286"/>
      <c r="C196" s="287"/>
      <c r="D196" s="7"/>
      <c r="E196" s="7">
        <f t="shared" si="3"/>
        <v>0</v>
      </c>
      <c r="F196" s="282"/>
    </row>
    <row r="197" s="240" customFormat="1" spans="1:6">
      <c r="A197" s="281"/>
      <c r="B197" s="286"/>
      <c r="C197" s="287"/>
      <c r="D197" s="7"/>
      <c r="E197" s="7">
        <f t="shared" ref="E197:E260" si="4">SUM(C197*D197)</f>
        <v>0</v>
      </c>
      <c r="F197" s="282"/>
    </row>
    <row r="198" s="240" customFormat="1" spans="1:6">
      <c r="A198" s="283"/>
      <c r="B198" s="286"/>
      <c r="C198" s="287"/>
      <c r="D198" s="7"/>
      <c r="E198" s="7">
        <f t="shared" si="4"/>
        <v>0</v>
      </c>
      <c r="F198" s="264"/>
    </row>
    <row r="199" s="240" customFormat="1" spans="1:6">
      <c r="A199" s="277"/>
      <c r="B199" s="286"/>
      <c r="C199" s="287"/>
      <c r="D199" s="7"/>
      <c r="E199" s="7">
        <f t="shared" si="4"/>
        <v>0</v>
      </c>
      <c r="F199" s="280">
        <f>SUM(E199:E210)</f>
        <v>0</v>
      </c>
    </row>
    <row r="200" s="240" customFormat="1" spans="1:6">
      <c r="A200" s="281"/>
      <c r="B200" s="286"/>
      <c r="C200" s="287"/>
      <c r="D200" s="7"/>
      <c r="E200" s="7">
        <f t="shared" si="4"/>
        <v>0</v>
      </c>
      <c r="F200" s="282"/>
    </row>
    <row r="201" s="240" customFormat="1" spans="1:6">
      <c r="A201" s="281"/>
      <c r="B201" s="286"/>
      <c r="C201" s="287"/>
      <c r="D201" s="7"/>
      <c r="E201" s="7">
        <f t="shared" si="4"/>
        <v>0</v>
      </c>
      <c r="F201" s="282"/>
    </row>
    <row r="202" s="240" customFormat="1" spans="1:6">
      <c r="A202" s="281"/>
      <c r="B202" s="286"/>
      <c r="C202" s="287"/>
      <c r="D202" s="7"/>
      <c r="E202" s="7">
        <f t="shared" si="4"/>
        <v>0</v>
      </c>
      <c r="F202" s="282"/>
    </row>
    <row r="203" s="240" customFormat="1" spans="1:6">
      <c r="A203" s="281"/>
      <c r="B203" s="286"/>
      <c r="C203" s="287"/>
      <c r="D203" s="7"/>
      <c r="E203" s="7">
        <f t="shared" si="4"/>
        <v>0</v>
      </c>
      <c r="F203" s="282"/>
    </row>
    <row r="204" s="240" customFormat="1" spans="1:6">
      <c r="A204" s="281"/>
      <c r="B204" s="286"/>
      <c r="C204" s="287"/>
      <c r="D204" s="7"/>
      <c r="E204" s="7">
        <f t="shared" si="4"/>
        <v>0</v>
      </c>
      <c r="F204" s="282"/>
    </row>
    <row r="205" s="240" customFormat="1" spans="1:6">
      <c r="A205" s="281"/>
      <c r="B205" s="286"/>
      <c r="C205" s="287"/>
      <c r="D205" s="7"/>
      <c r="E205" s="7">
        <f t="shared" si="4"/>
        <v>0</v>
      </c>
      <c r="F205" s="282"/>
    </row>
    <row r="206" s="240" customFormat="1" spans="1:6">
      <c r="A206" s="281"/>
      <c r="B206" s="286"/>
      <c r="C206" s="287"/>
      <c r="D206" s="7"/>
      <c r="E206" s="7">
        <f t="shared" si="4"/>
        <v>0</v>
      </c>
      <c r="F206" s="282"/>
    </row>
    <row r="207" s="240" customFormat="1" spans="1:6">
      <c r="A207" s="281"/>
      <c r="B207" s="286"/>
      <c r="C207" s="287"/>
      <c r="D207" s="7"/>
      <c r="E207" s="7">
        <f t="shared" si="4"/>
        <v>0</v>
      </c>
      <c r="F207" s="282"/>
    </row>
    <row r="208" s="240" customFormat="1" spans="1:6">
      <c r="A208" s="281"/>
      <c r="B208" s="286"/>
      <c r="C208" s="287"/>
      <c r="D208" s="7"/>
      <c r="E208" s="7">
        <f t="shared" si="4"/>
        <v>0</v>
      </c>
      <c r="F208" s="282"/>
    </row>
    <row r="209" s="240" customFormat="1" spans="1:6">
      <c r="A209" s="281"/>
      <c r="B209" s="286"/>
      <c r="C209" s="287"/>
      <c r="D209" s="7"/>
      <c r="E209" s="7">
        <f t="shared" si="4"/>
        <v>0</v>
      </c>
      <c r="F209" s="282"/>
    </row>
    <row r="210" s="240" customFormat="1" spans="1:6">
      <c r="A210" s="283"/>
      <c r="B210" s="286"/>
      <c r="C210" s="287"/>
      <c r="D210" s="7"/>
      <c r="E210" s="7">
        <f t="shared" si="4"/>
        <v>0</v>
      </c>
      <c r="F210" s="264"/>
    </row>
    <row r="211" s="240" customFormat="1" spans="1:6">
      <c r="A211" s="277"/>
      <c r="B211" s="286"/>
      <c r="C211" s="287"/>
      <c r="D211" s="7"/>
      <c r="E211" s="7">
        <f t="shared" si="4"/>
        <v>0</v>
      </c>
      <c r="F211" s="280">
        <f>SUM(E211:E219)</f>
        <v>0</v>
      </c>
    </row>
    <row r="212" s="240" customFormat="1" spans="1:6">
      <c r="A212" s="281"/>
      <c r="B212" s="286"/>
      <c r="C212" s="287"/>
      <c r="D212" s="7"/>
      <c r="E212" s="7">
        <f t="shared" si="4"/>
        <v>0</v>
      </c>
      <c r="F212" s="282"/>
    </row>
    <row r="213" s="240" customFormat="1" spans="1:6">
      <c r="A213" s="281"/>
      <c r="B213" s="286"/>
      <c r="C213" s="287"/>
      <c r="D213" s="7"/>
      <c r="E213" s="7">
        <f t="shared" si="4"/>
        <v>0</v>
      </c>
      <c r="F213" s="282"/>
    </row>
    <row r="214" s="240" customFormat="1" spans="1:6">
      <c r="A214" s="281"/>
      <c r="B214" s="286"/>
      <c r="C214" s="287"/>
      <c r="D214" s="7"/>
      <c r="E214" s="7">
        <f t="shared" si="4"/>
        <v>0</v>
      </c>
      <c r="F214" s="282"/>
    </row>
    <row r="215" s="240" customFormat="1" spans="1:6">
      <c r="A215" s="281"/>
      <c r="B215" s="286"/>
      <c r="C215" s="287"/>
      <c r="D215" s="7"/>
      <c r="E215" s="7">
        <f t="shared" si="4"/>
        <v>0</v>
      </c>
      <c r="F215" s="282"/>
    </row>
    <row r="216" s="240" customFormat="1" spans="1:6">
      <c r="A216" s="281"/>
      <c r="B216" s="286"/>
      <c r="C216" s="287"/>
      <c r="D216" s="7"/>
      <c r="E216" s="7">
        <f t="shared" si="4"/>
        <v>0</v>
      </c>
      <c r="F216" s="282"/>
    </row>
    <row r="217" s="240" customFormat="1" spans="1:6">
      <c r="A217" s="281"/>
      <c r="B217" s="286"/>
      <c r="C217" s="287"/>
      <c r="D217" s="7"/>
      <c r="E217" s="7">
        <f t="shared" si="4"/>
        <v>0</v>
      </c>
      <c r="F217" s="282"/>
    </row>
    <row r="218" s="240" customFormat="1" spans="1:6">
      <c r="A218" s="281"/>
      <c r="B218" s="286"/>
      <c r="C218" s="287"/>
      <c r="D218" s="7"/>
      <c r="E218" s="7">
        <f t="shared" si="4"/>
        <v>0</v>
      </c>
      <c r="F218" s="282"/>
    </row>
    <row r="219" s="240" customFormat="1" spans="1:6">
      <c r="A219" s="283"/>
      <c r="B219" s="286"/>
      <c r="C219" s="287"/>
      <c r="D219" s="7"/>
      <c r="E219" s="7">
        <f t="shared" si="4"/>
        <v>0</v>
      </c>
      <c r="F219" s="264"/>
    </row>
    <row r="220" s="240" customFormat="1" spans="1:6">
      <c r="A220" s="277"/>
      <c r="B220" s="286"/>
      <c r="C220" s="287"/>
      <c r="D220" s="7"/>
      <c r="E220" s="7">
        <f t="shared" si="4"/>
        <v>0</v>
      </c>
      <c r="F220" s="280">
        <f>SUM(E220:E230)</f>
        <v>0</v>
      </c>
    </row>
    <row r="221" s="240" customFormat="1" spans="1:6">
      <c r="A221" s="281"/>
      <c r="B221" s="286"/>
      <c r="C221" s="287"/>
      <c r="D221" s="7"/>
      <c r="E221" s="7">
        <f t="shared" si="4"/>
        <v>0</v>
      </c>
      <c r="F221" s="282"/>
    </row>
    <row r="222" s="240" customFormat="1" spans="1:6">
      <c r="A222" s="281"/>
      <c r="B222" s="286"/>
      <c r="C222" s="287"/>
      <c r="D222" s="7"/>
      <c r="E222" s="7">
        <f t="shared" si="4"/>
        <v>0</v>
      </c>
      <c r="F222" s="282"/>
    </row>
    <row r="223" s="240" customFormat="1" spans="1:6">
      <c r="A223" s="281"/>
      <c r="B223" s="286"/>
      <c r="C223" s="287"/>
      <c r="D223" s="7"/>
      <c r="E223" s="7">
        <f t="shared" si="4"/>
        <v>0</v>
      </c>
      <c r="F223" s="282"/>
    </row>
    <row r="224" s="240" customFormat="1" spans="1:6">
      <c r="A224" s="281"/>
      <c r="B224" s="286"/>
      <c r="C224" s="287"/>
      <c r="D224" s="7"/>
      <c r="E224" s="7">
        <f t="shared" si="4"/>
        <v>0</v>
      </c>
      <c r="F224" s="282"/>
    </row>
    <row r="225" s="240" customFormat="1" spans="1:6">
      <c r="A225" s="281"/>
      <c r="B225" s="286"/>
      <c r="C225" s="287"/>
      <c r="D225" s="7"/>
      <c r="E225" s="7">
        <f t="shared" si="4"/>
        <v>0</v>
      </c>
      <c r="F225" s="282"/>
    </row>
    <row r="226" s="240" customFormat="1" spans="1:6">
      <c r="A226" s="281"/>
      <c r="B226" s="286"/>
      <c r="C226" s="287"/>
      <c r="D226" s="7"/>
      <c r="E226" s="7">
        <f t="shared" si="4"/>
        <v>0</v>
      </c>
      <c r="F226" s="282"/>
    </row>
    <row r="227" s="240" customFormat="1" spans="1:6">
      <c r="A227" s="281"/>
      <c r="B227" s="286"/>
      <c r="C227" s="287"/>
      <c r="D227" s="7"/>
      <c r="E227" s="7">
        <f t="shared" si="4"/>
        <v>0</v>
      </c>
      <c r="F227" s="282"/>
    </row>
    <row r="228" s="240" customFormat="1" spans="1:6">
      <c r="A228" s="281"/>
      <c r="B228" s="286"/>
      <c r="C228" s="287"/>
      <c r="D228" s="7"/>
      <c r="E228" s="7">
        <f t="shared" si="4"/>
        <v>0</v>
      </c>
      <c r="F228" s="282"/>
    </row>
    <row r="229" s="240" customFormat="1" spans="1:6">
      <c r="A229" s="281"/>
      <c r="B229" s="286"/>
      <c r="C229" s="287"/>
      <c r="D229" s="7"/>
      <c r="E229" s="7">
        <f t="shared" si="4"/>
        <v>0</v>
      </c>
      <c r="F229" s="282"/>
    </row>
    <row r="230" s="240" customFormat="1" spans="1:6">
      <c r="A230" s="283"/>
      <c r="B230" s="286"/>
      <c r="C230" s="287"/>
      <c r="D230" s="7"/>
      <c r="E230" s="7">
        <f t="shared" si="4"/>
        <v>0</v>
      </c>
      <c r="F230" s="264"/>
    </row>
    <row r="231" s="240" customFormat="1" spans="1:6">
      <c r="A231" s="277"/>
      <c r="B231" s="286"/>
      <c r="C231" s="287"/>
      <c r="D231" s="7"/>
      <c r="E231" s="7">
        <f t="shared" si="4"/>
        <v>0</v>
      </c>
      <c r="F231" s="280">
        <f>SUM(E231:E241)</f>
        <v>0</v>
      </c>
    </row>
    <row r="232" s="240" customFormat="1" spans="1:6">
      <c r="A232" s="281"/>
      <c r="B232" s="286"/>
      <c r="C232" s="287"/>
      <c r="D232" s="7"/>
      <c r="E232" s="7">
        <f t="shared" si="4"/>
        <v>0</v>
      </c>
      <c r="F232" s="282"/>
    </row>
    <row r="233" s="240" customFormat="1" spans="1:6">
      <c r="A233" s="281"/>
      <c r="B233" s="286"/>
      <c r="C233" s="287"/>
      <c r="D233" s="7"/>
      <c r="E233" s="7">
        <f t="shared" si="4"/>
        <v>0</v>
      </c>
      <c r="F233" s="282"/>
    </row>
    <row r="234" s="240" customFormat="1" spans="1:6">
      <c r="A234" s="281"/>
      <c r="B234" s="286"/>
      <c r="C234" s="287"/>
      <c r="D234" s="7"/>
      <c r="E234" s="7">
        <f t="shared" si="4"/>
        <v>0</v>
      </c>
      <c r="F234" s="282"/>
    </row>
    <row r="235" s="240" customFormat="1" spans="1:6">
      <c r="A235" s="281"/>
      <c r="B235" s="286"/>
      <c r="C235" s="287"/>
      <c r="D235" s="7"/>
      <c r="E235" s="7">
        <f t="shared" si="4"/>
        <v>0</v>
      </c>
      <c r="F235" s="282"/>
    </row>
    <row r="236" s="240" customFormat="1" spans="1:6">
      <c r="A236" s="281"/>
      <c r="B236" s="286"/>
      <c r="C236" s="287"/>
      <c r="D236" s="7"/>
      <c r="E236" s="7">
        <f t="shared" si="4"/>
        <v>0</v>
      </c>
      <c r="F236" s="282"/>
    </row>
    <row r="237" s="240" customFormat="1" spans="1:6">
      <c r="A237" s="281"/>
      <c r="B237" s="286"/>
      <c r="C237" s="287"/>
      <c r="D237" s="7"/>
      <c r="E237" s="7">
        <f t="shared" si="4"/>
        <v>0</v>
      </c>
      <c r="F237" s="282"/>
    </row>
    <row r="238" s="240" customFormat="1" spans="1:6">
      <c r="A238" s="281"/>
      <c r="B238" s="286"/>
      <c r="C238" s="287"/>
      <c r="D238" s="7"/>
      <c r="E238" s="7">
        <f t="shared" si="4"/>
        <v>0</v>
      </c>
      <c r="F238" s="282"/>
    </row>
    <row r="239" s="240" customFormat="1" spans="1:6">
      <c r="A239" s="281"/>
      <c r="B239" s="286"/>
      <c r="C239" s="287"/>
      <c r="D239" s="7"/>
      <c r="E239" s="7">
        <f t="shared" si="4"/>
        <v>0</v>
      </c>
      <c r="F239" s="282"/>
    </row>
    <row r="240" s="240" customFormat="1" spans="1:6">
      <c r="A240" s="281"/>
      <c r="B240" s="286"/>
      <c r="C240" s="287"/>
      <c r="D240" s="7"/>
      <c r="E240" s="7">
        <f t="shared" si="4"/>
        <v>0</v>
      </c>
      <c r="F240" s="282"/>
    </row>
    <row r="241" s="240" customFormat="1" spans="1:6">
      <c r="A241" s="283"/>
      <c r="B241" s="286"/>
      <c r="C241" s="287"/>
      <c r="D241" s="7"/>
      <c r="E241" s="7">
        <f t="shared" si="4"/>
        <v>0</v>
      </c>
      <c r="F241" s="264"/>
    </row>
    <row r="242" s="240" customFormat="1" spans="1:6">
      <c r="A242" s="277"/>
      <c r="B242" s="286"/>
      <c r="C242" s="287"/>
      <c r="D242" s="7"/>
      <c r="E242" s="7">
        <f t="shared" si="4"/>
        <v>0</v>
      </c>
      <c r="F242" s="280">
        <f>SUM(E242:E252)</f>
        <v>0</v>
      </c>
    </row>
    <row r="243" s="240" customFormat="1" spans="1:6">
      <c r="A243" s="281"/>
      <c r="B243" s="286"/>
      <c r="C243" s="287"/>
      <c r="D243" s="7"/>
      <c r="E243" s="7">
        <f t="shared" si="4"/>
        <v>0</v>
      </c>
      <c r="F243" s="282"/>
    </row>
    <row r="244" s="240" customFormat="1" spans="1:6">
      <c r="A244" s="281"/>
      <c r="B244" s="286"/>
      <c r="C244" s="287"/>
      <c r="D244" s="7"/>
      <c r="E244" s="7">
        <f t="shared" si="4"/>
        <v>0</v>
      </c>
      <c r="F244" s="282"/>
    </row>
    <row r="245" s="240" customFormat="1" spans="1:6">
      <c r="A245" s="281"/>
      <c r="B245" s="286"/>
      <c r="C245" s="287"/>
      <c r="D245" s="7"/>
      <c r="E245" s="7">
        <f t="shared" si="4"/>
        <v>0</v>
      </c>
      <c r="F245" s="282"/>
    </row>
    <row r="246" s="240" customFormat="1" spans="1:6">
      <c r="A246" s="281"/>
      <c r="B246" s="286"/>
      <c r="C246" s="287"/>
      <c r="D246" s="7"/>
      <c r="E246" s="7">
        <f t="shared" si="4"/>
        <v>0</v>
      </c>
      <c r="F246" s="282"/>
    </row>
    <row r="247" s="240" customFormat="1" spans="1:6">
      <c r="A247" s="281"/>
      <c r="B247" s="286"/>
      <c r="C247" s="287"/>
      <c r="D247" s="7"/>
      <c r="E247" s="7">
        <f t="shared" si="4"/>
        <v>0</v>
      </c>
      <c r="F247" s="282"/>
    </row>
    <row r="248" s="240" customFormat="1" spans="1:6">
      <c r="A248" s="281"/>
      <c r="B248" s="286"/>
      <c r="C248" s="287"/>
      <c r="D248" s="7"/>
      <c r="E248" s="7">
        <f t="shared" si="4"/>
        <v>0</v>
      </c>
      <c r="F248" s="282"/>
    </row>
    <row r="249" s="240" customFormat="1" spans="1:6">
      <c r="A249" s="281"/>
      <c r="B249" s="286"/>
      <c r="C249" s="287"/>
      <c r="D249" s="7"/>
      <c r="E249" s="7">
        <f t="shared" si="4"/>
        <v>0</v>
      </c>
      <c r="F249" s="282"/>
    </row>
    <row r="250" s="240" customFormat="1" spans="1:6">
      <c r="A250" s="281"/>
      <c r="B250" s="286"/>
      <c r="C250" s="287"/>
      <c r="D250" s="7"/>
      <c r="E250" s="7">
        <f t="shared" si="4"/>
        <v>0</v>
      </c>
      <c r="F250" s="282"/>
    </row>
    <row r="251" s="240" customFormat="1" spans="1:6">
      <c r="A251" s="281"/>
      <c r="B251" s="286"/>
      <c r="C251" s="287"/>
      <c r="D251" s="7"/>
      <c r="E251" s="7">
        <f t="shared" si="4"/>
        <v>0</v>
      </c>
      <c r="F251" s="282"/>
    </row>
    <row r="252" s="240" customFormat="1" spans="1:6">
      <c r="A252" s="283"/>
      <c r="B252" s="286"/>
      <c r="C252" s="287"/>
      <c r="D252" s="7"/>
      <c r="E252" s="7">
        <f t="shared" si="4"/>
        <v>0</v>
      </c>
      <c r="F252" s="264"/>
    </row>
    <row r="253" s="240" customFormat="1" spans="1:6">
      <c r="A253" s="277"/>
      <c r="B253" s="286"/>
      <c r="C253" s="287"/>
      <c r="D253" s="7"/>
      <c r="E253" s="7">
        <f t="shared" si="4"/>
        <v>0</v>
      </c>
      <c r="F253" s="280">
        <f>SUM(E253:E262)</f>
        <v>0</v>
      </c>
    </row>
    <row r="254" s="240" customFormat="1" spans="1:6">
      <c r="A254" s="281"/>
      <c r="B254" s="286"/>
      <c r="C254" s="287"/>
      <c r="D254" s="7"/>
      <c r="E254" s="7">
        <f t="shared" si="4"/>
        <v>0</v>
      </c>
      <c r="F254" s="282"/>
    </row>
    <row r="255" s="240" customFormat="1" spans="1:6">
      <c r="A255" s="281"/>
      <c r="B255" s="286"/>
      <c r="C255" s="287"/>
      <c r="D255" s="7"/>
      <c r="E255" s="7">
        <f t="shared" si="4"/>
        <v>0</v>
      </c>
      <c r="F255" s="282"/>
    </row>
    <row r="256" s="240" customFormat="1" spans="1:6">
      <c r="A256" s="281"/>
      <c r="B256" s="286"/>
      <c r="C256" s="287"/>
      <c r="D256" s="7"/>
      <c r="E256" s="7">
        <f t="shared" si="4"/>
        <v>0</v>
      </c>
      <c r="F256" s="282"/>
    </row>
    <row r="257" s="240" customFormat="1" spans="1:6">
      <c r="A257" s="281"/>
      <c r="B257" s="286"/>
      <c r="C257" s="287"/>
      <c r="D257" s="7"/>
      <c r="E257" s="7">
        <f t="shared" si="4"/>
        <v>0</v>
      </c>
      <c r="F257" s="282"/>
    </row>
    <row r="258" s="240" customFormat="1" spans="1:6">
      <c r="A258" s="281"/>
      <c r="B258" s="286"/>
      <c r="C258" s="287"/>
      <c r="D258" s="7"/>
      <c r="E258" s="7">
        <f t="shared" si="4"/>
        <v>0</v>
      </c>
      <c r="F258" s="282"/>
    </row>
    <row r="259" s="240" customFormat="1" spans="1:6">
      <c r="A259" s="281"/>
      <c r="B259" s="286"/>
      <c r="C259" s="287"/>
      <c r="D259" s="7"/>
      <c r="E259" s="7">
        <f t="shared" si="4"/>
        <v>0</v>
      </c>
      <c r="F259" s="282"/>
    </row>
    <row r="260" s="240" customFormat="1" spans="1:6">
      <c r="A260" s="281"/>
      <c r="B260" s="286"/>
      <c r="C260" s="287"/>
      <c r="D260" s="7"/>
      <c r="E260" s="7">
        <f t="shared" si="4"/>
        <v>0</v>
      </c>
      <c r="F260" s="282"/>
    </row>
    <row r="261" s="240" customFormat="1" spans="1:6">
      <c r="A261" s="281"/>
      <c r="B261" s="286"/>
      <c r="C261" s="287"/>
      <c r="D261" s="7"/>
      <c r="E261" s="7">
        <f t="shared" ref="E261:E274" si="5">SUM(C261*D261)</f>
        <v>0</v>
      </c>
      <c r="F261" s="282"/>
    </row>
    <row r="262" s="240" customFormat="1" spans="1:6">
      <c r="A262" s="283"/>
      <c r="B262" s="286"/>
      <c r="C262" s="287"/>
      <c r="D262" s="7"/>
      <c r="E262" s="7">
        <f t="shared" si="5"/>
        <v>0</v>
      </c>
      <c r="F262" s="264"/>
    </row>
    <row r="263" s="240" customFormat="1" ht="15.75" spans="1:6">
      <c r="A263" s="288"/>
      <c r="B263" s="286"/>
      <c r="C263" s="287"/>
      <c r="D263" s="7"/>
      <c r="E263" s="7">
        <f t="shared" si="5"/>
        <v>0</v>
      </c>
      <c r="F263" s="252">
        <f>SUM(E263)</f>
        <v>0</v>
      </c>
    </row>
    <row r="264" s="240" customFormat="1" spans="1:6">
      <c r="A264" s="277"/>
      <c r="B264" s="286"/>
      <c r="C264" s="287"/>
      <c r="D264" s="7"/>
      <c r="E264" s="7">
        <f t="shared" si="5"/>
        <v>0</v>
      </c>
      <c r="F264" s="280">
        <f>SUM(E264:E274)</f>
        <v>0</v>
      </c>
    </row>
    <row r="265" s="240" customFormat="1" spans="1:6">
      <c r="A265" s="281"/>
      <c r="B265" s="286"/>
      <c r="C265" s="287"/>
      <c r="D265" s="7"/>
      <c r="E265" s="7">
        <f t="shared" si="5"/>
        <v>0</v>
      </c>
      <c r="F265" s="282"/>
    </row>
    <row r="266" s="240" customFormat="1" spans="1:6">
      <c r="A266" s="281"/>
      <c r="B266" s="286"/>
      <c r="C266" s="287"/>
      <c r="D266" s="7"/>
      <c r="E266" s="7">
        <f t="shared" si="5"/>
        <v>0</v>
      </c>
      <c r="F266" s="282"/>
    </row>
    <row r="267" s="240" customFormat="1" spans="1:6">
      <c r="A267" s="281"/>
      <c r="B267" s="286"/>
      <c r="C267" s="287"/>
      <c r="D267" s="7"/>
      <c r="E267" s="7">
        <f t="shared" si="5"/>
        <v>0</v>
      </c>
      <c r="F267" s="282"/>
    </row>
    <row r="268" s="240" customFormat="1" spans="1:6">
      <c r="A268" s="281"/>
      <c r="B268" s="286"/>
      <c r="C268" s="287"/>
      <c r="D268" s="7"/>
      <c r="E268" s="7">
        <f t="shared" si="5"/>
        <v>0</v>
      </c>
      <c r="F268" s="282"/>
    </row>
    <row r="269" s="240" customFormat="1" spans="1:6">
      <c r="A269" s="281"/>
      <c r="B269" s="286"/>
      <c r="C269" s="287"/>
      <c r="D269" s="7"/>
      <c r="E269" s="7">
        <f t="shared" si="5"/>
        <v>0</v>
      </c>
      <c r="F269" s="282"/>
    </row>
    <row r="270" s="240" customFormat="1" spans="1:6">
      <c r="A270" s="281"/>
      <c r="B270" s="286"/>
      <c r="C270" s="287"/>
      <c r="D270" s="7"/>
      <c r="E270" s="7">
        <f t="shared" si="5"/>
        <v>0</v>
      </c>
      <c r="F270" s="282"/>
    </row>
    <row r="271" s="240" customFormat="1" spans="1:6">
      <c r="A271" s="281"/>
      <c r="B271" s="286"/>
      <c r="C271" s="287"/>
      <c r="D271" s="7"/>
      <c r="E271" s="7">
        <f t="shared" si="5"/>
        <v>0</v>
      </c>
      <c r="F271" s="282"/>
    </row>
    <row r="272" s="240" customFormat="1" spans="1:6">
      <c r="A272" s="281"/>
      <c r="B272" s="286"/>
      <c r="C272" s="287"/>
      <c r="D272" s="7"/>
      <c r="E272" s="7">
        <f t="shared" si="5"/>
        <v>0</v>
      </c>
      <c r="F272" s="282"/>
    </row>
    <row r="273" s="240" customFormat="1" spans="1:6">
      <c r="A273" s="281"/>
      <c r="B273" s="286"/>
      <c r="C273" s="287"/>
      <c r="D273" s="7"/>
      <c r="E273" s="7">
        <f t="shared" si="5"/>
        <v>0</v>
      </c>
      <c r="F273" s="282"/>
    </row>
    <row r="274" s="240" customFormat="1" spans="1:6">
      <c r="A274" s="283"/>
      <c r="B274" s="286"/>
      <c r="C274" s="287"/>
      <c r="D274" s="7"/>
      <c r="E274" s="7">
        <f t="shared" si="5"/>
        <v>0</v>
      </c>
      <c r="F274" s="264"/>
    </row>
    <row r="275" s="240" customFormat="1" spans="1:6">
      <c r="A275" s="242"/>
      <c r="C275" s="241"/>
      <c r="E275" s="7"/>
      <c r="F275" s="252">
        <f>SUM(F2:F274)</f>
        <v>0</v>
      </c>
    </row>
    <row r="276" s="240" customFormat="1" spans="1:3">
      <c r="A276" s="242"/>
      <c r="C276" s="241"/>
    </row>
    <row r="277" s="240" customFormat="1" spans="1:3">
      <c r="A277" s="242"/>
      <c r="C277" s="241"/>
    </row>
    <row r="278" s="240" customFormat="1" spans="1:3">
      <c r="A278" s="242"/>
      <c r="C278" s="241"/>
    </row>
    <row r="279" s="240" customFormat="1" spans="1:3">
      <c r="A279" s="242"/>
      <c r="C279" s="241"/>
    </row>
    <row r="280" s="240" customFormat="1" spans="1:3">
      <c r="A280" s="242"/>
      <c r="C280" s="241"/>
    </row>
    <row r="281" s="240" customFormat="1" spans="1:3">
      <c r="A281" s="242"/>
      <c r="C281" s="241"/>
    </row>
    <row r="282" s="240" customFormat="1" spans="1:3">
      <c r="A282" s="242"/>
      <c r="C282" s="241"/>
    </row>
    <row r="283" s="240" customFormat="1" spans="1:3">
      <c r="A283" s="242"/>
      <c r="C283" s="241"/>
    </row>
    <row r="284" s="240" customFormat="1" spans="1:3">
      <c r="A284" s="242"/>
      <c r="C284" s="241"/>
    </row>
    <row r="285" s="240" customFormat="1" spans="1:3">
      <c r="A285" s="242"/>
      <c r="C285" s="241"/>
    </row>
    <row r="286" s="240" customFormat="1" spans="1:3">
      <c r="A286" s="242"/>
      <c r="C286" s="241"/>
    </row>
    <row r="287" s="240" customFormat="1" spans="1:3">
      <c r="A287" s="242"/>
      <c r="C287" s="241"/>
    </row>
    <row r="288" s="240" customFormat="1" spans="1:3">
      <c r="A288" s="242"/>
      <c r="C288" s="241"/>
    </row>
    <row r="289" s="240" customFormat="1" spans="1:3">
      <c r="A289" s="242"/>
      <c r="C289" s="241"/>
    </row>
    <row r="290" s="240" customFormat="1" spans="1:3">
      <c r="A290" s="242"/>
      <c r="C290" s="241"/>
    </row>
    <row r="291" s="240" customFormat="1" spans="1:3">
      <c r="A291" s="242"/>
      <c r="C291" s="241"/>
    </row>
    <row r="292" s="240" customFormat="1" spans="1:3">
      <c r="A292" s="242"/>
      <c r="C292" s="241"/>
    </row>
    <row r="293" s="240" customFormat="1" spans="1:3">
      <c r="A293" s="242"/>
      <c r="C293" s="241"/>
    </row>
    <row r="294" s="240" customFormat="1" spans="1:3">
      <c r="A294" s="242"/>
      <c r="C294" s="241"/>
    </row>
    <row r="295" s="240" customFormat="1" spans="1:3">
      <c r="A295" s="242"/>
      <c r="C295" s="241"/>
    </row>
    <row r="296" s="240" customFormat="1" spans="1:3">
      <c r="A296" s="242"/>
      <c r="C296" s="241"/>
    </row>
    <row r="297" s="240" customFormat="1" spans="1:3">
      <c r="A297" s="242"/>
      <c r="C297" s="241"/>
    </row>
    <row r="298" s="240" customFormat="1" spans="1:3">
      <c r="A298" s="242"/>
      <c r="C298" s="241"/>
    </row>
    <row r="299" s="240" customFormat="1" spans="1:3">
      <c r="A299" s="242"/>
      <c r="C299" s="241"/>
    </row>
    <row r="300" s="240" customFormat="1" spans="1:3">
      <c r="A300" s="242"/>
      <c r="C300" s="241"/>
    </row>
    <row r="301" s="240" customFormat="1" spans="1:3">
      <c r="A301" s="242"/>
      <c r="C301" s="241"/>
    </row>
    <row r="302" s="240" customFormat="1" spans="1:3">
      <c r="A302" s="242"/>
      <c r="C302" s="241"/>
    </row>
    <row r="303" s="240" customFormat="1" spans="1:3">
      <c r="A303" s="242"/>
      <c r="C303" s="241"/>
    </row>
    <row r="304" s="240" customFormat="1" spans="1:3">
      <c r="A304" s="242"/>
      <c r="C304" s="241"/>
    </row>
    <row r="305" s="240" customFormat="1" spans="1:3">
      <c r="A305" s="242"/>
      <c r="C305" s="241"/>
    </row>
    <row r="306" s="240" customFormat="1" spans="1:3">
      <c r="A306" s="242"/>
      <c r="C306" s="241"/>
    </row>
    <row r="307" s="240" customFormat="1" spans="1:3">
      <c r="A307" s="242"/>
      <c r="C307" s="241"/>
    </row>
    <row r="308" s="240" customFormat="1" spans="1:3">
      <c r="A308" s="242"/>
      <c r="C308" s="241"/>
    </row>
    <row r="309" s="240" customFormat="1" spans="1:3">
      <c r="A309" s="242"/>
      <c r="C309" s="241"/>
    </row>
    <row r="310" s="240" customFormat="1" spans="1:3">
      <c r="A310" s="242"/>
      <c r="C310" s="241"/>
    </row>
    <row r="311" s="240" customFormat="1" spans="1:3">
      <c r="A311" s="242"/>
      <c r="C311" s="241"/>
    </row>
    <row r="312" s="240" customFormat="1" spans="1:3">
      <c r="A312" s="242"/>
      <c r="C312" s="241"/>
    </row>
    <row r="313" s="240" customFormat="1" spans="1:3">
      <c r="A313" s="242"/>
      <c r="C313" s="241"/>
    </row>
    <row r="314" s="240" customFormat="1" spans="1:3">
      <c r="A314" s="242"/>
      <c r="C314" s="241"/>
    </row>
    <row r="315" s="240" customFormat="1" spans="1:3">
      <c r="A315" s="242"/>
      <c r="C315" s="241"/>
    </row>
    <row r="316" s="240" customFormat="1" spans="1:3">
      <c r="A316" s="242"/>
      <c r="C316" s="241"/>
    </row>
    <row r="317" s="240" customFormat="1" spans="1:3">
      <c r="A317" s="242"/>
      <c r="C317" s="241"/>
    </row>
    <row r="318" s="240" customFormat="1" spans="1:3">
      <c r="A318" s="242"/>
      <c r="C318" s="241"/>
    </row>
    <row r="319" s="240" customFormat="1" spans="1:3">
      <c r="A319" s="242"/>
      <c r="C319" s="241"/>
    </row>
    <row r="320" s="240" customFormat="1" spans="1:3">
      <c r="A320" s="242"/>
      <c r="C320" s="241"/>
    </row>
    <row r="321" s="240" customFormat="1" spans="1:3">
      <c r="A321" s="242"/>
      <c r="C321" s="241"/>
    </row>
    <row r="322" s="240" customFormat="1" spans="1:3">
      <c r="A322" s="242"/>
      <c r="C322" s="241"/>
    </row>
    <row r="323" s="240" customFormat="1" spans="1:3">
      <c r="A323" s="242"/>
      <c r="C323" s="241"/>
    </row>
    <row r="324" s="240" customFormat="1" spans="1:3">
      <c r="A324" s="242"/>
      <c r="C324" s="241"/>
    </row>
    <row r="325" s="240" customFormat="1" spans="1:3">
      <c r="A325" s="242"/>
      <c r="C325" s="241"/>
    </row>
    <row r="326" s="240" customFormat="1" spans="1:3">
      <c r="A326" s="242"/>
      <c r="C326" s="241"/>
    </row>
    <row r="327" s="240" customFormat="1" spans="1:3">
      <c r="A327" s="242"/>
      <c r="C327" s="241"/>
    </row>
    <row r="328" s="240" customFormat="1" spans="1:3">
      <c r="A328" s="242"/>
      <c r="C328" s="241"/>
    </row>
    <row r="329" s="240" customFormat="1" spans="1:3">
      <c r="A329" s="242"/>
      <c r="C329" s="241"/>
    </row>
    <row r="330" s="240" customFormat="1" spans="1:3">
      <c r="A330" s="242"/>
      <c r="C330" s="241"/>
    </row>
    <row r="331" s="240" customFormat="1" spans="1:3">
      <c r="A331" s="242"/>
      <c r="C331" s="241"/>
    </row>
    <row r="332" s="240" customFormat="1" spans="1:3">
      <c r="A332" s="242"/>
      <c r="C332" s="241"/>
    </row>
    <row r="333" s="240" customFormat="1" spans="1:3">
      <c r="A333" s="242"/>
      <c r="C333" s="241"/>
    </row>
    <row r="334" s="240" customFormat="1" spans="1:3">
      <c r="A334" s="242"/>
      <c r="C334" s="241"/>
    </row>
    <row r="335" s="240" customFormat="1" spans="1:3">
      <c r="A335" s="242"/>
      <c r="C335" s="241"/>
    </row>
    <row r="336" s="240" customFormat="1" spans="1:3">
      <c r="A336" s="242"/>
      <c r="C336" s="241"/>
    </row>
    <row r="337" s="240" customFormat="1" spans="1:3">
      <c r="A337" s="242"/>
      <c r="C337" s="241"/>
    </row>
    <row r="338" s="240" customFormat="1" spans="1:3">
      <c r="A338" s="242"/>
      <c r="C338" s="241"/>
    </row>
    <row r="339" s="240" customFormat="1" spans="1:3">
      <c r="A339" s="242"/>
      <c r="C339" s="241"/>
    </row>
    <row r="340" s="240" customFormat="1" spans="1:3">
      <c r="A340" s="242"/>
      <c r="C340" s="241"/>
    </row>
    <row r="341" s="240" customFormat="1" spans="1:3">
      <c r="A341" s="242"/>
      <c r="C341" s="241"/>
    </row>
    <row r="342" s="240" customFormat="1" spans="1:3">
      <c r="A342" s="242"/>
      <c r="C342" s="241"/>
    </row>
    <row r="343" s="240" customFormat="1" spans="1:3">
      <c r="A343" s="242"/>
      <c r="C343" s="241"/>
    </row>
    <row r="344" s="240" customFormat="1" spans="1:3">
      <c r="A344" s="242"/>
      <c r="C344" s="241"/>
    </row>
    <row r="345" s="240" customFormat="1" spans="1:3">
      <c r="A345" s="242"/>
      <c r="C345" s="241"/>
    </row>
    <row r="346" s="240" customFormat="1" spans="1:3">
      <c r="A346" s="242"/>
      <c r="C346" s="241"/>
    </row>
    <row r="347" s="240" customFormat="1" spans="1:3">
      <c r="A347" s="242"/>
      <c r="C347" s="241"/>
    </row>
    <row r="348" s="240" customFormat="1" spans="1:3">
      <c r="A348" s="242"/>
      <c r="C348" s="241"/>
    </row>
    <row r="349" s="240" customFormat="1" spans="1:3">
      <c r="A349" s="242"/>
      <c r="C349" s="241"/>
    </row>
    <row r="350" s="240" customFormat="1" spans="1:3">
      <c r="A350" s="242"/>
      <c r="C350" s="241"/>
    </row>
    <row r="351" s="240" customFormat="1" spans="1:3">
      <c r="A351" s="242"/>
      <c r="C351" s="241"/>
    </row>
    <row r="352" s="240" customFormat="1" spans="1:3">
      <c r="A352" s="242"/>
      <c r="C352" s="241"/>
    </row>
    <row r="353" s="240" customFormat="1" spans="1:3">
      <c r="A353" s="242"/>
      <c r="C353" s="241"/>
    </row>
    <row r="354" s="240" customFormat="1" spans="1:3">
      <c r="A354" s="242"/>
      <c r="C354" s="241"/>
    </row>
    <row r="355" s="240" customFormat="1" spans="1:3">
      <c r="A355" s="242"/>
      <c r="C355" s="241"/>
    </row>
    <row r="356" s="240" customFormat="1" spans="1:3">
      <c r="A356" s="242"/>
      <c r="C356" s="241"/>
    </row>
    <row r="357" s="240" customFormat="1" spans="1:3">
      <c r="A357" s="242"/>
      <c r="C357" s="241"/>
    </row>
    <row r="358" s="240" customFormat="1" spans="1:3">
      <c r="A358" s="242"/>
      <c r="C358" s="241"/>
    </row>
    <row r="359" s="240" customFormat="1" spans="1:3">
      <c r="A359" s="242"/>
      <c r="C359" s="241"/>
    </row>
    <row r="360" s="240" customFormat="1" spans="1:3">
      <c r="A360" s="242"/>
      <c r="C360" s="241"/>
    </row>
    <row r="361" s="240" customFormat="1" spans="1:3">
      <c r="A361" s="242"/>
      <c r="C361" s="241"/>
    </row>
    <row r="362" s="240" customFormat="1" spans="1:3">
      <c r="A362" s="242"/>
      <c r="C362" s="241"/>
    </row>
    <row r="363" s="240" customFormat="1" spans="1:3">
      <c r="A363" s="242"/>
      <c r="C363" s="241"/>
    </row>
    <row r="364" s="240" customFormat="1" spans="1:3">
      <c r="A364" s="242"/>
      <c r="C364" s="241"/>
    </row>
    <row r="365" s="240" customFormat="1" spans="1:3">
      <c r="A365" s="242"/>
      <c r="C365" s="241"/>
    </row>
    <row r="366" s="240" customFormat="1" spans="1:3">
      <c r="A366" s="242"/>
      <c r="C366" s="241"/>
    </row>
    <row r="367" s="240" customFormat="1" spans="1:3">
      <c r="A367" s="242"/>
      <c r="C367" s="241"/>
    </row>
    <row r="368" s="240" customFormat="1" spans="1:3">
      <c r="A368" s="242"/>
      <c r="C368" s="241"/>
    </row>
    <row r="369" s="240" customFormat="1" spans="1:3">
      <c r="A369" s="242"/>
      <c r="C369" s="241"/>
    </row>
    <row r="370" s="240" customFormat="1" spans="1:3">
      <c r="A370" s="242"/>
      <c r="C370" s="241"/>
    </row>
    <row r="371" s="240" customFormat="1" spans="1:3">
      <c r="A371" s="242"/>
      <c r="C371" s="241"/>
    </row>
    <row r="372" s="240" customFormat="1" spans="1:3">
      <c r="A372" s="242"/>
      <c r="C372" s="241"/>
    </row>
    <row r="373" s="240" customFormat="1" spans="1:3">
      <c r="A373" s="242"/>
      <c r="C373" s="241"/>
    </row>
    <row r="374" s="240" customFormat="1" spans="1:3">
      <c r="A374" s="242"/>
      <c r="C374" s="241"/>
    </row>
    <row r="375" s="240" customFormat="1" spans="1:3">
      <c r="A375" s="242"/>
      <c r="C375" s="241"/>
    </row>
    <row r="376" s="240" customFormat="1" spans="1:3">
      <c r="A376" s="242"/>
      <c r="C376" s="241"/>
    </row>
    <row r="377" s="240" customFormat="1" spans="1:3">
      <c r="A377" s="242"/>
      <c r="C377" s="241"/>
    </row>
    <row r="378" s="240" customFormat="1" spans="1:7">
      <c r="A378" s="242"/>
      <c r="C378" s="241"/>
      <c r="G378" s="265"/>
    </row>
  </sheetData>
  <mergeCells count="52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2" activePane="bottomLeft" state="frozen"/>
      <selection/>
      <selection pane="bottomLeft" activeCell="A2" sqref="A2:A4"/>
    </sheetView>
  </sheetViews>
  <sheetFormatPr defaultColWidth="9.14285714285714" defaultRowHeight="15"/>
  <cols>
    <col min="1" max="1" width="8.85714285714286" style="241" customWidth="1"/>
    <col min="2" max="2" width="12.7142857142857" style="242" customWidth="1"/>
    <col min="3" max="3" width="45.8571428571429" style="243" customWidth="1"/>
    <col min="4" max="4" width="6.8952380952381" style="244" customWidth="1"/>
    <col min="5" max="5" width="13.1428571428571" style="245" customWidth="1"/>
    <col min="6" max="6" width="13.1428571428571" style="240" customWidth="1"/>
    <col min="7" max="7" width="21.5047619047619" style="241" customWidth="1"/>
    <col min="8" max="8" width="13.1428571428571" style="240"/>
    <col min="9" max="9" width="29.2857142857143" style="240" customWidth="1"/>
    <col min="10" max="10" width="12.8571428571429" style="240"/>
    <col min="11" max="11" width="18.0285714285714" style="240" customWidth="1"/>
    <col min="12" max="12" width="11.4285714285714" style="240"/>
    <col min="13" max="15" width="10.2857142857143" style="240"/>
    <col min="16" max="16384" width="9.14285714285714" style="240"/>
  </cols>
  <sheetData>
    <row r="1" s="240" customFormat="1" ht="21" customHeight="1" spans="1:7">
      <c r="A1" s="246" t="s">
        <v>6</v>
      </c>
      <c r="B1" s="247" t="s">
        <v>0</v>
      </c>
      <c r="C1" s="248" t="s">
        <v>1</v>
      </c>
      <c r="D1" s="249" t="s">
        <v>2</v>
      </c>
      <c r="E1" s="250" t="s">
        <v>3</v>
      </c>
      <c r="F1" s="248" t="s">
        <v>7</v>
      </c>
      <c r="G1" s="248" t="s">
        <v>8</v>
      </c>
    </row>
    <row r="2" s="240" customFormat="1" ht="19" customHeight="1" spans="1:7">
      <c r="A2" s="37">
        <v>73975</v>
      </c>
      <c r="B2" s="36">
        <v>45992</v>
      </c>
      <c r="C2" s="251" t="s">
        <v>9</v>
      </c>
      <c r="D2" s="114">
        <v>5</v>
      </c>
      <c r="E2" s="7">
        <v>8000</v>
      </c>
      <c r="F2" s="252">
        <f>SUM(D2*E2)</f>
        <v>40000</v>
      </c>
      <c r="G2" s="253">
        <f>SUM(F2:F4)</f>
        <v>82000</v>
      </c>
    </row>
    <row r="3" s="240" customFormat="1" ht="19" customHeight="1" spans="1:7">
      <c r="A3" s="43"/>
      <c r="B3" s="42"/>
      <c r="C3" s="251" t="s">
        <v>10</v>
      </c>
      <c r="D3" s="114">
        <v>1</v>
      </c>
      <c r="E3" s="7">
        <v>20000</v>
      </c>
      <c r="F3" s="252">
        <f>SUM(D3*E3)</f>
        <v>20000</v>
      </c>
      <c r="G3" s="254"/>
    </row>
    <row r="4" s="240" customFormat="1" ht="19" customHeight="1" spans="1:7">
      <c r="A4" s="255"/>
      <c r="B4" s="256"/>
      <c r="C4" s="251" t="s">
        <v>11</v>
      </c>
      <c r="D4" s="114">
        <v>1</v>
      </c>
      <c r="E4" s="7">
        <v>22000</v>
      </c>
      <c r="F4" s="252">
        <f t="shared" ref="F4:F9" si="0">SUM(D4*E4)</f>
        <v>22000</v>
      </c>
      <c r="G4" s="257"/>
    </row>
    <row r="5" s="240" customFormat="1" ht="19" customHeight="1" spans="1:7">
      <c r="A5" s="258"/>
      <c r="B5" s="259"/>
      <c r="C5" s="251"/>
      <c r="D5" s="114"/>
      <c r="E5" s="7"/>
      <c r="F5" s="252">
        <f t="shared" si="0"/>
        <v>0</v>
      </c>
      <c r="G5" s="260"/>
    </row>
    <row r="6" s="240" customFormat="1" ht="19" customHeight="1" spans="1:7">
      <c r="A6" s="258"/>
      <c r="B6" s="259"/>
      <c r="C6" s="251"/>
      <c r="D6" s="114"/>
      <c r="E6" s="7"/>
      <c r="F6" s="252">
        <f t="shared" si="0"/>
        <v>0</v>
      </c>
      <c r="G6" s="260"/>
    </row>
    <row r="7" s="240" customFormat="1" ht="18" customHeight="1" spans="1:7">
      <c r="A7" s="49"/>
      <c r="B7" s="25"/>
      <c r="C7" s="251"/>
      <c r="D7" s="114"/>
      <c r="E7" s="7"/>
      <c r="F7" s="252">
        <f t="shared" si="0"/>
        <v>0</v>
      </c>
      <c r="G7" s="260">
        <f>SUM(F7:F9)</f>
        <v>0</v>
      </c>
    </row>
    <row r="8" s="240" customFormat="1" ht="18" customHeight="1" spans="1:7">
      <c r="A8" s="49"/>
      <c r="B8" s="25"/>
      <c r="C8" s="251"/>
      <c r="D8" s="114"/>
      <c r="E8" s="7"/>
      <c r="F8" s="252">
        <f t="shared" si="0"/>
        <v>0</v>
      </c>
      <c r="G8" s="260"/>
    </row>
    <row r="9" s="240" customFormat="1" ht="19" customHeight="1" spans="1:7">
      <c r="A9" s="49"/>
      <c r="B9" s="25"/>
      <c r="C9" s="251"/>
      <c r="D9" s="114"/>
      <c r="E9" s="7"/>
      <c r="F9" s="252">
        <f t="shared" si="0"/>
        <v>0</v>
      </c>
      <c r="G9" s="260"/>
    </row>
    <row r="10" s="240" customFormat="1" ht="19" customHeight="1" spans="1:7">
      <c r="A10" s="49"/>
      <c r="B10" s="25"/>
      <c r="C10" s="251"/>
      <c r="D10" s="114"/>
      <c r="E10" s="7"/>
      <c r="F10" s="252">
        <f t="shared" ref="F10:F22" si="1">SUM(D10*E10)</f>
        <v>0</v>
      </c>
      <c r="G10" s="260">
        <f>SUM(F10:F15)</f>
        <v>0</v>
      </c>
    </row>
    <row r="11" s="240" customFormat="1" ht="19" customHeight="1" spans="1:7">
      <c r="A11" s="49"/>
      <c r="B11" s="25"/>
      <c r="C11" s="251"/>
      <c r="D11" s="114"/>
      <c r="E11" s="7"/>
      <c r="F11" s="252">
        <f t="shared" si="1"/>
        <v>0</v>
      </c>
      <c r="G11" s="260"/>
    </row>
    <row r="12" s="240" customFormat="1" ht="19" customHeight="1" spans="1:7">
      <c r="A12" s="49"/>
      <c r="B12" s="25"/>
      <c r="C12" s="261"/>
      <c r="D12" s="114"/>
      <c r="E12" s="7"/>
      <c r="F12" s="252">
        <f t="shared" si="1"/>
        <v>0</v>
      </c>
      <c r="G12" s="260"/>
    </row>
    <row r="13" s="240" customFormat="1" ht="19" customHeight="1" spans="1:7">
      <c r="A13" s="49"/>
      <c r="B13" s="25"/>
      <c r="C13" s="251"/>
      <c r="D13" s="114"/>
      <c r="E13" s="7"/>
      <c r="F13" s="252">
        <f t="shared" si="1"/>
        <v>0</v>
      </c>
      <c r="G13" s="260"/>
    </row>
    <row r="14" s="240" customFormat="1" ht="19" customHeight="1" spans="1:7">
      <c r="A14" s="49"/>
      <c r="B14" s="25"/>
      <c r="C14" s="251"/>
      <c r="D14" s="114"/>
      <c r="E14" s="7"/>
      <c r="F14" s="252">
        <f t="shared" si="1"/>
        <v>0</v>
      </c>
      <c r="G14" s="260"/>
    </row>
    <row r="15" s="240" customFormat="1" ht="19" customHeight="1" spans="1:7">
      <c r="A15" s="49"/>
      <c r="B15" s="25"/>
      <c r="C15" s="261"/>
      <c r="D15" s="114"/>
      <c r="E15" s="7"/>
      <c r="F15" s="252">
        <f t="shared" si="1"/>
        <v>0</v>
      </c>
      <c r="G15" s="260"/>
    </row>
    <row r="16" s="240" customFormat="1" ht="19" customHeight="1" spans="1:7">
      <c r="A16" s="198"/>
      <c r="B16" s="36"/>
      <c r="C16" s="261"/>
      <c r="D16" s="114"/>
      <c r="E16" s="7"/>
      <c r="F16" s="252">
        <f t="shared" si="1"/>
        <v>0</v>
      </c>
      <c r="G16" s="260">
        <f>SUM(F16:F18)</f>
        <v>0</v>
      </c>
    </row>
    <row r="17" s="240" customFormat="1" ht="19" customHeight="1" spans="1:7">
      <c r="A17" s="200"/>
      <c r="B17" s="42"/>
      <c r="C17" s="261"/>
      <c r="D17" s="114"/>
      <c r="E17" s="7"/>
      <c r="F17" s="252">
        <f t="shared" si="1"/>
        <v>0</v>
      </c>
      <c r="G17" s="260"/>
    </row>
    <row r="18" s="240" customFormat="1" ht="19" customHeight="1" spans="1:7">
      <c r="A18" s="262"/>
      <c r="B18" s="256"/>
      <c r="C18" s="261"/>
      <c r="D18" s="114"/>
      <c r="E18" s="7"/>
      <c r="F18" s="252">
        <f t="shared" si="1"/>
        <v>0</v>
      </c>
      <c r="G18" s="260"/>
    </row>
    <row r="19" s="240" customFormat="1" ht="19" customHeight="1" spans="1:7">
      <c r="A19" s="49"/>
      <c r="B19" s="25"/>
      <c r="C19" s="251"/>
      <c r="D19" s="114"/>
      <c r="E19" s="7"/>
      <c r="F19" s="252">
        <f t="shared" si="1"/>
        <v>0</v>
      </c>
      <c r="G19" s="260">
        <f>SUM(F19:F20)</f>
        <v>0</v>
      </c>
    </row>
    <row r="20" s="240" customFormat="1" ht="19" customHeight="1" spans="1:7">
      <c r="A20" s="49"/>
      <c r="B20" s="25"/>
      <c r="C20" s="251"/>
      <c r="D20" s="114"/>
      <c r="E20" s="7"/>
      <c r="F20" s="252">
        <f t="shared" si="1"/>
        <v>0</v>
      </c>
      <c r="G20" s="260"/>
    </row>
    <row r="21" s="240" customFormat="1" ht="19" customHeight="1" spans="1:7">
      <c r="A21" s="198"/>
      <c r="B21" s="36"/>
      <c r="C21" s="251"/>
      <c r="D21" s="114"/>
      <c r="E21" s="7"/>
      <c r="F21" s="252">
        <f t="shared" ref="F21:F45" si="2">SUM(D21*E21)</f>
        <v>0</v>
      </c>
      <c r="G21" s="260">
        <f>SUM(F21:F25)</f>
        <v>0</v>
      </c>
    </row>
    <row r="22" s="240" customFormat="1" ht="19" customHeight="1" spans="1:7">
      <c r="A22" s="200"/>
      <c r="B22" s="42"/>
      <c r="C22" s="251"/>
      <c r="D22" s="114"/>
      <c r="E22" s="7"/>
      <c r="F22" s="252">
        <f t="shared" si="2"/>
        <v>0</v>
      </c>
      <c r="G22" s="260"/>
    </row>
    <row r="23" s="240" customFormat="1" ht="19" customHeight="1" spans="1:7">
      <c r="A23" s="200"/>
      <c r="B23" s="42"/>
      <c r="C23" s="261"/>
      <c r="D23" s="114"/>
      <c r="E23" s="7"/>
      <c r="F23" s="252">
        <f t="shared" si="2"/>
        <v>0</v>
      </c>
      <c r="G23" s="260"/>
    </row>
    <row r="24" s="240" customFormat="1" ht="19" customHeight="1" spans="1:7">
      <c r="A24" s="200"/>
      <c r="B24" s="42"/>
      <c r="C24" s="251"/>
      <c r="D24" s="114"/>
      <c r="E24" s="7"/>
      <c r="F24" s="252">
        <f t="shared" si="2"/>
        <v>0</v>
      </c>
      <c r="G24" s="260"/>
    </row>
    <row r="25" s="240" customFormat="1" ht="19" customHeight="1" spans="1:7">
      <c r="A25" s="262"/>
      <c r="B25" s="256"/>
      <c r="C25" s="251"/>
      <c r="D25" s="114"/>
      <c r="E25" s="7"/>
      <c r="F25" s="252">
        <f t="shared" si="2"/>
        <v>0</v>
      </c>
      <c r="G25" s="260"/>
    </row>
    <row r="26" s="240" customFormat="1" ht="19" customHeight="1" spans="1:7">
      <c r="A26" s="198"/>
      <c r="B26" s="36"/>
      <c r="C26" s="261"/>
      <c r="D26" s="114"/>
      <c r="E26" s="7"/>
      <c r="F26" s="252">
        <f t="shared" si="2"/>
        <v>0</v>
      </c>
      <c r="G26" s="260">
        <f>SUM(F26:F28)</f>
        <v>0</v>
      </c>
    </row>
    <row r="27" s="240" customFormat="1" ht="19" customHeight="1" spans="1:7">
      <c r="A27" s="200"/>
      <c r="B27" s="42"/>
      <c r="C27" s="251"/>
      <c r="D27" s="114"/>
      <c r="E27" s="7"/>
      <c r="F27" s="252">
        <f t="shared" si="2"/>
        <v>0</v>
      </c>
      <c r="G27" s="260"/>
    </row>
    <row r="28" s="240" customFormat="1" ht="19" customHeight="1" spans="1:7">
      <c r="A28" s="262"/>
      <c r="B28" s="256"/>
      <c r="C28" s="261"/>
      <c r="D28" s="114"/>
      <c r="E28" s="7"/>
      <c r="F28" s="252">
        <f t="shared" si="2"/>
        <v>0</v>
      </c>
      <c r="G28" s="260"/>
    </row>
    <row r="29" s="240" customFormat="1" ht="19" customHeight="1" spans="1:7">
      <c r="A29" s="198"/>
      <c r="B29" s="36"/>
      <c r="C29" s="251"/>
      <c r="D29" s="114"/>
      <c r="E29" s="7"/>
      <c r="F29" s="252">
        <f t="shared" si="2"/>
        <v>0</v>
      </c>
      <c r="G29" s="260">
        <f>SUM(F29:F32)</f>
        <v>0</v>
      </c>
    </row>
    <row r="30" s="240" customFormat="1" ht="19" customHeight="1" spans="1:7">
      <c r="A30" s="200"/>
      <c r="B30" s="42"/>
      <c r="C30" s="251"/>
      <c r="D30" s="114"/>
      <c r="E30" s="7"/>
      <c r="F30" s="252">
        <f t="shared" si="2"/>
        <v>0</v>
      </c>
      <c r="G30" s="260"/>
    </row>
    <row r="31" s="240" customFormat="1" ht="19" customHeight="1" spans="1:7">
      <c r="A31" s="200"/>
      <c r="B31" s="42"/>
      <c r="C31" s="251"/>
      <c r="D31" s="114"/>
      <c r="E31" s="7"/>
      <c r="F31" s="252">
        <f t="shared" si="2"/>
        <v>0</v>
      </c>
      <c r="G31" s="260"/>
    </row>
    <row r="32" s="240" customFormat="1" ht="19" customHeight="1" spans="1:7">
      <c r="A32" s="262"/>
      <c r="B32" s="256"/>
      <c r="C32" s="251"/>
      <c r="D32" s="114"/>
      <c r="E32" s="7"/>
      <c r="F32" s="252">
        <f t="shared" si="2"/>
        <v>0</v>
      </c>
      <c r="G32" s="260"/>
    </row>
    <row r="33" s="240" customFormat="1" ht="19" customHeight="1" spans="1:7">
      <c r="A33" s="198"/>
      <c r="B33" s="36"/>
      <c r="C33" s="251"/>
      <c r="D33" s="114"/>
      <c r="E33" s="7"/>
      <c r="F33" s="252">
        <f t="shared" si="2"/>
        <v>0</v>
      </c>
      <c r="G33" s="260">
        <f>SUM(F33:F37)</f>
        <v>0</v>
      </c>
    </row>
    <row r="34" s="240" customFormat="1" ht="19" customHeight="1" spans="1:7">
      <c r="A34" s="200"/>
      <c r="B34" s="42"/>
      <c r="C34" s="251"/>
      <c r="D34" s="114"/>
      <c r="E34" s="7"/>
      <c r="F34" s="252">
        <f t="shared" si="2"/>
        <v>0</v>
      </c>
      <c r="G34" s="260"/>
    </row>
    <row r="35" s="240" customFormat="1" ht="19" customHeight="1" spans="1:7">
      <c r="A35" s="200"/>
      <c r="B35" s="42"/>
      <c r="C35" s="251"/>
      <c r="D35" s="114"/>
      <c r="E35" s="7"/>
      <c r="F35" s="252">
        <f t="shared" si="2"/>
        <v>0</v>
      </c>
      <c r="G35" s="260"/>
    </row>
    <row r="36" s="240" customFormat="1" ht="19" customHeight="1" spans="1:7">
      <c r="A36" s="200"/>
      <c r="B36" s="42"/>
      <c r="C36" s="251"/>
      <c r="D36" s="114"/>
      <c r="E36" s="7"/>
      <c r="F36" s="252">
        <f t="shared" si="2"/>
        <v>0</v>
      </c>
      <c r="G36" s="260"/>
    </row>
    <row r="37" s="240" customFormat="1" ht="19" customHeight="1" spans="1:7">
      <c r="A37" s="262"/>
      <c r="B37" s="256"/>
      <c r="C37" s="251"/>
      <c r="D37" s="114"/>
      <c r="E37" s="7"/>
      <c r="F37" s="252">
        <f t="shared" si="2"/>
        <v>0</v>
      </c>
      <c r="G37" s="260"/>
    </row>
    <row r="38" s="240" customFormat="1" ht="19" customHeight="1" spans="1:7">
      <c r="A38" s="198"/>
      <c r="B38" s="36"/>
      <c r="C38" s="251"/>
      <c r="D38" s="114"/>
      <c r="E38" s="7"/>
      <c r="F38" s="252">
        <f t="shared" si="2"/>
        <v>0</v>
      </c>
      <c r="G38" s="260">
        <f>SUM(F38:F41)</f>
        <v>0</v>
      </c>
    </row>
    <row r="39" s="240" customFormat="1" ht="19" customHeight="1" spans="1:7">
      <c r="A39" s="200"/>
      <c r="B39" s="42"/>
      <c r="C39" s="251"/>
      <c r="D39" s="114"/>
      <c r="E39" s="7"/>
      <c r="F39" s="252">
        <f t="shared" si="2"/>
        <v>0</v>
      </c>
      <c r="G39" s="260"/>
    </row>
    <row r="40" s="240" customFormat="1" ht="19" customHeight="1" spans="1:7">
      <c r="A40" s="200"/>
      <c r="B40" s="42"/>
      <c r="C40" s="251"/>
      <c r="D40" s="114"/>
      <c r="E40" s="7"/>
      <c r="F40" s="252">
        <f t="shared" si="2"/>
        <v>0</v>
      </c>
      <c r="G40" s="260"/>
    </row>
    <row r="41" s="240" customFormat="1" ht="19" customHeight="1" spans="1:7">
      <c r="A41" s="262"/>
      <c r="B41" s="256"/>
      <c r="C41" s="251"/>
      <c r="D41" s="114"/>
      <c r="E41" s="7"/>
      <c r="F41" s="252">
        <f t="shared" si="2"/>
        <v>0</v>
      </c>
      <c r="G41" s="260"/>
    </row>
    <row r="42" s="240" customFormat="1" ht="19" customHeight="1" spans="1:7">
      <c r="A42" s="49"/>
      <c r="B42" s="25"/>
      <c r="C42" s="251"/>
      <c r="D42" s="114"/>
      <c r="E42" s="7"/>
      <c r="F42" s="252">
        <f t="shared" si="2"/>
        <v>0</v>
      </c>
      <c r="G42" s="260">
        <f>SUM(F42:F43)</f>
        <v>0</v>
      </c>
    </row>
    <row r="43" s="240" customFormat="1" ht="19" customHeight="1" spans="1:7">
      <c r="A43" s="49"/>
      <c r="B43" s="25"/>
      <c r="C43" s="251"/>
      <c r="D43" s="114"/>
      <c r="E43" s="7"/>
      <c r="F43" s="252">
        <f t="shared" si="2"/>
        <v>0</v>
      </c>
      <c r="G43" s="260"/>
    </row>
    <row r="44" s="240" customFormat="1" ht="19" customHeight="1" spans="1:7">
      <c r="A44" s="198"/>
      <c r="B44" s="36"/>
      <c r="C44" s="251"/>
      <c r="D44" s="114"/>
      <c r="E44" s="7"/>
      <c r="F44" s="252">
        <f t="shared" si="2"/>
        <v>0</v>
      </c>
      <c r="G44" s="260">
        <f>SUM(F44:F45)</f>
        <v>0</v>
      </c>
    </row>
    <row r="45" s="240" customFormat="1" ht="19" customHeight="1" spans="1:7">
      <c r="A45" s="262"/>
      <c r="B45" s="256"/>
      <c r="C45" s="251"/>
      <c r="D45" s="114"/>
      <c r="E45" s="7"/>
      <c r="F45" s="252">
        <f t="shared" si="2"/>
        <v>0</v>
      </c>
      <c r="G45" s="260"/>
    </row>
    <row r="46" s="240" customFormat="1" ht="19" customHeight="1" spans="1:7">
      <c r="A46" s="198"/>
      <c r="B46" s="36"/>
      <c r="C46" s="251"/>
      <c r="D46" s="114"/>
      <c r="E46" s="7"/>
      <c r="F46" s="252">
        <f t="shared" ref="F46:F72" si="3">SUM(D46*E46)</f>
        <v>0</v>
      </c>
      <c r="G46" s="260">
        <f>SUM(F46:F54)</f>
        <v>0</v>
      </c>
    </row>
    <row r="47" s="240" customFormat="1" ht="19" customHeight="1" spans="1:7">
      <c r="A47" s="200"/>
      <c r="B47" s="42"/>
      <c r="C47" s="251"/>
      <c r="D47" s="114"/>
      <c r="E47" s="7"/>
      <c r="F47" s="252">
        <f t="shared" si="3"/>
        <v>0</v>
      </c>
      <c r="G47" s="260"/>
    </row>
    <row r="48" s="240" customFormat="1" ht="19" customHeight="1" spans="1:7">
      <c r="A48" s="200"/>
      <c r="B48" s="42"/>
      <c r="C48" s="251"/>
      <c r="D48" s="114"/>
      <c r="E48" s="7"/>
      <c r="F48" s="252">
        <f t="shared" si="3"/>
        <v>0</v>
      </c>
      <c r="G48" s="260"/>
    </row>
    <row r="49" s="240" customFormat="1" ht="19" customHeight="1" spans="1:7">
      <c r="A49" s="200"/>
      <c r="B49" s="42"/>
      <c r="C49" s="251"/>
      <c r="D49" s="114"/>
      <c r="E49" s="7"/>
      <c r="F49" s="252">
        <f t="shared" si="3"/>
        <v>0</v>
      </c>
      <c r="G49" s="260"/>
    </row>
    <row r="50" s="240" customFormat="1" ht="19" customHeight="1" spans="1:7">
      <c r="A50" s="200"/>
      <c r="B50" s="42"/>
      <c r="C50" s="251"/>
      <c r="D50" s="114"/>
      <c r="E50" s="7"/>
      <c r="F50" s="252">
        <f t="shared" si="3"/>
        <v>0</v>
      </c>
      <c r="G50" s="260"/>
    </row>
    <row r="51" s="240" customFormat="1" ht="19" customHeight="1" spans="1:7">
      <c r="A51" s="200"/>
      <c r="B51" s="42"/>
      <c r="C51" s="251"/>
      <c r="D51" s="114"/>
      <c r="E51" s="7"/>
      <c r="F51" s="252">
        <f t="shared" si="3"/>
        <v>0</v>
      </c>
      <c r="G51" s="260"/>
    </row>
    <row r="52" s="240" customFormat="1" ht="19" customHeight="1" spans="1:7">
      <c r="A52" s="200"/>
      <c r="B52" s="42"/>
      <c r="C52" s="251"/>
      <c r="D52" s="114"/>
      <c r="E52" s="7"/>
      <c r="F52" s="252">
        <f t="shared" si="3"/>
        <v>0</v>
      </c>
      <c r="G52" s="260"/>
    </row>
    <row r="53" s="240" customFormat="1" ht="19" customHeight="1" spans="1:7">
      <c r="A53" s="200"/>
      <c r="B53" s="42"/>
      <c r="C53" s="251"/>
      <c r="D53" s="114"/>
      <c r="E53" s="7"/>
      <c r="F53" s="252">
        <f t="shared" si="3"/>
        <v>0</v>
      </c>
      <c r="G53" s="260"/>
    </row>
    <row r="54" s="240" customFormat="1" ht="19" customHeight="1" spans="1:7">
      <c r="A54" s="262"/>
      <c r="B54" s="256"/>
      <c r="C54" s="251"/>
      <c r="D54" s="114"/>
      <c r="E54" s="7"/>
      <c r="F54" s="252">
        <f t="shared" si="3"/>
        <v>0</v>
      </c>
      <c r="G54" s="260"/>
    </row>
    <row r="55" s="240" customFormat="1" ht="19" customHeight="1" spans="1:7">
      <c r="A55" s="49"/>
      <c r="B55" s="25"/>
      <c r="C55" s="251"/>
      <c r="D55" s="114"/>
      <c r="E55" s="7"/>
      <c r="F55" s="252">
        <f t="shared" si="3"/>
        <v>0</v>
      </c>
      <c r="G55" s="260">
        <f>SUM(F55:F58)</f>
        <v>0</v>
      </c>
    </row>
    <row r="56" s="240" customFormat="1" ht="19" customHeight="1" spans="1:7">
      <c r="A56" s="49"/>
      <c r="B56" s="25"/>
      <c r="C56" s="263"/>
      <c r="D56" s="255"/>
      <c r="E56" s="264"/>
      <c r="F56" s="252">
        <f t="shared" si="3"/>
        <v>0</v>
      </c>
      <c r="G56" s="260"/>
    </row>
    <row r="57" s="240" customFormat="1" ht="19" customHeight="1" spans="1:7">
      <c r="A57" s="49"/>
      <c r="B57" s="25"/>
      <c r="C57" s="251"/>
      <c r="D57" s="114"/>
      <c r="E57" s="7"/>
      <c r="F57" s="252">
        <f t="shared" si="3"/>
        <v>0</v>
      </c>
      <c r="G57" s="260"/>
    </row>
    <row r="58" s="240" customFormat="1" spans="1:7">
      <c r="A58" s="49"/>
      <c r="B58" s="25"/>
      <c r="C58" s="251"/>
      <c r="D58" s="114"/>
      <c r="E58" s="7"/>
      <c r="F58" s="252">
        <f t="shared" si="3"/>
        <v>0</v>
      </c>
      <c r="G58" s="260"/>
    </row>
    <row r="59" s="240" customFormat="1" spans="1:7">
      <c r="A59" s="200"/>
      <c r="B59" s="42"/>
      <c r="C59" s="251"/>
      <c r="D59" s="114"/>
      <c r="E59" s="7"/>
      <c r="F59" s="252">
        <f t="shared" si="3"/>
        <v>0</v>
      </c>
      <c r="G59" s="260">
        <f>SUM(F59:F60)</f>
        <v>0</v>
      </c>
    </row>
    <row r="60" s="240" customFormat="1" spans="1:7">
      <c r="A60" s="262"/>
      <c r="B60" s="256"/>
      <c r="C60" s="251"/>
      <c r="D60" s="114"/>
      <c r="E60" s="7"/>
      <c r="F60" s="252">
        <f t="shared" si="3"/>
        <v>0</v>
      </c>
      <c r="G60" s="260"/>
    </row>
    <row r="61" s="240" customFormat="1" spans="1:7">
      <c r="A61" s="198"/>
      <c r="B61" s="36"/>
      <c r="C61" s="251"/>
      <c r="D61" s="114"/>
      <c r="E61" s="7"/>
      <c r="F61" s="252">
        <f t="shared" si="3"/>
        <v>0</v>
      </c>
      <c r="G61" s="260">
        <f>SUM(F61:F63)</f>
        <v>0</v>
      </c>
    </row>
    <row r="62" s="240" customFormat="1" spans="1:7">
      <c r="A62" s="200"/>
      <c r="B62" s="42"/>
      <c r="C62" s="251"/>
      <c r="D62" s="114"/>
      <c r="E62" s="7"/>
      <c r="F62" s="252">
        <f t="shared" si="3"/>
        <v>0</v>
      </c>
      <c r="G62" s="260"/>
    </row>
    <row r="63" s="240" customFormat="1" spans="1:7">
      <c r="A63" s="262"/>
      <c r="B63" s="256"/>
      <c r="C63" s="251"/>
      <c r="D63" s="114"/>
      <c r="E63" s="7"/>
      <c r="F63" s="252">
        <f t="shared" si="3"/>
        <v>0</v>
      </c>
      <c r="G63" s="260"/>
    </row>
    <row r="64" s="240" customFormat="1" spans="1:7">
      <c r="A64" s="49"/>
      <c r="B64" s="25"/>
      <c r="C64" s="251"/>
      <c r="D64" s="114"/>
      <c r="E64" s="7"/>
      <c r="F64" s="252">
        <f t="shared" si="3"/>
        <v>0</v>
      </c>
      <c r="G64" s="260">
        <f>SUM(F64:F68)</f>
        <v>0</v>
      </c>
    </row>
    <row r="65" s="240" customFormat="1" spans="1:7">
      <c r="A65" s="49"/>
      <c r="B65" s="25"/>
      <c r="C65" s="251"/>
      <c r="D65" s="114"/>
      <c r="E65" s="7"/>
      <c r="F65" s="252">
        <f t="shared" si="3"/>
        <v>0</v>
      </c>
      <c r="G65" s="260"/>
    </row>
    <row r="66" s="240" customFormat="1" spans="1:7">
      <c r="A66" s="49"/>
      <c r="B66" s="25"/>
      <c r="C66" s="251"/>
      <c r="D66" s="114"/>
      <c r="E66" s="7"/>
      <c r="F66" s="252">
        <f t="shared" si="3"/>
        <v>0</v>
      </c>
      <c r="G66" s="260"/>
    </row>
    <row r="67" s="240" customFormat="1" spans="1:7">
      <c r="A67" s="49"/>
      <c r="B67" s="25"/>
      <c r="C67" s="251"/>
      <c r="D67" s="114"/>
      <c r="E67" s="7"/>
      <c r="F67" s="252">
        <f t="shared" si="3"/>
        <v>0</v>
      </c>
      <c r="G67" s="260"/>
    </row>
    <row r="68" s="240" customFormat="1" spans="1:8">
      <c r="A68" s="49"/>
      <c r="B68" s="25"/>
      <c r="C68" s="251"/>
      <c r="D68" s="114"/>
      <c r="E68" s="7"/>
      <c r="F68" s="252">
        <f t="shared" si="3"/>
        <v>0</v>
      </c>
      <c r="G68" s="260"/>
      <c r="H68" s="265"/>
    </row>
    <row r="69" s="240" customFormat="1" ht="15.75" spans="1:14">
      <c r="A69" s="49"/>
      <c r="B69" s="259"/>
      <c r="C69" s="251"/>
      <c r="D69" s="114"/>
      <c r="E69" s="7"/>
      <c r="F69" s="252">
        <f t="shared" si="3"/>
        <v>0</v>
      </c>
      <c r="G69" s="260">
        <f>SUM(F69)</f>
        <v>0</v>
      </c>
      <c r="H69" s="265"/>
      <c r="I69" s="270"/>
      <c r="J69" s="271"/>
      <c r="K69" s="272"/>
      <c r="L69" s="273"/>
      <c r="M69" s="273"/>
      <c r="N69" s="274"/>
    </row>
    <row r="70" s="240" customFormat="1" ht="15.75" spans="1:14">
      <c r="A70" s="198"/>
      <c r="B70" s="36"/>
      <c r="C70" s="251"/>
      <c r="D70" s="114"/>
      <c r="E70" s="7"/>
      <c r="F70" s="252">
        <f t="shared" si="3"/>
        <v>0</v>
      </c>
      <c r="G70" s="260">
        <f>SUM(F70:F72)</f>
        <v>0</v>
      </c>
      <c r="I70" s="275"/>
      <c r="J70" s="271"/>
      <c r="K70" s="272"/>
      <c r="L70" s="273"/>
      <c r="M70" s="273"/>
      <c r="N70" s="273"/>
    </row>
    <row r="71" s="240" customFormat="1" ht="15.75" spans="1:14">
      <c r="A71" s="200"/>
      <c r="B71" s="42"/>
      <c r="C71" s="251"/>
      <c r="D71" s="114"/>
      <c r="E71" s="7"/>
      <c r="F71" s="252">
        <f t="shared" si="3"/>
        <v>0</v>
      </c>
      <c r="G71" s="260"/>
      <c r="I71" s="275"/>
      <c r="J71" s="271"/>
      <c r="K71" s="272"/>
      <c r="L71" s="273"/>
      <c r="M71" s="273"/>
      <c r="N71" s="273"/>
    </row>
    <row r="72" s="240" customFormat="1" ht="15.75" spans="1:14">
      <c r="A72" s="262"/>
      <c r="B72" s="256"/>
      <c r="C72" s="251"/>
      <c r="D72" s="114"/>
      <c r="E72" s="7"/>
      <c r="F72" s="252">
        <f t="shared" si="3"/>
        <v>0</v>
      </c>
      <c r="G72" s="260"/>
      <c r="I72" s="275"/>
      <c r="J72" s="271"/>
      <c r="K72" s="272"/>
      <c r="L72" s="273"/>
      <c r="M72" s="273"/>
      <c r="N72" s="273"/>
    </row>
    <row r="73" s="240" customFormat="1" spans="1:7">
      <c r="A73" s="198"/>
      <c r="B73" s="36"/>
      <c r="C73" s="266"/>
      <c r="D73" s="114"/>
      <c r="E73" s="252"/>
      <c r="F73" s="252">
        <f t="shared" ref="F73:F84" si="4">D73*E73</f>
        <v>0</v>
      </c>
      <c r="G73" s="260">
        <f>SUM(F73:F79)</f>
        <v>0</v>
      </c>
    </row>
    <row r="74" s="240" customFormat="1" spans="1:7">
      <c r="A74" s="200"/>
      <c r="B74" s="42"/>
      <c r="C74" s="266"/>
      <c r="D74" s="114"/>
      <c r="E74" s="252"/>
      <c r="F74" s="252">
        <f t="shared" si="4"/>
        <v>0</v>
      </c>
      <c r="G74" s="260"/>
    </row>
    <row r="75" s="240" customFormat="1" spans="1:7">
      <c r="A75" s="200"/>
      <c r="B75" s="42"/>
      <c r="C75" s="266"/>
      <c r="D75" s="114"/>
      <c r="E75" s="252"/>
      <c r="F75" s="252">
        <f t="shared" si="4"/>
        <v>0</v>
      </c>
      <c r="G75" s="260"/>
    </row>
    <row r="76" s="240" customFormat="1" spans="1:7">
      <c r="A76" s="200"/>
      <c r="B76" s="42"/>
      <c r="C76" s="266"/>
      <c r="D76" s="114"/>
      <c r="E76" s="252"/>
      <c r="F76" s="252">
        <f t="shared" si="4"/>
        <v>0</v>
      </c>
      <c r="G76" s="260"/>
    </row>
    <row r="77" s="240" customFormat="1" spans="1:7">
      <c r="A77" s="200"/>
      <c r="B77" s="42"/>
      <c r="C77" s="266"/>
      <c r="D77" s="114"/>
      <c r="E77" s="252"/>
      <c r="F77" s="252">
        <f t="shared" si="4"/>
        <v>0</v>
      </c>
      <c r="G77" s="260"/>
    </row>
    <row r="78" s="240" customFormat="1" spans="1:7">
      <c r="A78" s="200"/>
      <c r="B78" s="42"/>
      <c r="C78" s="266"/>
      <c r="D78" s="114"/>
      <c r="E78" s="252"/>
      <c r="F78" s="252">
        <f t="shared" si="4"/>
        <v>0</v>
      </c>
      <c r="G78" s="260"/>
    </row>
    <row r="79" s="240" customFormat="1" spans="1:7">
      <c r="A79" s="262"/>
      <c r="B79" s="256"/>
      <c r="C79" s="266"/>
      <c r="D79" s="114"/>
      <c r="E79" s="252"/>
      <c r="F79" s="252">
        <f t="shared" si="4"/>
        <v>0</v>
      </c>
      <c r="G79" s="260"/>
    </row>
    <row r="80" s="240" customFormat="1" spans="1:7">
      <c r="A80" s="198"/>
      <c r="B80" s="36"/>
      <c r="C80" s="266"/>
      <c r="D80" s="114"/>
      <c r="E80" s="252"/>
      <c r="F80" s="252">
        <f t="shared" si="4"/>
        <v>0</v>
      </c>
      <c r="G80" s="260">
        <f>SUM(F80:F84)</f>
        <v>0</v>
      </c>
    </row>
    <row r="81" s="240" customFormat="1" spans="1:7">
      <c r="A81" s="200"/>
      <c r="B81" s="42"/>
      <c r="C81" s="266"/>
      <c r="D81" s="114"/>
      <c r="E81" s="252"/>
      <c r="F81" s="252">
        <f t="shared" si="4"/>
        <v>0</v>
      </c>
      <c r="G81" s="260"/>
    </row>
    <row r="82" s="240" customFormat="1" spans="1:7">
      <c r="A82" s="200"/>
      <c r="B82" s="42"/>
      <c r="C82" s="266"/>
      <c r="D82" s="114"/>
      <c r="E82" s="252"/>
      <c r="F82" s="252">
        <f t="shared" si="4"/>
        <v>0</v>
      </c>
      <c r="G82" s="260"/>
    </row>
    <row r="83" s="240" customFormat="1" spans="1:7">
      <c r="A83" s="200"/>
      <c r="B83" s="42"/>
      <c r="C83" s="266"/>
      <c r="D83" s="114"/>
      <c r="E83" s="252"/>
      <c r="F83" s="252">
        <f t="shared" si="4"/>
        <v>0</v>
      </c>
      <c r="G83" s="260"/>
    </row>
    <row r="84" s="240" customFormat="1" spans="1:7">
      <c r="A84" s="262"/>
      <c r="B84" s="256"/>
      <c r="C84" s="266"/>
      <c r="D84" s="114"/>
      <c r="E84" s="252"/>
      <c r="F84" s="252">
        <f t="shared" si="4"/>
        <v>0</v>
      </c>
      <c r="G84" s="260"/>
    </row>
    <row r="85" s="240" customFormat="1" spans="1:7">
      <c r="A85" s="198"/>
      <c r="B85" s="36"/>
      <c r="C85" s="266"/>
      <c r="D85" s="114"/>
      <c r="E85" s="252"/>
      <c r="F85" s="252">
        <f t="shared" ref="F85:F93" si="5">D85*E85</f>
        <v>0</v>
      </c>
      <c r="G85" s="260">
        <f>SUM(F85:F90)</f>
        <v>0</v>
      </c>
    </row>
    <row r="86" s="240" customFormat="1" spans="1:7">
      <c r="A86" s="200"/>
      <c r="B86" s="42"/>
      <c r="C86" s="266"/>
      <c r="D86" s="114"/>
      <c r="E86" s="252"/>
      <c r="F86" s="252">
        <f t="shared" si="5"/>
        <v>0</v>
      </c>
      <c r="G86" s="260"/>
    </row>
    <row r="87" s="240" customFormat="1" spans="1:7">
      <c r="A87" s="200"/>
      <c r="B87" s="42"/>
      <c r="C87" s="266"/>
      <c r="D87" s="114"/>
      <c r="E87" s="252"/>
      <c r="F87" s="252">
        <f t="shared" si="5"/>
        <v>0</v>
      </c>
      <c r="G87" s="260"/>
    </row>
    <row r="88" s="240" customFormat="1" spans="1:7">
      <c r="A88" s="200"/>
      <c r="B88" s="42"/>
      <c r="C88" s="266"/>
      <c r="D88" s="114"/>
      <c r="E88" s="252"/>
      <c r="F88" s="252">
        <f t="shared" si="5"/>
        <v>0</v>
      </c>
      <c r="G88" s="260"/>
    </row>
    <row r="89" s="240" customFormat="1" spans="1:7">
      <c r="A89" s="200"/>
      <c r="B89" s="42"/>
      <c r="C89" s="266"/>
      <c r="D89" s="114"/>
      <c r="E89" s="252"/>
      <c r="F89" s="252">
        <f t="shared" si="5"/>
        <v>0</v>
      </c>
      <c r="G89" s="260"/>
    </row>
    <row r="90" s="240" customFormat="1" spans="1:7">
      <c r="A90" s="262"/>
      <c r="B90" s="256"/>
      <c r="C90" s="266"/>
      <c r="D90" s="114"/>
      <c r="E90" s="252"/>
      <c r="F90" s="252">
        <f t="shared" si="5"/>
        <v>0</v>
      </c>
      <c r="G90" s="260"/>
    </row>
    <row r="91" s="240" customFormat="1" spans="1:7">
      <c r="A91" s="198"/>
      <c r="B91" s="36"/>
      <c r="C91" s="266"/>
      <c r="D91" s="114"/>
      <c r="E91" s="252"/>
      <c r="F91" s="252">
        <f t="shared" si="5"/>
        <v>0</v>
      </c>
      <c r="G91" s="260">
        <f>SUM(F91:F93)</f>
        <v>0</v>
      </c>
    </row>
    <row r="92" s="240" customFormat="1" spans="1:7">
      <c r="A92" s="200"/>
      <c r="B92" s="42"/>
      <c r="C92" s="266"/>
      <c r="D92" s="114"/>
      <c r="E92" s="252"/>
      <c r="F92" s="252">
        <f t="shared" si="5"/>
        <v>0</v>
      </c>
      <c r="G92" s="260"/>
    </row>
    <row r="93" s="240" customFormat="1" spans="1:7">
      <c r="A93" s="262"/>
      <c r="B93" s="256"/>
      <c r="C93" s="266"/>
      <c r="D93" s="114"/>
      <c r="E93" s="252"/>
      <c r="F93" s="252">
        <f t="shared" si="5"/>
        <v>0</v>
      </c>
      <c r="G93" s="260"/>
    </row>
    <row r="94" s="240" customFormat="1" spans="1:7">
      <c r="A94" s="198"/>
      <c r="B94" s="36"/>
      <c r="C94" s="266"/>
      <c r="D94" s="114"/>
      <c r="E94" s="252"/>
      <c r="F94" s="252">
        <f t="shared" ref="F94:F114" si="6">D94*E94</f>
        <v>0</v>
      </c>
      <c r="G94" s="260">
        <f>SUM(F94:F99)</f>
        <v>0</v>
      </c>
    </row>
    <row r="95" s="240" customFormat="1" spans="1:7">
      <c r="A95" s="200"/>
      <c r="B95" s="42"/>
      <c r="C95" s="266"/>
      <c r="D95" s="114"/>
      <c r="E95" s="252"/>
      <c r="F95" s="252">
        <f t="shared" si="6"/>
        <v>0</v>
      </c>
      <c r="G95" s="260"/>
    </row>
    <row r="96" s="240" customFormat="1" spans="1:7">
      <c r="A96" s="200"/>
      <c r="B96" s="42"/>
      <c r="C96" s="266"/>
      <c r="D96" s="114"/>
      <c r="E96" s="252"/>
      <c r="F96" s="252">
        <f t="shared" si="6"/>
        <v>0</v>
      </c>
      <c r="G96" s="260"/>
    </row>
    <row r="97" s="240" customFormat="1" spans="1:7">
      <c r="A97" s="200"/>
      <c r="B97" s="42"/>
      <c r="C97" s="266"/>
      <c r="D97" s="114"/>
      <c r="E97" s="252"/>
      <c r="F97" s="252">
        <f t="shared" si="6"/>
        <v>0</v>
      </c>
      <c r="G97" s="260"/>
    </row>
    <row r="98" s="240" customFormat="1" spans="1:7">
      <c r="A98" s="200"/>
      <c r="B98" s="42"/>
      <c r="C98" s="266"/>
      <c r="D98" s="114"/>
      <c r="E98" s="252"/>
      <c r="F98" s="252">
        <f t="shared" si="6"/>
        <v>0</v>
      </c>
      <c r="G98" s="260"/>
    </row>
    <row r="99" s="240" customFormat="1" spans="1:7">
      <c r="A99" s="262"/>
      <c r="B99" s="256"/>
      <c r="C99" s="266"/>
      <c r="D99" s="114"/>
      <c r="E99" s="252"/>
      <c r="F99" s="252">
        <f t="shared" si="6"/>
        <v>0</v>
      </c>
      <c r="G99" s="260"/>
    </row>
    <row r="100" s="240" customFormat="1" spans="1:7">
      <c r="A100" s="198"/>
      <c r="B100" s="36"/>
      <c r="C100" s="266"/>
      <c r="D100" s="114"/>
      <c r="E100" s="252"/>
      <c r="F100" s="252">
        <f t="shared" si="6"/>
        <v>0</v>
      </c>
      <c r="G100" s="260">
        <f>SUM(F100:F104)</f>
        <v>0</v>
      </c>
    </row>
    <row r="101" s="240" customFormat="1" spans="1:7">
      <c r="A101" s="200"/>
      <c r="B101" s="42"/>
      <c r="C101" s="266"/>
      <c r="D101" s="114"/>
      <c r="E101" s="252"/>
      <c r="F101" s="252">
        <f t="shared" si="6"/>
        <v>0</v>
      </c>
      <c r="G101" s="260"/>
    </row>
    <row r="102" s="240" customFormat="1" spans="1:7">
      <c r="A102" s="200"/>
      <c r="B102" s="42"/>
      <c r="C102" s="266"/>
      <c r="D102" s="114"/>
      <c r="E102" s="252"/>
      <c r="F102" s="252">
        <f t="shared" si="6"/>
        <v>0</v>
      </c>
      <c r="G102" s="260"/>
    </row>
    <row r="103" s="240" customFormat="1" spans="1:7">
      <c r="A103" s="200"/>
      <c r="B103" s="42"/>
      <c r="C103" s="266"/>
      <c r="D103" s="114"/>
      <c r="E103" s="252"/>
      <c r="F103" s="252">
        <f t="shared" si="6"/>
        <v>0</v>
      </c>
      <c r="G103" s="260"/>
    </row>
    <row r="104" s="240" customFormat="1" spans="1:7">
      <c r="A104" s="262"/>
      <c r="B104" s="256"/>
      <c r="C104" s="266"/>
      <c r="D104" s="114"/>
      <c r="E104" s="252"/>
      <c r="F104" s="252">
        <f t="shared" si="6"/>
        <v>0</v>
      </c>
      <c r="G104" s="260"/>
    </row>
    <row r="105" s="240" customFormat="1" spans="1:7">
      <c r="A105" s="198"/>
      <c r="B105" s="36"/>
      <c r="C105" s="266"/>
      <c r="D105" s="114"/>
      <c r="E105" s="252"/>
      <c r="F105" s="252">
        <f t="shared" si="6"/>
        <v>0</v>
      </c>
      <c r="G105" s="260">
        <f>SUM(F105:F110)</f>
        <v>0</v>
      </c>
    </row>
    <row r="106" s="240" customFormat="1" spans="1:7">
      <c r="A106" s="200"/>
      <c r="B106" s="42"/>
      <c r="C106" s="266"/>
      <c r="D106" s="114"/>
      <c r="E106" s="252"/>
      <c r="F106" s="252">
        <f t="shared" si="6"/>
        <v>0</v>
      </c>
      <c r="G106" s="260"/>
    </row>
    <row r="107" s="240" customFormat="1" spans="1:7">
      <c r="A107" s="200"/>
      <c r="B107" s="42"/>
      <c r="C107" s="266"/>
      <c r="D107" s="114"/>
      <c r="E107" s="252"/>
      <c r="F107" s="252">
        <f t="shared" si="6"/>
        <v>0</v>
      </c>
      <c r="G107" s="260"/>
    </row>
    <row r="108" s="240" customFormat="1" spans="1:7">
      <c r="A108" s="200"/>
      <c r="B108" s="42"/>
      <c r="C108" s="266"/>
      <c r="D108" s="114"/>
      <c r="E108" s="252"/>
      <c r="F108" s="252">
        <f t="shared" si="6"/>
        <v>0</v>
      </c>
      <c r="G108" s="260"/>
    </row>
    <row r="109" s="240" customFormat="1" spans="1:7">
      <c r="A109" s="200"/>
      <c r="B109" s="42"/>
      <c r="C109" s="266"/>
      <c r="D109" s="114"/>
      <c r="E109" s="252"/>
      <c r="F109" s="252">
        <f t="shared" si="6"/>
        <v>0</v>
      </c>
      <c r="G109" s="260"/>
    </row>
    <row r="110" s="240" customFormat="1" spans="1:7">
      <c r="A110" s="262"/>
      <c r="B110" s="256"/>
      <c r="C110" s="266"/>
      <c r="D110" s="114"/>
      <c r="E110" s="252"/>
      <c r="F110" s="252">
        <f t="shared" si="6"/>
        <v>0</v>
      </c>
      <c r="G110" s="260"/>
    </row>
    <row r="111" s="240" customFormat="1" spans="1:7">
      <c r="A111" s="198"/>
      <c r="B111" s="36"/>
      <c r="C111" s="266"/>
      <c r="D111" s="114"/>
      <c r="E111" s="252"/>
      <c r="F111" s="252">
        <f t="shared" si="6"/>
        <v>0</v>
      </c>
      <c r="G111" s="260">
        <f>SUM(F111:F114)</f>
        <v>0</v>
      </c>
    </row>
    <row r="112" s="240" customFormat="1" spans="1:7">
      <c r="A112" s="200"/>
      <c r="B112" s="42"/>
      <c r="C112" s="266"/>
      <c r="D112" s="114"/>
      <c r="E112" s="252"/>
      <c r="F112" s="252">
        <f t="shared" si="6"/>
        <v>0</v>
      </c>
      <c r="G112" s="260"/>
    </row>
    <row r="113" s="240" customFormat="1" spans="1:7">
      <c r="A113" s="200"/>
      <c r="B113" s="42"/>
      <c r="C113" s="266"/>
      <c r="D113" s="114"/>
      <c r="E113" s="252"/>
      <c r="F113" s="252">
        <f t="shared" si="6"/>
        <v>0</v>
      </c>
      <c r="G113" s="260"/>
    </row>
    <row r="114" s="240" customFormat="1" spans="1:7">
      <c r="A114" s="200"/>
      <c r="B114" s="42"/>
      <c r="C114" s="266"/>
      <c r="D114" s="114"/>
      <c r="E114" s="252"/>
      <c r="F114" s="252">
        <f t="shared" si="6"/>
        <v>0</v>
      </c>
      <c r="G114" s="260"/>
    </row>
    <row r="115" s="240" customFormat="1" spans="1:7">
      <c r="A115" s="198"/>
      <c r="B115" s="36"/>
      <c r="C115" s="266"/>
      <c r="D115" s="114"/>
      <c r="E115" s="252"/>
      <c r="F115" s="252">
        <f t="shared" ref="F115:F117" si="7">D115*E115</f>
        <v>0</v>
      </c>
      <c r="G115" s="260">
        <f>SUM(F115:F117)</f>
        <v>0</v>
      </c>
    </row>
    <row r="116" s="240" customFormat="1" spans="1:7">
      <c r="A116" s="200"/>
      <c r="B116" s="42"/>
      <c r="C116" s="266"/>
      <c r="D116" s="114"/>
      <c r="E116" s="252"/>
      <c r="F116" s="252">
        <f t="shared" si="7"/>
        <v>0</v>
      </c>
      <c r="G116" s="260"/>
    </row>
    <row r="117" s="240" customFormat="1" spans="1:7">
      <c r="A117" s="262"/>
      <c r="B117" s="256"/>
      <c r="C117" s="266"/>
      <c r="D117" s="114"/>
      <c r="E117" s="252"/>
      <c r="F117" s="252">
        <f t="shared" si="7"/>
        <v>0</v>
      </c>
      <c r="G117" s="260"/>
    </row>
    <row r="118" s="240" customFormat="1" spans="1:7">
      <c r="A118" s="267" t="s">
        <v>12</v>
      </c>
      <c r="B118" s="125"/>
      <c r="C118" s="268"/>
      <c r="D118" s="125"/>
      <c r="E118" s="125"/>
      <c r="F118" s="269"/>
      <c r="G118" s="60">
        <f>SUM(G2:G117)</f>
        <v>82000</v>
      </c>
    </row>
    <row r="119" s="240" customFormat="1" spans="1:7">
      <c r="A119" s="241"/>
      <c r="B119" s="242"/>
      <c r="C119" s="243"/>
      <c r="D119" s="244"/>
      <c r="E119" s="245"/>
      <c r="G119" s="241"/>
    </row>
    <row r="120" s="240" customFormat="1" spans="1:7">
      <c r="A120" s="241"/>
      <c r="B120" s="242"/>
      <c r="C120" s="243"/>
      <c r="D120" s="244"/>
      <c r="E120" s="245"/>
      <c r="G120" s="241"/>
    </row>
    <row r="121" s="240" customFormat="1" spans="1:7">
      <c r="A121" s="241"/>
      <c r="B121" s="242"/>
      <c r="C121" s="243"/>
      <c r="D121" s="244"/>
      <c r="E121" s="245"/>
      <c r="G121" s="241"/>
    </row>
    <row r="122" s="240" customFormat="1" spans="1:7">
      <c r="A122" s="241"/>
      <c r="B122" s="242"/>
      <c r="C122" s="243"/>
      <c r="D122" s="244"/>
      <c r="E122" s="245"/>
      <c r="G122" s="241"/>
    </row>
    <row r="123" s="240" customFormat="1" spans="1:7">
      <c r="A123" s="241"/>
      <c r="B123" s="242"/>
      <c r="C123" s="243"/>
      <c r="D123" s="244"/>
      <c r="E123" s="245"/>
      <c r="G123" s="241"/>
    </row>
    <row r="124" s="240" customFormat="1" spans="1:7">
      <c r="A124" s="241"/>
      <c r="B124" s="242"/>
      <c r="C124" s="243"/>
      <c r="D124" s="244"/>
      <c r="E124" s="245"/>
      <c r="G124" s="241"/>
    </row>
    <row r="125" s="240" customFormat="1" spans="1:7">
      <c r="A125" s="241"/>
      <c r="B125" s="242"/>
      <c r="C125" s="243"/>
      <c r="D125" s="244"/>
      <c r="E125" s="245"/>
      <c r="G125" s="241"/>
    </row>
    <row r="126" s="240" customFormat="1" spans="1:7">
      <c r="A126" s="241"/>
      <c r="B126" s="242"/>
      <c r="C126" s="243"/>
      <c r="D126" s="244"/>
      <c r="E126" s="245"/>
      <c r="G126" s="241"/>
    </row>
    <row r="127" s="240" customFormat="1" spans="1:7">
      <c r="A127" s="241"/>
      <c r="B127" s="242"/>
      <c r="C127" s="243"/>
      <c r="D127" s="244"/>
      <c r="E127" s="245"/>
      <c r="G127" s="241"/>
    </row>
    <row r="128" s="240" customFormat="1" spans="1:7">
      <c r="A128" s="241"/>
      <c r="B128" s="242"/>
      <c r="C128" s="243"/>
      <c r="D128" s="244"/>
      <c r="E128" s="245"/>
      <c r="G128" s="241"/>
    </row>
    <row r="129" s="240" customFormat="1" spans="1:7">
      <c r="A129" s="241"/>
      <c r="B129" s="242"/>
      <c r="C129" s="243"/>
      <c r="D129" s="244"/>
      <c r="E129" s="245"/>
      <c r="G129" s="241"/>
    </row>
    <row r="130" s="240" customFormat="1" spans="1:7">
      <c r="A130" s="241"/>
      <c r="B130" s="242"/>
      <c r="C130" s="243"/>
      <c r="D130" s="244"/>
      <c r="E130" s="245"/>
      <c r="G130" s="241"/>
    </row>
    <row r="131" s="240" customFormat="1" spans="1:7">
      <c r="A131" s="241"/>
      <c r="B131" s="242"/>
      <c r="C131" s="243"/>
      <c r="D131" s="244"/>
      <c r="E131" s="245"/>
      <c r="G131" s="241"/>
    </row>
    <row r="132" s="240" customFormat="1" spans="1:7">
      <c r="A132" s="241"/>
      <c r="B132" s="242"/>
      <c r="C132" s="243"/>
      <c r="D132" s="244"/>
      <c r="E132" s="245"/>
      <c r="G132" s="241"/>
    </row>
    <row r="133" s="240" customFormat="1" spans="1:7">
      <c r="A133" s="241"/>
      <c r="B133" s="242"/>
      <c r="C133" s="243"/>
      <c r="D133" s="244"/>
      <c r="E133" s="245"/>
      <c r="G133" s="241"/>
    </row>
    <row r="134" s="240" customFormat="1" spans="1:7">
      <c r="A134" s="241"/>
      <c r="B134" s="242"/>
      <c r="C134" s="243"/>
      <c r="D134" s="244"/>
      <c r="E134" s="245"/>
      <c r="G134" s="241"/>
    </row>
    <row r="135" s="240" customFormat="1" spans="1:7">
      <c r="A135" s="241"/>
      <c r="B135" s="242"/>
      <c r="C135" s="243"/>
      <c r="D135" s="244"/>
      <c r="E135" s="245"/>
      <c r="G135" s="241"/>
    </row>
    <row r="136" s="240" customFormat="1" spans="1:7">
      <c r="A136" s="241"/>
      <c r="B136" s="242"/>
      <c r="C136" s="243"/>
      <c r="D136" s="244"/>
      <c r="E136" s="245"/>
      <c r="G136" s="241"/>
    </row>
    <row r="137" s="240" customFormat="1" spans="1:7">
      <c r="A137" s="241"/>
      <c r="B137" s="242"/>
      <c r="C137" s="243"/>
      <c r="D137" s="244"/>
      <c r="E137" s="245"/>
      <c r="G137" s="241"/>
    </row>
    <row r="138" s="240" customFormat="1" spans="1:7">
      <c r="A138" s="241"/>
      <c r="B138" s="242"/>
      <c r="C138" s="243"/>
      <c r="D138" s="244"/>
      <c r="E138" s="245"/>
      <c r="G138" s="241"/>
    </row>
    <row r="139" s="240" customFormat="1" spans="1:7">
      <c r="A139" s="241"/>
      <c r="B139" s="242"/>
      <c r="C139" s="243"/>
      <c r="D139" s="244"/>
      <c r="E139" s="245"/>
      <c r="G139" s="241"/>
    </row>
    <row r="140" s="240" customFormat="1" spans="1:7">
      <c r="A140" s="241"/>
      <c r="B140" s="242"/>
      <c r="C140" s="243"/>
      <c r="D140" s="244"/>
      <c r="E140" s="245"/>
      <c r="G140" s="241"/>
    </row>
    <row r="141" s="240" customFormat="1" spans="1:7">
      <c r="A141" s="241"/>
      <c r="B141" s="242"/>
      <c r="C141" s="243"/>
      <c r="D141" s="244"/>
      <c r="E141" s="245"/>
      <c r="G141" s="241"/>
    </row>
    <row r="142" s="240" customFormat="1" spans="1:7">
      <c r="A142" s="241"/>
      <c r="B142" s="242"/>
      <c r="C142" s="243"/>
      <c r="D142" s="244"/>
      <c r="E142" s="245"/>
      <c r="G142" s="241"/>
    </row>
    <row r="143" s="240" customFormat="1" spans="1:7">
      <c r="A143" s="241"/>
      <c r="B143" s="242"/>
      <c r="C143" s="243"/>
      <c r="D143" s="244"/>
      <c r="E143" s="245"/>
      <c r="G143" s="241"/>
    </row>
    <row r="144" s="240" customFormat="1" spans="1:7">
      <c r="A144" s="241"/>
      <c r="B144" s="242"/>
      <c r="C144" s="243"/>
      <c r="D144" s="244"/>
      <c r="E144" s="245"/>
      <c r="G144" s="241"/>
    </row>
    <row r="145" s="240" customFormat="1" spans="1:7">
      <c r="A145" s="241"/>
      <c r="B145" s="242"/>
      <c r="C145" s="243"/>
      <c r="D145" s="244"/>
      <c r="E145" s="245"/>
      <c r="G145" s="241"/>
    </row>
    <row r="146" s="240" customFormat="1" spans="1:7">
      <c r="A146" s="241"/>
      <c r="B146" s="242"/>
      <c r="C146" s="243"/>
      <c r="D146" s="244"/>
      <c r="E146" s="245"/>
      <c r="G146" s="241"/>
    </row>
    <row r="147" s="240" customFormat="1" spans="1:7">
      <c r="A147" s="241"/>
      <c r="B147" s="242"/>
      <c r="C147" s="243"/>
      <c r="D147" s="244"/>
      <c r="E147" s="245"/>
      <c r="G147" s="241"/>
    </row>
    <row r="148" s="240" customFormat="1" spans="1:7">
      <c r="A148" s="241"/>
      <c r="B148" s="242"/>
      <c r="C148" s="243"/>
      <c r="D148" s="244"/>
      <c r="E148" s="245"/>
      <c r="G148" s="241"/>
    </row>
    <row r="149" s="240" customFormat="1" spans="1:7">
      <c r="A149" s="241"/>
      <c r="B149" s="242"/>
      <c r="C149" s="243"/>
      <c r="D149" s="244"/>
      <c r="E149" s="245"/>
      <c r="G149" s="241"/>
    </row>
    <row r="150" s="240" customFormat="1" spans="1:7">
      <c r="A150" s="241"/>
      <c r="B150" s="242"/>
      <c r="C150" s="243"/>
      <c r="D150" s="244"/>
      <c r="E150" s="245"/>
      <c r="G150" s="241"/>
    </row>
    <row r="151" s="240" customFormat="1" spans="1:7">
      <c r="A151" s="241"/>
      <c r="B151" s="242"/>
      <c r="C151" s="243"/>
      <c r="D151" s="244"/>
      <c r="E151" s="245"/>
      <c r="G151" s="241"/>
    </row>
    <row r="152" s="240" customFormat="1" spans="1:7">
      <c r="A152" s="241"/>
      <c r="B152" s="242"/>
      <c r="C152" s="243"/>
      <c r="D152" s="244"/>
      <c r="E152" s="245"/>
      <c r="G152" s="241"/>
    </row>
    <row r="153" s="240" customFormat="1" spans="1:8">
      <c r="A153" s="241"/>
      <c r="B153" s="242"/>
      <c r="C153" s="243"/>
      <c r="D153" s="244"/>
      <c r="E153" s="245"/>
      <c r="G153" s="241"/>
      <c r="H153" s="265"/>
    </row>
  </sheetData>
  <mergeCells count="57">
    <mergeCell ref="A118:F118"/>
    <mergeCell ref="A2:A4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4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4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zoomScale="85" zoomScaleNormal="85" workbookViewId="0">
      <pane ySplit="1" topLeftCell="A2" activePane="bottomLeft" state="frozen"/>
      <selection/>
      <selection pane="bottomLeft" activeCell="E3" sqref="E3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13</v>
      </c>
      <c r="C1" s="13" t="s">
        <v>14</v>
      </c>
      <c r="D1" s="13" t="s">
        <v>15</v>
      </c>
      <c r="E1" s="13" t="s">
        <v>16</v>
      </c>
      <c r="F1" s="13" t="s">
        <v>3</v>
      </c>
      <c r="G1" s="13" t="s">
        <v>5</v>
      </c>
    </row>
    <row r="2" ht="106.85" customHeight="1" spans="1:7">
      <c r="A2" s="93">
        <v>45992</v>
      </c>
      <c r="B2" s="114">
        <v>12340</v>
      </c>
      <c r="C2" s="69" t="s">
        <v>17</v>
      </c>
      <c r="D2" s="16">
        <v>20</v>
      </c>
      <c r="E2" s="4"/>
      <c r="F2" s="237">
        <v>12000</v>
      </c>
      <c r="G2" s="237">
        <f>SUM(D2*F2)</f>
        <v>240000</v>
      </c>
    </row>
    <row r="3" ht="106.2" customHeight="1" spans="1:7">
      <c r="A3" s="93"/>
      <c r="B3" s="114"/>
      <c r="C3" s="69"/>
      <c r="D3" s="16"/>
      <c r="E3" s="4"/>
      <c r="F3" s="237"/>
      <c r="G3" s="237">
        <f t="shared" ref="G3:G8" si="0">SUM(D3*F3)</f>
        <v>0</v>
      </c>
    </row>
    <row r="4" ht="110.45" customHeight="1" spans="1:7">
      <c r="A4" s="93"/>
      <c r="B4" s="114"/>
      <c r="C4" s="69"/>
      <c r="D4" s="16"/>
      <c r="E4" s="4"/>
      <c r="F4" s="237"/>
      <c r="G4" s="237">
        <f t="shared" si="0"/>
        <v>0</v>
      </c>
    </row>
    <row r="5" ht="106" customHeight="1" spans="1:7">
      <c r="A5" s="93"/>
      <c r="B5" s="114"/>
      <c r="C5" s="69"/>
      <c r="D5" s="16"/>
      <c r="E5" s="4"/>
      <c r="F5" s="237"/>
      <c r="G5" s="237">
        <f t="shared" si="0"/>
        <v>0</v>
      </c>
    </row>
    <row r="6" ht="112.95" customHeight="1" spans="1:7">
      <c r="A6" s="93"/>
      <c r="B6" s="114"/>
      <c r="C6" s="69"/>
      <c r="D6" s="16"/>
      <c r="E6" s="4"/>
      <c r="F6" s="237"/>
      <c r="G6" s="237">
        <f t="shared" si="0"/>
        <v>0</v>
      </c>
    </row>
    <row r="7" ht="113.5" customHeight="1" spans="1:7">
      <c r="A7" s="93"/>
      <c r="B7" s="114"/>
      <c r="C7" s="69"/>
      <c r="D7" s="16"/>
      <c r="E7" s="4"/>
      <c r="F7" s="237"/>
      <c r="G7" s="237">
        <f t="shared" si="0"/>
        <v>0</v>
      </c>
    </row>
    <row r="8" ht="110.25" customHeight="1" spans="1:7">
      <c r="A8" s="93"/>
      <c r="B8" s="114"/>
      <c r="C8" s="69"/>
      <c r="D8" s="16"/>
      <c r="E8" s="4"/>
      <c r="F8" s="237"/>
      <c r="G8" s="237">
        <f t="shared" si="0"/>
        <v>0</v>
      </c>
    </row>
    <row r="9" ht="109.9" customHeight="1" spans="1:7">
      <c r="A9" s="93"/>
      <c r="B9" s="114"/>
      <c r="C9" s="69"/>
      <c r="D9" s="16"/>
      <c r="E9" s="4"/>
      <c r="F9" s="237"/>
      <c r="G9" s="237">
        <f t="shared" ref="G9:G15" si="1">SUM(D9*F9)</f>
        <v>0</v>
      </c>
    </row>
    <row r="10" ht="23.25" spans="1:7">
      <c r="A10" s="238"/>
      <c r="B10" s="238"/>
      <c r="C10" s="238"/>
      <c r="D10" s="238"/>
      <c r="E10" s="239">
        <f>SUM(G2:G9)</f>
        <v>240000</v>
      </c>
      <c r="F10" s="239"/>
      <c r="G10" s="239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D9" sqref="D9"/>
    </sheetView>
  </sheetViews>
  <sheetFormatPr defaultColWidth="9.14285714285714" defaultRowHeight="15.75" outlineLevelCol="6"/>
  <cols>
    <col min="1" max="1" width="28.3809523809524" style="214" customWidth="1"/>
    <col min="2" max="2" width="32.1809523809524" style="215" customWidth="1"/>
    <col min="3" max="3" width="9.14285714285714" style="216"/>
    <col min="4" max="4" width="13.3809523809524" style="213" customWidth="1"/>
    <col min="5" max="5" width="27.9714285714286" style="213" customWidth="1"/>
    <col min="6" max="6" width="28.1619047619048" style="213" customWidth="1"/>
    <col min="7" max="8" width="14.2857142857143" style="213"/>
    <col min="9" max="16384" width="9.14285714285714" style="213"/>
  </cols>
  <sheetData>
    <row r="1" s="171" customFormat="1" ht="31" customHeight="1" spans="1:6">
      <c r="A1" s="217" t="s">
        <v>0</v>
      </c>
      <c r="B1" s="218" t="s">
        <v>1</v>
      </c>
      <c r="C1" s="219" t="s">
        <v>2</v>
      </c>
      <c r="D1" s="220" t="s">
        <v>3</v>
      </c>
      <c r="E1" s="220" t="s">
        <v>18</v>
      </c>
      <c r="F1" s="220" t="s">
        <v>5</v>
      </c>
    </row>
    <row r="2" s="213" customFormat="1" spans="1:6">
      <c r="A2" s="221">
        <v>45993</v>
      </c>
      <c r="B2" s="222" t="s">
        <v>19</v>
      </c>
      <c r="C2" s="223">
        <v>3</v>
      </c>
      <c r="D2" s="224">
        <v>28000</v>
      </c>
      <c r="E2" s="224">
        <f t="shared" ref="E2:E11" si="0">SUM(C2*D2)</f>
        <v>84000</v>
      </c>
      <c r="F2" s="225">
        <f>SUM(E2:E10)</f>
        <v>769100</v>
      </c>
    </row>
    <row r="3" s="213" customFormat="1" spans="1:6">
      <c r="A3" s="226"/>
      <c r="B3" s="222" t="s">
        <v>20</v>
      </c>
      <c r="C3" s="223">
        <v>2</v>
      </c>
      <c r="D3" s="224">
        <v>93000</v>
      </c>
      <c r="E3" s="224">
        <f t="shared" si="0"/>
        <v>186000</v>
      </c>
      <c r="F3" s="227"/>
    </row>
    <row r="4" s="213" customFormat="1" spans="1:7">
      <c r="A4" s="226"/>
      <c r="B4" s="222" t="s">
        <v>21</v>
      </c>
      <c r="C4" s="223">
        <v>0.3</v>
      </c>
      <c r="D4" s="224">
        <v>17000</v>
      </c>
      <c r="E4" s="224">
        <f t="shared" si="0"/>
        <v>5100</v>
      </c>
      <c r="F4" s="227"/>
      <c r="G4" s="228"/>
    </row>
    <row r="5" s="213" customFormat="1" spans="1:6">
      <c r="A5" s="226"/>
      <c r="B5" s="222" t="s">
        <v>22</v>
      </c>
      <c r="C5" s="223">
        <v>1</v>
      </c>
      <c r="D5" s="224">
        <v>61000</v>
      </c>
      <c r="E5" s="224">
        <f t="shared" si="0"/>
        <v>61000</v>
      </c>
      <c r="F5" s="227"/>
    </row>
    <row r="6" s="213" customFormat="1" spans="1:7">
      <c r="A6" s="226"/>
      <c r="B6" s="222" t="s">
        <v>23</v>
      </c>
      <c r="C6" s="223">
        <v>1</v>
      </c>
      <c r="D6" s="224">
        <v>17000</v>
      </c>
      <c r="E6" s="224">
        <f t="shared" si="0"/>
        <v>17000</v>
      </c>
      <c r="F6" s="227"/>
      <c r="G6" s="228"/>
    </row>
    <row r="7" s="213" customFormat="1" spans="1:6">
      <c r="A7" s="226"/>
      <c r="B7" s="222" t="s">
        <v>24</v>
      </c>
      <c r="C7" s="223">
        <v>1</v>
      </c>
      <c r="D7" s="224">
        <v>31000</v>
      </c>
      <c r="E7" s="224">
        <f t="shared" si="0"/>
        <v>31000</v>
      </c>
      <c r="F7" s="227"/>
    </row>
    <row r="8" s="213" customFormat="1" spans="1:6">
      <c r="A8" s="226"/>
      <c r="B8" s="222" t="s">
        <v>25</v>
      </c>
      <c r="C8" s="223">
        <v>8</v>
      </c>
      <c r="D8" s="224">
        <v>15000</v>
      </c>
      <c r="E8" s="224">
        <f t="shared" si="0"/>
        <v>120000</v>
      </c>
      <c r="F8" s="227"/>
    </row>
    <row r="9" s="213" customFormat="1" spans="1:6">
      <c r="A9" s="226"/>
      <c r="B9" s="222" t="s">
        <v>26</v>
      </c>
      <c r="C9" s="223">
        <v>5</v>
      </c>
      <c r="D9" s="224">
        <v>35000</v>
      </c>
      <c r="E9" s="224">
        <f t="shared" si="0"/>
        <v>175000</v>
      </c>
      <c r="F9" s="227"/>
    </row>
    <row r="10" s="213" customFormat="1" spans="1:6">
      <c r="A10" s="229"/>
      <c r="B10" s="222" t="s">
        <v>27</v>
      </c>
      <c r="C10" s="223">
        <v>2</v>
      </c>
      <c r="D10" s="224">
        <v>45000</v>
      </c>
      <c r="E10" s="224">
        <f t="shared" si="0"/>
        <v>90000</v>
      </c>
      <c r="F10" s="230"/>
    </row>
    <row r="11" s="213" customFormat="1" spans="1:6">
      <c r="A11" s="231"/>
      <c r="B11" s="222"/>
      <c r="C11" s="223"/>
      <c r="D11" s="224"/>
      <c r="E11" s="224">
        <f t="shared" si="0"/>
        <v>0</v>
      </c>
      <c r="F11" s="232"/>
    </row>
    <row r="12" s="213" customFormat="1" spans="1:7">
      <c r="A12" s="231"/>
      <c r="B12" s="222"/>
      <c r="C12" s="223"/>
      <c r="D12" s="224"/>
      <c r="E12" s="224">
        <f t="shared" ref="E12:E22" si="1">SUM(C12*D12)</f>
        <v>0</v>
      </c>
      <c r="F12" s="232">
        <f>SUM(E12:E22)</f>
        <v>0</v>
      </c>
      <c r="G12" s="228"/>
    </row>
    <row r="13" s="213" customFormat="1" spans="1:6">
      <c r="A13" s="231"/>
      <c r="B13" s="222"/>
      <c r="C13" s="223"/>
      <c r="D13" s="224"/>
      <c r="E13" s="224">
        <f t="shared" si="1"/>
        <v>0</v>
      </c>
      <c r="F13" s="232"/>
    </row>
    <row r="14" s="213" customFormat="1" spans="1:6">
      <c r="A14" s="231"/>
      <c r="B14" s="222"/>
      <c r="C14" s="223"/>
      <c r="D14" s="224"/>
      <c r="E14" s="224">
        <f t="shared" si="1"/>
        <v>0</v>
      </c>
      <c r="F14" s="232"/>
    </row>
    <row r="15" s="213" customFormat="1" spans="1:6">
      <c r="A15" s="231"/>
      <c r="B15" s="222"/>
      <c r="C15" s="223"/>
      <c r="D15" s="224"/>
      <c r="E15" s="224">
        <f t="shared" si="1"/>
        <v>0</v>
      </c>
      <c r="F15" s="232"/>
    </row>
    <row r="16" s="213" customFormat="1" spans="1:6">
      <c r="A16" s="231"/>
      <c r="B16" s="222"/>
      <c r="C16" s="223"/>
      <c r="D16" s="224"/>
      <c r="E16" s="224">
        <f t="shared" si="1"/>
        <v>0</v>
      </c>
      <c r="F16" s="232"/>
    </row>
    <row r="17" s="213" customFormat="1" spans="1:6">
      <c r="A17" s="231"/>
      <c r="B17" s="222"/>
      <c r="C17" s="223"/>
      <c r="D17" s="224"/>
      <c r="E17" s="224">
        <f t="shared" si="1"/>
        <v>0</v>
      </c>
      <c r="F17" s="232"/>
    </row>
    <row r="18" s="213" customFormat="1" spans="1:6">
      <c r="A18" s="231"/>
      <c r="B18" s="222"/>
      <c r="C18" s="223"/>
      <c r="D18" s="224"/>
      <c r="E18" s="224">
        <f t="shared" si="1"/>
        <v>0</v>
      </c>
      <c r="F18" s="232"/>
    </row>
    <row r="19" s="213" customFormat="1" spans="1:6">
      <c r="A19" s="231"/>
      <c r="B19" s="222"/>
      <c r="C19" s="223"/>
      <c r="D19" s="224"/>
      <c r="E19" s="224">
        <f t="shared" si="1"/>
        <v>0</v>
      </c>
      <c r="F19" s="232"/>
    </row>
    <row r="20" s="213" customFormat="1" spans="1:6">
      <c r="A20" s="231"/>
      <c r="B20" s="222"/>
      <c r="C20" s="223"/>
      <c r="D20" s="224"/>
      <c r="E20" s="224">
        <f t="shared" si="1"/>
        <v>0</v>
      </c>
      <c r="F20" s="232"/>
    </row>
    <row r="21" s="213" customFormat="1" spans="1:6">
      <c r="A21" s="231"/>
      <c r="B21" s="222"/>
      <c r="C21" s="223"/>
      <c r="D21" s="224"/>
      <c r="E21" s="224">
        <f t="shared" si="1"/>
        <v>0</v>
      </c>
      <c r="F21" s="232"/>
    </row>
    <row r="22" s="213" customFormat="1" spans="1:6">
      <c r="A22" s="231"/>
      <c r="B22" s="222"/>
      <c r="C22" s="223"/>
      <c r="D22" s="224"/>
      <c r="E22" s="224">
        <f t="shared" si="1"/>
        <v>0</v>
      </c>
      <c r="F22" s="232"/>
    </row>
    <row r="23" s="213" customFormat="1" spans="1:6">
      <c r="A23" s="231"/>
      <c r="B23" s="222"/>
      <c r="C23" s="223"/>
      <c r="D23" s="224"/>
      <c r="E23" s="224">
        <f t="shared" ref="E23:E36" si="2">SUM(C23*D23)</f>
        <v>0</v>
      </c>
      <c r="F23" s="232">
        <f>SUM(E23:E36)</f>
        <v>0</v>
      </c>
    </row>
    <row r="24" s="213" customFormat="1" spans="1:6">
      <c r="A24" s="231"/>
      <c r="B24" s="222"/>
      <c r="C24" s="223"/>
      <c r="D24" s="224"/>
      <c r="E24" s="224">
        <f t="shared" si="2"/>
        <v>0</v>
      </c>
      <c r="F24" s="232"/>
    </row>
    <row r="25" s="213" customFormat="1" spans="1:6">
      <c r="A25" s="231"/>
      <c r="B25" s="222"/>
      <c r="C25" s="223"/>
      <c r="D25" s="224"/>
      <c r="E25" s="224">
        <f t="shared" si="2"/>
        <v>0</v>
      </c>
      <c r="F25" s="232"/>
    </row>
    <row r="26" s="213" customFormat="1" spans="1:6">
      <c r="A26" s="231"/>
      <c r="B26" s="222"/>
      <c r="C26" s="223"/>
      <c r="D26" s="224"/>
      <c r="E26" s="224">
        <f t="shared" si="2"/>
        <v>0</v>
      </c>
      <c r="F26" s="232"/>
    </row>
    <row r="27" s="213" customFormat="1" spans="1:6">
      <c r="A27" s="231"/>
      <c r="B27" s="222"/>
      <c r="C27" s="223"/>
      <c r="D27" s="224"/>
      <c r="E27" s="224">
        <f t="shared" si="2"/>
        <v>0</v>
      </c>
      <c r="F27" s="232"/>
    </row>
    <row r="28" s="213" customFormat="1" spans="1:6">
      <c r="A28" s="231"/>
      <c r="B28" s="222"/>
      <c r="C28" s="223"/>
      <c r="D28" s="224"/>
      <c r="E28" s="224">
        <f t="shared" si="2"/>
        <v>0</v>
      </c>
      <c r="F28" s="232"/>
    </row>
    <row r="29" s="213" customFormat="1" spans="1:6">
      <c r="A29" s="231"/>
      <c r="B29" s="222"/>
      <c r="C29" s="223"/>
      <c r="D29" s="224"/>
      <c r="E29" s="224">
        <f t="shared" si="2"/>
        <v>0</v>
      </c>
      <c r="F29" s="232"/>
    </row>
    <row r="30" s="213" customFormat="1" spans="1:6">
      <c r="A30" s="231"/>
      <c r="B30" s="222"/>
      <c r="C30" s="223"/>
      <c r="D30" s="224"/>
      <c r="E30" s="224">
        <f t="shared" si="2"/>
        <v>0</v>
      </c>
      <c r="F30" s="232"/>
    </row>
    <row r="31" s="213" customFormat="1" spans="1:6">
      <c r="A31" s="231"/>
      <c r="B31" s="222"/>
      <c r="C31" s="223"/>
      <c r="D31" s="224"/>
      <c r="E31" s="224">
        <f t="shared" si="2"/>
        <v>0</v>
      </c>
      <c r="F31" s="232"/>
    </row>
    <row r="32" s="213" customFormat="1" spans="1:6">
      <c r="A32" s="231"/>
      <c r="B32" s="222"/>
      <c r="C32" s="223"/>
      <c r="D32" s="224"/>
      <c r="E32" s="224">
        <f t="shared" si="2"/>
        <v>0</v>
      </c>
      <c r="F32" s="232"/>
    </row>
    <row r="33" s="213" customFormat="1" spans="1:6">
      <c r="A33" s="231"/>
      <c r="B33" s="222"/>
      <c r="C33" s="223"/>
      <c r="D33" s="224"/>
      <c r="E33" s="224">
        <f t="shared" si="2"/>
        <v>0</v>
      </c>
      <c r="F33" s="232"/>
    </row>
    <row r="34" s="213" customFormat="1" spans="1:6">
      <c r="A34" s="231"/>
      <c r="B34" s="222"/>
      <c r="C34" s="223"/>
      <c r="D34" s="224"/>
      <c r="E34" s="224">
        <f t="shared" si="2"/>
        <v>0</v>
      </c>
      <c r="F34" s="232"/>
    </row>
    <row r="35" s="213" customFormat="1" spans="1:6">
      <c r="A35" s="231"/>
      <c r="B35" s="222"/>
      <c r="C35" s="223"/>
      <c r="D35" s="224"/>
      <c r="E35" s="224">
        <f t="shared" si="2"/>
        <v>0</v>
      </c>
      <c r="F35" s="232"/>
    </row>
    <row r="36" s="213" customFormat="1" spans="1:6">
      <c r="A36" s="231"/>
      <c r="B36" s="222"/>
      <c r="C36" s="223"/>
      <c r="D36" s="224"/>
      <c r="E36" s="224">
        <f t="shared" si="2"/>
        <v>0</v>
      </c>
      <c r="F36" s="232"/>
    </row>
    <row r="37" s="213" customFormat="1" spans="1:6">
      <c r="A37" s="233"/>
      <c r="B37" s="234"/>
      <c r="C37" s="223"/>
      <c r="D37" s="235"/>
      <c r="E37" s="235"/>
      <c r="F37" s="236">
        <f>SUM(F2:F36)</f>
        <v>769100</v>
      </c>
    </row>
    <row r="38" s="213" customFormat="1" spans="1:3">
      <c r="A38" s="214"/>
      <c r="B38" s="215"/>
      <c r="C38" s="216"/>
    </row>
    <row r="39" s="213" customFormat="1" spans="1:3">
      <c r="A39" s="214"/>
      <c r="B39" s="215"/>
      <c r="C39" s="216"/>
    </row>
    <row r="40" s="213" customFormat="1" spans="1:3">
      <c r="A40" s="214"/>
      <c r="B40" s="215"/>
      <c r="C40" s="216"/>
    </row>
    <row r="41" s="213" customFormat="1" spans="1:3">
      <c r="A41" s="214"/>
      <c r="B41" s="215"/>
      <c r="C41" s="216"/>
    </row>
    <row r="42" s="213" customFormat="1" spans="1:3">
      <c r="A42" s="214"/>
      <c r="B42" s="215"/>
      <c r="C42" s="216"/>
    </row>
    <row r="43" s="213" customFormat="1" spans="1:3">
      <c r="A43" s="214"/>
      <c r="B43" s="215"/>
      <c r="C43" s="216"/>
    </row>
    <row r="44" s="213" customFormat="1" spans="1:3">
      <c r="A44" s="214"/>
      <c r="B44" s="215"/>
      <c r="C44" s="216"/>
    </row>
    <row r="45" s="213" customFormat="1" spans="1:3">
      <c r="A45" s="214"/>
      <c r="B45" s="215"/>
      <c r="C45" s="216"/>
    </row>
    <row r="46" s="213" customFormat="1" spans="1:3">
      <c r="A46" s="214"/>
      <c r="B46" s="215"/>
      <c r="C46" s="216"/>
    </row>
    <row r="47" s="213" customFormat="1" spans="1:3">
      <c r="A47" s="214"/>
      <c r="B47" s="215"/>
      <c r="C47" s="216"/>
    </row>
    <row r="48" s="213" customFormat="1" spans="1:3">
      <c r="A48" s="214"/>
      <c r="B48" s="215"/>
      <c r="C48" s="216"/>
    </row>
    <row r="49" s="213" customFormat="1" spans="1:3">
      <c r="A49" s="214"/>
      <c r="B49" s="215"/>
      <c r="C49" s="216"/>
    </row>
    <row r="50" s="213" customFormat="1" spans="1:3">
      <c r="A50" s="214"/>
      <c r="B50" s="215"/>
      <c r="C50" s="216"/>
    </row>
    <row r="51" s="213" customFormat="1" spans="1:3">
      <c r="A51" s="214"/>
      <c r="B51" s="215"/>
      <c r="C51" s="216"/>
    </row>
    <row r="52" s="213" customFormat="1" spans="1:3">
      <c r="A52" s="214"/>
      <c r="B52" s="215"/>
      <c r="C52" s="216"/>
    </row>
    <row r="53" s="213" customFormat="1" spans="1:3">
      <c r="A53" s="214"/>
      <c r="B53" s="215"/>
      <c r="C53" s="216"/>
    </row>
    <row r="54" s="213" customFormat="1" spans="1:3">
      <c r="A54" s="214"/>
      <c r="B54" s="215"/>
      <c r="C54" s="216"/>
    </row>
    <row r="55" s="213" customFormat="1" spans="1:3">
      <c r="A55" s="214"/>
      <c r="B55" s="215"/>
      <c r="C55" s="216"/>
    </row>
    <row r="56" s="213" customFormat="1" spans="1:3">
      <c r="A56" s="214"/>
      <c r="B56" s="215"/>
      <c r="C56" s="216"/>
    </row>
    <row r="57" s="213" customFormat="1" spans="1:3">
      <c r="A57" s="214"/>
      <c r="B57" s="215"/>
      <c r="C57" s="216"/>
    </row>
    <row r="58" s="213" customFormat="1" spans="1:3">
      <c r="A58" s="214"/>
      <c r="B58" s="215"/>
      <c r="C58" s="216"/>
    </row>
    <row r="59" s="213" customFormat="1" spans="1:3">
      <c r="A59" s="214"/>
      <c r="B59" s="215"/>
      <c r="C59" s="216"/>
    </row>
    <row r="60" s="213" customFormat="1" spans="1:3">
      <c r="A60" s="214"/>
      <c r="B60" s="215"/>
      <c r="C60" s="216"/>
    </row>
    <row r="61" s="213" customFormat="1" spans="1:3">
      <c r="A61" s="214"/>
      <c r="B61" s="215"/>
      <c r="C61" s="216"/>
    </row>
    <row r="62" s="213" customFormat="1" spans="1:3">
      <c r="A62" s="214"/>
      <c r="B62" s="215"/>
      <c r="C62" s="216"/>
    </row>
    <row r="63" s="213" customFormat="1" spans="1:3">
      <c r="A63" s="214"/>
      <c r="B63" s="215"/>
      <c r="C63" s="216"/>
    </row>
    <row r="64" s="213" customFormat="1" spans="1:3">
      <c r="A64" s="214"/>
      <c r="B64" s="215"/>
      <c r="C64" s="216"/>
    </row>
    <row r="65" s="213" customFormat="1" spans="1:3">
      <c r="A65" s="214"/>
      <c r="B65" s="215"/>
      <c r="C65" s="216"/>
    </row>
    <row r="66" s="213" customFormat="1" spans="1:3">
      <c r="A66" s="214"/>
      <c r="B66" s="215"/>
      <c r="C66" s="216"/>
    </row>
    <row r="67" s="213" customFormat="1" spans="1:3">
      <c r="A67" s="214"/>
      <c r="B67" s="215"/>
      <c r="C67" s="216"/>
    </row>
    <row r="68" s="213" customFormat="1" spans="1:3">
      <c r="A68" s="214"/>
      <c r="B68" s="215"/>
      <c r="C68" s="216"/>
    </row>
    <row r="69" s="213" customFormat="1" spans="1:3">
      <c r="A69" s="214"/>
      <c r="B69" s="215"/>
      <c r="C69" s="216"/>
    </row>
    <row r="70" s="213" customFormat="1" spans="1:3">
      <c r="A70" s="214"/>
      <c r="B70" s="215"/>
      <c r="C70" s="216"/>
    </row>
    <row r="71" s="213" customFormat="1" spans="1:3">
      <c r="A71" s="214"/>
      <c r="B71" s="215"/>
      <c r="C71" s="216"/>
    </row>
    <row r="72" s="213" customFormat="1" spans="1:3">
      <c r="A72" s="214"/>
      <c r="B72" s="215"/>
      <c r="C72" s="216"/>
    </row>
    <row r="73" s="213" customFormat="1" spans="1:3">
      <c r="A73" s="214"/>
      <c r="B73" s="215"/>
      <c r="C73" s="216"/>
    </row>
    <row r="74" s="213" customFormat="1" spans="1:3">
      <c r="A74" s="214"/>
      <c r="B74" s="215"/>
      <c r="C74" s="216"/>
    </row>
    <row r="75" s="213" customFormat="1" spans="1:3">
      <c r="A75" s="214"/>
      <c r="B75" s="215"/>
      <c r="C75" s="216"/>
    </row>
    <row r="76" s="213" customFormat="1" spans="1:3">
      <c r="A76" s="214"/>
      <c r="B76" s="215"/>
      <c r="C76" s="216"/>
    </row>
    <row r="77" s="213" customFormat="1" spans="1:3">
      <c r="A77" s="214"/>
      <c r="B77" s="215"/>
      <c r="C77" s="216"/>
    </row>
    <row r="78" s="213" customFormat="1" spans="1:3">
      <c r="A78" s="214"/>
      <c r="B78" s="215"/>
      <c r="C78" s="216"/>
    </row>
    <row r="79" s="213" customFormat="1" spans="1:3">
      <c r="A79" s="214"/>
      <c r="B79" s="215"/>
      <c r="C79" s="216"/>
    </row>
    <row r="80" s="213" customFormat="1" spans="1:3">
      <c r="A80" s="214"/>
      <c r="B80" s="215"/>
      <c r="C80" s="216"/>
    </row>
    <row r="81" s="213" customFormat="1" spans="1:3">
      <c r="A81" s="214"/>
      <c r="B81" s="215"/>
      <c r="C81" s="216"/>
    </row>
    <row r="82" s="213" customFormat="1" spans="1:3">
      <c r="A82" s="214"/>
      <c r="B82" s="215"/>
      <c r="C82" s="216"/>
    </row>
    <row r="83" s="213" customFormat="1" spans="1:3">
      <c r="A83" s="214"/>
      <c r="B83" s="215"/>
      <c r="C83" s="216"/>
    </row>
    <row r="84" s="213" customFormat="1" spans="1:3">
      <c r="A84" s="214"/>
      <c r="B84" s="215"/>
      <c r="C84" s="216"/>
    </row>
    <row r="85" s="213" customFormat="1" spans="1:3">
      <c r="A85" s="214"/>
      <c r="B85" s="215"/>
      <c r="C85" s="216"/>
    </row>
    <row r="86" s="213" customFormat="1" spans="1:3">
      <c r="A86" s="214"/>
      <c r="B86" s="215"/>
      <c r="C86" s="216"/>
    </row>
    <row r="87" s="213" customFormat="1" spans="1:3">
      <c r="A87" s="214"/>
      <c r="B87" s="215"/>
      <c r="C87" s="216"/>
    </row>
    <row r="88" s="213" customFormat="1" spans="1:3">
      <c r="A88" s="214"/>
      <c r="B88" s="215"/>
      <c r="C88" s="216"/>
    </row>
    <row r="89" s="213" customFormat="1" spans="1:3">
      <c r="A89" s="214"/>
      <c r="B89" s="215"/>
      <c r="C89" s="216"/>
    </row>
    <row r="90" s="213" customFormat="1" spans="1:3">
      <c r="A90" s="214"/>
      <c r="B90" s="215"/>
      <c r="C90" s="216"/>
    </row>
    <row r="91" s="213" customFormat="1" spans="1:3">
      <c r="A91" s="214"/>
      <c r="B91" s="215"/>
      <c r="C91" s="216"/>
    </row>
    <row r="92" s="213" customFormat="1" spans="1:3">
      <c r="A92" s="214"/>
      <c r="B92" s="215"/>
      <c r="C92" s="216"/>
    </row>
    <row r="93" s="213" customFormat="1" spans="1:3">
      <c r="A93" s="214"/>
      <c r="B93" s="215"/>
      <c r="C93" s="216"/>
    </row>
    <row r="94" s="213" customFormat="1" spans="1:3">
      <c r="A94" s="214"/>
      <c r="B94" s="215"/>
      <c r="C94" s="216"/>
    </row>
    <row r="95" s="213" customFormat="1" spans="1:3">
      <c r="A95" s="214"/>
      <c r="B95" s="215"/>
      <c r="C95" s="216"/>
    </row>
    <row r="96" s="213" customFormat="1" spans="1:3">
      <c r="A96" s="214"/>
      <c r="B96" s="215"/>
      <c r="C96" s="216"/>
    </row>
    <row r="97" s="213" customFormat="1" spans="1:3">
      <c r="A97" s="214"/>
      <c r="B97" s="215"/>
      <c r="C97" s="216"/>
    </row>
    <row r="98" s="213" customFormat="1" spans="1:3">
      <c r="A98" s="214"/>
      <c r="B98" s="215"/>
      <c r="C98" s="216"/>
    </row>
    <row r="99" s="213" customFormat="1" spans="1:3">
      <c r="A99" s="214"/>
      <c r="B99" s="215"/>
      <c r="C99" s="216"/>
    </row>
    <row r="100" s="213" customFormat="1" spans="1:3">
      <c r="A100" s="214"/>
      <c r="B100" s="215"/>
      <c r="C100" s="216"/>
    </row>
    <row r="101" s="213" customFormat="1" spans="1:3">
      <c r="A101" s="214"/>
      <c r="B101" s="215"/>
      <c r="C101" s="216"/>
    </row>
    <row r="102" s="213" customFormat="1" spans="1:3">
      <c r="A102" s="214"/>
      <c r="B102" s="215"/>
      <c r="C102" s="216"/>
    </row>
    <row r="103" s="213" customFormat="1" spans="1:3">
      <c r="A103" s="214"/>
      <c r="B103" s="215"/>
      <c r="C103" s="216"/>
    </row>
    <row r="104" s="213" customFormat="1" spans="1:3">
      <c r="A104" s="214"/>
      <c r="B104" s="215"/>
      <c r="C104" s="216"/>
    </row>
    <row r="105" s="213" customFormat="1" spans="1:3">
      <c r="A105" s="214"/>
      <c r="B105" s="215"/>
      <c r="C105" s="216"/>
    </row>
    <row r="106" s="213" customFormat="1" spans="1:3">
      <c r="A106" s="214"/>
      <c r="B106" s="215"/>
      <c r="C106" s="216"/>
    </row>
    <row r="107" s="213" customFormat="1" spans="1:3">
      <c r="A107" s="214"/>
      <c r="B107" s="215"/>
      <c r="C107" s="216"/>
    </row>
    <row r="108" s="213" customFormat="1" spans="1:3">
      <c r="A108" s="214"/>
      <c r="B108" s="215"/>
      <c r="C108" s="216"/>
    </row>
    <row r="109" s="213" customFormat="1" spans="1:3">
      <c r="A109" s="214"/>
      <c r="B109" s="215"/>
      <c r="C109" s="216"/>
    </row>
    <row r="110" s="213" customFormat="1" spans="1:3">
      <c r="A110" s="214"/>
      <c r="B110" s="215"/>
      <c r="C110" s="216"/>
    </row>
    <row r="111" s="213" customFormat="1" spans="1:3">
      <c r="A111" s="214"/>
      <c r="B111" s="215"/>
      <c r="C111" s="216"/>
    </row>
    <row r="112" s="213" customFormat="1" spans="1:3">
      <c r="A112" s="214"/>
      <c r="B112" s="215"/>
      <c r="C112" s="216"/>
    </row>
    <row r="113" s="213" customFormat="1" spans="1:3">
      <c r="A113" s="214"/>
      <c r="B113" s="215"/>
      <c r="C113" s="216"/>
    </row>
    <row r="114" s="213" customFormat="1" spans="1:3">
      <c r="A114" s="214"/>
      <c r="B114" s="215"/>
      <c r="C114" s="216"/>
    </row>
    <row r="115" s="213" customFormat="1" spans="1:3">
      <c r="A115" s="214"/>
      <c r="B115" s="215"/>
      <c r="C115" s="216"/>
    </row>
    <row r="116" s="213" customFormat="1" spans="1:3">
      <c r="A116" s="214"/>
      <c r="B116" s="215"/>
      <c r="C116" s="216"/>
    </row>
    <row r="117" s="213" customFormat="1" spans="1:3">
      <c r="A117" s="214"/>
      <c r="B117" s="215"/>
      <c r="C117" s="216"/>
    </row>
    <row r="118" s="213" customFormat="1" spans="1:3">
      <c r="A118" s="214"/>
      <c r="B118" s="215"/>
      <c r="C118" s="216"/>
    </row>
    <row r="119" s="213" customFormat="1" spans="1:7">
      <c r="A119" s="214"/>
      <c r="B119" s="215"/>
      <c r="C119" s="216"/>
      <c r="G119" s="228"/>
    </row>
    <row r="120" s="213" customFormat="1" spans="1:3">
      <c r="A120" s="214"/>
      <c r="B120" s="215"/>
      <c r="C120" s="216"/>
    </row>
    <row r="121" s="213" customFormat="1" spans="1:3">
      <c r="A121" s="214"/>
      <c r="B121" s="215"/>
      <c r="C121" s="216"/>
    </row>
    <row r="122" s="213" customFormat="1" spans="1:3">
      <c r="A122" s="214"/>
      <c r="B122" s="215"/>
      <c r="C122" s="216"/>
    </row>
    <row r="123" s="213" customFormat="1" spans="1:3">
      <c r="A123" s="214"/>
      <c r="B123" s="215"/>
      <c r="C123" s="216"/>
    </row>
    <row r="124" s="213" customFormat="1" spans="1:3">
      <c r="A124" s="214"/>
      <c r="B124" s="215"/>
      <c r="C124" s="216"/>
    </row>
    <row r="125" s="213" customFormat="1" spans="1:3">
      <c r="A125" s="214"/>
      <c r="B125" s="215"/>
      <c r="C125" s="216"/>
    </row>
    <row r="126" s="213" customFormat="1" spans="1:3">
      <c r="A126" s="214"/>
      <c r="B126" s="215"/>
      <c r="C126" s="216"/>
    </row>
    <row r="127" s="213" customFormat="1" spans="1:3">
      <c r="A127" s="214"/>
      <c r="B127" s="215"/>
      <c r="C127" s="216"/>
    </row>
    <row r="128" s="213" customFormat="1" spans="1:3">
      <c r="A128" s="214"/>
      <c r="B128" s="215"/>
      <c r="C128" s="216"/>
    </row>
    <row r="129" s="213" customFormat="1" spans="1:3">
      <c r="A129" s="214"/>
      <c r="B129" s="215"/>
      <c r="C129" s="216"/>
    </row>
    <row r="130" s="213" customFormat="1" spans="1:3">
      <c r="A130" s="214"/>
      <c r="B130" s="215"/>
      <c r="C130" s="216"/>
    </row>
    <row r="131" s="213" customFormat="1" spans="1:3">
      <c r="A131" s="214"/>
      <c r="B131" s="215"/>
      <c r="C131" s="216"/>
    </row>
    <row r="132" s="213" customFormat="1" spans="1:3">
      <c r="A132" s="214"/>
      <c r="B132" s="215"/>
      <c r="C132" s="216"/>
    </row>
    <row r="133" s="213" customFormat="1" spans="1:3">
      <c r="A133" s="214"/>
      <c r="B133" s="215"/>
      <c r="C133" s="216"/>
    </row>
    <row r="134" s="213" customFormat="1" spans="1:3">
      <c r="A134" s="214"/>
      <c r="B134" s="215"/>
      <c r="C134" s="216"/>
    </row>
    <row r="135" s="213" customFormat="1" spans="1:3">
      <c r="A135" s="214"/>
      <c r="B135" s="215"/>
      <c r="C135" s="216"/>
    </row>
    <row r="136" s="213" customFormat="1" spans="1:3">
      <c r="A136" s="214"/>
      <c r="B136" s="215"/>
      <c r="C136" s="216"/>
    </row>
    <row r="137" s="213" customFormat="1" spans="1:3">
      <c r="A137" s="214"/>
      <c r="B137" s="215"/>
      <c r="C137" s="216"/>
    </row>
    <row r="138" s="213" customFormat="1" spans="1:3">
      <c r="A138" s="214"/>
      <c r="B138" s="215"/>
      <c r="C138" s="216"/>
    </row>
    <row r="139" s="213" customFormat="1" spans="1:3">
      <c r="A139" s="214"/>
      <c r="B139" s="215"/>
      <c r="C139" s="216"/>
    </row>
    <row r="140" s="213" customFormat="1" spans="1:3">
      <c r="A140" s="214"/>
      <c r="B140" s="215"/>
      <c r="C140" s="216"/>
    </row>
    <row r="141" s="213" customFormat="1" spans="1:3">
      <c r="A141" s="214"/>
      <c r="B141" s="215"/>
      <c r="C141" s="216"/>
    </row>
    <row r="142" s="213" customFormat="1" spans="1:3">
      <c r="A142" s="214"/>
      <c r="B142" s="215"/>
      <c r="C142" s="216"/>
    </row>
    <row r="143" s="213" customFormat="1" spans="1:3">
      <c r="A143" s="214"/>
      <c r="B143" s="215"/>
      <c r="C143" s="216"/>
    </row>
    <row r="144" s="213" customFormat="1" spans="1:3">
      <c r="A144" s="214"/>
      <c r="B144" s="215"/>
      <c r="C144" s="216"/>
    </row>
    <row r="145" s="213" customFormat="1" spans="1:3">
      <c r="A145" s="214"/>
      <c r="B145" s="215"/>
      <c r="C145" s="216"/>
    </row>
    <row r="146" s="213" customFormat="1" spans="1:3">
      <c r="A146" s="214"/>
      <c r="B146" s="215"/>
      <c r="C146" s="216"/>
    </row>
    <row r="147" s="213" customFormat="1" spans="1:3">
      <c r="A147" s="214"/>
      <c r="B147" s="215"/>
      <c r="C147" s="216"/>
    </row>
    <row r="148" s="213" customFormat="1" spans="1:3">
      <c r="A148" s="214"/>
      <c r="B148" s="215"/>
      <c r="C148" s="216"/>
    </row>
    <row r="149" s="213" customFormat="1" spans="1:3">
      <c r="A149" s="214"/>
      <c r="B149" s="215"/>
      <c r="C149" s="216"/>
    </row>
    <row r="150" s="213" customFormat="1" spans="1:3">
      <c r="A150" s="214"/>
      <c r="B150" s="215"/>
      <c r="C150" s="216"/>
    </row>
    <row r="151" s="213" customFormat="1" spans="1:3">
      <c r="A151" s="214"/>
      <c r="B151" s="215"/>
      <c r="C151" s="216"/>
    </row>
    <row r="152" s="213" customFormat="1" spans="1:3">
      <c r="A152" s="214"/>
      <c r="B152" s="215"/>
      <c r="C152" s="216"/>
    </row>
    <row r="153" s="213" customFormat="1" spans="1:3">
      <c r="A153" s="214"/>
      <c r="B153" s="215"/>
      <c r="C153" s="216"/>
    </row>
    <row r="154" s="213" customFormat="1" spans="1:3">
      <c r="A154" s="214"/>
      <c r="B154" s="215"/>
      <c r="C154" s="216"/>
    </row>
    <row r="155" s="213" customFormat="1" spans="1:3">
      <c r="A155" s="214"/>
      <c r="B155" s="215"/>
      <c r="C155" s="216"/>
    </row>
    <row r="156" s="213" customFormat="1" spans="1:3">
      <c r="A156" s="214"/>
      <c r="B156" s="215"/>
      <c r="C156" s="216"/>
    </row>
    <row r="157" s="213" customFormat="1" spans="1:3">
      <c r="A157" s="214"/>
      <c r="B157" s="215"/>
      <c r="C157" s="216"/>
    </row>
    <row r="158" s="213" customFormat="1" spans="1:3">
      <c r="A158" s="214"/>
      <c r="B158" s="215"/>
      <c r="C158" s="216"/>
    </row>
    <row r="159" s="213" customFormat="1" spans="1:3">
      <c r="A159" s="214"/>
      <c r="B159" s="215"/>
      <c r="C159" s="216"/>
    </row>
    <row r="160" s="213" customFormat="1" spans="1:3">
      <c r="A160" s="214"/>
      <c r="B160" s="215"/>
      <c r="C160" s="216"/>
    </row>
    <row r="161" s="213" customFormat="1" spans="1:3">
      <c r="A161" s="214"/>
      <c r="B161" s="215"/>
      <c r="C161" s="216"/>
    </row>
    <row r="162" s="213" customFormat="1" spans="1:3">
      <c r="A162" s="214"/>
      <c r="B162" s="215"/>
      <c r="C162" s="216"/>
    </row>
    <row r="163" s="213" customFormat="1" spans="1:3">
      <c r="A163" s="214"/>
      <c r="B163" s="215"/>
      <c r="C163" s="216"/>
    </row>
    <row r="164" s="213" customFormat="1" spans="1:3">
      <c r="A164" s="214"/>
      <c r="B164" s="215"/>
      <c r="C164" s="216"/>
    </row>
    <row r="165" s="213" customFormat="1" spans="1:3">
      <c r="A165" s="214"/>
      <c r="B165" s="215"/>
      <c r="C165" s="216"/>
    </row>
    <row r="166" s="213" customFormat="1" spans="1:3">
      <c r="A166" s="214"/>
      <c r="B166" s="215"/>
      <c r="C166" s="216"/>
    </row>
    <row r="167" s="213" customFormat="1" spans="1:3">
      <c r="A167" s="214"/>
      <c r="B167" s="215"/>
      <c r="C167" s="216"/>
    </row>
    <row r="168" s="213" customFormat="1" spans="1:3">
      <c r="A168" s="214"/>
      <c r="B168" s="215"/>
      <c r="C168" s="216"/>
    </row>
    <row r="169" s="213" customFormat="1" spans="1:3">
      <c r="A169" s="214"/>
      <c r="B169" s="215"/>
      <c r="C169" s="216"/>
    </row>
    <row r="170" s="213" customFormat="1" spans="1:3">
      <c r="A170" s="214"/>
      <c r="B170" s="215"/>
      <c r="C170" s="216"/>
    </row>
    <row r="171" s="213" customFormat="1" spans="1:3">
      <c r="A171" s="214"/>
      <c r="B171" s="215"/>
      <c r="C171" s="216"/>
    </row>
    <row r="172" s="213" customFormat="1" spans="1:3">
      <c r="A172" s="214"/>
      <c r="B172" s="215"/>
      <c r="C172" s="216"/>
    </row>
    <row r="173" s="213" customFormat="1" spans="1:3">
      <c r="A173" s="214"/>
      <c r="B173" s="215"/>
      <c r="C173" s="216"/>
    </row>
    <row r="174" s="213" customFormat="1" spans="1:3">
      <c r="A174" s="214"/>
      <c r="B174" s="215"/>
      <c r="C174" s="216"/>
    </row>
    <row r="175" s="213" customFormat="1" spans="1:3">
      <c r="A175" s="214"/>
      <c r="B175" s="215"/>
      <c r="C175" s="216"/>
    </row>
    <row r="176" s="213" customFormat="1" spans="1:3">
      <c r="A176" s="214"/>
      <c r="B176" s="215"/>
      <c r="C176" s="216"/>
    </row>
    <row r="177" s="213" customFormat="1" spans="1:3">
      <c r="A177" s="214"/>
      <c r="B177" s="215"/>
      <c r="C177" s="216"/>
    </row>
    <row r="178" s="213" customFormat="1" spans="1:3">
      <c r="A178" s="214"/>
      <c r="B178" s="215"/>
      <c r="C178" s="216"/>
    </row>
    <row r="179" s="213" customFormat="1" spans="1:3">
      <c r="A179" s="214"/>
      <c r="B179" s="215"/>
      <c r="C179" s="216"/>
    </row>
    <row r="180" s="213" customFormat="1" spans="1:3">
      <c r="A180" s="214"/>
      <c r="B180" s="215"/>
      <c r="C180" s="216"/>
    </row>
    <row r="181" s="213" customFormat="1" spans="1:3">
      <c r="A181" s="214"/>
      <c r="B181" s="215"/>
      <c r="C181" s="216"/>
    </row>
    <row r="182" s="213" customFormat="1" spans="1:3">
      <c r="A182" s="214"/>
      <c r="B182" s="215"/>
      <c r="C182" s="216"/>
    </row>
    <row r="183" s="213" customFormat="1" spans="1:3">
      <c r="A183" s="214"/>
      <c r="B183" s="215"/>
      <c r="C183" s="216"/>
    </row>
    <row r="184" s="213" customFormat="1" spans="1:3">
      <c r="A184" s="214"/>
      <c r="B184" s="215"/>
      <c r="C184" s="216"/>
    </row>
    <row r="185" s="213" customFormat="1" spans="1:3">
      <c r="A185" s="214"/>
      <c r="B185" s="215"/>
      <c r="C185" s="216"/>
    </row>
    <row r="186" s="213" customFormat="1" spans="1:3">
      <c r="A186" s="214"/>
      <c r="B186" s="215"/>
      <c r="C186" s="216"/>
    </row>
    <row r="187" s="213" customFormat="1" spans="1:3">
      <c r="A187" s="214"/>
      <c r="B187" s="215"/>
      <c r="C187" s="216"/>
    </row>
    <row r="188" s="213" customFormat="1" spans="1:3">
      <c r="A188" s="214"/>
      <c r="B188" s="215"/>
      <c r="C188" s="216"/>
    </row>
    <row r="189" s="213" customFormat="1" spans="1:3">
      <c r="A189" s="214"/>
      <c r="B189" s="215"/>
      <c r="C189" s="216"/>
    </row>
    <row r="190" s="213" customFormat="1" spans="1:3">
      <c r="A190" s="214"/>
      <c r="B190" s="215"/>
      <c r="C190" s="216"/>
    </row>
    <row r="191" s="213" customFormat="1" spans="1:3">
      <c r="A191" s="214"/>
      <c r="B191" s="215"/>
      <c r="C191" s="216"/>
    </row>
    <row r="192" s="213" customFormat="1" spans="1:3">
      <c r="A192" s="214"/>
      <c r="B192" s="215"/>
      <c r="C192" s="216"/>
    </row>
    <row r="193" s="213" customFormat="1" spans="1:3">
      <c r="A193" s="214"/>
      <c r="B193" s="215"/>
      <c r="C193" s="216"/>
    </row>
    <row r="194" s="213" customFormat="1" spans="1:3">
      <c r="A194" s="214"/>
      <c r="B194" s="215"/>
      <c r="C194" s="216"/>
    </row>
    <row r="195" s="213" customFormat="1" spans="1:3">
      <c r="A195" s="214"/>
      <c r="B195" s="215"/>
      <c r="C195" s="216"/>
    </row>
    <row r="196" s="213" customFormat="1" spans="1:3">
      <c r="A196" s="214"/>
      <c r="B196" s="215"/>
      <c r="C196" s="216"/>
    </row>
    <row r="197" s="213" customFormat="1" spans="1:3">
      <c r="A197" s="214"/>
      <c r="B197" s="215"/>
      <c r="C197" s="216"/>
    </row>
    <row r="198" s="213" customFormat="1" spans="1:3">
      <c r="A198" s="214"/>
      <c r="B198" s="215"/>
      <c r="C198" s="216"/>
    </row>
    <row r="199" s="213" customFormat="1" spans="1:3">
      <c r="A199" s="214"/>
      <c r="B199" s="215"/>
      <c r="C199" s="216"/>
    </row>
    <row r="200" s="213" customFormat="1" spans="1:3">
      <c r="A200" s="214"/>
      <c r="B200" s="215"/>
      <c r="C200" s="216"/>
    </row>
    <row r="201" s="213" customFormat="1" spans="1:3">
      <c r="A201" s="214"/>
      <c r="B201" s="215"/>
      <c r="C201" s="216"/>
    </row>
    <row r="202" s="213" customFormat="1" spans="1:3">
      <c r="A202" s="214"/>
      <c r="B202" s="215"/>
      <c r="C202" s="216"/>
    </row>
    <row r="203" s="213" customFormat="1" spans="1:3">
      <c r="A203" s="214"/>
      <c r="B203" s="215"/>
      <c r="C203" s="216"/>
    </row>
    <row r="204" s="213" customFormat="1" spans="1:3">
      <c r="A204" s="214"/>
      <c r="B204" s="215"/>
      <c r="C204" s="216"/>
    </row>
    <row r="205" s="213" customFormat="1" spans="1:3">
      <c r="A205" s="214"/>
      <c r="B205" s="215"/>
      <c r="C205" s="216"/>
    </row>
    <row r="206" s="213" customFormat="1" spans="1:3">
      <c r="A206" s="214"/>
      <c r="B206" s="215"/>
      <c r="C206" s="216"/>
    </row>
    <row r="207" s="213" customFormat="1" spans="1:3">
      <c r="A207" s="214"/>
      <c r="B207" s="215"/>
      <c r="C207" s="216"/>
    </row>
    <row r="208" s="213" customFormat="1" spans="1:3">
      <c r="A208" s="214"/>
      <c r="B208" s="215"/>
      <c r="C208" s="216"/>
    </row>
    <row r="209" s="213" customFormat="1" spans="1:3">
      <c r="A209" s="214"/>
      <c r="B209" s="215"/>
      <c r="C209" s="216"/>
    </row>
    <row r="210" s="213" customFormat="1" spans="1:3">
      <c r="A210" s="214"/>
      <c r="B210" s="215"/>
      <c r="C210" s="216"/>
    </row>
    <row r="211" s="213" customFormat="1" spans="1:3">
      <c r="A211" s="214"/>
      <c r="B211" s="215"/>
      <c r="C211" s="216"/>
    </row>
    <row r="212" s="213" customFormat="1" spans="1:3">
      <c r="A212" s="214"/>
      <c r="B212" s="215"/>
      <c r="C212" s="216"/>
    </row>
    <row r="213" s="213" customFormat="1" spans="1:3">
      <c r="A213" s="214"/>
      <c r="B213" s="215"/>
      <c r="C213" s="216"/>
    </row>
    <row r="214" s="213" customFormat="1" spans="1:3">
      <c r="A214" s="214"/>
      <c r="B214" s="215"/>
      <c r="C214" s="216"/>
    </row>
    <row r="215" s="213" customFormat="1" spans="1:3">
      <c r="A215" s="214"/>
      <c r="B215" s="215"/>
      <c r="C215" s="216"/>
    </row>
    <row r="216" s="213" customFormat="1" spans="1:3">
      <c r="A216" s="214"/>
      <c r="B216" s="215"/>
      <c r="C216" s="216"/>
    </row>
    <row r="217" s="213" customFormat="1" spans="1:3">
      <c r="A217" s="214"/>
      <c r="B217" s="215"/>
      <c r="C217" s="216"/>
    </row>
    <row r="218" s="213" customFormat="1" spans="1:3">
      <c r="A218" s="214"/>
      <c r="B218" s="215"/>
      <c r="C218" s="216"/>
    </row>
    <row r="219" s="213" customFormat="1" spans="1:3">
      <c r="A219" s="214"/>
      <c r="B219" s="215"/>
      <c r="C219" s="216"/>
    </row>
    <row r="220" s="213" customFormat="1" spans="1:3">
      <c r="A220" s="214"/>
      <c r="B220" s="215"/>
      <c r="C220" s="216"/>
    </row>
    <row r="221" s="213" customFormat="1" spans="1:3">
      <c r="A221" s="214"/>
      <c r="B221" s="215"/>
      <c r="C221" s="216"/>
    </row>
    <row r="222" s="213" customFormat="1" spans="1:3">
      <c r="A222" s="214"/>
      <c r="B222" s="215"/>
      <c r="C222" s="216"/>
    </row>
    <row r="223" s="213" customFormat="1" spans="1:3">
      <c r="A223" s="214"/>
      <c r="B223" s="215"/>
      <c r="C223" s="216"/>
    </row>
    <row r="224" s="213" customFormat="1" spans="1:3">
      <c r="A224" s="214"/>
      <c r="B224" s="215"/>
      <c r="C224" s="216"/>
    </row>
    <row r="225" s="213" customFormat="1" spans="1:3">
      <c r="A225" s="214"/>
      <c r="B225" s="215"/>
      <c r="C225" s="216"/>
    </row>
    <row r="226" s="213" customFormat="1" spans="1:3">
      <c r="A226" s="214"/>
      <c r="B226" s="215"/>
      <c r="C226" s="216"/>
    </row>
    <row r="227" s="213" customFormat="1" spans="1:3">
      <c r="A227" s="214"/>
      <c r="B227" s="215"/>
      <c r="C227" s="216"/>
    </row>
    <row r="228" s="213" customFormat="1" spans="1:3">
      <c r="A228" s="214"/>
      <c r="B228" s="215"/>
      <c r="C228" s="216"/>
    </row>
    <row r="229" s="213" customFormat="1" spans="1:3">
      <c r="A229" s="214"/>
      <c r="B229" s="215"/>
      <c r="C229" s="216"/>
    </row>
    <row r="230" s="213" customFormat="1" spans="1:3">
      <c r="A230" s="214"/>
      <c r="B230" s="215"/>
      <c r="C230" s="216"/>
    </row>
    <row r="231" s="213" customFormat="1" spans="1:3">
      <c r="A231" s="214"/>
      <c r="B231" s="215"/>
      <c r="C231" s="216"/>
    </row>
    <row r="232" s="213" customFormat="1" spans="1:3">
      <c r="A232" s="214"/>
      <c r="B232" s="215"/>
      <c r="C232" s="216"/>
    </row>
    <row r="233" s="213" customFormat="1" spans="1:3">
      <c r="A233" s="214"/>
      <c r="B233" s="215"/>
      <c r="C233" s="216"/>
    </row>
    <row r="234" s="213" customFormat="1" spans="1:3">
      <c r="A234" s="214"/>
      <c r="B234" s="215"/>
      <c r="C234" s="216"/>
    </row>
    <row r="235" s="213" customFormat="1" spans="1:3">
      <c r="A235" s="214"/>
      <c r="B235" s="215"/>
      <c r="C235" s="216"/>
    </row>
    <row r="236" s="213" customFormat="1" spans="1:3">
      <c r="A236" s="214"/>
      <c r="B236" s="215"/>
      <c r="C236" s="216"/>
    </row>
    <row r="237" s="213" customFormat="1" spans="1:3">
      <c r="A237" s="214"/>
      <c r="B237" s="215"/>
      <c r="C237" s="216"/>
    </row>
    <row r="238" s="213" customFormat="1" spans="1:3">
      <c r="A238" s="214"/>
      <c r="B238" s="215"/>
      <c r="C238" s="216"/>
    </row>
    <row r="239" s="213" customFormat="1" spans="1:3">
      <c r="A239" s="214"/>
      <c r="B239" s="215"/>
      <c r="C239" s="216"/>
    </row>
    <row r="240" s="213" customFormat="1" spans="1:3">
      <c r="A240" s="214"/>
      <c r="B240" s="215"/>
      <c r="C240" s="216"/>
    </row>
    <row r="241" s="213" customFormat="1" spans="1:3">
      <c r="A241" s="214"/>
      <c r="B241" s="215"/>
      <c r="C241" s="216"/>
    </row>
    <row r="242" s="213" customFormat="1" spans="1:3">
      <c r="A242" s="214"/>
      <c r="B242" s="215"/>
      <c r="C242" s="216"/>
    </row>
    <row r="243" s="213" customFormat="1" spans="1:3">
      <c r="A243" s="214"/>
      <c r="B243" s="215"/>
      <c r="C243" s="216"/>
    </row>
    <row r="244" s="213" customFormat="1" spans="1:3">
      <c r="A244" s="214"/>
      <c r="B244" s="215"/>
      <c r="C244" s="216"/>
    </row>
    <row r="245" s="213" customFormat="1" spans="1:3">
      <c r="A245" s="214"/>
      <c r="B245" s="215"/>
      <c r="C245" s="216"/>
    </row>
    <row r="246" s="213" customFormat="1" spans="1:3">
      <c r="A246" s="214"/>
      <c r="B246" s="215"/>
      <c r="C246" s="216"/>
    </row>
    <row r="247" s="213" customFormat="1" spans="1:3">
      <c r="A247" s="214"/>
      <c r="B247" s="215"/>
      <c r="C247" s="216"/>
    </row>
    <row r="248" s="213" customFormat="1" spans="1:3">
      <c r="A248" s="214"/>
      <c r="B248" s="215"/>
      <c r="C248" s="216"/>
    </row>
    <row r="249" s="213" customFormat="1" spans="1:3">
      <c r="A249" s="214"/>
      <c r="B249" s="215"/>
      <c r="C249" s="216"/>
    </row>
    <row r="250" s="213" customFormat="1" spans="1:3">
      <c r="A250" s="214"/>
      <c r="B250" s="215"/>
      <c r="C250" s="216"/>
    </row>
    <row r="251" s="213" customFormat="1" spans="1:3">
      <c r="A251" s="214"/>
      <c r="B251" s="215"/>
      <c r="C251" s="216"/>
    </row>
    <row r="252" s="213" customFormat="1" spans="1:3">
      <c r="A252" s="214"/>
      <c r="B252" s="215"/>
      <c r="C252" s="216"/>
    </row>
    <row r="253" s="213" customFormat="1" spans="1:3">
      <c r="A253" s="214"/>
      <c r="B253" s="215"/>
      <c r="C253" s="216"/>
    </row>
    <row r="254" s="213" customFormat="1" spans="1:3">
      <c r="A254" s="214"/>
      <c r="B254" s="215"/>
      <c r="C254" s="216"/>
    </row>
    <row r="255" s="213" customFormat="1" spans="1:3">
      <c r="A255" s="214"/>
      <c r="B255" s="215"/>
      <c r="C255" s="216"/>
    </row>
    <row r="256" s="213" customFormat="1" spans="1:3">
      <c r="A256" s="214"/>
      <c r="B256" s="215"/>
      <c r="C256" s="216"/>
    </row>
    <row r="257" s="213" customFormat="1" spans="1:3">
      <c r="A257" s="214"/>
      <c r="B257" s="215"/>
      <c r="C257" s="216"/>
    </row>
    <row r="258" s="213" customFormat="1" spans="1:3">
      <c r="A258" s="214"/>
      <c r="B258" s="215"/>
      <c r="C258" s="216"/>
    </row>
    <row r="259" s="213" customFormat="1" spans="1:3">
      <c r="A259" s="214"/>
      <c r="B259" s="215"/>
      <c r="C259" s="216"/>
    </row>
    <row r="260" s="213" customFormat="1" spans="1:3">
      <c r="A260" s="214"/>
      <c r="B260" s="215"/>
      <c r="C260" s="216"/>
    </row>
    <row r="261" s="213" customFormat="1" spans="1:3">
      <c r="A261" s="214"/>
      <c r="B261" s="215"/>
      <c r="C261" s="216"/>
    </row>
    <row r="262" s="213" customFormat="1" spans="1:3">
      <c r="A262" s="214"/>
      <c r="B262" s="215"/>
      <c r="C262" s="216"/>
    </row>
    <row r="263" s="213" customFormat="1" spans="1:3">
      <c r="A263" s="214"/>
      <c r="B263" s="215"/>
      <c r="C263" s="216"/>
    </row>
    <row r="264" s="213" customFormat="1" spans="1:3">
      <c r="A264" s="214"/>
      <c r="B264" s="215"/>
      <c r="C264" s="216"/>
    </row>
    <row r="265" s="213" customFormat="1" spans="1:3">
      <c r="A265" s="214"/>
      <c r="B265" s="215"/>
      <c r="C265" s="216"/>
    </row>
    <row r="266" s="213" customFormat="1" spans="1:3">
      <c r="A266" s="214"/>
      <c r="B266" s="215"/>
      <c r="C266" s="216"/>
    </row>
    <row r="267" s="213" customFormat="1" spans="1:3">
      <c r="A267" s="214"/>
      <c r="B267" s="215"/>
      <c r="C267" s="216"/>
    </row>
    <row r="268" s="213" customFormat="1" spans="1:3">
      <c r="A268" s="214"/>
      <c r="B268" s="215"/>
      <c r="C268" s="216"/>
    </row>
    <row r="269" s="213" customFormat="1" spans="1:3">
      <c r="A269" s="214"/>
      <c r="B269" s="215"/>
      <c r="C269" s="216"/>
    </row>
    <row r="270" s="213" customFormat="1" spans="1:3">
      <c r="A270" s="214"/>
      <c r="B270" s="215"/>
      <c r="C270" s="216"/>
    </row>
    <row r="271" s="213" customFormat="1" spans="1:3">
      <c r="A271" s="214"/>
      <c r="B271" s="215"/>
      <c r="C271" s="216"/>
    </row>
    <row r="272" s="213" customFormat="1" spans="1:3">
      <c r="A272" s="214"/>
      <c r="B272" s="215"/>
      <c r="C272" s="216"/>
    </row>
    <row r="273" s="213" customFormat="1" spans="1:3">
      <c r="A273" s="214"/>
      <c r="B273" s="215"/>
      <c r="C273" s="216"/>
    </row>
    <row r="274" s="213" customFormat="1" spans="1:3">
      <c r="A274" s="214"/>
      <c r="B274" s="215"/>
      <c r="C274" s="216"/>
    </row>
    <row r="275" s="213" customFormat="1" spans="1:3">
      <c r="A275" s="214"/>
      <c r="B275" s="215"/>
      <c r="C275" s="216"/>
    </row>
    <row r="276" s="213" customFormat="1" spans="1:3">
      <c r="A276" s="214"/>
      <c r="B276" s="215"/>
      <c r="C276" s="216"/>
    </row>
    <row r="277" s="213" customFormat="1" spans="1:3">
      <c r="A277" s="214"/>
      <c r="B277" s="215"/>
      <c r="C277" s="216"/>
    </row>
    <row r="278" s="213" customFormat="1" spans="1:3">
      <c r="A278" s="214"/>
      <c r="B278" s="215"/>
      <c r="C278" s="216"/>
    </row>
    <row r="279" s="213" customFormat="1" spans="1:3">
      <c r="A279" s="214"/>
      <c r="B279" s="215"/>
      <c r="C279" s="216"/>
    </row>
    <row r="280" s="213" customFormat="1" spans="1:3">
      <c r="A280" s="214"/>
      <c r="B280" s="215"/>
      <c r="C280" s="216"/>
    </row>
    <row r="281" s="213" customFormat="1" spans="1:3">
      <c r="A281" s="214"/>
      <c r="B281" s="215"/>
      <c r="C281" s="216"/>
    </row>
    <row r="282" s="213" customFormat="1" spans="1:3">
      <c r="A282" s="214"/>
      <c r="B282" s="215"/>
      <c r="C282" s="216"/>
    </row>
    <row r="283" s="213" customFormat="1" spans="1:3">
      <c r="A283" s="214"/>
      <c r="B283" s="215"/>
      <c r="C283" s="216"/>
    </row>
    <row r="284" s="213" customFormat="1" spans="1:3">
      <c r="A284" s="214"/>
      <c r="B284" s="215"/>
      <c r="C284" s="216"/>
    </row>
    <row r="285" s="213" customFormat="1" spans="1:3">
      <c r="A285" s="214"/>
      <c r="B285" s="215"/>
      <c r="C285" s="216"/>
    </row>
    <row r="286" s="213" customFormat="1" spans="1:3">
      <c r="A286" s="214"/>
      <c r="B286" s="215"/>
      <c r="C286" s="216"/>
    </row>
    <row r="287" s="213" customFormat="1" spans="1:3">
      <c r="A287" s="214"/>
      <c r="B287" s="215"/>
      <c r="C287" s="216"/>
    </row>
    <row r="288" s="213" customFormat="1" spans="1:3">
      <c r="A288" s="214"/>
      <c r="B288" s="215"/>
      <c r="C288" s="216"/>
    </row>
    <row r="289" s="213" customFormat="1" spans="1:3">
      <c r="A289" s="214"/>
      <c r="B289" s="215"/>
      <c r="C289" s="216"/>
    </row>
    <row r="290" s="213" customFormat="1" spans="1:3">
      <c r="A290" s="214"/>
      <c r="B290" s="215"/>
      <c r="C290" s="216"/>
    </row>
    <row r="291" s="213" customFormat="1" spans="1:3">
      <c r="A291" s="214"/>
      <c r="B291" s="215"/>
      <c r="C291" s="216"/>
    </row>
    <row r="292" s="213" customFormat="1" spans="1:3">
      <c r="A292" s="214"/>
      <c r="B292" s="215"/>
      <c r="C292" s="216"/>
    </row>
    <row r="293" s="213" customFormat="1" spans="1:3">
      <c r="A293" s="214"/>
      <c r="B293" s="215"/>
      <c r="C293" s="216"/>
    </row>
    <row r="294" s="213" customFormat="1" spans="1:3">
      <c r="A294" s="214"/>
      <c r="B294" s="215"/>
      <c r="C294" s="216"/>
    </row>
    <row r="295" s="213" customFormat="1" spans="1:3">
      <c r="A295" s="214"/>
      <c r="B295" s="215"/>
      <c r="C295" s="216"/>
    </row>
    <row r="296" s="213" customFormat="1" spans="1:3">
      <c r="A296" s="214"/>
      <c r="B296" s="215"/>
      <c r="C296" s="216"/>
    </row>
    <row r="297" s="213" customFormat="1" spans="1:3">
      <c r="A297" s="214"/>
      <c r="B297" s="215"/>
      <c r="C297" s="216"/>
    </row>
    <row r="298" s="213" customFormat="1" spans="1:3">
      <c r="A298" s="214"/>
      <c r="B298" s="215"/>
      <c r="C298" s="216"/>
    </row>
    <row r="299" s="213" customFormat="1" spans="1:3">
      <c r="A299" s="214"/>
      <c r="B299" s="215"/>
      <c r="C299" s="216"/>
    </row>
    <row r="300" s="213" customFormat="1" spans="1:3">
      <c r="A300" s="214"/>
      <c r="B300" s="215"/>
      <c r="C300" s="216"/>
    </row>
    <row r="301" s="213" customFormat="1" spans="1:3">
      <c r="A301" s="214"/>
      <c r="B301" s="215"/>
      <c r="C301" s="216"/>
    </row>
    <row r="302" s="213" customFormat="1" spans="1:3">
      <c r="A302" s="214"/>
      <c r="B302" s="215"/>
      <c r="C302" s="216"/>
    </row>
    <row r="303" s="213" customFormat="1" spans="1:3">
      <c r="A303" s="214"/>
      <c r="B303" s="215"/>
      <c r="C303" s="216"/>
    </row>
    <row r="304" s="213" customFormat="1" spans="1:3">
      <c r="A304" s="214"/>
      <c r="B304" s="215"/>
      <c r="C304" s="216"/>
    </row>
    <row r="305" s="213" customFormat="1" spans="1:3">
      <c r="A305" s="214"/>
      <c r="B305" s="215"/>
      <c r="C305" s="216"/>
    </row>
    <row r="306" s="213" customFormat="1" spans="1:3">
      <c r="A306" s="214"/>
      <c r="B306" s="215"/>
      <c r="C306" s="216"/>
    </row>
    <row r="307" s="213" customFormat="1" spans="1:3">
      <c r="A307" s="214"/>
      <c r="B307" s="215"/>
      <c r="C307" s="216"/>
    </row>
    <row r="308" s="213" customFormat="1" spans="1:3">
      <c r="A308" s="214"/>
      <c r="B308" s="215"/>
      <c r="C308" s="216"/>
    </row>
    <row r="309" s="213" customFormat="1" spans="1:3">
      <c r="A309" s="214"/>
      <c r="B309" s="215"/>
      <c r="C309" s="216"/>
    </row>
    <row r="310" s="213" customFormat="1" spans="1:3">
      <c r="A310" s="214"/>
      <c r="B310" s="215"/>
      <c r="C310" s="216"/>
    </row>
    <row r="311" s="213" customFormat="1" spans="1:3">
      <c r="A311" s="214"/>
      <c r="B311" s="215"/>
      <c r="C311" s="216"/>
    </row>
    <row r="312" s="213" customFormat="1" spans="1:3">
      <c r="A312" s="214"/>
      <c r="B312" s="215"/>
      <c r="C312" s="216"/>
    </row>
    <row r="313" s="213" customFormat="1" spans="1:3">
      <c r="A313" s="214"/>
      <c r="B313" s="215"/>
      <c r="C313" s="216"/>
    </row>
    <row r="314" s="213" customFormat="1" spans="1:3">
      <c r="A314" s="214"/>
      <c r="B314" s="215"/>
      <c r="C314" s="216"/>
    </row>
    <row r="315" s="213" customFormat="1" spans="1:3">
      <c r="A315" s="214"/>
      <c r="B315" s="215"/>
      <c r="C315" s="216"/>
    </row>
    <row r="316" s="213" customFormat="1" spans="1:3">
      <c r="A316" s="214"/>
      <c r="B316" s="215"/>
      <c r="C316" s="216"/>
    </row>
    <row r="317" s="213" customFormat="1" spans="1:3">
      <c r="A317" s="214"/>
      <c r="B317" s="215"/>
      <c r="C317" s="216"/>
    </row>
    <row r="318" s="213" customFormat="1" spans="1:3">
      <c r="A318" s="214"/>
      <c r="B318" s="215"/>
      <c r="C318" s="216"/>
    </row>
    <row r="319" s="213" customFormat="1" spans="1:3">
      <c r="A319" s="214"/>
      <c r="B319" s="215"/>
      <c r="C319" s="216"/>
    </row>
    <row r="320" s="213" customFormat="1" spans="1:3">
      <c r="A320" s="214"/>
      <c r="B320" s="215"/>
      <c r="C320" s="216"/>
    </row>
    <row r="321" s="213" customFormat="1" spans="1:3">
      <c r="A321" s="214"/>
      <c r="B321" s="215"/>
      <c r="C321" s="216"/>
    </row>
    <row r="322" s="213" customFormat="1" spans="1:3">
      <c r="A322" s="214"/>
      <c r="B322" s="215"/>
      <c r="C322" s="216"/>
    </row>
    <row r="323" s="213" customFormat="1" spans="1:3">
      <c r="A323" s="214"/>
      <c r="B323" s="215"/>
      <c r="C323" s="216"/>
    </row>
    <row r="324" s="213" customFormat="1" spans="1:3">
      <c r="A324" s="214"/>
      <c r="B324" s="215"/>
      <c r="C324" s="216"/>
    </row>
    <row r="325" s="213" customFormat="1" spans="1:3">
      <c r="A325" s="214"/>
      <c r="B325" s="215"/>
      <c r="C325" s="216"/>
    </row>
    <row r="326" s="213" customFormat="1" spans="1:3">
      <c r="A326" s="214"/>
      <c r="B326" s="215"/>
      <c r="C326" s="216"/>
    </row>
    <row r="327" s="213" customFormat="1" spans="1:3">
      <c r="A327" s="214"/>
      <c r="B327" s="215"/>
      <c r="C327" s="216"/>
    </row>
    <row r="328" s="213" customFormat="1" spans="1:3">
      <c r="A328" s="214"/>
      <c r="B328" s="215"/>
      <c r="C328" s="216"/>
    </row>
    <row r="329" s="213" customFormat="1" spans="1:3">
      <c r="A329" s="214"/>
      <c r="B329" s="215"/>
      <c r="C329" s="216"/>
    </row>
    <row r="330" s="213" customFormat="1" spans="1:3">
      <c r="A330" s="214"/>
      <c r="B330" s="215"/>
      <c r="C330" s="216"/>
    </row>
    <row r="331" s="213" customFormat="1" spans="1:3">
      <c r="A331" s="214"/>
      <c r="B331" s="215"/>
      <c r="C331" s="216"/>
    </row>
    <row r="332" s="213" customFormat="1" spans="1:3">
      <c r="A332" s="214"/>
      <c r="B332" s="215"/>
      <c r="C332" s="216"/>
    </row>
    <row r="333" s="213" customFormat="1" spans="1:3">
      <c r="A333" s="214"/>
      <c r="B333" s="215"/>
      <c r="C333" s="216"/>
    </row>
    <row r="334" s="213" customFormat="1" spans="1:3">
      <c r="A334" s="214"/>
      <c r="B334" s="215"/>
      <c r="C334" s="216"/>
    </row>
    <row r="335" s="213" customFormat="1" spans="1:3">
      <c r="A335" s="214"/>
      <c r="B335" s="215"/>
      <c r="C335" s="216"/>
    </row>
    <row r="336" s="213" customFormat="1" spans="1:3">
      <c r="A336" s="214"/>
      <c r="B336" s="215"/>
      <c r="C336" s="216"/>
    </row>
    <row r="337" s="213" customFormat="1" spans="1:3">
      <c r="A337" s="214"/>
      <c r="B337" s="215"/>
      <c r="C337" s="216"/>
    </row>
    <row r="338" s="213" customFormat="1" spans="1:3">
      <c r="A338" s="214"/>
      <c r="B338" s="215"/>
      <c r="C338" s="216"/>
    </row>
    <row r="339" s="213" customFormat="1" spans="1:3">
      <c r="A339" s="214"/>
      <c r="B339" s="215"/>
      <c r="C339" s="216"/>
    </row>
    <row r="340" s="213" customFormat="1" spans="1:3">
      <c r="A340" s="214"/>
      <c r="B340" s="215"/>
      <c r="C340" s="216"/>
    </row>
    <row r="341" s="213" customFormat="1" spans="1:3">
      <c r="A341" s="214"/>
      <c r="B341" s="215"/>
      <c r="C341" s="216"/>
    </row>
    <row r="342" s="213" customFormat="1" spans="1:3">
      <c r="A342" s="214"/>
      <c r="B342" s="215"/>
      <c r="C342" s="216"/>
    </row>
    <row r="343" s="213" customFormat="1" spans="1:3">
      <c r="A343" s="214"/>
      <c r="B343" s="215"/>
      <c r="C343" s="216"/>
    </row>
    <row r="344" s="213" customFormat="1" spans="1:3">
      <c r="A344" s="214"/>
      <c r="B344" s="215"/>
      <c r="C344" s="216"/>
    </row>
    <row r="345" s="213" customFormat="1" spans="1:3">
      <c r="A345" s="214"/>
      <c r="B345" s="215"/>
      <c r="C345" s="216"/>
    </row>
    <row r="346" s="213" customFormat="1" spans="1:3">
      <c r="A346" s="214"/>
      <c r="B346" s="215"/>
      <c r="C346" s="216"/>
    </row>
    <row r="347" s="213" customFormat="1" spans="1:3">
      <c r="A347" s="214"/>
      <c r="B347" s="215"/>
      <c r="C347" s="216"/>
    </row>
    <row r="348" s="213" customFormat="1" spans="1:3">
      <c r="A348" s="214"/>
      <c r="B348" s="215"/>
      <c r="C348" s="216"/>
    </row>
    <row r="349" s="213" customFormat="1" spans="1:3">
      <c r="A349" s="214"/>
      <c r="B349" s="215"/>
      <c r="C349" s="216"/>
    </row>
    <row r="350" s="213" customFormat="1" spans="1:3">
      <c r="A350" s="214"/>
      <c r="B350" s="215"/>
      <c r="C350" s="216"/>
    </row>
    <row r="351" s="213" customFormat="1" spans="1:3">
      <c r="A351" s="214"/>
      <c r="B351" s="215"/>
      <c r="C351" s="216"/>
    </row>
    <row r="352" s="213" customFormat="1" spans="1:3">
      <c r="A352" s="214"/>
      <c r="B352" s="215"/>
      <c r="C352" s="216"/>
    </row>
    <row r="353" s="213" customFormat="1" spans="1:3">
      <c r="A353" s="214"/>
      <c r="B353" s="215"/>
      <c r="C353" s="216"/>
    </row>
    <row r="354" s="213" customFormat="1" spans="1:3">
      <c r="A354" s="214"/>
      <c r="B354" s="215"/>
      <c r="C354" s="216"/>
    </row>
    <row r="355" s="213" customFormat="1" spans="1:3">
      <c r="A355" s="214"/>
      <c r="B355" s="215"/>
      <c r="C355" s="216"/>
    </row>
    <row r="356" s="213" customFormat="1" spans="1:3">
      <c r="A356" s="214"/>
      <c r="B356" s="215"/>
      <c r="C356" s="216"/>
    </row>
    <row r="357" s="213" customFormat="1" spans="1:3">
      <c r="A357" s="214"/>
      <c r="B357" s="215"/>
      <c r="C357" s="216"/>
    </row>
    <row r="358" s="213" customFormat="1" spans="1:3">
      <c r="A358" s="214"/>
      <c r="B358" s="215"/>
      <c r="C358" s="216"/>
    </row>
    <row r="359" s="213" customFormat="1" spans="1:3">
      <c r="A359" s="214"/>
      <c r="B359" s="215"/>
      <c r="C359" s="216"/>
    </row>
    <row r="360" s="213" customFormat="1" spans="1:3">
      <c r="A360" s="214"/>
      <c r="B360" s="215"/>
      <c r="C360" s="216"/>
    </row>
    <row r="361" s="213" customFormat="1" spans="1:3">
      <c r="A361" s="214"/>
      <c r="B361" s="215"/>
      <c r="C361" s="216"/>
    </row>
    <row r="362" s="213" customFormat="1" spans="1:3">
      <c r="A362" s="214"/>
      <c r="B362" s="215"/>
      <c r="C362" s="216"/>
    </row>
    <row r="363" s="213" customFormat="1" spans="1:3">
      <c r="A363" s="214"/>
      <c r="B363" s="215"/>
      <c r="C363" s="216"/>
    </row>
    <row r="364" s="213" customFormat="1" spans="1:3">
      <c r="A364" s="214"/>
      <c r="B364" s="215"/>
      <c r="C364" s="216"/>
    </row>
    <row r="365" s="213" customFormat="1" spans="1:3">
      <c r="A365" s="214"/>
      <c r="B365" s="215"/>
      <c r="C365" s="216"/>
    </row>
    <row r="366" s="213" customFormat="1" spans="1:3">
      <c r="A366" s="214"/>
      <c r="B366" s="215"/>
      <c r="C366" s="216"/>
    </row>
    <row r="367" s="213" customFormat="1" spans="1:3">
      <c r="A367" s="214"/>
      <c r="B367" s="215"/>
      <c r="C367" s="216"/>
    </row>
    <row r="368" s="213" customFormat="1" spans="1:3">
      <c r="A368" s="214"/>
      <c r="B368" s="215"/>
      <c r="C368" s="216"/>
    </row>
    <row r="369" s="213" customFormat="1" spans="1:3">
      <c r="A369" s="214"/>
      <c r="B369" s="215"/>
      <c r="C369" s="216"/>
    </row>
    <row r="370" s="213" customFormat="1" spans="1:3">
      <c r="A370" s="214"/>
      <c r="B370" s="215"/>
      <c r="C370" s="216"/>
    </row>
    <row r="371" s="213" customFormat="1" spans="1:3">
      <c r="A371" s="214"/>
      <c r="B371" s="215"/>
      <c r="C371" s="216"/>
    </row>
    <row r="372" s="213" customFormat="1" spans="1:3">
      <c r="A372" s="214"/>
      <c r="B372" s="215"/>
      <c r="C372" s="216"/>
    </row>
    <row r="373" s="213" customFormat="1" spans="1:3">
      <c r="A373" s="214"/>
      <c r="B373" s="215"/>
      <c r="C373" s="216"/>
    </row>
    <row r="374" s="213" customFormat="1" spans="1:3">
      <c r="A374" s="214"/>
      <c r="B374" s="215"/>
      <c r="C374" s="216"/>
    </row>
    <row r="375" s="213" customFormat="1" spans="1:3">
      <c r="A375" s="214"/>
      <c r="B375" s="215"/>
      <c r="C375" s="216"/>
    </row>
    <row r="376" s="213" customFormat="1" spans="1:3">
      <c r="A376" s="214"/>
      <c r="B376" s="215"/>
      <c r="C376" s="216"/>
    </row>
    <row r="377" s="213" customFormat="1" spans="1:3">
      <c r="A377" s="214"/>
      <c r="B377" s="215"/>
      <c r="C377" s="216"/>
    </row>
    <row r="378" s="213" customFormat="1" spans="1:3">
      <c r="A378" s="214"/>
      <c r="B378" s="215"/>
      <c r="C378" s="216"/>
    </row>
    <row r="379" s="213" customFormat="1" spans="1:3">
      <c r="A379" s="214"/>
      <c r="B379" s="215"/>
      <c r="C379" s="216"/>
    </row>
    <row r="380" s="213" customFormat="1" spans="1:3">
      <c r="A380" s="214"/>
      <c r="B380" s="215"/>
      <c r="C380" s="216"/>
    </row>
    <row r="381" s="213" customFormat="1" spans="1:3">
      <c r="A381" s="214"/>
      <c r="B381" s="215"/>
      <c r="C381" s="216"/>
    </row>
    <row r="382" s="213" customFormat="1" spans="1:3">
      <c r="A382" s="214"/>
      <c r="B382" s="215"/>
      <c r="C382" s="216"/>
    </row>
    <row r="383" s="213" customFormat="1" spans="1:3">
      <c r="A383" s="214"/>
      <c r="B383" s="215"/>
      <c r="C383" s="216"/>
    </row>
    <row r="384" s="213" customFormat="1" spans="1:3">
      <c r="A384" s="214"/>
      <c r="B384" s="215"/>
      <c r="C384" s="216"/>
    </row>
    <row r="385" s="213" customFormat="1" spans="1:3">
      <c r="A385" s="214"/>
      <c r="B385" s="215"/>
      <c r="C385" s="216"/>
    </row>
    <row r="386" s="213" customFormat="1" spans="1:3">
      <c r="A386" s="214"/>
      <c r="B386" s="215"/>
      <c r="C386" s="216"/>
    </row>
    <row r="387" s="213" customFormat="1" spans="1:3">
      <c r="A387" s="214"/>
      <c r="B387" s="215"/>
      <c r="C387" s="216"/>
    </row>
    <row r="388" s="213" customFormat="1" spans="1:3">
      <c r="A388" s="214"/>
      <c r="B388" s="215"/>
      <c r="C388" s="216"/>
    </row>
    <row r="389" s="213" customFormat="1" spans="1:3">
      <c r="A389" s="214"/>
      <c r="B389" s="215"/>
      <c r="C389" s="216"/>
    </row>
    <row r="390" s="213" customFormat="1" spans="1:3">
      <c r="A390" s="214"/>
      <c r="B390" s="215"/>
      <c r="C390" s="216"/>
    </row>
    <row r="391" s="213" customFormat="1" spans="1:3">
      <c r="A391" s="214"/>
      <c r="B391" s="215"/>
      <c r="C391" s="216"/>
    </row>
    <row r="392" s="213" customFormat="1" spans="1:3">
      <c r="A392" s="214"/>
      <c r="B392" s="215"/>
      <c r="C392" s="216"/>
    </row>
    <row r="393" s="213" customFormat="1" spans="1:3">
      <c r="A393" s="214"/>
      <c r="B393" s="215"/>
      <c r="C393" s="216"/>
    </row>
  </sheetData>
  <mergeCells count="2">
    <mergeCell ref="A2:A10"/>
    <mergeCell ref="F2:F1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workbookViewId="0">
      <pane ySplit="1" topLeftCell="A2" activePane="bottomLeft" state="frozen"/>
      <selection/>
      <selection pane="bottomLeft" activeCell="B2" sqref="B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13</v>
      </c>
      <c r="C1" s="13" t="s">
        <v>14</v>
      </c>
      <c r="D1" s="13" t="s">
        <v>28</v>
      </c>
      <c r="E1" s="13" t="s">
        <v>16</v>
      </c>
      <c r="F1" s="13" t="s">
        <v>29</v>
      </c>
      <c r="G1" s="13" t="s">
        <v>4</v>
      </c>
      <c r="H1" s="13" t="s">
        <v>5</v>
      </c>
    </row>
    <row r="2" ht="192" customHeight="1" spans="1:8">
      <c r="A2" s="207">
        <v>45992</v>
      </c>
      <c r="B2" s="207" t="s">
        <v>30</v>
      </c>
      <c r="C2" s="15" t="s">
        <v>31</v>
      </c>
      <c r="D2" s="16">
        <v>3</v>
      </c>
      <c r="E2" s="49"/>
      <c r="F2" s="18">
        <v>425000</v>
      </c>
      <c r="G2" s="41">
        <f>D2*F2</f>
        <v>1275000</v>
      </c>
      <c r="H2" s="41">
        <f>SUM(D2*F2)</f>
        <v>1275000</v>
      </c>
    </row>
    <row r="3" ht="60" customHeight="1" spans="1:8">
      <c r="A3" s="207"/>
      <c r="B3" s="207"/>
      <c r="C3" s="15"/>
      <c r="D3" s="16"/>
      <c r="E3" s="49"/>
      <c r="F3" s="18"/>
      <c r="G3" s="18">
        <f>D3*F3</f>
        <v>0</v>
      </c>
      <c r="H3" s="41">
        <f>SUM(G3:G5)</f>
        <v>0</v>
      </c>
    </row>
    <row r="4" ht="60" customHeight="1" spans="1:8">
      <c r="A4" s="207"/>
      <c r="B4" s="207"/>
      <c r="C4" s="15"/>
      <c r="D4" s="16"/>
      <c r="E4" s="49"/>
      <c r="F4" s="18"/>
      <c r="G4" s="18">
        <f>D4*F4</f>
        <v>0</v>
      </c>
      <c r="H4" s="41"/>
    </row>
    <row r="5" ht="60" customHeight="1" spans="1:8">
      <c r="A5" s="207"/>
      <c r="B5" s="207"/>
      <c r="C5" s="15"/>
      <c r="D5" s="16"/>
      <c r="E5" s="49"/>
      <c r="F5" s="18"/>
      <c r="G5" s="18">
        <f>D5*F5</f>
        <v>0</v>
      </c>
      <c r="H5" s="41"/>
    </row>
    <row r="6" ht="151.95" customHeight="1" spans="1:8">
      <c r="A6" s="208"/>
      <c r="B6" s="208"/>
      <c r="C6" s="209"/>
      <c r="D6" s="16"/>
      <c r="E6" s="198"/>
      <c r="F6" s="18"/>
      <c r="G6" s="41">
        <f>D6*F6</f>
        <v>0</v>
      </c>
      <c r="H6" s="210">
        <f>SUM(G6:G6)</f>
        <v>0</v>
      </c>
    </row>
    <row r="7" spans="1:8">
      <c r="A7" s="19"/>
      <c r="B7" s="211"/>
      <c r="C7" s="212"/>
      <c r="D7" s="212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5" activePane="bottomLeft" state="frozen"/>
      <selection/>
      <selection pane="bottomLeft" activeCell="F16" sqref="F16:J16"/>
    </sheetView>
  </sheetViews>
  <sheetFormatPr defaultColWidth="9.14285714285714" defaultRowHeight="15"/>
  <cols>
    <col min="1" max="1" width="20.5142857142857" style="171" customWidth="1"/>
    <col min="2" max="2" width="36.5714285714286" style="171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0" customWidth="1"/>
    <col min="9" max="9" width="24.9238095238095" customWidth="1"/>
    <col min="10" max="10" width="58.1809523809524" customWidth="1"/>
    <col min="11" max="11" width="12.8571428571429"/>
  </cols>
  <sheetData>
    <row r="1" s="169" customFormat="1" ht="34" customHeight="1" spans="1:10">
      <c r="A1" s="172" t="s">
        <v>0</v>
      </c>
      <c r="B1" s="172" t="s">
        <v>13</v>
      </c>
      <c r="C1" s="172" t="s">
        <v>14</v>
      </c>
      <c r="D1" s="172" t="s">
        <v>28</v>
      </c>
      <c r="E1" s="172" t="s">
        <v>3</v>
      </c>
      <c r="F1" s="172" t="s">
        <v>32</v>
      </c>
      <c r="G1" s="172" t="s">
        <v>29</v>
      </c>
      <c r="H1" s="172" t="s">
        <v>7</v>
      </c>
      <c r="I1" s="172" t="s">
        <v>5</v>
      </c>
      <c r="J1" s="172" t="s">
        <v>33</v>
      </c>
    </row>
    <row r="2" ht="160" customHeight="1" spans="1:10">
      <c r="A2" s="173"/>
      <c r="B2" s="174"/>
      <c r="C2" s="165"/>
      <c r="D2" s="175"/>
      <c r="E2" s="176"/>
      <c r="F2" s="176">
        <f t="shared" ref="F2:F12" si="0">E2*10%</f>
        <v>0</v>
      </c>
      <c r="G2" s="177">
        <f t="shared" ref="G2:G15" si="1">E2-F2</f>
        <v>0</v>
      </c>
      <c r="H2" s="177">
        <f t="shared" ref="H2:H8" si="2">D2*G2</f>
        <v>0</v>
      </c>
      <c r="I2" s="185">
        <f>SUM(H2:H3)</f>
        <v>0</v>
      </c>
      <c r="J2" s="49"/>
    </row>
    <row r="3" ht="160" customHeight="1" spans="1:10">
      <c r="A3" s="178"/>
      <c r="B3" s="179"/>
      <c r="C3" s="165"/>
      <c r="D3" s="175"/>
      <c r="E3" s="176"/>
      <c r="F3" s="176">
        <f t="shared" si="0"/>
        <v>0</v>
      </c>
      <c r="G3" s="177">
        <f t="shared" si="1"/>
        <v>0</v>
      </c>
      <c r="H3" s="177">
        <f t="shared" si="2"/>
        <v>0</v>
      </c>
      <c r="I3" s="196"/>
      <c r="J3" s="49"/>
    </row>
    <row r="4" ht="313.4" customHeight="1" spans="1:10">
      <c r="A4" s="180"/>
      <c r="B4" s="181"/>
      <c r="C4" s="182"/>
      <c r="D4" s="183"/>
      <c r="E4" s="184"/>
      <c r="F4" s="185"/>
      <c r="G4" s="184">
        <f t="shared" si="1"/>
        <v>0</v>
      </c>
      <c r="H4" s="186">
        <f t="shared" si="2"/>
        <v>0</v>
      </c>
      <c r="I4" s="176">
        <f>SUM(H4)</f>
        <v>0</v>
      </c>
      <c r="J4" s="17"/>
    </row>
    <row r="5" ht="383.5" customHeight="1" spans="1:10">
      <c r="A5" s="187"/>
      <c r="B5" s="188"/>
      <c r="C5" s="165"/>
      <c r="D5" s="175"/>
      <c r="E5" s="176"/>
      <c r="F5" s="176">
        <f t="shared" si="0"/>
        <v>0</v>
      </c>
      <c r="G5" s="176">
        <f t="shared" si="1"/>
        <v>0</v>
      </c>
      <c r="H5" s="177">
        <f t="shared" si="2"/>
        <v>0</v>
      </c>
      <c r="I5" s="176">
        <f>SUM(H5)</f>
        <v>0</v>
      </c>
      <c r="J5" s="17"/>
    </row>
    <row r="6" ht="365" customHeight="1" spans="1:10">
      <c r="A6" s="187"/>
      <c r="B6" s="188"/>
      <c r="C6" s="165"/>
      <c r="D6" s="175"/>
      <c r="E6" s="176"/>
      <c r="F6" s="176">
        <f t="shared" si="0"/>
        <v>0</v>
      </c>
      <c r="G6" s="176">
        <f t="shared" si="1"/>
        <v>0</v>
      </c>
      <c r="H6" s="177">
        <f t="shared" si="2"/>
        <v>0</v>
      </c>
      <c r="I6" s="176">
        <f>SUM(H6)</f>
        <v>0</v>
      </c>
      <c r="J6" s="17"/>
    </row>
    <row r="7" ht="139.5" customHeight="1" spans="1:10">
      <c r="A7" s="173"/>
      <c r="B7" s="174"/>
      <c r="C7" s="165"/>
      <c r="D7" s="175"/>
      <c r="E7" s="176"/>
      <c r="F7" s="176">
        <f t="shared" si="0"/>
        <v>0</v>
      </c>
      <c r="G7" s="176">
        <f t="shared" si="1"/>
        <v>0</v>
      </c>
      <c r="H7" s="177">
        <f t="shared" si="2"/>
        <v>0</v>
      </c>
      <c r="I7" s="197">
        <f>SUM(H7:H9)</f>
        <v>0</v>
      </c>
      <c r="J7" s="198"/>
    </row>
    <row r="8" ht="139.5" spans="1:10">
      <c r="A8" s="180"/>
      <c r="B8" s="181"/>
      <c r="C8" s="165"/>
      <c r="D8" s="175"/>
      <c r="E8" s="176"/>
      <c r="F8" s="176">
        <f t="shared" si="0"/>
        <v>0</v>
      </c>
      <c r="G8" s="176">
        <f t="shared" si="1"/>
        <v>0</v>
      </c>
      <c r="H8" s="177">
        <f t="shared" si="2"/>
        <v>0</v>
      </c>
      <c r="I8" s="199"/>
      <c r="J8" s="200"/>
    </row>
    <row r="9" ht="139.5" spans="1:10">
      <c r="A9" s="178"/>
      <c r="B9" s="179"/>
      <c r="C9" s="165"/>
      <c r="D9" s="175"/>
      <c r="E9" s="176"/>
      <c r="F9" s="176">
        <f t="shared" si="0"/>
        <v>0</v>
      </c>
      <c r="G9" s="176">
        <f t="shared" si="1"/>
        <v>0</v>
      </c>
      <c r="H9" s="189">
        <f t="shared" ref="H9:H15" si="3">SUM(D9*G9)</f>
        <v>0</v>
      </c>
      <c r="I9" s="201"/>
      <c r="J9" s="202"/>
    </row>
    <row r="10" ht="381.45" customHeight="1" spans="1:10">
      <c r="A10" s="188"/>
      <c r="B10" s="190"/>
      <c r="C10" s="191"/>
      <c r="D10" s="175"/>
      <c r="E10" s="176"/>
      <c r="F10" s="176">
        <f t="shared" si="0"/>
        <v>0</v>
      </c>
      <c r="G10" s="176">
        <f t="shared" si="1"/>
        <v>0</v>
      </c>
      <c r="H10" s="189">
        <f t="shared" si="3"/>
        <v>0</v>
      </c>
      <c r="I10" s="203">
        <f t="shared" ref="I10:I15" si="4">SUM(H10)</f>
        <v>0</v>
      </c>
      <c r="J10" s="204"/>
    </row>
    <row r="11" ht="386.3" customHeight="1" spans="1:10">
      <c r="A11" s="188"/>
      <c r="B11" s="190"/>
      <c r="C11" s="191"/>
      <c r="D11" s="175"/>
      <c r="E11" s="176"/>
      <c r="F11" s="176">
        <f t="shared" si="0"/>
        <v>0</v>
      </c>
      <c r="G11" s="176">
        <f t="shared" si="1"/>
        <v>0</v>
      </c>
      <c r="H11" s="189">
        <f t="shared" si="3"/>
        <v>0</v>
      </c>
      <c r="I11" s="203">
        <f t="shared" si="4"/>
        <v>0</v>
      </c>
      <c r="J11" s="17"/>
    </row>
    <row r="12" ht="382.6" customHeight="1" spans="1:10">
      <c r="A12" s="192"/>
      <c r="B12" s="175"/>
      <c r="C12" s="175"/>
      <c r="D12" s="175"/>
      <c r="E12" s="193"/>
      <c r="F12" s="193">
        <f t="shared" si="0"/>
        <v>0</v>
      </c>
      <c r="G12" s="193">
        <f t="shared" si="1"/>
        <v>0</v>
      </c>
      <c r="H12" s="193">
        <f t="shared" si="3"/>
        <v>0</v>
      </c>
      <c r="I12" s="193">
        <f t="shared" si="4"/>
        <v>0</v>
      </c>
      <c r="J12" s="205"/>
    </row>
    <row r="13" ht="379.8" customHeight="1" spans="1:10">
      <c r="A13" s="192"/>
      <c r="B13" s="175"/>
      <c r="C13" s="175"/>
      <c r="D13" s="175"/>
      <c r="E13" s="193"/>
      <c r="F13" s="193"/>
      <c r="G13" s="193">
        <f t="shared" si="1"/>
        <v>0</v>
      </c>
      <c r="H13" s="193">
        <f t="shared" si="3"/>
        <v>0</v>
      </c>
      <c r="I13" s="206">
        <f t="shared" si="4"/>
        <v>0</v>
      </c>
      <c r="J13" s="205"/>
    </row>
    <row r="14" s="170" customFormat="1" ht="399.8" customHeight="1" spans="1:10">
      <c r="A14" s="192"/>
      <c r="B14" s="175"/>
      <c r="C14" s="175"/>
      <c r="D14" s="175"/>
      <c r="E14" s="193"/>
      <c r="F14" s="193">
        <f>E14*10%</f>
        <v>0</v>
      </c>
      <c r="G14" s="193">
        <f t="shared" si="1"/>
        <v>0</v>
      </c>
      <c r="H14" s="193">
        <f t="shared" si="3"/>
        <v>0</v>
      </c>
      <c r="I14" s="206">
        <f t="shared" si="4"/>
        <v>0</v>
      </c>
      <c r="J14" s="205"/>
    </row>
    <row r="15" ht="388.5" customHeight="1" spans="1:10">
      <c r="A15" s="192"/>
      <c r="B15" s="175"/>
      <c r="C15" s="175"/>
      <c r="D15" s="175"/>
      <c r="E15" s="193"/>
      <c r="F15" s="193">
        <f>E15*10%</f>
        <v>0</v>
      </c>
      <c r="G15" s="193">
        <f t="shared" si="1"/>
        <v>0</v>
      </c>
      <c r="H15" s="193">
        <f t="shared" si="3"/>
        <v>0</v>
      </c>
      <c r="I15" s="206">
        <f t="shared" si="4"/>
        <v>0</v>
      </c>
      <c r="J15" s="205"/>
    </row>
    <row r="16" ht="33.75" spans="1:10">
      <c r="A16" s="194" t="s">
        <v>5</v>
      </c>
      <c r="B16" s="194"/>
      <c r="C16" s="194"/>
      <c r="D16" s="194"/>
      <c r="E16" s="194"/>
      <c r="F16" s="195">
        <f>SUM(I2:I15)</f>
        <v>0</v>
      </c>
      <c r="G16" s="195"/>
      <c r="H16" s="195"/>
      <c r="I16" s="195"/>
      <c r="J16" s="195"/>
    </row>
  </sheetData>
  <mergeCells count="10">
    <mergeCell ref="A16:E16"/>
    <mergeCell ref="F16:J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2" t="s">
        <v>0</v>
      </c>
      <c r="B1" s="162" t="s">
        <v>13</v>
      </c>
      <c r="C1" s="162" t="s">
        <v>14</v>
      </c>
      <c r="D1" s="162" t="s">
        <v>28</v>
      </c>
      <c r="E1" s="162" t="s">
        <v>16</v>
      </c>
      <c r="F1" s="162" t="s">
        <v>3</v>
      </c>
      <c r="G1" s="162" t="s">
        <v>5</v>
      </c>
    </row>
    <row r="2" ht="338" customHeight="1" spans="1:7">
      <c r="A2" s="163"/>
      <c r="B2" s="164"/>
      <c r="C2" s="165"/>
      <c r="D2" s="165"/>
      <c r="E2" s="17"/>
      <c r="F2" s="166"/>
      <c r="G2" s="166"/>
    </row>
    <row r="3" ht="35" customHeight="1" spans="1:7">
      <c r="A3" s="167" t="s">
        <v>5</v>
      </c>
      <c r="B3" s="167"/>
      <c r="C3" s="168"/>
      <c r="D3" s="167"/>
      <c r="E3" s="31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8" sqref="E8:H8"/>
    </sheetView>
  </sheetViews>
  <sheetFormatPr defaultColWidth="9.14285714285714" defaultRowHeight="21" outlineLevelCol="7"/>
  <cols>
    <col min="1" max="1" width="17" style="132" customWidth="1"/>
    <col min="2" max="2" width="18" style="133" customWidth="1"/>
    <col min="3" max="3" width="24.2857142857143" style="133" customWidth="1"/>
    <col min="4" max="4" width="12.7238095238095" style="133" customWidth="1"/>
    <col min="5" max="5" width="45.2" style="133" customWidth="1"/>
    <col min="6" max="7" width="29.0666666666667" style="133" customWidth="1"/>
    <col min="8" max="8" width="23.1142857142857" style="133" customWidth="1"/>
    <col min="9" max="12" width="9.14285714285714" style="133"/>
    <col min="13" max="13" width="13.1428571428571" style="133" customWidth="1"/>
    <col min="14" max="16384" width="9.14285714285714" style="133"/>
  </cols>
  <sheetData>
    <row r="1" ht="34" customHeight="1" spans="1:8">
      <c r="A1" s="134" t="s">
        <v>0</v>
      </c>
      <c r="B1" s="135" t="s">
        <v>13</v>
      </c>
      <c r="C1" s="135" t="s">
        <v>14</v>
      </c>
      <c r="D1" s="135" t="s">
        <v>28</v>
      </c>
      <c r="E1" s="135" t="s">
        <v>16</v>
      </c>
      <c r="F1" s="135" t="s">
        <v>3</v>
      </c>
      <c r="G1" s="135" t="s">
        <v>7</v>
      </c>
      <c r="H1" s="136" t="s">
        <v>5</v>
      </c>
    </row>
    <row r="2" ht="64" customHeight="1" spans="1:8">
      <c r="A2" s="137"/>
      <c r="B2" s="137"/>
      <c r="C2" s="138"/>
      <c r="D2" s="139"/>
      <c r="E2" s="140"/>
      <c r="F2" s="141"/>
      <c r="G2" s="142">
        <f>D2*F2</f>
        <v>0</v>
      </c>
      <c r="H2" s="143">
        <f>SUM(G2:G6)</f>
        <v>0</v>
      </c>
    </row>
    <row r="3" ht="64" customHeight="1" spans="1:8">
      <c r="A3" s="144"/>
      <c r="B3" s="144"/>
      <c r="C3" s="138"/>
      <c r="D3" s="139"/>
      <c r="E3" s="140"/>
      <c r="F3" s="141"/>
      <c r="G3" s="142">
        <f>D3*F3</f>
        <v>0</v>
      </c>
      <c r="H3" s="145"/>
    </row>
    <row r="4" ht="64" customHeight="1" spans="1:8">
      <c r="A4" s="144"/>
      <c r="B4" s="144"/>
      <c r="C4" s="138"/>
      <c r="D4" s="139"/>
      <c r="E4" s="140"/>
      <c r="F4" s="141"/>
      <c r="G4" s="142">
        <f>D4*F4</f>
        <v>0</v>
      </c>
      <c r="H4" s="145"/>
    </row>
    <row r="5" ht="64" customHeight="1" spans="1:8">
      <c r="A5" s="144"/>
      <c r="B5" s="144"/>
      <c r="C5" s="138"/>
      <c r="D5" s="139"/>
      <c r="E5" s="140"/>
      <c r="F5" s="141"/>
      <c r="G5" s="142">
        <f>D5*F5</f>
        <v>0</v>
      </c>
      <c r="H5" s="145"/>
    </row>
    <row r="6" ht="64" customHeight="1" spans="1:8">
      <c r="A6" s="144"/>
      <c r="B6" s="144"/>
      <c r="C6" s="146"/>
      <c r="D6" s="139"/>
      <c r="E6" s="140"/>
      <c r="F6" s="141"/>
      <c r="G6" s="142">
        <f>D6*F6</f>
        <v>0</v>
      </c>
      <c r="H6" s="147"/>
    </row>
    <row r="7" ht="35" customHeight="1" spans="1:8">
      <c r="A7" s="148" t="s">
        <v>4</v>
      </c>
      <c r="B7" s="148"/>
      <c r="C7" s="148"/>
      <c r="D7" s="139">
        <f>SUM(D2:D6)</f>
        <v>0</v>
      </c>
      <c r="E7" s="149"/>
      <c r="F7" s="150" t="s">
        <v>34</v>
      </c>
      <c r="G7" s="150"/>
      <c r="H7" s="150">
        <f>H2*11%</f>
        <v>0</v>
      </c>
    </row>
    <row r="8" ht="35" customHeight="1" spans="1:8">
      <c r="A8" s="148" t="s">
        <v>5</v>
      </c>
      <c r="B8" s="148"/>
      <c r="C8" s="148"/>
      <c r="D8" s="139"/>
      <c r="E8" s="151">
        <f>SUM(H2:H7)</f>
        <v>0</v>
      </c>
      <c r="F8" s="152"/>
      <c r="G8" s="152"/>
      <c r="H8" s="153"/>
    </row>
    <row r="9" ht="64" customHeight="1" spans="1:8">
      <c r="A9" s="154"/>
      <c r="B9" s="155"/>
      <c r="C9" s="156"/>
      <c r="D9" s="156"/>
      <c r="E9" s="157" t="s">
        <v>12</v>
      </c>
      <c r="F9" s="158">
        <f>SUM(E8)</f>
        <v>0</v>
      </c>
      <c r="G9" s="159"/>
      <c r="H9" s="160"/>
    </row>
    <row r="10" ht="64" customHeight="1" spans="6:6">
      <c r="F10" s="161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4" sqref="E4:G4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4" t="s">
        <v>0</v>
      </c>
      <c r="B1" s="35" t="s">
        <v>13</v>
      </c>
      <c r="C1" s="35" t="s">
        <v>14</v>
      </c>
      <c r="D1" s="34" t="s">
        <v>15</v>
      </c>
      <c r="E1" s="35" t="s">
        <v>16</v>
      </c>
      <c r="F1" s="35" t="s">
        <v>3</v>
      </c>
      <c r="G1" s="35" t="s">
        <v>5</v>
      </c>
    </row>
    <row r="2" ht="156.5" customHeight="1" spans="1:7">
      <c r="A2" s="25"/>
      <c r="B2" s="114"/>
      <c r="C2" s="38"/>
      <c r="D2" s="114"/>
      <c r="E2" s="17"/>
      <c r="F2" s="7"/>
      <c r="G2" s="7">
        <f>F2*D2</f>
        <v>0</v>
      </c>
    </row>
    <row r="3" ht="156.5" customHeight="1" spans="1:7">
      <c r="A3" s="25"/>
      <c r="B3" s="93"/>
      <c r="C3" s="38"/>
      <c r="D3" s="114"/>
      <c r="E3" s="17"/>
      <c r="F3" s="7"/>
      <c r="G3" s="7">
        <f>F3*D3</f>
        <v>0</v>
      </c>
    </row>
    <row r="4" ht="23.25" spans="1:7">
      <c r="A4" s="87" t="s">
        <v>12</v>
      </c>
      <c r="B4" s="88"/>
      <c r="C4" s="88"/>
      <c r="D4" s="129"/>
      <c r="E4" s="111">
        <f>SUM(G2:G3)</f>
        <v>0</v>
      </c>
      <c r="F4" s="130"/>
      <c r="G4" s="131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4" t="s">
        <v>0</v>
      </c>
      <c r="B1" s="35" t="s">
        <v>13</v>
      </c>
      <c r="C1" s="35" t="s">
        <v>14</v>
      </c>
      <c r="D1" s="35" t="s">
        <v>15</v>
      </c>
      <c r="E1" s="35" t="s">
        <v>16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 t="s">
        <v>35</v>
      </c>
      <c r="G3" s="41">
        <f>G2*11%</f>
        <v>0</v>
      </c>
    </row>
    <row r="4" ht="23.5" customHeight="1" spans="1:7">
      <c r="A4" s="115" t="s">
        <v>5</v>
      </c>
      <c r="B4" s="116"/>
      <c r="C4" s="117"/>
      <c r="D4" s="38"/>
      <c r="E4" s="126">
        <f>SUM(G2:G3)</f>
        <v>0</v>
      </c>
      <c r="F4" s="126"/>
      <c r="G4" s="126"/>
    </row>
    <row r="5" ht="150.5" customHeight="1" spans="1:7">
      <c r="A5" s="25"/>
      <c r="B5" s="114"/>
      <c r="C5" s="38"/>
      <c r="D5" s="27"/>
      <c r="E5" s="17"/>
      <c r="F5" s="18"/>
      <c r="G5" s="18">
        <f>D5*F5</f>
        <v>0</v>
      </c>
    </row>
    <row r="6" ht="23.5" customHeight="1" spans="1:9">
      <c r="A6" s="122" t="s">
        <v>4</v>
      </c>
      <c r="B6" s="123"/>
      <c r="C6" s="124"/>
      <c r="D6" s="125"/>
      <c r="E6" s="7"/>
      <c r="F6" s="126" t="s">
        <v>35</v>
      </c>
      <c r="G6" s="7">
        <f>G5*11%</f>
        <v>0</v>
      </c>
      <c r="I6" s="128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 t="s">
        <v>5</v>
      </c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 t="s">
        <v>5</v>
      </c>
      <c r="B13" s="123"/>
      <c r="C13" s="124"/>
      <c r="D13" s="125"/>
      <c r="E13" s="126"/>
      <c r="F13" s="126"/>
      <c r="G13" s="126"/>
    </row>
    <row r="14" ht="24" customHeight="1" spans="1:7">
      <c r="A14" s="87" t="s">
        <v>12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4" t="s">
        <v>0</v>
      </c>
      <c r="B1" s="35" t="s">
        <v>13</v>
      </c>
      <c r="C1" s="35" t="s">
        <v>14</v>
      </c>
      <c r="D1" s="35" t="s">
        <v>15</v>
      </c>
      <c r="E1" s="35" t="s">
        <v>16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/>
      <c r="G3" s="41"/>
    </row>
    <row r="4" ht="23.5" customHeight="1" spans="1:7">
      <c r="A4" s="115" t="s">
        <v>5</v>
      </c>
      <c r="B4" s="116"/>
      <c r="C4" s="117"/>
      <c r="D4" s="38"/>
      <c r="E4" s="119">
        <f>SUM(G2:G3)</f>
        <v>0</v>
      </c>
      <c r="F4" s="120"/>
      <c r="G4" s="121"/>
    </row>
    <row r="5" ht="168" customHeight="1" spans="1:7">
      <c r="A5" s="25"/>
      <c r="B5" s="114"/>
      <c r="C5" s="38"/>
      <c r="D5" s="27"/>
      <c r="E5" s="17"/>
      <c r="F5" s="18"/>
      <c r="G5" s="18">
        <f>SUM(D5*F5)</f>
        <v>0</v>
      </c>
    </row>
    <row r="6" ht="23.5" customHeight="1" spans="1:7">
      <c r="A6" s="122" t="s">
        <v>4</v>
      </c>
      <c r="B6" s="123"/>
      <c r="C6" s="124"/>
      <c r="D6" s="125"/>
      <c r="E6" s="7"/>
      <c r="F6" s="7"/>
      <c r="G6" s="7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/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/>
      <c r="B13" s="123"/>
      <c r="C13" s="124"/>
      <c r="D13" s="125"/>
      <c r="E13" s="126"/>
      <c r="F13" s="126"/>
      <c r="G13" s="126"/>
    </row>
    <row r="14" ht="24" customHeight="1" spans="1:7">
      <c r="A14" s="87" t="s">
        <v>12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4" t="s">
        <v>0</v>
      </c>
      <c r="B1" s="35" t="s">
        <v>13</v>
      </c>
      <c r="C1" s="35" t="s">
        <v>14</v>
      </c>
      <c r="D1" s="35" t="s">
        <v>15</v>
      </c>
      <c r="E1" s="35" t="s">
        <v>16</v>
      </c>
      <c r="F1" s="35" t="s">
        <v>3</v>
      </c>
      <c r="G1" s="35" t="s">
        <v>5</v>
      </c>
      <c r="H1" s="35" t="s">
        <v>36</v>
      </c>
    </row>
    <row r="2" ht="138.55" customHeight="1" spans="1:8">
      <c r="A2" s="25"/>
      <c r="B2" s="93"/>
      <c r="C2" s="69"/>
      <c r="D2" s="17"/>
      <c r="E2" s="17"/>
      <c r="F2" s="18"/>
      <c r="G2" s="18">
        <f>SUM(D2*F2)</f>
        <v>0</v>
      </c>
      <c r="H2" s="17"/>
    </row>
    <row r="3" ht="23.25" spans="1:8">
      <c r="A3" s="97" t="s">
        <v>4</v>
      </c>
      <c r="B3" s="98"/>
      <c r="C3" s="99"/>
      <c r="D3" s="100">
        <f>SUM(D2)</f>
        <v>0</v>
      </c>
      <c r="E3" s="101"/>
      <c r="F3" s="82" t="s">
        <v>35</v>
      </c>
      <c r="G3" s="102">
        <f>G2*11%</f>
        <v>0</v>
      </c>
      <c r="H3" s="103"/>
    </row>
    <row r="4" ht="23.25" spans="1:8">
      <c r="A4" s="29" t="s">
        <v>5</v>
      </c>
      <c r="B4" s="30"/>
      <c r="C4" s="79"/>
      <c r="D4" s="104"/>
      <c r="E4" s="105">
        <f>SUM(G2:G3)</f>
        <v>0</v>
      </c>
      <c r="F4" s="105"/>
      <c r="G4" s="105"/>
      <c r="H4" s="105"/>
    </row>
    <row r="5" ht="168" customHeight="1" spans="1:8">
      <c r="A5" s="53"/>
      <c r="B5" s="106"/>
      <c r="C5" s="106"/>
      <c r="D5" s="107"/>
      <c r="E5" s="108"/>
      <c r="F5" s="18"/>
      <c r="G5" s="18">
        <f>SUM(D5*F5)</f>
        <v>0</v>
      </c>
      <c r="H5" s="109"/>
    </row>
    <row r="6" ht="23.25" spans="1:8">
      <c r="A6" s="97" t="s">
        <v>4</v>
      </c>
      <c r="B6" s="98"/>
      <c r="C6" s="99"/>
      <c r="D6" s="104">
        <f>SUM(D5)</f>
        <v>0</v>
      </c>
      <c r="E6" s="81"/>
      <c r="F6" s="82" t="s">
        <v>35</v>
      </c>
      <c r="G6" s="102">
        <f>G5*11%</f>
        <v>0</v>
      </c>
      <c r="H6" s="103"/>
    </row>
    <row r="7" ht="23.25" spans="1:8">
      <c r="A7" s="29" t="s">
        <v>5</v>
      </c>
      <c r="B7" s="30"/>
      <c r="C7" s="79"/>
      <c r="D7" s="104"/>
      <c r="E7" s="81">
        <f>SUM(G5:G6)</f>
        <v>0</v>
      </c>
      <c r="F7" s="81"/>
      <c r="G7" s="81"/>
      <c r="H7" s="81"/>
    </row>
    <row r="8" ht="168" customHeight="1" spans="1:8">
      <c r="A8" s="53"/>
      <c r="B8" s="106"/>
      <c r="C8" s="106"/>
      <c r="D8" s="107"/>
      <c r="E8" s="108"/>
      <c r="F8" s="18"/>
      <c r="G8" s="18">
        <f>SUM(D8*F8)</f>
        <v>0</v>
      </c>
      <c r="H8" s="109"/>
    </row>
    <row r="9" ht="23.25" spans="1:8">
      <c r="A9" s="97" t="s">
        <v>4</v>
      </c>
      <c r="B9" s="98"/>
      <c r="C9" s="99"/>
      <c r="D9" s="104"/>
      <c r="E9" s="81"/>
      <c r="F9" s="82" t="s">
        <v>35</v>
      </c>
      <c r="G9" s="102">
        <f>G8*11%</f>
        <v>0</v>
      </c>
      <c r="H9" s="103"/>
    </row>
    <row r="10" ht="23.25" spans="1:8">
      <c r="A10" s="29" t="s">
        <v>5</v>
      </c>
      <c r="B10" s="30"/>
      <c r="C10" s="79"/>
      <c r="D10" s="104"/>
      <c r="E10" s="81">
        <f>SUM(G8:G9)</f>
        <v>0</v>
      </c>
      <c r="F10" s="81"/>
      <c r="G10" s="81"/>
      <c r="H10" s="81"/>
    </row>
    <row r="11" ht="168" customHeight="1" spans="1:8">
      <c r="A11" s="110"/>
      <c r="B11" s="106"/>
      <c r="C11" s="106"/>
      <c r="D11" s="107"/>
      <c r="E11" s="108"/>
      <c r="F11" s="18"/>
      <c r="G11" s="18">
        <f>SUM(D11*F11)</f>
        <v>0</v>
      </c>
      <c r="H11" s="109"/>
    </row>
    <row r="12" ht="23.25" spans="1:8">
      <c r="A12" s="97" t="s">
        <v>4</v>
      </c>
      <c r="B12" s="98"/>
      <c r="C12" s="99"/>
      <c r="D12" s="104"/>
      <c r="E12" s="81"/>
      <c r="F12" s="82" t="s">
        <v>35</v>
      </c>
      <c r="G12" s="102">
        <f>G11*11%</f>
        <v>0</v>
      </c>
      <c r="H12" s="103"/>
    </row>
    <row r="13" ht="23.25" spans="1:8">
      <c r="A13" s="29" t="s">
        <v>5</v>
      </c>
      <c r="B13" s="30"/>
      <c r="C13" s="79"/>
      <c r="D13" s="104"/>
      <c r="E13" s="81">
        <f>SUM(G11:G12)</f>
        <v>0</v>
      </c>
      <c r="F13" s="81"/>
      <c r="G13" s="81"/>
      <c r="H13" s="81"/>
    </row>
    <row r="14" ht="168" customHeight="1" spans="1:8">
      <c r="A14" s="110"/>
      <c r="B14" s="106"/>
      <c r="C14" s="106"/>
      <c r="D14" s="107"/>
      <c r="E14" s="108"/>
      <c r="F14" s="18"/>
      <c r="G14" s="18"/>
      <c r="H14" s="109"/>
    </row>
    <row r="15" ht="23.25" spans="1:8">
      <c r="A15" s="97" t="s">
        <v>4</v>
      </c>
      <c r="B15" s="98"/>
      <c r="C15" s="99"/>
      <c r="D15" s="104"/>
      <c r="E15" s="81"/>
      <c r="F15" s="82" t="s">
        <v>35</v>
      </c>
      <c r="G15" s="102">
        <f>G14*11%</f>
        <v>0</v>
      </c>
      <c r="H15" s="103"/>
    </row>
    <row r="16" ht="23.25" spans="1:8">
      <c r="A16" s="29" t="s">
        <v>5</v>
      </c>
      <c r="B16" s="30"/>
      <c r="C16" s="79"/>
      <c r="D16" s="104"/>
      <c r="E16" s="81">
        <f>SUM(G14:G15)</f>
        <v>0</v>
      </c>
      <c r="F16" s="81"/>
      <c r="G16" s="81"/>
      <c r="H16" s="81"/>
    </row>
    <row r="17" ht="26" customHeight="1" spans="1:8">
      <c r="A17" s="87" t="s">
        <v>12</v>
      </c>
      <c r="B17" s="88"/>
      <c r="C17" s="88"/>
      <c r="D17" s="89"/>
      <c r="E17" s="111">
        <f>E4+E7+E10+E13+E16</f>
        <v>0</v>
      </c>
      <c r="F17" s="112"/>
      <c r="G17" s="112"/>
      <c r="H17" s="113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4" t="s">
        <v>0</v>
      </c>
      <c r="B1" s="35" t="s">
        <v>13</v>
      </c>
      <c r="C1" s="35" t="s">
        <v>14</v>
      </c>
      <c r="D1" s="35" t="s">
        <v>28</v>
      </c>
      <c r="E1" s="35" t="s">
        <v>3</v>
      </c>
      <c r="F1" s="35" t="s">
        <v>16</v>
      </c>
      <c r="G1" s="35" t="s">
        <v>5</v>
      </c>
    </row>
    <row r="2" ht="158" customHeight="1" spans="1:7">
      <c r="A2" s="25"/>
      <c r="B2" s="93"/>
      <c r="C2" s="7"/>
      <c r="D2" s="49"/>
      <c r="E2" s="18"/>
      <c r="F2" s="17"/>
      <c r="G2" s="18">
        <f>SUM(D2*E2)</f>
        <v>0</v>
      </c>
    </row>
    <row r="3" ht="155.75" customHeight="1" spans="1:7">
      <c r="A3" s="25"/>
      <c r="B3" s="93"/>
      <c r="C3" s="7"/>
      <c r="D3" s="49"/>
      <c r="E3" s="18"/>
      <c r="F3" s="17"/>
      <c r="G3" s="18">
        <f>SUM(D3*E3)</f>
        <v>0</v>
      </c>
    </row>
    <row r="4" ht="23" customHeight="1" spans="1:7">
      <c r="A4" s="94" t="s">
        <v>37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7" sqref="E7:G7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4" t="s">
        <v>0</v>
      </c>
      <c r="B1" s="35" t="s">
        <v>13</v>
      </c>
      <c r="C1" s="35" t="s">
        <v>14</v>
      </c>
      <c r="D1" s="35" t="s">
        <v>28</v>
      </c>
      <c r="E1" s="35" t="s">
        <v>16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78"/>
      <c r="G2" s="18">
        <f>SUM(D2*F2)</f>
        <v>0</v>
      </c>
    </row>
    <row r="3" ht="23.25" spans="1:7">
      <c r="A3" s="29" t="s">
        <v>7</v>
      </c>
      <c r="B3" s="30"/>
      <c r="C3" s="79"/>
      <c r="D3" s="80">
        <f>SUM(D2)</f>
        <v>0</v>
      </c>
      <c r="E3" s="81"/>
      <c r="F3" s="81" t="s">
        <v>35</v>
      </c>
      <c r="G3" s="82">
        <f>G2*11%</f>
        <v>0</v>
      </c>
    </row>
    <row r="4" ht="23.25" spans="1:7">
      <c r="A4" s="29" t="s">
        <v>5</v>
      </c>
      <c r="B4" s="30"/>
      <c r="C4" s="30"/>
      <c r="D4" s="30"/>
      <c r="E4" s="83">
        <f>SUM(G2:G3)</f>
        <v>0</v>
      </c>
      <c r="F4" s="84"/>
      <c r="G4" s="85"/>
    </row>
    <row r="5" ht="168" customHeight="1" spans="1:7">
      <c r="A5" s="76"/>
      <c r="B5" s="77"/>
      <c r="C5" s="26"/>
      <c r="D5" s="27"/>
      <c r="E5" s="17"/>
      <c r="F5" s="78"/>
      <c r="G5" s="18"/>
    </row>
    <row r="6" ht="23.25" spans="1:7">
      <c r="A6" s="29"/>
      <c r="B6" s="30"/>
      <c r="C6" s="79"/>
      <c r="D6" s="86"/>
      <c r="E6" s="81"/>
      <c r="F6" s="81"/>
      <c r="G6" s="82"/>
    </row>
    <row r="7" ht="23.25" spans="1:7">
      <c r="A7" s="29" t="s">
        <v>5</v>
      </c>
      <c r="B7" s="30"/>
      <c r="C7" s="30"/>
      <c r="D7" s="30"/>
      <c r="E7" s="83">
        <f>SUM(G5:G6)</f>
        <v>0</v>
      </c>
      <c r="F7" s="84"/>
      <c r="G7" s="85"/>
    </row>
    <row r="8" ht="26" customHeight="1" spans="1:7">
      <c r="A8" s="87" t="s">
        <v>12</v>
      </c>
      <c r="B8" s="88"/>
      <c r="C8" s="88"/>
      <c r="D8" s="89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13</v>
      </c>
      <c r="C1" s="13" t="s">
        <v>14</v>
      </c>
      <c r="D1" s="13" t="s">
        <v>16</v>
      </c>
      <c r="E1" s="13" t="s">
        <v>5</v>
      </c>
      <c r="F1" s="13" t="s">
        <v>36</v>
      </c>
    </row>
    <row r="2" ht="321" customHeight="1" spans="1:6">
      <c r="A2" s="67"/>
      <c r="B2" s="68"/>
      <c r="C2" s="69"/>
      <c r="D2" s="17"/>
      <c r="E2" s="18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4" t="s">
        <v>0</v>
      </c>
      <c r="B1" s="35" t="s">
        <v>13</v>
      </c>
      <c r="C1" s="35" t="s">
        <v>14</v>
      </c>
      <c r="D1" s="35" t="s">
        <v>28</v>
      </c>
      <c r="E1" s="35" t="s">
        <v>16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40"/>
      <c r="F2" s="41"/>
      <c r="G2" s="41"/>
    </row>
    <row r="3" ht="42" customHeight="1" spans="1:7">
      <c r="A3" s="42"/>
      <c r="B3" s="43"/>
      <c r="C3" s="38"/>
      <c r="D3" s="39"/>
      <c r="E3" s="44"/>
      <c r="F3" s="41"/>
      <c r="G3" s="41"/>
    </row>
    <row r="4" ht="42" customHeight="1" spans="1:7">
      <c r="A4" s="42"/>
      <c r="B4" s="43"/>
      <c r="C4" s="38"/>
      <c r="D4" s="39"/>
      <c r="E4" s="44"/>
      <c r="F4" s="41"/>
      <c r="G4" s="41"/>
    </row>
    <row r="5" ht="42" customHeight="1" spans="1:7">
      <c r="A5" s="42"/>
      <c r="B5" s="43"/>
      <c r="C5" s="45"/>
      <c r="D5" s="39"/>
      <c r="E5" s="46"/>
      <c r="F5" s="41"/>
      <c r="G5" s="41"/>
    </row>
    <row r="6" ht="19" customHeight="1" spans="1:7">
      <c r="A6" s="47"/>
      <c r="B6" s="47"/>
      <c r="C6" s="47"/>
      <c r="D6" s="48"/>
      <c r="E6" s="49"/>
      <c r="F6" s="50"/>
      <c r="G6" s="50"/>
    </row>
    <row r="7" ht="19" customHeight="1" spans="1:7">
      <c r="A7" s="51"/>
      <c r="B7" s="51"/>
      <c r="C7" s="51"/>
      <c r="D7" s="48"/>
      <c r="E7" s="49"/>
      <c r="F7" s="50"/>
      <c r="G7" s="52"/>
    </row>
    <row r="8" ht="84" customHeight="1" spans="1:7">
      <c r="A8" s="53"/>
      <c r="B8" s="54"/>
      <c r="C8" s="45"/>
      <c r="D8" s="39"/>
      <c r="E8" s="44"/>
      <c r="F8" s="41"/>
      <c r="G8" s="55"/>
    </row>
    <row r="9" ht="84" customHeight="1" spans="1:7">
      <c r="A9" s="53"/>
      <c r="B9" s="54"/>
      <c r="C9" s="56"/>
      <c r="D9" s="39"/>
      <c r="E9" s="46"/>
      <c r="F9" s="41"/>
      <c r="G9" s="57"/>
    </row>
    <row r="10" ht="19" customHeight="1" spans="1:7">
      <c r="A10" s="47"/>
      <c r="B10" s="47"/>
      <c r="C10" s="47"/>
      <c r="D10" s="48"/>
      <c r="E10" s="46"/>
      <c r="F10" s="50"/>
      <c r="G10" s="50"/>
    </row>
    <row r="11" ht="19" customHeight="1" spans="1:7">
      <c r="A11" s="51"/>
      <c r="B11" s="51"/>
      <c r="C11" s="51"/>
      <c r="D11" s="30"/>
      <c r="E11" s="58"/>
      <c r="F11" s="59"/>
      <c r="G11" s="60"/>
    </row>
    <row r="12" ht="27" customHeight="1" spans="1:7">
      <c r="A12" s="61" t="s">
        <v>12</v>
      </c>
      <c r="B12" s="62"/>
      <c r="C12" s="62"/>
      <c r="D12" s="63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14</v>
      </c>
      <c r="C1" s="13" t="s">
        <v>28</v>
      </c>
      <c r="D1" s="13" t="s">
        <v>16</v>
      </c>
      <c r="E1" s="13" t="s">
        <v>3</v>
      </c>
      <c r="F1" s="13" t="s">
        <v>5</v>
      </c>
      <c r="G1" s="13" t="s">
        <v>36</v>
      </c>
    </row>
    <row r="2" ht="324.4" customHeight="1" spans="1:7">
      <c r="A2" s="25"/>
      <c r="B2" s="26"/>
      <c r="C2" s="27"/>
      <c r="D2" s="17"/>
      <c r="E2" s="18"/>
      <c r="F2" s="18">
        <f>C2*E2</f>
        <v>0</v>
      </c>
      <c r="G2" s="28"/>
    </row>
    <row r="3" ht="23.25" spans="1:7">
      <c r="A3" s="29" t="s">
        <v>5</v>
      </c>
      <c r="B3" s="30"/>
      <c r="C3" s="30"/>
      <c r="D3" s="31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14</v>
      </c>
      <c r="C1" s="13" t="s">
        <v>28</v>
      </c>
      <c r="D1" s="13" t="s">
        <v>16</v>
      </c>
      <c r="E1" s="13" t="s">
        <v>29</v>
      </c>
      <c r="F1" s="13" t="s">
        <v>5</v>
      </c>
      <c r="G1" s="13" t="s">
        <v>36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 t="s">
        <v>5</v>
      </c>
      <c r="B3" s="20"/>
      <c r="C3" s="20"/>
      <c r="D3" s="21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38</v>
      </c>
      <c r="B1" s="2" t="s">
        <v>39</v>
      </c>
      <c r="C1" s="3" t="s">
        <v>5</v>
      </c>
    </row>
    <row r="2" spans="1:3">
      <c r="A2" s="4">
        <v>1</v>
      </c>
      <c r="B2" s="4" t="s">
        <v>40</v>
      </c>
      <c r="C2" s="5">
        <f>'BUK BUNGA (Groceries)'!F275</f>
        <v>0</v>
      </c>
    </row>
    <row r="3" spans="1:3">
      <c r="A3" s="4">
        <v>2</v>
      </c>
      <c r="B3" s="4" t="s">
        <v>41</v>
      </c>
      <c r="C3" s="5">
        <f>'WARUNG EKA (Drinks, Etc)'!G118</f>
        <v>82000</v>
      </c>
    </row>
    <row r="4" spans="1:3">
      <c r="A4" s="4">
        <v>3</v>
      </c>
      <c r="B4" s="4" t="s">
        <v>42</v>
      </c>
      <c r="C4" s="5">
        <f>'DEWATA COCONUT (Coconut)'!E10</f>
        <v>240000</v>
      </c>
    </row>
    <row r="5" spans="1:3">
      <c r="A5" s="4">
        <v>4</v>
      </c>
      <c r="B5" s="4" t="s">
        <v>43</v>
      </c>
      <c r="C5" s="5">
        <f>'SEDANA JAYA'!F37</f>
        <v>769100</v>
      </c>
    </row>
    <row r="6" spans="1:3">
      <c r="A6" s="4">
        <v>5</v>
      </c>
      <c r="B6" s="4" t="s">
        <v>44</v>
      </c>
      <c r="C6" s="5">
        <f>'PNB (Alcohol)'!H7</f>
        <v>1275000</v>
      </c>
    </row>
    <row r="7" spans="1:3">
      <c r="A7" s="4">
        <v>6</v>
      </c>
      <c r="B7" s="6" t="s">
        <v>45</v>
      </c>
      <c r="C7" s="5">
        <f>'DSP (Alcohol)'!F16</f>
        <v>0</v>
      </c>
    </row>
    <row r="8" customFormat="1" spans="1:3">
      <c r="A8" s="4">
        <v>7</v>
      </c>
      <c r="B8" s="6" t="s">
        <v>46</v>
      </c>
      <c r="C8" s="5">
        <f>'DSP ARYA BIMA (Alcohol)'!E3</f>
        <v>0</v>
      </c>
    </row>
    <row r="9" spans="1:3">
      <c r="A9" s="4">
        <v>8</v>
      </c>
      <c r="B9" s="4" t="s">
        <v>47</v>
      </c>
      <c r="C9" s="5">
        <f>'SELERA OR STIR UP (Syrup)'!F9</f>
        <v>0</v>
      </c>
    </row>
    <row r="10" spans="1:3">
      <c r="A10" s="4">
        <v>9</v>
      </c>
      <c r="B10" s="4" t="s">
        <v>48</v>
      </c>
      <c r="C10" s="5">
        <f>'DW BALI (Alcohol)'!E4</f>
        <v>0</v>
      </c>
    </row>
    <row r="11" spans="1:3">
      <c r="A11" s="4">
        <v>10</v>
      </c>
      <c r="B11" s="4" t="s">
        <v>49</v>
      </c>
      <c r="C11" s="5">
        <f>'DDB (Alcohol)'!E14</f>
        <v>0</v>
      </c>
    </row>
    <row r="12" spans="1:3">
      <c r="A12" s="4">
        <v>11</v>
      </c>
      <c r="B12" s="4" t="s">
        <v>50</v>
      </c>
      <c r="C12" s="5">
        <f>'NANO DEWATA (Alcohol)'!E14</f>
        <v>0</v>
      </c>
    </row>
    <row r="13" spans="1:3">
      <c r="A13" s="4">
        <v>12</v>
      </c>
      <c r="B13" s="4" t="s">
        <v>51</v>
      </c>
      <c r="C13" s="5">
        <f>'BALI PERMATA JAYA (Corona Beer)'!E17</f>
        <v>0</v>
      </c>
    </row>
    <row r="14" spans="1:3">
      <c r="A14" s="4">
        <v>13</v>
      </c>
      <c r="B14" s="4" t="s">
        <v>52</v>
      </c>
      <c r="C14" s="7">
        <f>'BLACK COFFEE ROASTERS (Coffee)'!F4</f>
        <v>0</v>
      </c>
    </row>
    <row r="15" spans="1:3">
      <c r="A15" s="4">
        <v>14</v>
      </c>
      <c r="B15" s="4" t="s">
        <v>53</v>
      </c>
      <c r="C15" s="5">
        <f>'PT. PRASIDA LANTUR MAJU (Wine)'!E8</f>
        <v>0</v>
      </c>
    </row>
    <row r="16" spans="1:3">
      <c r="A16" s="4">
        <v>15</v>
      </c>
      <c r="B16" s="6" t="s">
        <v>54</v>
      </c>
      <c r="C16" s="8">
        <f>'PT LOVINA BEACH BREWERY'!D3</f>
        <v>0</v>
      </c>
    </row>
    <row r="17" spans="1:3">
      <c r="A17" s="4">
        <v>16</v>
      </c>
      <c r="B17" s="4" t="s">
        <v>55</v>
      </c>
      <c r="C17" s="5">
        <f>'CHAI CHITAI (Tea Leaf,etc)'!E12</f>
        <v>0</v>
      </c>
    </row>
    <row r="18" spans="1:3">
      <c r="A18" s="4">
        <v>17</v>
      </c>
      <c r="B18" s="4" t="s">
        <v>56</v>
      </c>
      <c r="C18" s="5">
        <f>'MULIA JAYA (Passion Fruit)'!D3</f>
        <v>0</v>
      </c>
    </row>
    <row r="19" spans="1:3">
      <c r="A19" s="4">
        <v>18</v>
      </c>
      <c r="B19" s="4" t="s">
        <v>57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2366100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2025-12-02T11:05:18Z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