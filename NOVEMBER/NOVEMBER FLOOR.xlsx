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TOTAL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2900A6598AF34EAF8E34FD7992770F9A" descr="WhatsApp Image 2025-11-08 at 15.02.04_a7f4447b"/>
        <xdr:cNvPicPr>
          <a:picLocks noChangeAspect="1"/>
        </xdr:cNvPicPr>
      </xdr:nvPicPr>
      <xdr:blipFill>
        <a:blip r:embed="rId1"/>
        <a:srcRect l="2238" t="9976" b="14875"/>
        <a:stretch>
          <a:fillRect/>
        </a:stretch>
      </xdr:blipFill>
      <xdr:spPr>
        <a:xfrm>
          <a:off x="5074920" y="374015"/>
          <a:ext cx="2487295" cy="3405505"/>
        </a:xfrm>
        <a:prstGeom prst="rect">
          <a:avLst/>
        </a:prstGeom>
      </xdr:spPr>
    </xdr:pic>
  </etc:cellImage>
  <etc:cellImage>
    <xdr:pic>
      <xdr:nvPicPr>
        <xdr:cNvPr id="2" name="ID_77CE357CEE334F6D961BD6780F917C7B" descr="WhatsApp Image 2025-11-17 at 19.55.24_b4d82a76"/>
        <xdr:cNvPicPr>
          <a:picLocks noChangeAspect="1"/>
        </xdr:cNvPicPr>
      </xdr:nvPicPr>
      <xdr:blipFill>
        <a:blip r:embed="rId2"/>
        <a:srcRect l="2094" t="17062" b="13764"/>
        <a:stretch>
          <a:fillRect/>
        </a:stretch>
      </xdr:blipFill>
      <xdr:spPr>
        <a:xfrm rot="16200000">
          <a:off x="7059930" y="-55880"/>
          <a:ext cx="3651885" cy="4540885"/>
        </a:xfrm>
        <a:prstGeom prst="rect">
          <a:avLst/>
        </a:prstGeom>
      </xdr:spPr>
    </xdr:pic>
  </etc:cellImage>
  <etc:cellImage>
    <xdr:pic>
      <xdr:nvPicPr>
        <xdr:cNvPr id="4" name="ID_53A5575CEC60468792705E317509501C" descr="WhatsApp Image 2025-11-17 at 19.55.38_dd252dd0"/>
        <xdr:cNvPicPr>
          <a:picLocks noChangeAspect="1"/>
        </xdr:cNvPicPr>
      </xdr:nvPicPr>
      <xdr:blipFill>
        <a:blip r:embed="rId3"/>
        <a:srcRect l="877" t="19263" b="10630"/>
        <a:stretch>
          <a:fillRect/>
        </a:stretch>
      </xdr:blipFill>
      <xdr:spPr>
        <a:xfrm rot="16200000">
          <a:off x="7574915" y="3136900"/>
          <a:ext cx="3300730" cy="407162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<sst xmlns="http://schemas.openxmlformats.org/spreadsheetml/2006/main" count="50" uniqueCount="24">
  <si>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</si>
  <si>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</si>
  <si>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</si>
  <si>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</si>
  <si>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</si>
  <si>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</si>
  <si>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</si>
  <si>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</si>
  <si>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GRAND TOTAL</t>
  </si>
  <si>
    <t>HAND GLOVES (M)</t>
  </si>
  <si>
    <t>P KILAT 2</t>
  </si>
  <si>
    <t>SO05LC2511000989/00</t>
  </si>
  <si>
    <t>SEE-U HTM DE/ ECONO RED</t>
  </si>
  <si>
    <t>SALES PRICE</t>
  </si>
  <si>
    <t>PPN</t>
  </si>
  <si>
    <t>PPh 22</t>
  </si>
  <si>
    <t>STATUS</t>
  </si>
  <si>
    <t>NO</t>
  </si>
  <si>
    <t>SUPLAYER</t>
  </si>
  <si>
    <t>QYR</t>
  </si>
  <si>
    <t>Anugrah</t>
  </si>
  <si>
    <t>UD Abdi Jaya</t>
  </si>
  <si>
    <t>PT. SUPARMA JAYA TBK</t>
  </si>
  <si>
    <t>Vickel Laundry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</si>
</sst>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_ [$IDR]\ * #,##0_ ;_ [$IDR]\ * \-#,##0_ ;_ [$IDR]\ * &quot;-&quot;_ ;_ @_ "/>
    <numFmt numFmtId="181" formatCode="[$-409]d\-mmm\-yyyy;@"/>
    <numFmt numFmtId="182" formatCode="_ * #,##0_ ;_ * \-#,##0_ ;_ * &quot;-&quot;??_ ;_ @_ "/>
    <numFmt numFmtId="183" formatCode="_-&quot;Rp&quot;* #,##0.00_-;\-&quot;Rp&quot;* #,##0.00_-;_-&quot;Rp&quot;* &quot;-&quot;??.00_-;_-@_-"/>
  </numFmts>
  <fonts count="30">
    <font>
      <sz val="11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6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14" applyNumberFormat="0" applyAlignment="0" applyProtection="0">
      <alignment vertical="center"/>
    </xf>
    <xf numFmtId="0" fontId="20" fillId="8" borderId="15" applyNumberFormat="0" applyAlignment="0" applyProtection="0">
      <alignment vertical="center"/>
    </xf>
    <xf numFmtId="0" fontId="21" fillId="8" borderId="14" applyNumberFormat="0" applyAlignment="0" applyProtection="0">
      <alignment vertical="center"/>
    </xf>
    <xf numFmtId="0" fontId="22" fillId="9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</cellStyleXfs>
  <cellXfs count="104">
    <xf numFmtId="0" fontId="0" fillId="0" borderId="0" xfId="0"/>
    <xf numFmtId="0" fontId="0" fillId="2" borderId="1" xfId="0" applyFill="1" applyBorder="1"/>
    <xf numFmtId="0" fontId="0" fillId="0" borderId="1" xfId="0" applyBorder="1"/>
    <xf numFmtId="178" fontId="0" fillId="3" borderId="1" xfId="0" applyNumberForma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NumberFormat="1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0" fontId="0" fillId="0" borderId="1" xfId="0" applyNumberFormat="1" applyFill="1" applyBorder="1" applyAlignment="1">
      <alignment vertical="center"/>
    </xf>
    <xf numFmtId="180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 wrapText="1"/>
    </xf>
    <xf numFmtId="0" fontId="0" fillId="0" borderId="5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6" xfId="0" applyNumberFormat="1" applyFill="1" applyBorder="1" applyAlignment="1">
      <alignment horizontal="center" vertical="center" wrapText="1"/>
    </xf>
    <xf numFmtId="0" fontId="0" fillId="0" borderId="6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79" fontId="0" fillId="3" borderId="5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79" fontId="0" fillId="3" borderId="6" xfId="0" applyNumberForma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6" xfId="0" applyNumberFormat="1" applyBorder="1" applyAlignment="1">
      <alignment horizontal="center"/>
    </xf>
    <xf numFmtId="0" fontId="0" fillId="3" borderId="7" xfId="0" applyFill="1" applyBorder="1" applyAlignment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6" xfId="0" applyFill="1" applyBorder="1" applyAlignment="1"/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8" fontId="0" fillId="0" borderId="4" xfId="0" applyNumberFormat="1" applyBorder="1" applyAlignment="1"/>
    <xf numFmtId="0" fontId="4" fillId="5" borderId="4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78" fontId="5" fillId="5" borderId="4" xfId="0" applyNumberFormat="1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0" borderId="0" xfId="0" applyFont="1" applyFill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81" fontId="6" fillId="3" borderId="1" xfId="0" applyNumberFormat="1" applyFont="1" applyFill="1" applyBorder="1" applyAlignment="1">
      <alignment horizontal="center" vertical="center"/>
    </xf>
    <xf numFmtId="0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180" fontId="6" fillId="3" borderId="1" xfId="0" applyNumberFormat="1" applyFont="1" applyFill="1" applyBorder="1" applyAlignment="1">
      <alignment horizontal="center" vertical="center"/>
    </xf>
    <xf numFmtId="180" fontId="6" fillId="3" borderId="1" xfId="0" applyNumberFormat="1" applyFont="1" applyFill="1" applyBorder="1" applyAlignment="1">
      <alignment vertical="center"/>
    </xf>
    <xf numFmtId="178" fontId="6" fillId="3" borderId="1" xfId="0" applyNumberFormat="1" applyFont="1" applyFill="1" applyBorder="1" applyAlignment="1">
      <alignment horizontal="center" vertical="center" wrapText="1"/>
    </xf>
    <xf numFmtId="180" fontId="6" fillId="3" borderId="5" xfId="0" applyNumberFormat="1" applyFont="1" applyFill="1" applyBorder="1" applyAlignment="1">
      <alignment horizontal="center" vertical="center"/>
    </xf>
    <xf numFmtId="181" fontId="6" fillId="3" borderId="1" xfId="0" applyNumberFormat="1" applyFont="1" applyFill="1" applyBorder="1" applyAlignment="1">
      <alignment vertical="center"/>
    </xf>
    <xf numFmtId="0" fontId="6" fillId="3" borderId="1" xfId="0" applyNumberFormat="1" applyFont="1" applyFill="1" applyBorder="1" applyAlignment="1">
      <alignment vertical="center"/>
    </xf>
    <xf numFmtId="178" fontId="6" fillId="3" borderId="1" xfId="0" applyNumberFormat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/>
    </xf>
    <xf numFmtId="178" fontId="8" fillId="0" borderId="1" xfId="0" applyNumberFormat="1" applyFont="1" applyFill="1" applyBorder="1" applyAlignment="1">
      <alignment vertical="center"/>
    </xf>
    <xf numFmtId="0" fontId="9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81" fontId="6" fillId="3" borderId="5" xfId="0" applyNumberFormat="1" applyFont="1" applyFill="1" applyBorder="1" applyAlignment="1">
      <alignment horizontal="center" vertical="center"/>
    </xf>
    <xf numFmtId="178" fontId="6" fillId="3" borderId="10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181" fontId="6" fillId="3" borderId="7" xfId="0" applyNumberFormat="1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0" fontId="6" fillId="3" borderId="7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78" fontId="6" fillId="3" borderId="2" xfId="0" applyNumberFormat="1" applyFont="1" applyFill="1" applyBorder="1" applyAlignment="1">
      <alignment horizontal="center" vertical="center" wrapText="1"/>
    </xf>
    <xf numFmtId="0" fontId="10" fillId="3" borderId="0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6" fillId="3" borderId="5" xfId="0" applyNumberFormat="1" applyFont="1" applyFill="1" applyBorder="1" applyAlignment="1">
      <alignment horizontal="center" vertical="center"/>
    </xf>
    <xf numFmtId="0" fontId="6" fillId="3" borderId="7" xfId="0" applyNumberFormat="1" applyFont="1" applyFill="1" applyBorder="1" applyAlignment="1">
      <alignment horizontal="center" vertical="center"/>
    </xf>
    <xf numFmtId="178" fontId="6" fillId="3" borderId="5" xfId="0" applyNumberFormat="1" applyFont="1" applyFill="1" applyBorder="1" applyAlignment="1">
      <alignment vertical="center"/>
    </xf>
    <xf numFmtId="178" fontId="6" fillId="3" borderId="1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center" vertical="center"/>
    </xf>
    <xf numFmtId="0" fontId="6" fillId="4" borderId="3" xfId="0" applyNumberFormat="1" applyFont="1" applyFill="1" applyBorder="1" applyAlignment="1">
      <alignment horizontal="center" vertical="center"/>
    </xf>
    <xf numFmtId="0" fontId="6" fillId="4" borderId="2" xfId="0" applyNumberFormat="1" applyFont="1" applyFill="1" applyBorder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178" fontId="6" fillId="4" borderId="1" xfId="0" applyNumberFormat="1" applyFont="1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178" fontId="8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70" zoomScaleNormal="70" workbookViewId="0">
      <selection activeCell="F14" sqref="A2:F14"/>
    </sheetView>
  </sheetViews>
  <sheetFormatPr defaultColWidth="9.14285714285714" defaultRowHeight="18.75" outlineLevelCol="7"/>
  <cols>
    <col min="1" max="1" width="17.4285714285714" style="61"/>
    <col min="2" max="2" width="13.4285714285714" style="61" customWidth="1"/>
    <col min="3" max="3" width="36" style="61" customWidth="1"/>
    <col min="4" max="4" width="21.2857142857143" style="62" customWidth="1"/>
    <col min="5" max="5" width="33.2857142857143" style="61" customWidth="1"/>
    <col min="6" max="6" width="17.2857142857143" style="61" customWidth="1"/>
    <col min="7" max="8" width="20.8571428571429" style="61" customWidth="1"/>
    <col min="9" max="9" width="12.8571428571429" style="61"/>
    <col min="10" max="10" width="9.14285714285714" style="61"/>
    <col min="11" max="16384" width="18.0380952380952" style="61"/>
  </cols>
  <sheetData>
    <row r="1" s="60" customFormat="1" ht="16" customHeight="1" spans="1:8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2" t="s">
        <v>5</v>
      </c>
      <c r="G1" s="82" t="s">
        <v>6</v>
      </c>
      <c r="H1" s="82" t="s">
        <v>7</v>
      </c>
    </row>
    <row r="2" s="60" customFormat="1" ht="32.15" customHeight="1" spans="1:8">
      <c r="A2" s="83"/>
      <c r="B2" s="66"/>
      <c r="C2" s="84"/>
      <c r="D2" s="85"/>
      <c r="E2" s="68"/>
      <c r="F2" s="69"/>
      <c r="G2" s="72">
        <f t="shared" ref="G2:G14" si="0">SUM(D2*F2)</f>
        <v>0</v>
      </c>
      <c r="H2" s="72">
        <f>SUM(G2:G9)</f>
        <v>0</v>
      </c>
    </row>
    <row r="3" s="60" customFormat="1" ht="32.15" customHeight="1" spans="1:8">
      <c r="A3" s="86"/>
      <c r="B3" s="66"/>
      <c r="C3" s="84"/>
      <c r="D3" s="85"/>
      <c r="E3" s="87"/>
      <c r="F3" s="69"/>
      <c r="G3" s="72">
        <f t="shared" si="0"/>
        <v>0</v>
      </c>
      <c r="H3" s="88"/>
    </row>
    <row r="4" s="60" customFormat="1" ht="32.15" customHeight="1" spans="1:8">
      <c r="A4" s="86"/>
      <c r="B4" s="66"/>
      <c r="C4" s="84"/>
      <c r="D4" s="85"/>
      <c r="E4" s="87"/>
      <c r="F4" s="69"/>
      <c r="G4" s="72">
        <f t="shared" si="0"/>
        <v>0</v>
      </c>
      <c r="H4" s="88"/>
    </row>
    <row r="5" s="60" customFormat="1" ht="32.15" customHeight="1" spans="1:8">
      <c r="A5" s="86"/>
      <c r="B5" s="66"/>
      <c r="C5" s="84"/>
      <c r="D5" s="85"/>
      <c r="E5" s="87"/>
      <c r="F5" s="69"/>
      <c r="G5" s="72">
        <f t="shared" si="0"/>
        <v>0</v>
      </c>
      <c r="H5" s="88"/>
    </row>
    <row r="6" s="60" customFormat="1" ht="32.15" customHeight="1" spans="1:8">
      <c r="A6" s="86"/>
      <c r="B6" s="66"/>
      <c r="C6" s="84"/>
      <c r="D6" s="85"/>
      <c r="E6" s="87"/>
      <c r="F6" s="69"/>
      <c r="G6" s="72">
        <f t="shared" si="0"/>
        <v>0</v>
      </c>
      <c r="H6" s="88"/>
    </row>
    <row r="7" s="60" customFormat="1" ht="32.15" customHeight="1" spans="1:8">
      <c r="A7" s="86"/>
      <c r="B7" s="66"/>
      <c r="C7" s="84"/>
      <c r="D7" s="89"/>
      <c r="E7" s="87"/>
      <c r="F7" s="69"/>
      <c r="G7" s="72">
        <f t="shared" si="0"/>
        <v>0</v>
      </c>
      <c r="H7" s="88"/>
    </row>
    <row r="8" s="60" customFormat="1" ht="32.15" customHeight="1" spans="1:8">
      <c r="A8" s="86"/>
      <c r="B8" s="66"/>
      <c r="C8" s="90"/>
      <c r="D8" s="85"/>
      <c r="E8" s="87"/>
      <c r="F8" s="69"/>
      <c r="G8" s="72">
        <f t="shared" si="0"/>
        <v>0</v>
      </c>
      <c r="H8" s="88"/>
    </row>
    <row r="9" s="60" customFormat="1" ht="32.15" customHeight="1" spans="1:8">
      <c r="A9" s="86"/>
      <c r="B9" s="66"/>
      <c r="C9" s="71"/>
      <c r="D9" s="91"/>
      <c r="E9" s="92"/>
      <c r="F9" s="69"/>
      <c r="G9" s="72">
        <f t="shared" si="0"/>
        <v>0</v>
      </c>
      <c r="H9" s="88"/>
    </row>
    <row r="10" s="60" customFormat="1" ht="64.3" customHeight="1" spans="1:8">
      <c r="A10" s="83"/>
      <c r="B10" s="93"/>
      <c r="C10" s="71"/>
      <c r="D10" s="85"/>
      <c r="E10" s="68"/>
      <c r="F10" s="72"/>
      <c r="G10" s="72">
        <f t="shared" si="0"/>
        <v>0</v>
      </c>
      <c r="H10" s="72">
        <f>SUM(G10:G13)</f>
        <v>0</v>
      </c>
    </row>
    <row r="11" s="60" customFormat="1" ht="64.3" customHeight="1" spans="1:8">
      <c r="A11" s="86"/>
      <c r="B11" s="94"/>
      <c r="C11" s="66"/>
      <c r="D11" s="66"/>
      <c r="E11" s="87"/>
      <c r="F11" s="95"/>
      <c r="G11" s="72">
        <f t="shared" si="0"/>
        <v>0</v>
      </c>
      <c r="H11" s="88"/>
    </row>
    <row r="12" s="60" customFormat="1" ht="64.3" customHeight="1" spans="1:8">
      <c r="A12" s="86"/>
      <c r="B12" s="94"/>
      <c r="C12" s="66"/>
      <c r="D12" s="66"/>
      <c r="E12" s="87"/>
      <c r="F12" s="95"/>
      <c r="G12" s="72">
        <f t="shared" si="0"/>
        <v>0</v>
      </c>
      <c r="H12" s="88"/>
    </row>
    <row r="13" s="60" customFormat="1" ht="64.3" customHeight="1" spans="1:8">
      <c r="A13" s="86"/>
      <c r="B13" s="94"/>
      <c r="C13" s="93"/>
      <c r="D13" s="93"/>
      <c r="E13" s="87"/>
      <c r="F13" s="95"/>
      <c r="G13" s="72">
        <f t="shared" si="0"/>
        <v>0</v>
      </c>
      <c r="H13" s="88"/>
    </row>
    <row r="14" s="60" customFormat="1" ht="258" customHeight="1" spans="1:8">
      <c r="A14" s="65"/>
      <c r="B14" s="66"/>
      <c r="C14" s="66"/>
      <c r="D14" s="66"/>
      <c r="E14" s="78"/>
      <c r="F14" s="96"/>
      <c r="G14" s="69">
        <f t="shared" si="0"/>
        <v>0</v>
      </c>
      <c r="H14" s="69">
        <f>SUM(G14)</f>
        <v>0</v>
      </c>
    </row>
    <row r="15" s="60" customFormat="1" ht="18" customHeight="1" spans="1:8">
      <c r="A15" s="97" t="s">
        <v>8</v>
      </c>
      <c r="B15" s="98"/>
      <c r="C15" s="99"/>
      <c r="D15" s="100"/>
      <c r="E15" s="101"/>
      <c r="F15" s="101"/>
      <c r="G15" s="102"/>
      <c r="H15" s="103">
        <f>SUM(H2:H14)</f>
        <v>0</v>
      </c>
    </row>
  </sheetData>
  <mergeCells count="9">
    <mergeCell ref="A15:C15"/>
    <mergeCell ref="A2:A9"/>
    <mergeCell ref="A10:A13"/>
    <mergeCell ref="B2:B9"/>
    <mergeCell ref="B10:B13"/>
    <mergeCell ref="E2:E9"/>
    <mergeCell ref="E10:E13"/>
    <mergeCell ref="H2:H9"/>
    <mergeCell ref="H10:H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tabSelected="1" zoomScale="78" zoomScaleNormal="78" workbookViewId="0">
      <pane ySplit="1" topLeftCell="A2" activePane="bottomLeft" state="frozen"/>
      <selection/>
      <selection pane="bottomLeft" activeCell="E3" sqref="E3"/>
    </sheetView>
  </sheetViews>
  <sheetFormatPr defaultColWidth="9.14285714285714" defaultRowHeight="18.75" outlineLevelRow="7" outlineLevelCol="7"/>
  <cols>
    <col min="1" max="1" width="19.8571428571429" style="61"/>
    <col min="2" max="2" width="18.8571428571429" style="61" customWidth="1"/>
    <col min="3" max="3" width="43.0380952380952" style="61" customWidth="1"/>
    <col min="4" max="4" width="14.4285714285714" style="62" customWidth="1"/>
    <col min="5" max="5" width="58.9619047619048" style="61" customWidth="1"/>
    <col min="6" max="6" width="19.5238095238095" style="61" customWidth="1"/>
    <col min="7" max="8" width="20.8571428571429" style="61" customWidth="1"/>
    <col min="9" max="9" width="12.8571428571429" style="61"/>
    <col min="10" max="16384" width="9.14285714285714" style="61"/>
  </cols>
  <sheetData>
    <row r="1" s="60" customFormat="1" ht="16" customHeight="1" spans="1:8">
      <c r="A1" s="63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4" t="s">
        <v>5</v>
      </c>
      <c r="G1" s="64" t="s">
        <v>6</v>
      </c>
      <c r="H1" s="64" t="s">
        <v>7</v>
      </c>
    </row>
    <row r="2" s="60" customFormat="1" ht="249.35" spans="1:8">
      <c r="A2" s="65">
        <v>45975</v>
      </c>
      <c r="B2" s="66">
        <v>221</v>
      </c>
      <c r="C2" s="67" t="s">
        <v>9</v>
      </c>
      <c r="D2" s="67">
        <v>3</v>
      </c>
      <c r="E2" s="68" t="str">
        <f>_xlfn.DISPIMG("ID_77CE357CEE334F6D961BD6780F917C7B",1)</f>
        <v>=DISPIMG("ID_77CE357CEE334F6D961BD6780F917C7B",1)</v>
      </c>
      <c r="F2" s="69">
        <v>55000</v>
      </c>
      <c r="G2" s="70">
        <f>D2*F2</f>
        <v>165000</v>
      </c>
      <c r="H2" s="69">
        <f>SUM(G2:G2)</f>
        <v>165000</v>
      </c>
    </row>
    <row r="3" s="60" customFormat="1" ht="251.35" spans="1:8">
      <c r="A3" s="65">
        <v>45976</v>
      </c>
      <c r="B3" s="66">
        <v>254</v>
      </c>
      <c r="C3" s="71" t="s">
        <v>10</v>
      </c>
      <c r="D3" s="67">
        <v>5</v>
      </c>
      <c r="E3" s="68" t="str">
        <f>_xlfn.DISPIMG("ID_53A5575CEC60468792705E317509501C",1)</f>
        <v>=DISPIMG("ID_53A5575CEC60468792705E317509501C",1)</v>
      </c>
      <c r="F3" s="70">
        <v>13000</v>
      </c>
      <c r="G3" s="70">
        <f>D3*F3</f>
        <v>65000</v>
      </c>
      <c r="H3" s="72">
        <f>SUM(G3:G3)</f>
        <v>65000</v>
      </c>
    </row>
    <row r="4" s="60" customFormat="1" ht="60" customHeight="1" spans="1:8">
      <c r="A4" s="73"/>
      <c r="B4" s="74"/>
      <c r="C4" s="75"/>
      <c r="D4" s="67"/>
      <c r="E4" s="76"/>
      <c r="F4" s="70"/>
      <c r="G4" s="70"/>
      <c r="H4" s="70"/>
    </row>
    <row r="5" s="60" customFormat="1" ht="60" customHeight="1" spans="1:8">
      <c r="A5" s="73"/>
      <c r="B5" s="74"/>
      <c r="C5" s="71"/>
      <c r="D5" s="67"/>
      <c r="E5" s="76"/>
      <c r="F5" s="69"/>
      <c r="G5" s="70"/>
      <c r="H5" s="70"/>
    </row>
    <row r="6" s="60" customFormat="1" ht="60" customHeight="1" spans="1:8">
      <c r="A6" s="73"/>
      <c r="B6" s="74"/>
      <c r="C6" s="71"/>
      <c r="D6" s="67"/>
      <c r="E6" s="76"/>
      <c r="F6" s="69"/>
      <c r="G6" s="70"/>
      <c r="H6" s="70"/>
    </row>
    <row r="7" s="60" customFormat="1" ht="200" customHeight="1" spans="1:8">
      <c r="A7" s="73"/>
      <c r="B7" s="66"/>
      <c r="C7" s="71"/>
      <c r="D7" s="77"/>
      <c r="E7" s="78"/>
      <c r="F7" s="72"/>
      <c r="G7" s="72"/>
      <c r="H7" s="69"/>
    </row>
    <row r="8" s="60" customFormat="1" spans="1:8">
      <c r="A8" s="79"/>
      <c r="B8" s="79"/>
      <c r="C8" s="79"/>
      <c r="D8" s="79"/>
      <c r="E8" s="79"/>
      <c r="F8" s="79"/>
      <c r="G8" s="80"/>
      <c r="H8" s="80">
        <f>SUM(H2:H7)</f>
        <v>230000</v>
      </c>
    </row>
  </sheetData>
  <mergeCells count="4">
    <mergeCell ref="A8:E8"/>
    <mergeCell ref="C5:C6"/>
    <mergeCell ref="D5:D6"/>
    <mergeCell ref="F5:F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D8" sqref="D8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7</v>
      </c>
    </row>
    <row r="2" ht="123.5" customHeight="1" spans="1:7">
      <c r="A2" s="25">
        <v>45968</v>
      </c>
      <c r="B2" s="12" t="s">
        <v>11</v>
      </c>
      <c r="C2" s="26" t="s">
        <v>12</v>
      </c>
      <c r="D2" s="27">
        <v>40</v>
      </c>
      <c r="E2" s="28" t="str">
        <f>_xlfn.DISPIMG("ID_2900A6598AF34EAF8E34FD7992770F9A",1)</f>
        <v>=DISPIMG("ID_2900A6598AF34EAF8E34FD7992770F9A",1)</v>
      </c>
      <c r="F2" s="29">
        <v>6063.96</v>
      </c>
      <c r="G2" s="30">
        <f>SUM(D2*F2)</f>
        <v>242558.4</v>
      </c>
    </row>
    <row r="3" ht="123.5" customHeight="1" spans="1:7">
      <c r="A3" s="25"/>
      <c r="B3" s="12"/>
      <c r="C3" s="31"/>
      <c r="D3" s="32"/>
      <c r="E3" s="28"/>
      <c r="F3" s="33"/>
      <c r="G3" s="30"/>
    </row>
    <row r="4" spans="1:7">
      <c r="A4" s="25"/>
      <c r="B4" s="34" t="s">
        <v>13</v>
      </c>
      <c r="C4" s="34"/>
      <c r="D4" s="35"/>
      <c r="E4" s="35"/>
      <c r="F4" s="35"/>
      <c r="G4" s="35">
        <f>SUM(G2:G3)</f>
        <v>242558.4</v>
      </c>
    </row>
    <row r="5" spans="1:7">
      <c r="A5" s="25"/>
      <c r="B5" s="34" t="s">
        <v>14</v>
      </c>
      <c r="C5" s="34"/>
      <c r="D5" s="35"/>
      <c r="E5" s="35"/>
      <c r="F5" s="35"/>
      <c r="G5" s="35">
        <f>G4*11%</f>
        <v>26681.424</v>
      </c>
    </row>
    <row r="6" spans="1:7">
      <c r="A6" s="25"/>
      <c r="B6" s="34" t="s">
        <v>15</v>
      </c>
      <c r="C6" s="34"/>
      <c r="D6" s="35"/>
      <c r="E6" s="35"/>
      <c r="F6" s="35"/>
      <c r="G6" s="36">
        <v>243</v>
      </c>
    </row>
    <row r="7" spans="1:7">
      <c r="A7" s="25"/>
      <c r="B7" s="34" t="s">
        <v>7</v>
      </c>
      <c r="C7" s="34"/>
      <c r="D7" s="35"/>
      <c r="E7" s="37"/>
      <c r="F7" s="37"/>
      <c r="G7" s="37">
        <v>269482</v>
      </c>
    </row>
    <row r="8" ht="123.5" customHeight="1" spans="1:7">
      <c r="A8" s="25"/>
      <c r="B8" s="38"/>
      <c r="C8" s="39"/>
      <c r="D8" s="40"/>
      <c r="E8" s="41"/>
      <c r="F8" s="15"/>
      <c r="G8" s="42"/>
    </row>
    <row r="9" ht="123.5" customHeight="1" spans="1:7">
      <c r="A9" s="25"/>
      <c r="B9" s="43"/>
      <c r="C9" s="39"/>
      <c r="D9" s="40"/>
      <c r="E9" s="44"/>
      <c r="F9" s="15"/>
      <c r="G9" s="42"/>
    </row>
    <row r="10" spans="1:7">
      <c r="A10" s="45"/>
      <c r="B10" s="34" t="s">
        <v>13</v>
      </c>
      <c r="C10" s="34"/>
      <c r="D10" s="35"/>
      <c r="E10" s="46"/>
      <c r="F10" s="35"/>
      <c r="G10" s="35">
        <f>SUM(G8:G9)</f>
        <v>0</v>
      </c>
    </row>
    <row r="11" spans="1:7">
      <c r="A11" s="47"/>
      <c r="B11" s="48" t="s">
        <v>14</v>
      </c>
      <c r="C11" s="49"/>
      <c r="D11" s="35"/>
      <c r="E11" s="46"/>
      <c r="F11" s="35"/>
      <c r="G11" s="35"/>
    </row>
    <row r="12" spans="1:7">
      <c r="A12" s="45"/>
      <c r="B12" s="34" t="s">
        <v>15</v>
      </c>
      <c r="C12" s="34"/>
      <c r="D12" s="35"/>
      <c r="E12" s="46"/>
      <c r="F12" s="35"/>
      <c r="G12" s="36"/>
    </row>
    <row r="13" spans="1:7">
      <c r="A13" s="50"/>
      <c r="B13" s="51" t="s">
        <v>7</v>
      </c>
      <c r="C13" s="52"/>
      <c r="D13" s="35"/>
      <c r="E13" s="37"/>
      <c r="F13" s="53"/>
      <c r="G13" s="37">
        <f>SUM(G10:G12)</f>
        <v>0</v>
      </c>
    </row>
    <row r="14" spans="1:7">
      <c r="A14" s="54" t="s">
        <v>8</v>
      </c>
      <c r="B14" s="55"/>
      <c r="C14" s="55"/>
      <c r="D14" s="56"/>
      <c r="E14" s="57">
        <f>G7+G13</f>
        <v>269482</v>
      </c>
      <c r="F14" s="58"/>
      <c r="G14" s="59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Col="4"/>
  <cols>
    <col min="1" max="1" width="9.14285714285714" style="8"/>
    <col min="2" max="2" width="12.6" style="9" customWidth="1"/>
    <col min="3" max="3" width="38.7142857142857" style="8" customWidth="1"/>
    <col min="4" max="4" width="18.8285714285714" style="8" customWidth="1"/>
    <col min="5" max="5" width="12.2857142857143" style="8" customWidth="1"/>
    <col min="6" max="16384" width="9.14285714285714" style="8"/>
  </cols>
  <sheetData>
    <row r="1" s="7" customFormat="1" ht="19" customHeight="1" spans="1:5">
      <c r="A1" s="10" t="s">
        <v>0</v>
      </c>
      <c r="B1" s="11" t="s">
        <v>1</v>
      </c>
      <c r="C1" s="10" t="s">
        <v>4</v>
      </c>
      <c r="D1" s="10" t="s">
        <v>7</v>
      </c>
      <c r="E1" s="10" t="s">
        <v>16</v>
      </c>
    </row>
    <row r="2" s="8" customFormat="1" ht="200" customHeight="1" spans="1:5">
      <c r="A2" s="12"/>
      <c r="B2" s="13"/>
      <c r="C2" s="14"/>
      <c r="D2" s="15"/>
      <c r="E2" s="14"/>
    </row>
    <row r="3" s="8" customFormat="1" ht="200" customHeight="1" spans="1:5">
      <c r="A3" s="12"/>
      <c r="B3" s="13"/>
      <c r="C3" s="14"/>
      <c r="D3" s="16"/>
      <c r="E3" s="17"/>
    </row>
    <row r="4" s="8" customFormat="1" ht="200" customHeight="1" spans="1:5">
      <c r="A4" s="12"/>
      <c r="B4" s="13"/>
      <c r="C4" s="14"/>
      <c r="D4" s="16"/>
      <c r="E4" s="17"/>
    </row>
    <row r="5" s="8" customFormat="1" ht="200" customHeight="1" spans="1:5">
      <c r="A5" s="12"/>
      <c r="B5" s="13"/>
      <c r="C5" s="14"/>
      <c r="D5" s="16"/>
      <c r="E5" s="17"/>
    </row>
    <row r="6" s="8" customFormat="1" ht="200" customHeight="1" spans="1:5">
      <c r="A6" s="12"/>
      <c r="B6" s="13"/>
      <c r="C6" s="14"/>
      <c r="D6" s="16"/>
      <c r="E6" s="17"/>
    </row>
    <row r="7" s="8" customFormat="1" ht="200" customHeight="1" spans="1:5">
      <c r="A7" s="12"/>
      <c r="B7" s="13"/>
      <c r="C7" s="14"/>
      <c r="D7" s="16"/>
      <c r="E7" s="17"/>
    </row>
    <row r="8" s="8" customFormat="1" ht="200" customHeight="1" spans="1:5">
      <c r="A8" s="12"/>
      <c r="B8" s="13"/>
      <c r="C8" s="14"/>
      <c r="D8" s="16"/>
      <c r="E8" s="17"/>
    </row>
    <row r="9" s="8" customFormat="1" ht="200" customHeight="1" spans="1:5">
      <c r="A9" s="12"/>
      <c r="B9" s="13"/>
      <c r="C9" s="14"/>
      <c r="D9" s="16"/>
      <c r="E9" s="17"/>
    </row>
    <row r="10" s="8" customFormat="1" ht="200" customHeight="1" spans="1:5">
      <c r="A10" s="12"/>
      <c r="B10" s="13"/>
      <c r="C10" s="14"/>
      <c r="D10" s="16"/>
      <c r="E10" s="17"/>
    </row>
    <row r="11" s="8" customFormat="1" ht="200" customHeight="1" spans="1:5">
      <c r="A11" s="12"/>
      <c r="B11" s="13"/>
      <c r="C11" s="14"/>
      <c r="D11" s="16"/>
      <c r="E11" s="17"/>
    </row>
    <row r="12" s="8" customFormat="1" ht="200" customHeight="1" spans="1:5">
      <c r="A12" s="12"/>
      <c r="B12" s="13"/>
      <c r="C12" s="14"/>
      <c r="D12" s="16"/>
      <c r="E12" s="17"/>
    </row>
    <row r="13" s="8" customFormat="1" ht="200" customHeight="1" spans="1:5">
      <c r="A13" s="12"/>
      <c r="B13" s="13"/>
      <c r="C13" s="14"/>
      <c r="D13" s="16"/>
      <c r="E13" s="17"/>
    </row>
    <row r="14" s="8" customFormat="1" ht="200" customHeight="1" spans="1:5">
      <c r="A14" s="12"/>
      <c r="B14" s="13"/>
      <c r="C14" s="14"/>
      <c r="D14" s="16"/>
      <c r="E14" s="17"/>
    </row>
    <row r="15" s="8" customFormat="1" ht="200" customHeight="1" spans="1:5">
      <c r="A15" s="12"/>
      <c r="B15" s="13"/>
      <c r="C15" s="14"/>
      <c r="D15" s="16"/>
      <c r="E15" s="17"/>
    </row>
    <row r="16" s="8" customFormat="1" ht="200" customHeight="1" spans="1:5">
      <c r="A16" s="12"/>
      <c r="B16" s="13"/>
      <c r="C16" s="14"/>
      <c r="D16" s="16"/>
      <c r="E16" s="17"/>
    </row>
    <row r="17" s="8" customFormat="1" ht="200" customHeight="1" spans="1:5">
      <c r="A17" s="12"/>
      <c r="B17" s="13"/>
      <c r="C17" s="14"/>
      <c r="D17" s="16"/>
      <c r="E17" s="17"/>
    </row>
    <row r="18" s="8" customFormat="1" ht="200" customHeight="1" spans="1:5">
      <c r="A18" s="12"/>
      <c r="B18" s="13"/>
      <c r="C18" s="14"/>
      <c r="D18" s="16"/>
      <c r="E18" s="17"/>
    </row>
    <row r="19" s="8" customFormat="1" ht="200" customHeight="1" spans="1:5">
      <c r="A19" s="12"/>
      <c r="B19" s="13"/>
      <c r="C19" s="14"/>
      <c r="D19" s="16"/>
      <c r="E19" s="17"/>
    </row>
    <row r="20" s="8" customFormat="1" ht="200" customHeight="1" spans="1:5">
      <c r="A20" s="12"/>
      <c r="B20" s="13"/>
      <c r="C20" s="14"/>
      <c r="D20" s="16"/>
      <c r="E20" s="17"/>
    </row>
    <row r="21" s="8" customFormat="1" ht="200" customHeight="1" spans="1:5">
      <c r="A21" s="12"/>
      <c r="B21" s="13"/>
      <c r="C21" s="14"/>
      <c r="D21" s="16"/>
      <c r="E21" s="17"/>
    </row>
    <row r="22" s="8" customFormat="1" ht="200" customHeight="1" spans="1:5">
      <c r="A22" s="12"/>
      <c r="B22" s="13"/>
      <c r="C22" s="14"/>
      <c r="D22" s="16"/>
      <c r="E22" s="17"/>
    </row>
    <row r="23" s="8" customFormat="1" ht="200" customHeight="1" spans="1:5">
      <c r="A23" s="12"/>
      <c r="B23" s="13"/>
      <c r="C23" s="14"/>
      <c r="D23" s="16"/>
      <c r="E23" s="17"/>
    </row>
    <row r="24" s="8" customFormat="1" ht="200" customHeight="1" spans="1:5">
      <c r="A24" s="12"/>
      <c r="B24" s="13"/>
      <c r="C24" s="14"/>
      <c r="D24" s="15"/>
      <c r="E24" s="14"/>
    </row>
    <row r="25" s="8" customFormat="1" ht="200" customHeight="1" spans="1:5">
      <c r="A25" s="12"/>
      <c r="B25" s="13"/>
      <c r="C25" s="14"/>
      <c r="D25" s="15"/>
      <c r="E25" s="14"/>
    </row>
    <row r="26" s="8" customFormat="1" ht="200" customHeight="1" spans="1:5">
      <c r="A26" s="12"/>
      <c r="B26" s="13"/>
      <c r="C26" s="14"/>
      <c r="D26" s="15"/>
      <c r="E26" s="14"/>
    </row>
    <row r="27" s="8" customFormat="1" ht="200" customHeight="1" spans="1:5">
      <c r="A27" s="12">
        <v>45960</v>
      </c>
      <c r="B27" s="13"/>
      <c r="C27" s="14"/>
      <c r="D27" s="15"/>
      <c r="E27" s="14"/>
    </row>
    <row r="28" s="8" customFormat="1" ht="200" customHeight="1" spans="1:5">
      <c r="A28" s="12">
        <v>45961</v>
      </c>
      <c r="B28" s="13"/>
      <c r="C28" s="14"/>
      <c r="D28" s="15"/>
      <c r="E28" s="14"/>
    </row>
    <row r="29" s="8" customFormat="1" ht="200" customHeight="1" spans="1:5">
      <c r="A29" s="12"/>
      <c r="B29" s="13"/>
      <c r="C29" s="14"/>
      <c r="D29" s="15"/>
      <c r="E29" s="14"/>
    </row>
    <row r="30" s="8" customFormat="1" ht="200" customHeight="1" spans="1:5">
      <c r="A30" s="12"/>
      <c r="B30" s="13"/>
      <c r="C30" s="14"/>
      <c r="D30" s="15"/>
      <c r="E30" s="14"/>
    </row>
    <row r="31" s="8" customFormat="1" ht="200" customHeight="1" spans="1:5">
      <c r="A31" s="12"/>
      <c r="B31" s="13"/>
      <c r="C31" s="14"/>
      <c r="D31" s="15"/>
      <c r="E31" s="14"/>
    </row>
    <row r="32" s="8" customFormat="1" spans="1:5">
      <c r="A32" s="18"/>
      <c r="B32" s="19"/>
      <c r="C32" s="20">
        <f>SUM(D2:D31)</f>
        <v>0</v>
      </c>
      <c r="D32" s="21"/>
      <c r="E32" s="22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5" sqref="C5"/>
    </sheetView>
  </sheetViews>
  <sheetFormatPr defaultColWidth="9.14285714285714" defaultRowHeight="15" outlineLevelRow="5" outlineLevelCol="2"/>
  <cols>
    <col min="2" max="2" width="21.8571428571429" customWidth="1"/>
    <col min="3" max="3" width="28" customWidth="1"/>
  </cols>
  <sheetData>
    <row r="1" ht="25" customHeight="1" spans="1:3">
      <c r="A1" s="1" t="s">
        <v>17</v>
      </c>
      <c r="B1" s="1" t="s">
        <v>18</v>
      </c>
      <c r="C1" s="1" t="s">
        <v>19</v>
      </c>
    </row>
    <row r="2" spans="1:3">
      <c r="A2" s="2">
        <v>1</v>
      </c>
      <c r="B2" s="2" t="s">
        <v>20</v>
      </c>
      <c r="C2" s="3">
        <f>'Anugrah (Bag, Cup, Box)'!H15</f>
        <v>0</v>
      </c>
    </row>
    <row r="3" spans="1:3">
      <c r="A3" s="2">
        <v>2</v>
      </c>
      <c r="B3" s="2" t="s">
        <v>21</v>
      </c>
      <c r="C3" s="3">
        <f>'UD Abdi Jaya (Bag, Cup, Box)'!H8</f>
        <v>230000</v>
      </c>
    </row>
    <row r="4" spans="1:3">
      <c r="A4" s="2">
        <v>3</v>
      </c>
      <c r="B4" s="2" t="s">
        <v>22</v>
      </c>
      <c r="C4" s="3">
        <f>'PT. SUPARMA JAYA TBK (Tissue)'!E14</f>
        <v>269482</v>
      </c>
    </row>
    <row r="5" spans="1:3">
      <c r="A5" s="2">
        <v>4</v>
      </c>
      <c r="B5" s="4" t="s">
        <v>23</v>
      </c>
      <c r="C5" s="5">
        <f>'Vickel Laundry'!C32</f>
        <v>0</v>
      </c>
    </row>
    <row r="6" spans="1:3">
      <c r="A6" s="4" t="s">
        <v>7</v>
      </c>
      <c r="B6" s="4"/>
      <c r="C6" s="6">
        <f>SUM(C2:C5)</f>
        <v>499482</v>
      </c>
    </row>
  </sheetData>
  <mergeCells count="1">
    <mergeCell ref="A6:B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Anugrah (Bag, Cup, Box)</vt:lpstr>
      <vt:lpstr>UD Abdi Jaya (Bag, Cup, Box)</vt:lpstr>
      <vt:lpstr>PT. SUPARMA JAYA TBK (Tissue)</vt:lpstr>
      <vt:lpstr>Vickel Laundry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2025-11-17T12:02:55Z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