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Anugrah (Bag, Cup, Box)" sheetId="1" r:id="rId1"/>
    <sheet name="UD Abdi Jaya (Bag, Cup, Box)" sheetId="2" r:id="rId2"/>
    <sheet name="PT. SUPARMA JAYA TBK (Tissue)" sheetId="3" r:id="rId3"/>
    <sheet name="Vickel Laundry" sheetId="5" r:id="rId4"/>
    <sheet name="Dishy Soap" sheetId="6" r:id="rId5"/>
    <sheet name="TOTAL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2900A6598AF34EAF8E34FD7992770F9A" descr="WhatsApp Image 2025-11-08 at 15.02.04_a7f4447b"/>
        <xdr:cNvPicPr>
          <a:picLocks noChangeAspect="1"/>
        </xdr:cNvPicPr>
      </xdr:nvPicPr>
      <xdr:blipFill>
        <a:blip r:embed="rId1"/>
        <a:srcRect l="2238" t="9976" b="14875"/>
        <a:stretch>
          <a:fillRect/>
        </a:stretch>
      </xdr:blipFill>
      <xdr:spPr>
        <a:xfrm>
          <a:off x="5074920" y="374015"/>
          <a:ext cx="2487295" cy="3405505"/>
        </a:xfrm>
        <a:prstGeom prst="rect">
          <a:avLst/>
        </a:prstGeom>
      </xdr:spPr>
    </xdr:pic>
  </etc:cellImage>
  <etc:cellImage>
    <xdr:pic>
      <xdr:nvPicPr>
        <xdr:cNvPr id="2" name="ID_77CE357CEE334F6D961BD6780F917C7B" descr="WhatsApp Image 2025-11-17 at 19.55.24_b4d82a76"/>
        <xdr:cNvPicPr>
          <a:picLocks noChangeAspect="1"/>
        </xdr:cNvPicPr>
      </xdr:nvPicPr>
      <xdr:blipFill>
        <a:blip r:embed="rId2"/>
        <a:srcRect l="2094" t="17062" b="13764"/>
        <a:stretch>
          <a:fillRect/>
        </a:stretch>
      </xdr:blipFill>
      <xdr:spPr>
        <a:xfrm rot="16200000">
          <a:off x="7059930" y="-55880"/>
          <a:ext cx="3651885" cy="4540885"/>
        </a:xfrm>
        <a:prstGeom prst="rect">
          <a:avLst/>
        </a:prstGeom>
      </xdr:spPr>
    </xdr:pic>
  </etc:cellImage>
  <etc:cellImage>
    <xdr:pic>
      <xdr:nvPicPr>
        <xdr:cNvPr id="4" name="ID_53A5575CEC60468792705E317509501C" descr="WhatsApp Image 2025-11-17 at 19.55.38_dd252dd0"/>
        <xdr:cNvPicPr>
          <a:picLocks noChangeAspect="1"/>
        </xdr:cNvPicPr>
      </xdr:nvPicPr>
      <xdr:blipFill>
        <a:blip r:embed="rId3"/>
        <a:srcRect l="877" t="19263" b="10630"/>
        <a:stretch>
          <a:fillRect/>
        </a:stretch>
      </xdr:blipFill>
      <xdr:spPr>
        <a:xfrm rot="16200000">
          <a:off x="7574915" y="3136900"/>
          <a:ext cx="3300730" cy="4071620"/>
        </a:xfrm>
        <a:prstGeom prst="rect">
          <a:avLst/>
        </a:prstGeom>
      </xdr:spPr>
    </xdr:pic>
  </etc:cellImage>
  <etc:cellImage>
    <xdr:pic>
      <xdr:nvPicPr>
        <xdr:cNvPr id="7" name="ID_65B137B176664CF88877812A0DB613B1" descr="WhatsApp Image 2025-11-24 at 18.54.44_1c844742"/>
        <xdr:cNvPicPr>
          <a:picLocks noChangeAspect="1"/>
        </xdr:cNvPicPr>
      </xdr:nvPicPr>
      <xdr:blipFill>
        <a:blip r:embed="rId4"/>
        <a:srcRect l="842" t="17045" r="2783" b="4116"/>
        <a:stretch>
          <a:fillRect/>
        </a:stretch>
      </xdr:blipFill>
      <xdr:spPr>
        <a:xfrm rot="16200000">
          <a:off x="6950710" y="-20955"/>
          <a:ext cx="2959735" cy="4260215"/>
        </a:xfrm>
        <a:prstGeom prst="rect">
          <a:avLst/>
        </a:prstGeom>
      </xdr:spPr>
    </xdr:pic>
  </etc:cellImage>
  <etc:cellImage>
    <xdr:pic>
      <xdr:nvPicPr>
        <xdr:cNvPr id="6" name="ID_0EC8FE7F2FDE486BA9DB2B935A916937" descr="WhatsApp Image 2025-11-25 at 10.50.39_ab457d84"/>
        <xdr:cNvPicPr>
          <a:picLocks noChangeAspect="1"/>
        </xdr:cNvPicPr>
      </xdr:nvPicPr>
      <xdr:blipFill>
        <a:blip r:embed="rId5"/>
        <a:srcRect l="1551" t="17216" b="12348"/>
        <a:stretch>
          <a:fillRect/>
        </a:stretch>
      </xdr:blipFill>
      <xdr:spPr>
        <a:xfrm rot="16200000">
          <a:off x="7005320" y="9714865"/>
          <a:ext cx="3377565" cy="4250055"/>
        </a:xfrm>
        <a:prstGeom prst="rect">
          <a:avLst/>
        </a:prstGeom>
      </xdr:spPr>
    </xdr:pic>
  </etc:cellImage>
  <etc:cellImage>
    <xdr:pic>
      <xdr:nvPicPr>
        <xdr:cNvPr id="5" name="ID_1BF8DA62F9C54E9D82DEA162EB6C0D2C" descr="WhatsApp Image 2025-11-27 at 12.24.53_64d6a880"/>
        <xdr:cNvPicPr>
          <a:picLocks noChangeAspect="1"/>
        </xdr:cNvPicPr>
      </xdr:nvPicPr>
      <xdr:blipFill>
        <a:blip r:embed="rId6"/>
        <a:srcRect t="14478" r="1369" b="8928"/>
        <a:stretch>
          <a:fillRect/>
        </a:stretch>
      </xdr:blipFill>
      <xdr:spPr>
        <a:xfrm>
          <a:off x="6172835" y="573405"/>
          <a:ext cx="2483485" cy="338518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<sst xmlns="http://schemas.openxmlformats.org/spreadsheetml/2006/main" count="67" uniqueCount="35">
  <si>
    <t>DATE</t>
  </si>
  <si>
    <t>INV NO.</t>
  </si>
  <si>
    <t>DESCRIPTIONS</t>
  </si>
  <si>
    <t>AMOUNT</t>
  </si>
  <si>
    <t>BILLS</t>
  </si>
  <si>
    <t>PRICE</t>
  </si>
  <si>
    <t>SUBTOTAL</t>
  </si>
  <si>
    <t>TOTAL</t>
  </si>
  <si>
    <t>PAPERBAG HANDLE L BROWN</t>
  </si>
  <si>
    <t>PAPERBAG HANDLE S BROWN</t>
  </si>
  <si>
    <t>CUP SAUCE 60 ML</t>
  </si>
  <si>
    <t>PAPER LUNCH BOX L BROWN</t>
  </si>
  <si>
    <t>GRAND TOTAL</t>
  </si>
  <si>
    <t>HAND GLOVES (M)</t>
  </si>
  <si>
    <t>P KILAT 2</t>
  </si>
  <si>
    <t>PAPER BAG L CB08</t>
  </si>
  <si>
    <t>PAPER BAG S CB07</t>
  </si>
  <si>
    <t>BURGER BOX XL</t>
  </si>
  <si>
    <t>SO05LC2511000989/00</t>
  </si>
  <si>
    <t>SEE-U HTM DE/ ECONO RED</t>
  </si>
  <si>
    <t>SALES PRICE</t>
  </si>
  <si>
    <t>PPN</t>
  </si>
  <si>
    <t>PPh 22</t>
  </si>
  <si>
    <t>STATUS</t>
  </si>
  <si>
    <t>DESCRIPTION</t>
  </si>
  <si>
    <t>QTY</t>
  </si>
  <si>
    <t>FLOOR CLEANER</t>
  </si>
  <si>
    <t>NO</t>
  </si>
  <si>
    <t>SUPLAYER</t>
  </si>
  <si>
    <t>QYR</t>
  </si>
  <si>
    <t>Anugrah</t>
  </si>
  <si>
    <t>UD Abdi Jaya</t>
  </si>
  <si>
    <t>PT. SUPARMA JAYA TBK</t>
  </si>
  <si>
    <t>Vickel Laundry</t>
  </si>
  <si>
    <t>Dishy Soap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</si>
</sst>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&quot;Rp&quot;* #,##0_-;\-&quot;Rp&quot;* #,##0_-;_-&quot;Rp&quot;* &quot;-&quot;??_-;_-@_-"/>
    <numFmt numFmtId="179" formatCode="[$-409]d\-mmm\-yyyy;@"/>
    <numFmt numFmtId="180" formatCode="dd\-mmm"/>
    <numFmt numFmtId="181" formatCode="_ [$IDR]\ * #,##0_ ;_ [$IDR]\ * \-#,##0_ ;_ [$IDR]\ * &quot;-&quot;_ ;_ @_ "/>
    <numFmt numFmtId="182" formatCode="_ * #,##0_ ;_ * \-#,##0_ ;_ * &quot;-&quot;??_ ;_ @_ "/>
    <numFmt numFmtId="183" formatCode="_-&quot;Rp&quot;* #,##0.00_-;\-&quot;Rp&quot;* #,##0.00_-;_-&quot;Rp&quot;* &quot;-&quot;??.00_-;_-@_-"/>
  </numFmts>
  <fonts count="33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1"/>
      <color theme="1"/>
      <name val="Cambria"/>
      <charset val="134"/>
    </font>
    <font>
      <sz val="18"/>
      <color theme="1"/>
      <name val="Cambria"/>
      <charset val="134"/>
    </font>
    <font>
      <sz val="16"/>
      <color theme="1"/>
      <name val="Garamond"/>
      <charset val="134"/>
    </font>
    <font>
      <b/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sz val="14"/>
      <color theme="1"/>
      <name val="Garamond"/>
      <charset val="134"/>
    </font>
    <font>
      <sz val="14"/>
      <color theme="1"/>
      <name val="Calibri Ligh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17" applyNumberFormat="0" applyAlignment="0" applyProtection="0">
      <alignment vertical="center"/>
    </xf>
    <xf numFmtId="0" fontId="23" fillId="8" borderId="18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9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1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/>
    </xf>
    <xf numFmtId="178" fontId="0" fillId="3" borderId="1" xfId="0" applyNumberFormat="1" applyFill="1" applyBorder="1" applyAlignment="1">
      <alignment horizontal="left" vertical="center"/>
    </xf>
    <xf numFmtId="178" fontId="0" fillId="3" borderId="1" xfId="0" applyNumberFormat="1" applyFill="1" applyBorder="1"/>
    <xf numFmtId="178" fontId="0" fillId="2" borderId="1" xfId="0" applyNumberFormat="1" applyFill="1" applyBorder="1"/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179" fontId="0" fillId="0" borderId="0" xfId="0" applyNumberFormat="1" applyFill="1" applyAlignment="1">
      <alignment vertical="center"/>
    </xf>
    <xf numFmtId="179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79" fontId="2" fillId="3" borderId="1" xfId="0" applyNumberFormat="1" applyFont="1" applyFill="1" applyBorder="1" applyAlignment="1">
      <alignment horizontal="center" vertical="center"/>
    </xf>
    <xf numFmtId="178" fontId="2" fillId="3" borderId="2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left" vertical="center"/>
    </xf>
    <xf numFmtId="178" fontId="2" fillId="3" borderId="4" xfId="0" applyNumberFormat="1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79" fontId="3" fillId="3" borderId="1" xfId="0" applyNumberFormat="1" applyFont="1" applyFill="1" applyBorder="1" applyAlignment="1">
      <alignment horizontal="center" vertical="center"/>
    </xf>
    <xf numFmtId="0" fontId="3" fillId="3" borderId="5" xfId="0" applyNumberFormat="1" applyFont="1" applyFill="1" applyBorder="1" applyAlignment="1">
      <alignment horizontal="center" vertical="center"/>
    </xf>
    <xf numFmtId="0" fontId="3" fillId="3" borderId="6" xfId="0" applyNumberFormat="1" applyFont="1" applyFill="1" applyBorder="1" applyAlignment="1">
      <alignment horizontal="center" vertical="center"/>
    </xf>
    <xf numFmtId="0" fontId="3" fillId="3" borderId="7" xfId="0" applyNumberFormat="1" applyFont="1" applyFill="1" applyBorder="1" applyAlignment="1">
      <alignment horizontal="center" vertical="center"/>
    </xf>
    <xf numFmtId="0" fontId="3" fillId="3" borderId="8" xfId="0" applyNumberFormat="1" applyFont="1" applyFill="1" applyBorder="1" applyAlignment="1">
      <alignment horizontal="center" vertical="center"/>
    </xf>
    <xf numFmtId="178" fontId="2" fillId="3" borderId="3" xfId="0" applyNumberFormat="1" applyFont="1" applyFill="1" applyBorder="1" applyAlignment="1">
      <alignment horizontal="center" vertical="center"/>
    </xf>
    <xf numFmtId="178" fontId="3" fillId="3" borderId="8" xfId="0" applyNumberFormat="1" applyFont="1" applyFill="1" applyBorder="1" applyAlignment="1">
      <alignment horizontal="center" vertical="center"/>
    </xf>
    <xf numFmtId="178" fontId="3" fillId="3" borderId="9" xfId="0" applyNumberFormat="1" applyFont="1" applyFill="1" applyBorder="1" applyAlignment="1">
      <alignment horizontal="center" vertical="center"/>
    </xf>
    <xf numFmtId="178" fontId="3" fillId="3" borderId="10" xfId="0" applyNumberFormat="1" applyFont="1" applyFill="1" applyBorder="1" applyAlignment="1">
      <alignment horizontal="center" vertical="center"/>
    </xf>
    <xf numFmtId="178" fontId="3" fillId="3" borderId="10" xfId="0" applyNumberFormat="1" applyFont="1" applyFill="1" applyBorder="1" applyAlignment="1">
      <alignment vertical="center"/>
    </xf>
    <xf numFmtId="0" fontId="3" fillId="3" borderId="1" xfId="0" applyNumberFormat="1" applyFont="1" applyFill="1" applyBorder="1" applyAlignment="1">
      <alignment horizontal="center" vertical="center"/>
    </xf>
    <xf numFmtId="178" fontId="3" fillId="3" borderId="1" xfId="0" applyNumberFormat="1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NumberFormat="1" applyFill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180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181" fontId="0" fillId="0" borderId="1" xfId="0" applyNumberFormat="1" applyFill="1" applyBorder="1" applyAlignment="1">
      <alignment vertical="center"/>
    </xf>
    <xf numFmtId="181" fontId="0" fillId="0" borderId="2" xfId="0" applyNumberFormat="1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178" fontId="0" fillId="0" borderId="4" xfId="0" applyNumberFormat="1" applyFill="1" applyBorder="1" applyAlignment="1">
      <alignment horizontal="center" vertical="center"/>
    </xf>
    <xf numFmtId="178" fontId="0" fillId="0" borderId="1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178" fontId="0" fillId="3" borderId="8" xfId="0" applyNumberFormat="1" applyFill="1" applyBorder="1" applyAlignment="1">
      <alignment horizontal="center" vertical="center" wrapText="1"/>
    </xf>
    <xf numFmtId="0" fontId="0" fillId="0" borderId="8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81" fontId="0" fillId="0" borderId="8" xfId="0" applyNumberFormat="1" applyFill="1" applyBorder="1" applyAlignment="1">
      <alignment horizontal="center" vertical="center"/>
    </xf>
    <xf numFmtId="182" fontId="0" fillId="0" borderId="1" xfId="1" applyNumberFormat="1" applyFill="1" applyBorder="1" applyAlignment="1">
      <alignment horizontal="center" vertical="center"/>
    </xf>
    <xf numFmtId="178" fontId="0" fillId="3" borderId="10" xfId="0" applyNumberFormat="1" applyFill="1" applyBorder="1" applyAlignment="1">
      <alignment horizontal="center" vertical="center" wrapText="1"/>
    </xf>
    <xf numFmtId="0" fontId="0" fillId="0" borderId="10" xfId="0" applyNumberFormat="1" applyFill="1" applyBorder="1" applyAlignment="1">
      <alignment horizontal="center" vertical="center"/>
    </xf>
    <xf numFmtId="181" fontId="0" fillId="0" borderId="10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78" fontId="0" fillId="0" borderId="1" xfId="0" applyNumberFormat="1" applyBorder="1" applyAlignment="1">
      <alignment horizontal="center"/>
    </xf>
    <xf numFmtId="183" fontId="0" fillId="0" borderId="1" xfId="0" applyNumberFormat="1" applyBorder="1" applyAlignment="1">
      <alignment horizontal="center"/>
    </xf>
    <xf numFmtId="178" fontId="0" fillId="0" borderId="1" xfId="0" applyNumberFormat="1" applyBorder="1" applyAlignment="1"/>
    <xf numFmtId="180" fontId="0" fillId="3" borderId="8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82" fontId="0" fillId="0" borderId="1" xfId="1" applyNumberFormat="1" applyFill="1" applyBorder="1" applyAlignment="1">
      <alignment vertical="center"/>
    </xf>
    <xf numFmtId="180" fontId="0" fillId="3" borderId="10" xfId="0" applyNumberForma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3" borderId="0" xfId="0" applyFill="1" applyBorder="1" applyAlignment="1"/>
    <xf numFmtId="178" fontId="0" fillId="0" borderId="10" xfId="0" applyNumberFormat="1" applyBorder="1" applyAlignment="1">
      <alignment horizontal="center"/>
    </xf>
    <xf numFmtId="0" fontId="0" fillId="3" borderId="9" xfId="0" applyFill="1" applyBorder="1" applyAlignment="1"/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0" xfId="0" applyFill="1" applyBorder="1" applyAlignment="1"/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178" fontId="0" fillId="0" borderId="4" xfId="0" applyNumberFormat="1" applyBorder="1" applyAlignment="1"/>
    <xf numFmtId="0" fontId="7" fillId="5" borderId="4" xfId="0" applyFont="1" applyFill="1" applyBorder="1" applyAlignment="1">
      <alignment horizontal="center"/>
    </xf>
    <xf numFmtId="0" fontId="7" fillId="5" borderId="1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178" fontId="8" fillId="5" borderId="4" xfId="0" applyNumberFormat="1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9" fillId="0" borderId="0" xfId="0" applyFont="1" applyFill="1" applyAlignment="1">
      <alignment vertic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79" fontId="9" fillId="3" borderId="1" xfId="0" applyNumberFormat="1" applyFont="1" applyFill="1" applyBorder="1" applyAlignment="1">
      <alignment horizontal="center" vertical="center"/>
    </xf>
    <xf numFmtId="0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vertical="center"/>
    </xf>
    <xf numFmtId="178" fontId="9" fillId="3" borderId="1" xfId="0" applyNumberFormat="1" applyFont="1" applyFill="1" applyBorder="1" applyAlignment="1">
      <alignment horizontal="center" vertical="center" wrapText="1"/>
    </xf>
    <xf numFmtId="181" fontId="9" fillId="3" borderId="8" xfId="0" applyNumberFormat="1" applyFont="1" applyFill="1" applyBorder="1" applyAlignment="1">
      <alignment horizontal="center" vertical="center"/>
    </xf>
    <xf numFmtId="179" fontId="9" fillId="3" borderId="8" xfId="0" applyNumberFormat="1" applyFont="1" applyFill="1" applyBorder="1" applyAlignment="1">
      <alignment horizontal="center" vertical="center"/>
    </xf>
    <xf numFmtId="0" fontId="9" fillId="3" borderId="8" xfId="0" applyNumberFormat="1" applyFont="1" applyFill="1" applyBorder="1" applyAlignment="1">
      <alignment horizontal="center" vertical="center"/>
    </xf>
    <xf numFmtId="179" fontId="9" fillId="3" borderId="9" xfId="0" applyNumberFormat="1" applyFont="1" applyFill="1" applyBorder="1" applyAlignment="1">
      <alignment horizontal="center" vertical="center"/>
    </xf>
    <xf numFmtId="0" fontId="9" fillId="3" borderId="9" xfId="0" applyNumberFormat="1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181" fontId="9" fillId="3" borderId="9" xfId="0" applyNumberFormat="1" applyFont="1" applyFill="1" applyBorder="1" applyAlignment="1">
      <alignment horizontal="center" vertical="center"/>
    </xf>
    <xf numFmtId="179" fontId="9" fillId="3" borderId="10" xfId="0" applyNumberFormat="1" applyFont="1" applyFill="1" applyBorder="1" applyAlignment="1">
      <alignment horizontal="center" vertical="center"/>
    </xf>
    <xf numFmtId="0" fontId="9" fillId="3" borderId="10" xfId="0" applyNumberFormat="1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181" fontId="9" fillId="3" borderId="10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178" fontId="11" fillId="0" borderId="1" xfId="0" applyNumberFormat="1" applyFont="1" applyFill="1" applyBorder="1" applyAlignment="1">
      <alignment vertical="center"/>
    </xf>
    <xf numFmtId="0" fontId="12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178" fontId="9" fillId="3" borderId="5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178" fontId="9" fillId="3" borderId="8" xfId="0" applyNumberFormat="1" applyFont="1" applyFill="1" applyBorder="1" applyAlignment="1">
      <alignment vertical="center"/>
    </xf>
    <xf numFmtId="178" fontId="9" fillId="3" borderId="1" xfId="0" applyNumberFormat="1" applyFont="1" applyFill="1" applyBorder="1" applyAlignment="1">
      <alignment vertical="center"/>
    </xf>
    <xf numFmtId="0" fontId="9" fillId="4" borderId="4" xfId="0" applyNumberFormat="1" applyFont="1" applyFill="1" applyBorder="1" applyAlignment="1">
      <alignment horizontal="center" vertical="center"/>
    </xf>
    <xf numFmtId="0" fontId="9" fillId="4" borderId="11" xfId="0" applyNumberFormat="1" applyFont="1" applyFill="1" applyBorder="1" applyAlignment="1">
      <alignment horizontal="center" vertical="center"/>
    </xf>
    <xf numFmtId="0" fontId="9" fillId="4" borderId="2" xfId="0" applyNumberFormat="1" applyFont="1" applyFill="1" applyBorder="1" applyAlignment="1">
      <alignment horizontal="center" vertical="center"/>
    </xf>
    <xf numFmtId="178" fontId="9" fillId="4" borderId="1" xfId="0" applyNumberFormat="1" applyFont="1" applyFill="1" applyBorder="1" applyAlignment="1">
      <alignment horizontal="center" vertical="center"/>
    </xf>
    <xf numFmtId="178" fontId="9" fillId="4" borderId="1" xfId="0" applyNumberFormat="1" applyFont="1" applyFill="1" applyBorder="1" applyAlignment="1">
      <alignment vertical="center"/>
    </xf>
    <xf numFmtId="181" fontId="9" fillId="4" borderId="1" xfId="0" applyNumberFormat="1" applyFont="1" applyFill="1" applyBorder="1" applyAlignment="1">
      <alignment horizontal="center" vertical="center"/>
    </xf>
    <xf numFmtId="178" fontId="11" fillId="4" borderId="1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6" Type="http://schemas.openxmlformats.org/officeDocument/2006/relationships/image" Target="media/image6.jpeg"/><Relationship Id="rId5" Type="http://schemas.openxmlformats.org/officeDocument/2006/relationships/image" Target="media/image5.jpeg"/><Relationship Id="rId4" Type="http://schemas.openxmlformats.org/officeDocument/2006/relationships/image" Target="media/image4.jpeg"/><Relationship Id="rId3" Type="http://schemas.openxmlformats.org/officeDocument/2006/relationships/image" Target="media/image3.jpeg"/><Relationship Id="rId2" Type="http://schemas.openxmlformats.org/officeDocument/2006/relationships/image" Target="media/image2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zoomScale="70" zoomScaleNormal="70" workbookViewId="0">
      <selection activeCell="J3" sqref="J3"/>
    </sheetView>
  </sheetViews>
  <sheetFormatPr defaultColWidth="9.14285714285714" defaultRowHeight="18.75" outlineLevelCol="7"/>
  <cols>
    <col min="1" max="1" width="17.4285714285714" style="89"/>
    <col min="2" max="2" width="13.4285714285714" style="89" customWidth="1"/>
    <col min="3" max="3" width="36" style="89" customWidth="1"/>
    <col min="4" max="4" width="21.2857142857143" style="88" customWidth="1"/>
    <col min="5" max="5" width="33.2857142857143" style="89" customWidth="1"/>
    <col min="6" max="6" width="17.2857142857143" style="89" customWidth="1"/>
    <col min="7" max="8" width="20.8571428571429" style="89" customWidth="1"/>
    <col min="9" max="9" width="12.8571428571429" style="89"/>
    <col min="10" max="10" width="12" style="89"/>
    <col min="11" max="16384" width="18.0380952380952" style="89"/>
  </cols>
  <sheetData>
    <row r="1" s="87" customFormat="1" ht="16" customHeight="1" spans="1:8">
      <c r="A1" s="114" t="s">
        <v>0</v>
      </c>
      <c r="B1" s="115" t="s">
        <v>1</v>
      </c>
      <c r="C1" s="115" t="s">
        <v>2</v>
      </c>
      <c r="D1" s="115" t="s">
        <v>3</v>
      </c>
      <c r="E1" s="115" t="s">
        <v>4</v>
      </c>
      <c r="F1" s="115" t="s">
        <v>5</v>
      </c>
      <c r="G1" s="115" t="s">
        <v>6</v>
      </c>
      <c r="H1" s="115" t="s">
        <v>7</v>
      </c>
    </row>
    <row r="2" s="87" customFormat="1" ht="60" customHeight="1" spans="1:8">
      <c r="A2" s="100">
        <v>45988</v>
      </c>
      <c r="B2" s="93">
        <v>2377</v>
      </c>
      <c r="C2" s="116" t="s">
        <v>8</v>
      </c>
      <c r="D2" s="117">
        <v>400</v>
      </c>
      <c r="E2" s="95" t="str">
        <f>_xlfn.DISPIMG("ID_1BF8DA62F9C54E9D82DEA162EB6C0D2C",1)</f>
        <v>=DISPIMG("ID_1BF8DA62F9C54E9D82DEA162EB6C0D2C",1)</v>
      </c>
      <c r="F2" s="96">
        <v>2900</v>
      </c>
      <c r="G2" s="99">
        <f>SUM(D2*F2)</f>
        <v>1160000</v>
      </c>
      <c r="H2" s="99">
        <f>SUM(G2:G5)</f>
        <v>4047600</v>
      </c>
    </row>
    <row r="3" s="87" customFormat="1" ht="60" customHeight="1" spans="1:8">
      <c r="A3" s="102"/>
      <c r="B3" s="93"/>
      <c r="C3" s="116" t="s">
        <v>9</v>
      </c>
      <c r="D3" s="117">
        <v>400</v>
      </c>
      <c r="E3" s="105"/>
      <c r="F3" s="96">
        <v>2800</v>
      </c>
      <c r="G3" s="99">
        <f>SUM(D3*F3)</f>
        <v>1120000</v>
      </c>
      <c r="H3" s="106"/>
    </row>
    <row r="4" s="87" customFormat="1" ht="60" customHeight="1" spans="1:8">
      <c r="A4" s="102"/>
      <c r="B4" s="93"/>
      <c r="C4" s="116" t="s">
        <v>10</v>
      </c>
      <c r="D4" s="117">
        <v>1200</v>
      </c>
      <c r="E4" s="105"/>
      <c r="F4" s="96">
        <v>373</v>
      </c>
      <c r="G4" s="99">
        <f>SUM(D4*F4)</f>
        <v>447600</v>
      </c>
      <c r="H4" s="106"/>
    </row>
    <row r="5" s="87" customFormat="1" ht="60" customHeight="1" spans="1:8">
      <c r="A5" s="102"/>
      <c r="B5" s="93"/>
      <c r="C5" s="116" t="s">
        <v>11</v>
      </c>
      <c r="D5" s="117">
        <v>1200</v>
      </c>
      <c r="E5" s="105"/>
      <c r="F5" s="96">
        <v>1100</v>
      </c>
      <c r="G5" s="99">
        <f>SUM(D5*F5)</f>
        <v>1320000</v>
      </c>
      <c r="H5" s="106"/>
    </row>
    <row r="6" s="87" customFormat="1" ht="64.3" customHeight="1" spans="1:8">
      <c r="A6" s="100"/>
      <c r="B6" s="101"/>
      <c r="C6" s="98"/>
      <c r="D6" s="117"/>
      <c r="E6" s="95"/>
      <c r="F6" s="99"/>
      <c r="G6" s="99">
        <f>SUM(D6*F6)</f>
        <v>0</v>
      </c>
      <c r="H6" s="99">
        <f>SUM(G6:G9)</f>
        <v>0</v>
      </c>
    </row>
    <row r="7" s="87" customFormat="1" ht="64.3" customHeight="1" spans="1:8">
      <c r="A7" s="102"/>
      <c r="B7" s="103"/>
      <c r="C7" s="93"/>
      <c r="D7" s="93"/>
      <c r="E7" s="105"/>
      <c r="F7" s="118"/>
      <c r="G7" s="99">
        <f>SUM(D7*F7)</f>
        <v>0</v>
      </c>
      <c r="H7" s="106"/>
    </row>
    <row r="8" s="87" customFormat="1" ht="64.3" customHeight="1" spans="1:8">
      <c r="A8" s="102"/>
      <c r="B8" s="103"/>
      <c r="C8" s="93"/>
      <c r="D8" s="93"/>
      <c r="E8" s="105"/>
      <c r="F8" s="118"/>
      <c r="G8" s="99">
        <f>SUM(D8*F8)</f>
        <v>0</v>
      </c>
      <c r="H8" s="106"/>
    </row>
    <row r="9" s="87" customFormat="1" ht="64.3" customHeight="1" spans="1:8">
      <c r="A9" s="102"/>
      <c r="B9" s="103"/>
      <c r="C9" s="101"/>
      <c r="D9" s="101"/>
      <c r="E9" s="105"/>
      <c r="F9" s="118"/>
      <c r="G9" s="99">
        <f>SUM(D9*F9)</f>
        <v>0</v>
      </c>
      <c r="H9" s="106"/>
    </row>
    <row r="10" s="87" customFormat="1" ht="258" customHeight="1" spans="1:8">
      <c r="A10" s="92"/>
      <c r="B10" s="93"/>
      <c r="C10" s="93"/>
      <c r="D10" s="93"/>
      <c r="E10" s="111"/>
      <c r="F10" s="119"/>
      <c r="G10" s="96">
        <f>SUM(D10*F10)</f>
        <v>0</v>
      </c>
      <c r="H10" s="96">
        <f>SUM(G10)</f>
        <v>0</v>
      </c>
    </row>
    <row r="11" s="87" customFormat="1" ht="18" customHeight="1" spans="1:8">
      <c r="A11" s="120" t="s">
        <v>12</v>
      </c>
      <c r="B11" s="121"/>
      <c r="C11" s="122"/>
      <c r="D11" s="123"/>
      <c r="E11" s="124"/>
      <c r="F11" s="124"/>
      <c r="G11" s="125"/>
      <c r="H11" s="126">
        <f>SUM(H2:H10)</f>
        <v>4047600</v>
      </c>
    </row>
  </sheetData>
  <mergeCells count="9">
    <mergeCell ref="A11:C11"/>
    <mergeCell ref="A2:A5"/>
    <mergeCell ref="A6:A9"/>
    <mergeCell ref="B2:B5"/>
    <mergeCell ref="B6:B9"/>
    <mergeCell ref="E2:E5"/>
    <mergeCell ref="E6:E9"/>
    <mergeCell ref="H2:H5"/>
    <mergeCell ref="H6:H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zoomScale="55" zoomScaleNormal="55" workbookViewId="0">
      <pane ySplit="1" topLeftCell="A3" activePane="bottomLeft" state="frozen"/>
      <selection/>
      <selection pane="bottomLeft" activeCell="C6" sqref="C6"/>
    </sheetView>
  </sheetViews>
  <sheetFormatPr defaultColWidth="9.14285714285714" defaultRowHeight="18.75" outlineLevelRow="7" outlineLevelCol="7"/>
  <cols>
    <col min="1" max="1" width="19.8571428571429" style="88"/>
    <col min="2" max="2" width="18.8571428571429" style="88" customWidth="1"/>
    <col min="3" max="3" width="43.0380952380952" style="88" customWidth="1"/>
    <col min="4" max="4" width="14.4285714285714" style="88" customWidth="1"/>
    <col min="5" max="5" width="58.9619047619048" style="89" customWidth="1"/>
    <col min="6" max="6" width="19.5238095238095" style="89" customWidth="1"/>
    <col min="7" max="8" width="20.8571428571429" style="89" customWidth="1"/>
    <col min="9" max="9" width="12.8571428571429" style="89"/>
    <col min="10" max="16384" width="9.14285714285714" style="89"/>
  </cols>
  <sheetData>
    <row r="1" s="87" customFormat="1" ht="16" customHeight="1" spans="1:8">
      <c r="A1" s="90" t="s">
        <v>0</v>
      </c>
      <c r="B1" s="91" t="s">
        <v>1</v>
      </c>
      <c r="C1" s="91" t="s">
        <v>2</v>
      </c>
      <c r="D1" s="91" t="s">
        <v>3</v>
      </c>
      <c r="E1" s="91" t="s">
        <v>4</v>
      </c>
      <c r="F1" s="91" t="s">
        <v>5</v>
      </c>
      <c r="G1" s="91" t="s">
        <v>6</v>
      </c>
      <c r="H1" s="91" t="s">
        <v>7</v>
      </c>
    </row>
    <row r="2" s="87" customFormat="1" ht="249.35" spans="1:8">
      <c r="A2" s="92">
        <v>45975</v>
      </c>
      <c r="B2" s="93">
        <v>221</v>
      </c>
      <c r="C2" s="94" t="s">
        <v>13</v>
      </c>
      <c r="D2" s="94">
        <v>3</v>
      </c>
      <c r="E2" s="95" t="str">
        <f>_xlfn.DISPIMG("ID_77CE357CEE334F6D961BD6780F917C7B",1)</f>
        <v>=DISPIMG("ID_77CE357CEE334F6D961BD6780F917C7B",1)</v>
      </c>
      <c r="F2" s="96">
        <v>55000</v>
      </c>
      <c r="G2" s="97">
        <f>D2*F2</f>
        <v>165000</v>
      </c>
      <c r="H2" s="96">
        <f>SUM(G2:G2)</f>
        <v>165000</v>
      </c>
    </row>
    <row r="3" s="87" customFormat="1" ht="251.35" spans="1:8">
      <c r="A3" s="92">
        <v>45976</v>
      </c>
      <c r="B3" s="93">
        <v>254</v>
      </c>
      <c r="C3" s="98" t="s">
        <v>14</v>
      </c>
      <c r="D3" s="94">
        <v>5</v>
      </c>
      <c r="E3" s="95" t="str">
        <f>_xlfn.DISPIMG("ID_53A5575CEC60468792705E317509501C",1)</f>
        <v>=DISPIMG("ID_53A5575CEC60468792705E317509501C",1)</v>
      </c>
      <c r="F3" s="97">
        <v>13000</v>
      </c>
      <c r="G3" s="97">
        <f>D3*F3</f>
        <v>65000</v>
      </c>
      <c r="H3" s="99">
        <f>SUM(G3:G3)</f>
        <v>65000</v>
      </c>
    </row>
    <row r="4" s="87" customFormat="1" ht="83" customHeight="1" spans="1:8">
      <c r="A4" s="100">
        <v>45985</v>
      </c>
      <c r="B4" s="101">
        <v>523</v>
      </c>
      <c r="C4" s="98" t="s">
        <v>15</v>
      </c>
      <c r="D4" s="94">
        <v>200</v>
      </c>
      <c r="E4" s="95" t="str">
        <f>_xlfn.DISPIMG("ID_0EC8FE7F2FDE486BA9DB2B935A916937",1)</f>
        <v>=DISPIMG("ID_0EC8FE7F2FDE486BA9DB2B935A916937",1)</v>
      </c>
      <c r="F4" s="97">
        <v>2300</v>
      </c>
      <c r="G4" s="97">
        <f>D4*F4</f>
        <v>460000</v>
      </c>
      <c r="H4" s="99">
        <f>SUM(G4:G6)</f>
        <v>1335000</v>
      </c>
    </row>
    <row r="5" s="87" customFormat="1" ht="83" customHeight="1" spans="1:8">
      <c r="A5" s="102"/>
      <c r="B5" s="103"/>
      <c r="C5" s="98" t="s">
        <v>16</v>
      </c>
      <c r="D5" s="104">
        <v>250</v>
      </c>
      <c r="E5" s="105"/>
      <c r="F5" s="99">
        <v>2000</v>
      </c>
      <c r="G5" s="97">
        <f>D5*F5</f>
        <v>500000</v>
      </c>
      <c r="H5" s="106"/>
    </row>
    <row r="6" s="87" customFormat="1" ht="83" customHeight="1" spans="1:8">
      <c r="A6" s="107"/>
      <c r="B6" s="108"/>
      <c r="C6" s="98" t="s">
        <v>17</v>
      </c>
      <c r="D6" s="104">
        <v>150</v>
      </c>
      <c r="E6" s="109"/>
      <c r="F6" s="99">
        <v>2500</v>
      </c>
      <c r="G6" s="97">
        <f>D6*F6</f>
        <v>375000</v>
      </c>
      <c r="H6" s="110"/>
    </row>
    <row r="7" s="87" customFormat="1" ht="200" customHeight="1" spans="1:8">
      <c r="A7" s="92"/>
      <c r="B7" s="93"/>
      <c r="C7" s="98"/>
      <c r="D7" s="104"/>
      <c r="E7" s="111"/>
      <c r="F7" s="99"/>
      <c r="G7" s="99"/>
      <c r="H7" s="96"/>
    </row>
    <row r="8" s="87" customFormat="1" spans="1:8">
      <c r="A8" s="112"/>
      <c r="B8" s="112"/>
      <c r="C8" s="112"/>
      <c r="D8" s="112"/>
      <c r="E8" s="112"/>
      <c r="F8" s="112"/>
      <c r="G8" s="113"/>
      <c r="H8" s="113">
        <f>SUM(H2:H7)</f>
        <v>1565000</v>
      </c>
    </row>
  </sheetData>
  <mergeCells count="5">
    <mergeCell ref="A8:E8"/>
    <mergeCell ref="A4:A6"/>
    <mergeCell ref="B4:B6"/>
    <mergeCell ref="E4:E6"/>
    <mergeCell ref="H4:H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D8" sqref="D8"/>
    </sheetView>
  </sheetViews>
  <sheetFormatPr defaultColWidth="9.14285714285714" defaultRowHeight="15" outlineLevelCol="6"/>
  <cols>
    <col min="1" max="1" width="11.7142857142857" customWidth="1"/>
    <col min="2" max="2" width="22.1428571428571" customWidth="1"/>
    <col min="3" max="3" width="22.5714285714286" customWidth="1"/>
    <col min="4" max="4" width="17.5714285714286" customWidth="1"/>
    <col min="5" max="5" width="34.5714285714286" customWidth="1"/>
    <col min="6" max="6" width="19.4285714285714" customWidth="1"/>
    <col min="7" max="7" width="17.2857142857143" customWidth="1"/>
  </cols>
  <sheetData>
    <row r="1" ht="16" customHeight="1" spans="1:7">
      <c r="A1" s="50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7</v>
      </c>
    </row>
    <row r="2" ht="123.5" customHeight="1" spans="1:7">
      <c r="A2" s="52">
        <v>45968</v>
      </c>
      <c r="B2" s="39" t="s">
        <v>18</v>
      </c>
      <c r="C2" s="53" t="s">
        <v>19</v>
      </c>
      <c r="D2" s="54">
        <v>40</v>
      </c>
      <c r="E2" s="55" t="str">
        <f>_xlfn.DISPIMG("ID_2900A6598AF34EAF8E34FD7992770F9A",1)</f>
        <v>=DISPIMG("ID_2900A6598AF34EAF8E34FD7992770F9A",1)</v>
      </c>
      <c r="F2" s="56">
        <v>6063.96</v>
      </c>
      <c r="G2" s="57">
        <f>SUM(D2*F2)</f>
        <v>242558.4</v>
      </c>
    </row>
    <row r="3" ht="123.5" customHeight="1" spans="1:7">
      <c r="A3" s="52"/>
      <c r="B3" s="39"/>
      <c r="C3" s="58"/>
      <c r="D3" s="59"/>
      <c r="E3" s="55"/>
      <c r="F3" s="60"/>
      <c r="G3" s="57"/>
    </row>
    <row r="4" spans="1:7">
      <c r="A4" s="52"/>
      <c r="B4" s="61" t="s">
        <v>20</v>
      </c>
      <c r="C4" s="61"/>
      <c r="D4" s="62"/>
      <c r="E4" s="62"/>
      <c r="F4" s="62"/>
      <c r="G4" s="62">
        <f>SUM(G2:G3)</f>
        <v>242558.4</v>
      </c>
    </row>
    <row r="5" spans="1:7">
      <c r="A5" s="52"/>
      <c r="B5" s="61" t="s">
        <v>21</v>
      </c>
      <c r="C5" s="61"/>
      <c r="D5" s="62"/>
      <c r="E5" s="62"/>
      <c r="F5" s="62"/>
      <c r="G5" s="62">
        <f>G4*11%</f>
        <v>26681.424</v>
      </c>
    </row>
    <row r="6" spans="1:7">
      <c r="A6" s="52"/>
      <c r="B6" s="61" t="s">
        <v>22</v>
      </c>
      <c r="C6" s="61"/>
      <c r="D6" s="62"/>
      <c r="E6" s="62"/>
      <c r="F6" s="62"/>
      <c r="G6" s="63">
        <v>243</v>
      </c>
    </row>
    <row r="7" spans="1:7">
      <c r="A7" s="52"/>
      <c r="B7" s="61" t="s">
        <v>7</v>
      </c>
      <c r="C7" s="61"/>
      <c r="D7" s="62"/>
      <c r="E7" s="64"/>
      <c r="F7" s="64"/>
      <c r="G7" s="64">
        <v>269482</v>
      </c>
    </row>
    <row r="8" ht="123.5" customHeight="1" spans="1:7">
      <c r="A8" s="52"/>
      <c r="B8" s="65"/>
      <c r="C8" s="66"/>
      <c r="D8" s="67"/>
      <c r="E8" s="68"/>
      <c r="F8" s="42"/>
      <c r="G8" s="69"/>
    </row>
    <row r="9" ht="123.5" customHeight="1" spans="1:7">
      <c r="A9" s="52"/>
      <c r="B9" s="70"/>
      <c r="C9" s="66"/>
      <c r="D9" s="67"/>
      <c r="E9" s="71"/>
      <c r="F9" s="42"/>
      <c r="G9" s="69"/>
    </row>
    <row r="10" spans="1:7">
      <c r="A10" s="72"/>
      <c r="B10" s="61" t="s">
        <v>20</v>
      </c>
      <c r="C10" s="61"/>
      <c r="D10" s="62"/>
      <c r="E10" s="73"/>
      <c r="F10" s="62"/>
      <c r="G10" s="62">
        <f>SUM(G8:G9)</f>
        <v>0</v>
      </c>
    </row>
    <row r="11" spans="1:7">
      <c r="A11" s="74"/>
      <c r="B11" s="75" t="s">
        <v>21</v>
      </c>
      <c r="C11" s="76"/>
      <c r="D11" s="62"/>
      <c r="E11" s="73"/>
      <c r="F11" s="62"/>
      <c r="G11" s="62"/>
    </row>
    <row r="12" spans="1:7">
      <c r="A12" s="72"/>
      <c r="B12" s="61" t="s">
        <v>22</v>
      </c>
      <c r="C12" s="61"/>
      <c r="D12" s="62"/>
      <c r="E12" s="73"/>
      <c r="F12" s="62"/>
      <c r="G12" s="63"/>
    </row>
    <row r="13" spans="1:7">
      <c r="A13" s="77"/>
      <c r="B13" s="78" t="s">
        <v>7</v>
      </c>
      <c r="C13" s="79"/>
      <c r="D13" s="62"/>
      <c r="E13" s="64"/>
      <c r="F13" s="80"/>
      <c r="G13" s="64">
        <f>SUM(G10:G12)</f>
        <v>0</v>
      </c>
    </row>
    <row r="14" spans="1:7">
      <c r="A14" s="81" t="s">
        <v>12</v>
      </c>
      <c r="B14" s="82"/>
      <c r="C14" s="82"/>
      <c r="D14" s="83"/>
      <c r="E14" s="84">
        <f>G7+G13</f>
        <v>269482</v>
      </c>
      <c r="F14" s="85"/>
      <c r="G14" s="86"/>
    </row>
  </sheetData>
  <mergeCells count="20">
    <mergeCell ref="B4:C4"/>
    <mergeCell ref="B5:C5"/>
    <mergeCell ref="B6:C6"/>
    <mergeCell ref="B7:C7"/>
    <mergeCell ref="B10:C10"/>
    <mergeCell ref="B11:C11"/>
    <mergeCell ref="B12:C12"/>
    <mergeCell ref="B13:C13"/>
    <mergeCell ref="A14:D14"/>
    <mergeCell ref="E14:G14"/>
    <mergeCell ref="A2:A7"/>
    <mergeCell ref="A8:A9"/>
    <mergeCell ref="B2:B3"/>
    <mergeCell ref="B8:B9"/>
    <mergeCell ref="C2:C3"/>
    <mergeCell ref="D2:D3"/>
    <mergeCell ref="E2:E3"/>
    <mergeCell ref="E8:E9"/>
    <mergeCell ref="F2:F3"/>
    <mergeCell ref="G2:G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ySplit="1" topLeftCell="A2" activePane="bottomLeft" state="frozen"/>
      <selection/>
      <selection pane="bottomLeft" activeCell="H2" sqref="H2"/>
    </sheetView>
  </sheetViews>
  <sheetFormatPr defaultColWidth="9.14285714285714" defaultRowHeight="15" outlineLevelCol="4"/>
  <cols>
    <col min="1" max="1" width="9.14285714285714" style="12"/>
    <col min="2" max="2" width="12.6" style="36" customWidth="1"/>
    <col min="3" max="3" width="38.7142857142857" style="12" customWidth="1"/>
    <col min="4" max="4" width="18.8285714285714" style="12" customWidth="1"/>
    <col min="5" max="5" width="12.2857142857143" style="12" customWidth="1"/>
    <col min="6" max="16384" width="9.14285714285714" style="12"/>
  </cols>
  <sheetData>
    <row r="1" s="35" customFormat="1" ht="19" customHeight="1" spans="1:5">
      <c r="A1" s="37" t="s">
        <v>0</v>
      </c>
      <c r="B1" s="38" t="s">
        <v>1</v>
      </c>
      <c r="C1" s="37" t="s">
        <v>4</v>
      </c>
      <c r="D1" s="37" t="s">
        <v>7</v>
      </c>
      <c r="E1" s="37" t="s">
        <v>23</v>
      </c>
    </row>
    <row r="2" s="12" customFormat="1" ht="200" customHeight="1" spans="1:5">
      <c r="A2" s="39"/>
      <c r="B2" s="40"/>
      <c r="C2" s="41"/>
      <c r="D2" s="42"/>
      <c r="E2" s="41"/>
    </row>
    <row r="3" s="12" customFormat="1" ht="200" customHeight="1" spans="1:5">
      <c r="A3" s="39"/>
      <c r="B3" s="40"/>
      <c r="C3" s="41"/>
      <c r="D3" s="43"/>
      <c r="E3" s="44"/>
    </row>
    <row r="4" s="12" customFormat="1" ht="200" customHeight="1" spans="1:5">
      <c r="A4" s="39"/>
      <c r="B4" s="40"/>
      <c r="C4" s="41"/>
      <c r="D4" s="43"/>
      <c r="E4" s="44"/>
    </row>
    <row r="5" s="12" customFormat="1" ht="200" customHeight="1" spans="1:5">
      <c r="A5" s="39"/>
      <c r="B5" s="40"/>
      <c r="C5" s="41"/>
      <c r="D5" s="43"/>
      <c r="E5" s="44"/>
    </row>
    <row r="6" s="12" customFormat="1" ht="200" customHeight="1" spans="1:5">
      <c r="A6" s="39"/>
      <c r="B6" s="40"/>
      <c r="C6" s="41"/>
      <c r="D6" s="43"/>
      <c r="E6" s="44"/>
    </row>
    <row r="7" s="12" customFormat="1" ht="200" customHeight="1" spans="1:5">
      <c r="A7" s="39"/>
      <c r="B7" s="40"/>
      <c r="C7" s="41"/>
      <c r="D7" s="43"/>
      <c r="E7" s="44"/>
    </row>
    <row r="8" s="12" customFormat="1" ht="200" customHeight="1" spans="1:5">
      <c r="A8" s="39"/>
      <c r="B8" s="40"/>
      <c r="C8" s="41"/>
      <c r="D8" s="43"/>
      <c r="E8" s="44"/>
    </row>
    <row r="9" s="12" customFormat="1" ht="200" customHeight="1" spans="1:5">
      <c r="A9" s="39"/>
      <c r="B9" s="40"/>
      <c r="C9" s="41"/>
      <c r="D9" s="43"/>
      <c r="E9" s="44"/>
    </row>
    <row r="10" s="12" customFormat="1" ht="200" customHeight="1" spans="1:5">
      <c r="A10" s="39"/>
      <c r="B10" s="40"/>
      <c r="C10" s="41"/>
      <c r="D10" s="43"/>
      <c r="E10" s="44"/>
    </row>
    <row r="11" s="12" customFormat="1" ht="200" customHeight="1" spans="1:5">
      <c r="A11" s="39"/>
      <c r="B11" s="40"/>
      <c r="C11" s="41"/>
      <c r="D11" s="43"/>
      <c r="E11" s="44"/>
    </row>
    <row r="12" s="12" customFormat="1" ht="200" customHeight="1" spans="1:5">
      <c r="A12" s="39"/>
      <c r="B12" s="40"/>
      <c r="C12" s="41"/>
      <c r="D12" s="43"/>
      <c r="E12" s="44"/>
    </row>
    <row r="13" s="12" customFormat="1" ht="200" customHeight="1" spans="1:5">
      <c r="A13" s="39"/>
      <c r="B13" s="40"/>
      <c r="C13" s="41"/>
      <c r="D13" s="43"/>
      <c r="E13" s="44"/>
    </row>
    <row r="14" s="12" customFormat="1" ht="200" customHeight="1" spans="1:5">
      <c r="A14" s="39"/>
      <c r="B14" s="40"/>
      <c r="C14" s="41"/>
      <c r="D14" s="43"/>
      <c r="E14" s="44"/>
    </row>
    <row r="15" s="12" customFormat="1" ht="200" customHeight="1" spans="1:5">
      <c r="A15" s="39"/>
      <c r="B15" s="40"/>
      <c r="C15" s="41"/>
      <c r="D15" s="43"/>
      <c r="E15" s="44"/>
    </row>
    <row r="16" s="12" customFormat="1" ht="200" customHeight="1" spans="1:5">
      <c r="A16" s="39"/>
      <c r="B16" s="40"/>
      <c r="C16" s="41"/>
      <c r="D16" s="43"/>
      <c r="E16" s="44"/>
    </row>
    <row r="17" s="12" customFormat="1" ht="200" customHeight="1" spans="1:5">
      <c r="A17" s="39"/>
      <c r="B17" s="40"/>
      <c r="C17" s="41"/>
      <c r="D17" s="43"/>
      <c r="E17" s="44"/>
    </row>
    <row r="18" s="12" customFormat="1" ht="200" customHeight="1" spans="1:5">
      <c r="A18" s="39"/>
      <c r="B18" s="40"/>
      <c r="C18" s="41"/>
      <c r="D18" s="43"/>
      <c r="E18" s="44"/>
    </row>
    <row r="19" s="12" customFormat="1" ht="200" customHeight="1" spans="1:5">
      <c r="A19" s="39"/>
      <c r="B19" s="40"/>
      <c r="C19" s="41"/>
      <c r="D19" s="43"/>
      <c r="E19" s="44"/>
    </row>
    <row r="20" s="12" customFormat="1" ht="200" customHeight="1" spans="1:5">
      <c r="A20" s="39"/>
      <c r="B20" s="40"/>
      <c r="C20" s="41"/>
      <c r="D20" s="43"/>
      <c r="E20" s="44"/>
    </row>
    <row r="21" s="12" customFormat="1" ht="200" customHeight="1" spans="1:5">
      <c r="A21" s="39"/>
      <c r="B21" s="40"/>
      <c r="C21" s="41"/>
      <c r="D21" s="43"/>
      <c r="E21" s="44"/>
    </row>
    <row r="22" s="12" customFormat="1" ht="200" customHeight="1" spans="1:5">
      <c r="A22" s="39"/>
      <c r="B22" s="40"/>
      <c r="C22" s="41"/>
      <c r="D22" s="43"/>
      <c r="E22" s="44"/>
    </row>
    <row r="23" s="12" customFormat="1" ht="200" customHeight="1" spans="1:5">
      <c r="A23" s="39"/>
      <c r="B23" s="40"/>
      <c r="C23" s="41"/>
      <c r="D23" s="43"/>
      <c r="E23" s="44"/>
    </row>
    <row r="24" s="12" customFormat="1" ht="200" customHeight="1" spans="1:5">
      <c r="A24" s="39"/>
      <c r="B24" s="40"/>
      <c r="C24" s="41"/>
      <c r="D24" s="42"/>
      <c r="E24" s="41"/>
    </row>
    <row r="25" s="12" customFormat="1" ht="200" customHeight="1" spans="1:5">
      <c r="A25" s="39"/>
      <c r="B25" s="40"/>
      <c r="C25" s="41"/>
      <c r="D25" s="42"/>
      <c r="E25" s="41"/>
    </row>
    <row r="26" s="12" customFormat="1" ht="200" customHeight="1" spans="1:5">
      <c r="A26" s="39"/>
      <c r="B26" s="40"/>
      <c r="C26" s="41"/>
      <c r="D26" s="42"/>
      <c r="E26" s="41"/>
    </row>
    <row r="27" s="12" customFormat="1" ht="200" customHeight="1" spans="1:5">
      <c r="A27" s="39">
        <v>45960</v>
      </c>
      <c r="B27" s="40"/>
      <c r="C27" s="41"/>
      <c r="D27" s="42"/>
      <c r="E27" s="41"/>
    </row>
    <row r="28" s="12" customFormat="1" ht="200" customHeight="1" spans="1:5">
      <c r="A28" s="39">
        <v>45961</v>
      </c>
      <c r="B28" s="40"/>
      <c r="C28" s="41"/>
      <c r="D28" s="42"/>
      <c r="E28" s="41"/>
    </row>
    <row r="29" s="12" customFormat="1" ht="200" customHeight="1" spans="1:5">
      <c r="A29" s="39"/>
      <c r="B29" s="40"/>
      <c r="C29" s="41"/>
      <c r="D29" s="42"/>
      <c r="E29" s="41"/>
    </row>
    <row r="30" s="12" customFormat="1" ht="200" customHeight="1" spans="1:5">
      <c r="A30" s="39"/>
      <c r="B30" s="40"/>
      <c r="C30" s="41"/>
      <c r="D30" s="42"/>
      <c r="E30" s="41"/>
    </row>
    <row r="31" s="12" customFormat="1" ht="200" customHeight="1" spans="1:5">
      <c r="A31" s="39"/>
      <c r="B31" s="40"/>
      <c r="C31" s="41"/>
      <c r="D31" s="42"/>
      <c r="E31" s="41"/>
    </row>
    <row r="32" s="12" customFormat="1" spans="1:5">
      <c r="A32" s="45"/>
      <c r="B32" s="46"/>
      <c r="C32" s="47">
        <f>SUM(D2:D31)</f>
        <v>0</v>
      </c>
      <c r="D32" s="48"/>
      <c r="E32" s="49"/>
    </row>
  </sheetData>
  <mergeCells count="2">
    <mergeCell ref="A32:B32"/>
    <mergeCell ref="C32:E3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zoomScale="55" zoomScaleNormal="55" workbookViewId="0">
      <selection activeCell="D3" sqref="D3:D5"/>
    </sheetView>
  </sheetViews>
  <sheetFormatPr defaultColWidth="9.14285714285714" defaultRowHeight="15" outlineLevelRow="6" outlineLevelCol="6"/>
  <cols>
    <col min="1" max="1" width="21.1428571428571" style="13" customWidth="1"/>
    <col min="2" max="2" width="27.5714285714286" style="12" customWidth="1"/>
    <col min="3" max="3" width="30.752380952381" style="12" customWidth="1"/>
    <col min="4" max="4" width="65.7047619047619" style="12" customWidth="1"/>
    <col min="5" max="7" width="32.3333333333333" style="12" customWidth="1"/>
    <col min="8" max="16384" width="9.14285714285714" style="12"/>
  </cols>
  <sheetData>
    <row r="1" s="11" customFormat="1" ht="35" customHeight="1" spans="1:7">
      <c r="A1" s="14" t="s">
        <v>0</v>
      </c>
      <c r="B1" s="15" t="s">
        <v>24</v>
      </c>
      <c r="C1" s="15" t="s">
        <v>25</v>
      </c>
      <c r="D1" s="15" t="s">
        <v>4</v>
      </c>
      <c r="E1" s="15" t="s">
        <v>5</v>
      </c>
      <c r="F1" s="15" t="s">
        <v>6</v>
      </c>
      <c r="G1" s="15" t="s">
        <v>7</v>
      </c>
    </row>
    <row r="2" s="12" customFormat="1" ht="240.3" spans="1:7">
      <c r="A2" s="16">
        <v>45982</v>
      </c>
      <c r="B2" s="17" t="s">
        <v>26</v>
      </c>
      <c r="C2" s="18">
        <v>2</v>
      </c>
      <c r="D2" s="19" t="str">
        <f>_xlfn.DISPIMG("ID_65B137B176664CF88877812A0DB613B1",1)</f>
        <v>=DISPIMG("ID_65B137B176664CF88877812A0DB613B1",1)</v>
      </c>
      <c r="E2" s="20">
        <v>55000</v>
      </c>
      <c r="F2" s="21">
        <f>C2*E2</f>
        <v>110000</v>
      </c>
      <c r="G2" s="22">
        <f>SUM(F2:F2)</f>
        <v>110000</v>
      </c>
    </row>
    <row r="3" s="12" customFormat="1" ht="80" customHeight="1" spans="1:7">
      <c r="A3" s="23"/>
      <c r="B3" s="24"/>
      <c r="C3" s="25"/>
      <c r="D3" s="26"/>
      <c r="E3" s="27"/>
      <c r="F3" s="28"/>
      <c r="G3" s="29"/>
    </row>
    <row r="4" s="12" customFormat="1" ht="80" customHeight="1" spans="1:7">
      <c r="A4" s="23"/>
      <c r="B4" s="24"/>
      <c r="C4" s="25"/>
      <c r="D4" s="26"/>
      <c r="E4" s="27"/>
      <c r="F4" s="28"/>
      <c r="G4" s="30"/>
    </row>
    <row r="5" s="12" customFormat="1" ht="80" customHeight="1" spans="1:7">
      <c r="A5" s="23"/>
      <c r="B5" s="24"/>
      <c r="C5" s="25"/>
      <c r="D5" s="26"/>
      <c r="E5" s="27"/>
      <c r="F5" s="28"/>
      <c r="G5" s="31"/>
    </row>
    <row r="6" s="12" customFormat="1" ht="23.25" spans="1:7">
      <c r="A6" s="23"/>
      <c r="B6" s="24"/>
      <c r="C6" s="25"/>
      <c r="D6" s="26"/>
      <c r="E6" s="27"/>
      <c r="F6" s="28"/>
      <c r="G6" s="32"/>
    </row>
    <row r="7" s="12" customFormat="1" ht="39" customHeight="1" spans="1:7">
      <c r="A7" s="23" t="s">
        <v>12</v>
      </c>
      <c r="B7" s="33"/>
      <c r="C7" s="33"/>
      <c r="D7" s="33"/>
      <c r="E7" s="33"/>
      <c r="F7" s="28"/>
      <c r="G7" s="34">
        <f>SUM(G2)</f>
        <v>110000</v>
      </c>
    </row>
  </sheetData>
  <mergeCells count="3">
    <mergeCell ref="A3:A5"/>
    <mergeCell ref="D3:D5"/>
    <mergeCell ref="G3:G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F4" sqref="F4"/>
    </sheetView>
  </sheetViews>
  <sheetFormatPr defaultColWidth="9.14285714285714" defaultRowHeight="15" outlineLevelRow="6" outlineLevelCol="2"/>
  <cols>
    <col min="1" max="1" width="9.14285714285714" style="1"/>
    <col min="2" max="2" width="21.8571428571429" style="2" customWidth="1"/>
    <col min="3" max="3" width="28" customWidth="1"/>
  </cols>
  <sheetData>
    <row r="1" ht="25" customHeight="1" spans="1:3">
      <c r="A1" s="3" t="s">
        <v>27</v>
      </c>
      <c r="B1" s="4" t="s">
        <v>28</v>
      </c>
      <c r="C1" s="5" t="s">
        <v>29</v>
      </c>
    </row>
    <row r="2" spans="1:3">
      <c r="A2" s="6">
        <v>1</v>
      </c>
      <c r="B2" s="7" t="s">
        <v>30</v>
      </c>
      <c r="C2" s="8">
        <f>'Anugrah (Bag, Cup, Box)'!H11</f>
        <v>4047600</v>
      </c>
    </row>
    <row r="3" spans="1:3">
      <c r="A3" s="6">
        <v>2</v>
      </c>
      <c r="B3" s="7" t="s">
        <v>31</v>
      </c>
      <c r="C3" s="8">
        <f>'UD Abdi Jaya (Bag, Cup, Box)'!H8</f>
        <v>1565000</v>
      </c>
    </row>
    <row r="4" spans="1:3">
      <c r="A4" s="6">
        <v>3</v>
      </c>
      <c r="B4" s="7" t="s">
        <v>32</v>
      </c>
      <c r="C4" s="8">
        <f>'PT. SUPARMA JAYA TBK (Tissue)'!E14</f>
        <v>269482</v>
      </c>
    </row>
    <row r="5" spans="1:3">
      <c r="A5" s="6">
        <v>4</v>
      </c>
      <c r="B5" s="7" t="s">
        <v>33</v>
      </c>
      <c r="C5" s="9">
        <f>'Vickel Laundry'!C32</f>
        <v>0</v>
      </c>
    </row>
    <row r="6" spans="1:3">
      <c r="A6" s="6">
        <v>5</v>
      </c>
      <c r="B6" s="7" t="s">
        <v>34</v>
      </c>
      <c r="C6" s="9">
        <f>'Dishy Soap'!G7</f>
        <v>110000</v>
      </c>
    </row>
    <row r="7" spans="1:3">
      <c r="A7" s="6" t="s">
        <v>7</v>
      </c>
      <c r="B7" s="7"/>
      <c r="C7" s="10">
        <f>SUM(C2:C5)</f>
        <v>5882082</v>
      </c>
    </row>
  </sheetData>
  <mergeCells count="1">
    <mergeCell ref="A7:B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Anugrah (Bag, Cup, Box)</vt:lpstr>
      <vt:lpstr>UD Abdi Jaya (Bag, Cup, Box)</vt:lpstr>
      <vt:lpstr>PT. SUPARMA JAYA TBK (Tissue)</vt:lpstr>
      <vt:lpstr>Vickel Laundry</vt:lpstr>
      <vt:lpstr>Dishy Soap</vt:lpstr>
      <vt:lpstr>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2025-07-10T08:21:00Z</dcterms:created>
  <dcterms:modified xsi:type="dcterms:W3CDTF">2025-11-27T06:51:35Z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A29148F1284A4E108B88A706AF0A1D4B_12</vt:lpwstr>
  </property>
  <property fmtid="{D5CDD505-2E9C-101B-9397-08002B2CF9AE}" pid="3" name="KSOProductBuildVer">
    <vt:lpwstr>1033-12.2.0.23155</vt:lpwstr>
  </property>
</Properties>
</file>