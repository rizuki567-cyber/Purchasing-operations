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9B7B121FA284964A8740EFA932B60B2" descr="PHOTO-2025-12-29-16-22-44"/>
        <xdr:cNvPicPr>
          <a:picLocks noChangeAspect="1"/>
        </xdr:cNvPicPr>
      </xdr:nvPicPr>
      <xdr:blipFill>
        <a:blip r:embed="rId1"/>
        <a:srcRect l="2457" t="6105" r="3680" b="4672"/>
        <a:stretch>
          <a:fillRect/>
        </a:stretch>
      </xdr:blipFill>
      <xdr:spPr>
        <a:xfrm rot="16200000">
          <a:off x="9480550" y="2851150"/>
          <a:ext cx="5608955" cy="8967470"/>
        </a:xfrm>
        <a:prstGeom prst="rect">
          <a:avLst/>
        </a:prstGeom>
      </xdr:spPr>
    </xdr:pic>
  </etc:cellImage>
  <etc:cellImage>
    <xdr:pic>
      <xdr:nvPicPr>
        <xdr:cNvPr id="3" name="ID_DEFC5E47B62F4319B5FE8162E4A3FB7C" descr="PHOTO-2026-01-02-17-23-21"/>
        <xdr:cNvPicPr>
          <a:picLocks noChangeAspect="1"/>
        </xdr:cNvPicPr>
      </xdr:nvPicPr>
      <xdr:blipFill>
        <a:blip r:embed="rId2"/>
        <a:srcRect l="8809" t="8170" r="4938" b="3062"/>
        <a:stretch>
          <a:fillRect/>
        </a:stretch>
      </xdr:blipFill>
      <xdr:spPr>
        <a:xfrm rot="16200000">
          <a:off x="9046845" y="-185420"/>
          <a:ext cx="3680460" cy="52552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<sst xmlns="http://schemas.openxmlformats.org/spreadsheetml/2006/main" count="23" uniqueCount="17">
  <si>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</si>
  <si>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</si>
  <si>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</si>
  <si>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</si>
  <si>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</si>
  <si>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</si>
  <si>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</si>
  <si>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</si>
  <si>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STATUS</t>
  </si>
  <si>
    <t>2512/FK-0494</t>
  </si>
  <si>
    <t>TOP SIDE CAP OFF AA6-7</t>
  </si>
  <si>
    <t>PAID</t>
  </si>
  <si>
    <t>STRIPLOIN ICHI BROWN</t>
  </si>
  <si>
    <t>2512/FK-2109</t>
  </si>
  <si>
    <t>TOP SIDE BLACK ANGUS GF ONYX</t>
  </si>
  <si>
    <t>2512/FK-2888</t>
  </si>
  <si>
    <t>2601/FK-0057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</si>
</sst>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dd\-mmm\-yy"/>
    <numFmt numFmtId="180" formatCode="[$-809]dd\ mmmm\ yyyy;@"/>
  </numFmts>
  <fonts count="23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 wrapText="1"/>
    </xf>
    <xf numFmtId="0" fontId="0" fillId="3" borderId="3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76" fontId="0" fillId="3" borderId="4" xfId="0" applyNumberFormat="1" applyFont="1" applyFill="1" applyBorder="1" applyAlignment="1">
      <alignment horizontal="center" vertical="center"/>
    </xf>
    <xf numFmtId="0" fontId="0" fillId="3" borderId="4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vertical="center"/>
    </xf>
    <xf numFmtId="0" fontId="0" fillId="3" borderId="1" xfId="0" applyNumberFormat="1" applyFill="1" applyBorder="1" applyAlignment="1">
      <alignment vertical="center" wrapText="1"/>
    </xf>
    <xf numFmtId="176" fontId="2" fillId="4" borderId="5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horizontal="left" vertical="center"/>
    </xf>
    <xf numFmtId="177" fontId="0" fillId="3" borderId="6" xfId="0" applyNumberForma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177" fontId="0" fillId="3" borderId="7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177" fontId="0" fillId="3" borderId="1" xfId="0" applyNumberFormat="1" applyFont="1" applyFill="1" applyBorder="1" applyAlignment="1">
      <alignment horizontal="center" vertical="center"/>
    </xf>
    <xf numFmtId="177" fontId="0" fillId="3" borderId="2" xfId="0" applyNumberFormat="1" applyFont="1" applyFill="1" applyBorder="1" applyAlignment="1">
      <alignment horizontal="center" vertical="center"/>
    </xf>
    <xf numFmtId="177" fontId="0" fillId="3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177" fontId="3" fillId="4" borderId="5" xfId="0" applyNumberFormat="1" applyFont="1" applyFill="1" applyBorder="1" applyAlignment="1">
      <alignment horizontal="center" vertical="center"/>
    </xf>
    <xf numFmtId="177" fontId="3" fillId="4" borderId="3" xfId="0" applyNumberFormat="1" applyFon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9" fontId="0" fillId="4" borderId="2" xfId="0" applyNumberFormat="1" applyFill="1" applyBorder="1" applyAlignment="1">
      <alignment horizontal="center" vertical="center"/>
    </xf>
    <xf numFmtId="180" fontId="0" fillId="2" borderId="2" xfId="0" applyNumberFormat="1" applyFont="1" applyFill="1" applyBorder="1" applyAlignment="1">
      <alignment horizontal="center" vertical="center"/>
    </xf>
    <xf numFmtId="180" fontId="0" fillId="2" borderId="4" xfId="0" applyNumberFormat="1" applyFont="1" applyFill="1" applyBorder="1" applyAlignment="1">
      <alignment horizontal="center" vertical="center"/>
    </xf>
    <xf numFmtId="180" fontId="0" fillId="2" borderId="1" xfId="0" applyNumberFormat="1" applyFill="1" applyBorder="1" applyAlignment="1">
      <alignment vertical="center"/>
    </xf>
    <xf numFmtId="177" fontId="3" fillId="4" borderId="8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4.jpeg"/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20320</xdr:colOff>
      <xdr:row>1</xdr:row>
      <xdr:rowOff>25400</xdr:rowOff>
    </xdr:from>
    <xdr:to>
      <xdr:col>4</xdr:col>
      <xdr:colOff>2416810</xdr:colOff>
      <xdr:row>2</xdr:row>
      <xdr:rowOff>744220</xdr:rowOff>
    </xdr:to>
    <xdr:pic>
      <xdr:nvPicPr>
        <xdr:cNvPr id="3" name="ID_476A4EDDA31445A5A86303E8D9468ECE" descr="WhatsApp Image 2025-12-05 at 22.22.25_e586c937"/>
        <xdr:cNvPicPr>
          <a:picLocks noChangeAspect="1"/>
        </xdr:cNvPicPr>
      </xdr:nvPicPr>
      <xdr:blipFill>
        <a:blip r:embed="rId1"/>
        <a:srcRect l="3996" t="7032" b="5332"/>
        <a:stretch>
          <a:fillRect/>
        </a:stretch>
      </xdr:blipFill>
      <xdr:spPr>
        <a:xfrm rot="16200000">
          <a:off x="7549515" y="-229235"/>
          <a:ext cx="1480820" cy="2396490"/>
        </a:xfrm>
        <a:prstGeom prst="rect">
          <a:avLst/>
        </a:prstGeom>
      </xdr:spPr>
    </xdr:pic>
    <xdr:clientData/>
  </xdr:twoCellAnchor>
  <xdr:twoCellAnchor editAs="oneCell">
    <xdr:from>
      <xdr:col>4</xdr:col>
      <xdr:colOff>22542</xdr:colOff>
      <xdr:row>3</xdr:row>
      <xdr:rowOff>52387</xdr:rowOff>
    </xdr:from>
    <xdr:to>
      <xdr:col>4</xdr:col>
      <xdr:colOff>2963862</xdr:colOff>
      <xdr:row>4</xdr:row>
      <xdr:rowOff>976312</xdr:rowOff>
    </xdr:to>
    <xdr:pic>
      <xdr:nvPicPr>
        <xdr:cNvPr id="4" name="ID_26F8ADC788744EA38C6F5D37F2623152" descr="PHOTO-2025-12-22-17-17-30"/>
        <xdr:cNvPicPr>
          <a:picLocks noChangeAspect="1"/>
        </xdr:cNvPicPr>
      </xdr:nvPicPr>
      <xdr:blipFill>
        <a:blip r:embed="rId2"/>
        <a:srcRect t="3226" b="7141"/>
        <a:stretch>
          <a:fillRect/>
        </a:stretch>
      </xdr:blipFill>
      <xdr:spPr>
        <a:xfrm rot="16200000">
          <a:off x="7593965" y="1278255"/>
          <a:ext cx="1939925" cy="2941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pane ySplit="1" topLeftCell="A2" activePane="bottomLeft" state="frozen"/>
      <selection/>
      <selection pane="bottomLeft" activeCell="G9" sqref="G9:I9"/>
    </sheetView>
  </sheetViews>
  <sheetFormatPr defaultColWidth="9.140625" defaultRowHeight="16.8"/>
  <cols>
    <col min="1" max="1" width="19" style="1" customWidth="1"/>
    <col min="2" max="2" width="13.7109375" style="2" customWidth="1"/>
    <col min="3" max="3" width="28.859375" customWidth="1"/>
    <col min="4" max="4" width="25.4296875" customWidth="1"/>
    <col min="5" max="5" width="36.5546875" customWidth="1"/>
    <col min="6" max="7" width="18.7109375" customWidth="1"/>
    <col min="8" max="8" width="22.859375" customWidth="1"/>
    <col min="9" max="9" width="15.4296875" customWidth="1"/>
  </cols>
  <sheetData>
    <row r="1" customFormat="1" ht="16" customHeight="1" spans="1:9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customFormat="1" ht="60" customHeight="1" spans="1:9">
      <c r="A2" s="6">
        <v>45995</v>
      </c>
      <c r="B2" s="7" t="s">
        <v>9</v>
      </c>
      <c r="C2" s="8" t="s">
        <v>10</v>
      </c>
      <c r="D2" s="9">
        <v>23.74</v>
      </c>
      <c r="E2" s="22"/>
      <c r="F2" s="23">
        <v>250000</v>
      </c>
      <c r="G2" s="24">
        <f t="shared" ref="G2:G6" si="0">D2*F2</f>
        <v>5935000</v>
      </c>
      <c r="H2" s="24">
        <f>SUM(G2:G3)</f>
        <v>7717000</v>
      </c>
      <c r="I2" s="34" t="s">
        <v>11</v>
      </c>
    </row>
    <row r="3" customFormat="1" ht="60" customHeight="1" spans="1:9">
      <c r="A3" s="10"/>
      <c r="B3" s="11"/>
      <c r="C3" s="8" t="s">
        <v>12</v>
      </c>
      <c r="D3" s="9">
        <v>9.9</v>
      </c>
      <c r="E3" s="25"/>
      <c r="F3" s="23">
        <v>180000</v>
      </c>
      <c r="G3" s="24">
        <f t="shared" si="0"/>
        <v>1782000</v>
      </c>
      <c r="H3" s="26"/>
      <c r="I3" s="35"/>
    </row>
    <row r="4" customFormat="1" ht="80" customHeight="1" spans="1:9">
      <c r="A4" s="6">
        <v>46013</v>
      </c>
      <c r="B4" s="7" t="s">
        <v>13</v>
      </c>
      <c r="C4" s="8" t="s">
        <v>14</v>
      </c>
      <c r="D4" s="9">
        <v>9.16</v>
      </c>
      <c r="E4" s="18"/>
      <c r="F4" s="23">
        <v>250000</v>
      </c>
      <c r="G4" s="24">
        <f t="shared" si="0"/>
        <v>2290000</v>
      </c>
      <c r="H4" s="24">
        <f>SUM(G4:G5)</f>
        <v>4072000</v>
      </c>
      <c r="I4" s="36" t="s">
        <v>11</v>
      </c>
    </row>
    <row r="5" customFormat="1" ht="80" customHeight="1" spans="1:9">
      <c r="A5" s="10"/>
      <c r="B5" s="11"/>
      <c r="C5" s="8" t="s">
        <v>12</v>
      </c>
      <c r="D5" s="9">
        <v>9.9</v>
      </c>
      <c r="E5" s="27"/>
      <c r="F5" s="23">
        <v>180000</v>
      </c>
      <c r="G5" s="24">
        <f t="shared" si="0"/>
        <v>1782000</v>
      </c>
      <c r="H5" s="26"/>
      <c r="I5" s="35"/>
    </row>
    <row r="6" customFormat="1" ht="75" customHeight="1" spans="1:9">
      <c r="A6" s="12">
        <v>46385</v>
      </c>
      <c r="B6" s="13" t="s">
        <v>15</v>
      </c>
      <c r="C6" s="14" t="s">
        <v>12</v>
      </c>
      <c r="D6" s="14">
        <v>9.72</v>
      </c>
      <c r="E6" s="13" t="str">
        <f>_xlfn.DISPIMG("ID_F9B7B121FA284964A8740EFA932B60B2",1)</f>
        <v>=DISPIMG("ID_F9B7B121FA284964A8740EFA932B60B2",1)</v>
      </c>
      <c r="F6" s="28">
        <v>180000</v>
      </c>
      <c r="G6" s="24">
        <f t="shared" si="0"/>
        <v>1749600</v>
      </c>
      <c r="H6" s="29">
        <f>SUM(G6:G7)</f>
        <v>6704600</v>
      </c>
      <c r="I6" s="37">
        <v>46027</v>
      </c>
    </row>
    <row r="7" customFormat="1" ht="75" customHeight="1" spans="1:9">
      <c r="A7" s="15"/>
      <c r="B7" s="16"/>
      <c r="C7" s="14" t="s">
        <v>14</v>
      </c>
      <c r="D7" s="14">
        <v>19.82</v>
      </c>
      <c r="E7" s="16"/>
      <c r="F7" s="28">
        <v>250000</v>
      </c>
      <c r="G7" s="24">
        <f>D7*F7</f>
        <v>4955000</v>
      </c>
      <c r="H7" s="30"/>
      <c r="I7" s="38"/>
    </row>
    <row r="8" customFormat="1" ht="164.2" spans="1:9">
      <c r="A8" s="17">
        <v>46024</v>
      </c>
      <c r="B8" s="18" t="s">
        <v>16</v>
      </c>
      <c r="C8" s="8" t="s">
        <v>12</v>
      </c>
      <c r="D8" s="19">
        <v>12.79</v>
      </c>
      <c r="E8" s="31" t="str">
        <f>_xlfn.DISPIMG("ID_DEFC5E47B62F4319B5FE8162E4A3FB7C",1)</f>
        <v>=DISPIMG("ID_DEFC5E47B62F4319B5FE8162E4A3FB7C",1)</v>
      </c>
      <c r="F8" s="27">
        <v>180000</v>
      </c>
      <c r="G8" s="27">
        <f>F8*D8</f>
        <v>2302200</v>
      </c>
      <c r="H8" s="27">
        <f>SUM(G8:G8)</f>
        <v>2302200</v>
      </c>
      <c r="I8" s="39">
        <v>46031</v>
      </c>
    </row>
    <row r="9" customFormat="1" ht="26" spans="1:9">
      <c r="A9" s="20" t="s">
        <v>7</v>
      </c>
      <c r="B9" s="21"/>
      <c r="C9" s="21"/>
      <c r="D9" s="21"/>
      <c r="E9" s="21"/>
      <c r="F9" s="21"/>
      <c r="G9" s="32">
        <f>SUM(H6:H8)</f>
        <v>9006800</v>
      </c>
      <c r="H9" s="33"/>
      <c r="I9" s="40"/>
    </row>
  </sheetData>
  <mergeCells count="17">
    <mergeCell ref="A9:F9"/>
    <mergeCell ref="G9:I9"/>
    <mergeCell ref="A2:A3"/>
    <mergeCell ref="A4:A5"/>
    <mergeCell ref="A6:A7"/>
    <mergeCell ref="B2:B3"/>
    <mergeCell ref="B4:B5"/>
    <mergeCell ref="B6:B7"/>
    <mergeCell ref="E2:E3"/>
    <mergeCell ref="E4:E5"/>
    <mergeCell ref="E6:E7"/>
    <mergeCell ref="H2:H3"/>
    <mergeCell ref="H4:H5"/>
    <mergeCell ref="H6:H7"/>
    <mergeCell ref="I2:I3"/>
    <mergeCell ref="I4:I5"/>
    <mergeCell ref="I6:I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2025-12-17T00:10:00Z</dcterms:created>
  <dcterms:modified xsi:type="dcterms:W3CDTF">2026-01-02T17:48:23Z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