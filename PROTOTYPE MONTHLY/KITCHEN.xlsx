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120" windowHeight="16060" firstSheet="15" activeTab="15"/>
  </bookViews>
  <sheets>
    <sheet name="BUK BUNGA (Groceries)" sheetId="15" r:id="rId1"/>
    <sheet name="SEDANA JAYA (Groceries)" sheetId="17" r:id="rId2"/>
    <sheet name="AD supplier (Groceries)" sheetId="29" r:id="rId3"/>
    <sheet name="AGUS SEAFOOD" sheetId="33" r:id="rId4"/>
    <sheet name="RAFI SEAFOOD (Seafood)" sheetId="4" r:id="rId5"/>
    <sheet name="ABISEKA (FRESH MILK)" sheetId="30" r:id="rId6"/>
    <sheet name="FORNO (Burger&amp;Croissant)" sheetId="31" r:id="rId7"/>
    <sheet name="Kemang Food (Salami)" sheetId="32" r:id="rId8"/>
    <sheet name="MAMA RADA PRODUCTION (Dumpling)" sheetId="6" r:id="rId9"/>
    <sheet name="KSP (Chicken)" sheetId="18" r:id="rId10"/>
    <sheet name="SURYA CIPTA NIAGA BALI (Beef)" sheetId="7" r:id="rId11"/>
    <sheet name="BAYU AGNI MERTA (Gas)" sheetId="11" r:id="rId12"/>
    <sheet name="Joy Green (Mix Berry)" sheetId="24" r:id="rId13"/>
    <sheet name="CELEBRITY BAKERY (Bakery)" sheetId="23" r:id="rId14"/>
    <sheet name="Krop (Edible flower)" sheetId="25" r:id="rId15"/>
    <sheet name="Boiler (Dumplings&amp;Syrniki)" sheetId="26" r:id="rId16"/>
    <sheet name="TOTAL" sheetId="16" r:id="rId17"/>
  </sheets>
  <definedNames>
    <definedName name="_xlnm._FilterDatabase" localSheetId="0" hidden="1">'BUK BUNGA (Groceries)'!$A$1:$F$499</definedName>
    <definedName name="_xlnm._FilterDatabase" localSheetId="1" hidden="1">'SEDANA JAYA (Groceries)'!$A$1:$G$802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<sst xmlns="http://schemas.openxmlformats.org/spreadsheetml/2006/main" count="160" uniqueCount="49">
  <si>
    <t>DATE</t>
  </si>
  <si>
    <t>ITEM</t>
  </si>
  <si>
    <t>QYT</t>
  </si>
  <si>
    <t>PRICE</t>
  </si>
  <si>
    <t>SUBTOTAL</t>
  </si>
  <si>
    <t>TOTAL</t>
  </si>
  <si>
    <t>INV NO.</t>
  </si>
  <si>
    <t>OUTSTANDING STATUS CHECK</t>
  </si>
  <si>
    <t>GRAND TOTAL</t>
  </si>
  <si>
    <t>INVOICE NO.</t>
  </si>
  <si>
    <t>BILLS</t>
  </si>
  <si>
    <t>DESCRIPTION</t>
  </si>
  <si>
    <t>QUANTITY</t>
  </si>
  <si>
    <t>DUE DATE</t>
  </si>
  <si>
    <t>PAYMENT STATUS</t>
  </si>
  <si>
    <t>DISC</t>
  </si>
  <si>
    <t>PPN 11%</t>
  </si>
  <si>
    <t>DESCRIPTIONS</t>
  </si>
  <si>
    <t>QTY</t>
  </si>
  <si>
    <t>BIILS</t>
  </si>
  <si>
    <t xml:space="preserve"> GRAND TOTAL</t>
  </si>
  <si>
    <t>SUB TOTAL</t>
  </si>
  <si>
    <t>STATUS</t>
  </si>
  <si>
    <t>NO</t>
  </si>
  <si>
    <t>PC</t>
  </si>
  <si>
    <t xml:space="preserve">Total </t>
  </si>
  <si>
    <t>INV.NO</t>
  </si>
  <si>
    <t>DISCOUNT</t>
  </si>
  <si>
    <t>TOTAL AFTER DISC</t>
  </si>
  <si>
    <t>TAX</t>
  </si>
  <si>
    <t>TOTAL AFTER DISC &amp; TAX</t>
  </si>
  <si>
    <t>SUPPLIER</t>
  </si>
  <si>
    <t>Total</t>
  </si>
  <si>
    <t>BU BUNGA</t>
  </si>
  <si>
    <t>SEDANA JAYA</t>
  </si>
  <si>
    <t>AD SUPPLIER</t>
  </si>
  <si>
    <t>AGUS SEAFOOD</t>
  </si>
  <si>
    <t>RAFI SEAFOOD</t>
  </si>
  <si>
    <t>ABISEKA</t>
  </si>
  <si>
    <t>FORNO</t>
  </si>
  <si>
    <t>KEMANG 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</si>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</sst>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-809]dd\ mmmm\ yyyy;@"/>
    <numFmt numFmtId="185" formatCode="[$Rp-421]#,##0.00;[Red][$Rp-421]#,##0.00"/>
    <numFmt numFmtId="186" formatCode="[$Rp-421]#,##0;[Red][$Rp-421]#,##0"/>
  </numFmts>
  <fonts count="4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b/>
      <i/>
      <sz val="16"/>
      <color theme="1"/>
      <name val="Calibri"/>
      <charset val="134"/>
      <scheme val="minor"/>
    </font>
    <font>
      <sz val="16"/>
      <color theme="1"/>
      <name val="Calibri Light"/>
      <charset val="134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2" applyNumberFormat="0" applyAlignment="0" applyProtection="0">
      <alignment vertical="center"/>
    </xf>
    <xf numFmtId="0" fontId="34" fillId="9" borderId="13" applyNumberFormat="0" applyAlignment="0" applyProtection="0">
      <alignment vertical="center"/>
    </xf>
    <xf numFmtId="0" fontId="35" fillId="9" borderId="12" applyNumberFormat="0" applyAlignment="0" applyProtection="0">
      <alignment vertical="center"/>
    </xf>
    <xf numFmtId="0" fontId="36" fillId="10" borderId="14" applyNumberFormat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</cellStyleXfs>
  <cellXfs count="25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 wrapText="1"/>
    </xf>
    <xf numFmtId="181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center" wrapText="1"/>
    </xf>
    <xf numFmtId="0" fontId="6" fillId="4" borderId="1" xfId="0" applyNumberFormat="1" applyFont="1" applyFill="1" applyBorder="1" applyAlignment="1">
      <alignment vertical="center"/>
    </xf>
    <xf numFmtId="181" fontId="6" fillId="4" borderId="1" xfId="0" applyNumberFormat="1" applyFont="1" applyFill="1" applyBorder="1" applyAlignment="1">
      <alignment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0" fillId="0" borderId="0" xfId="0" applyNumberFormat="1">
      <alignment vertical="center"/>
    </xf>
    <xf numFmtId="181" fontId="8" fillId="5" borderId="1" xfId="0" applyNumberFormat="1" applyFont="1" applyFill="1" applyBorder="1" applyAlignment="1">
      <alignment horizontal="center" vertical="center"/>
    </xf>
    <xf numFmtId="0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6" fillId="6" borderId="3" xfId="0" applyNumberFormat="1" applyFont="1" applyFill="1" applyBorder="1" applyAlignment="1">
      <alignment horizontal="center" vertical="center"/>
    </xf>
    <xf numFmtId="0" fontId="6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vertical="center" wrapText="1"/>
    </xf>
    <xf numFmtId="181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 wrapText="1"/>
    </xf>
    <xf numFmtId="181" fontId="0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6" fillId="6" borderId="4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4" xfId="0" applyNumberFormat="1" applyFont="1" applyFill="1" applyBorder="1" applyAlignment="1">
      <alignment horizontal="center" vertical="center"/>
    </xf>
    <xf numFmtId="180" fontId="4" fillId="6" borderId="3" xfId="0" applyNumberFormat="1" applyFon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vertical="center" wrapText="1"/>
    </xf>
    <xf numFmtId="181" fontId="0" fillId="0" borderId="4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0" fontId="0" fillId="0" borderId="1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1" fontId="0" fillId="0" borderId="2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5" fontId="2" fillId="0" borderId="0" xfId="0" applyNumberFormat="1" applyFont="1">
      <alignment vertical="center"/>
    </xf>
    <xf numFmtId="185" fontId="2" fillId="0" borderId="0" xfId="0" applyNumberFormat="1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5" xfId="0" applyNumberFormat="1" applyFont="1" applyFill="1" applyBorder="1" applyAlignment="1">
      <alignment horizontal="center" vertical="center"/>
    </xf>
    <xf numFmtId="0" fontId="2" fillId="6" borderId="5" xfId="0" applyNumberFormat="1" applyFont="1" applyFill="1" applyBorder="1" applyAlignment="1">
      <alignment vertical="center"/>
    </xf>
    <xf numFmtId="180" fontId="15" fillId="6" borderId="5" xfId="0" applyNumberFormat="1" applyFont="1" applyFill="1" applyBorder="1" applyAlignment="1">
      <alignment horizontal="center" vertical="center"/>
    </xf>
    <xf numFmtId="185" fontId="2" fillId="5" borderId="1" xfId="0" applyNumberFormat="1" applyFont="1" applyFill="1" applyBorder="1" applyAlignment="1">
      <alignment horizontal="center" vertical="center"/>
    </xf>
    <xf numFmtId="185" fontId="16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85" fontId="2" fillId="4" borderId="1" xfId="0" applyNumberFormat="1" applyFont="1" applyFill="1" applyBorder="1" applyAlignment="1">
      <alignment vertical="center"/>
    </xf>
    <xf numFmtId="185" fontId="13" fillId="4" borderId="1" xfId="0" applyNumberFormat="1" applyFont="1" applyFill="1" applyBorder="1" applyAlignment="1">
      <alignment vertical="center" wrapText="1"/>
    </xf>
    <xf numFmtId="185" fontId="16" fillId="4" borderId="6" xfId="0" applyNumberFormat="1" applyFont="1" applyFill="1" applyBorder="1" applyAlignment="1">
      <alignment vertical="center"/>
    </xf>
    <xf numFmtId="0" fontId="2" fillId="4" borderId="6" xfId="0" applyNumberFormat="1" applyFont="1" applyFill="1" applyBorder="1" applyAlignment="1">
      <alignment vertical="center"/>
    </xf>
    <xf numFmtId="185" fontId="2" fillId="4" borderId="6" xfId="0" applyNumberFormat="1" applyFont="1" applyFill="1" applyBorder="1" applyAlignment="1">
      <alignment vertical="center"/>
    </xf>
    <xf numFmtId="185" fontId="15" fillId="6" borderId="1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185" fontId="2" fillId="4" borderId="1" xfId="0" applyNumberFormat="1" applyFont="1" applyFill="1" applyBorder="1" applyAlignment="1">
      <alignment horizontal="center" vertical="center"/>
    </xf>
    <xf numFmtId="185" fontId="2" fillId="4" borderId="6" xfId="0" applyNumberFormat="1" applyFont="1" applyFill="1" applyBorder="1" applyAlignment="1">
      <alignment horizontal="center" vertical="center"/>
    </xf>
    <xf numFmtId="185" fontId="15" fillId="6" borderId="4" xfId="0" applyNumberFormat="1" applyFont="1" applyFill="1" applyBorder="1" applyAlignment="1">
      <alignment horizontal="center" vertical="center"/>
    </xf>
    <xf numFmtId="185" fontId="15" fillId="6" borderId="2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vertical="center"/>
    </xf>
    <xf numFmtId="183" fontId="16" fillId="4" borderId="1" xfId="0" applyNumberFormat="1" applyFont="1" applyFill="1" applyBorder="1" applyAlignment="1">
      <alignment vertical="center"/>
    </xf>
    <xf numFmtId="183" fontId="16" fillId="4" borderId="6" xfId="0" applyNumberFormat="1" applyFont="1" applyFill="1" applyBorder="1" applyAlignment="1">
      <alignment vertical="center"/>
    </xf>
    <xf numFmtId="180" fontId="15" fillId="6" borderId="4" xfId="0" applyNumberFormat="1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6" xfId="0" applyNumberFormat="1" applyFont="1" applyFill="1" applyBorder="1" applyAlignment="1">
      <alignment vertical="center"/>
    </xf>
    <xf numFmtId="180" fontId="15" fillId="6" borderId="3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184" fontId="2" fillId="0" borderId="0" xfId="0" applyNumberFormat="1" applyFont="1" applyAlignment="1">
      <alignment horizontal="center" vertical="center"/>
    </xf>
    <xf numFmtId="180" fontId="15" fillId="6" borderId="1" xfId="0" applyNumberFormat="1" applyFont="1" applyFill="1" applyBorder="1" applyAlignment="1">
      <alignment horizontal="center" vertical="center"/>
    </xf>
    <xf numFmtId="184" fontId="2" fillId="5" borderId="1" xfId="0" applyNumberFormat="1" applyFont="1" applyFill="1" applyBorder="1" applyAlignment="1">
      <alignment horizontal="center" vertical="center"/>
    </xf>
    <xf numFmtId="184" fontId="2" fillId="0" borderId="6" xfId="0" applyNumberFormat="1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184" fontId="2" fillId="0" borderId="7" xfId="0" applyNumberFormat="1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84" fontId="2" fillId="0" borderId="1" xfId="0" applyNumberFormat="1" applyFont="1" applyBorder="1" applyAlignment="1">
      <alignment horizontal="center" vertical="center"/>
    </xf>
    <xf numFmtId="184" fontId="2" fillId="0" borderId="6" xfId="0" applyNumberFormat="1" applyFont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/>
    </xf>
    <xf numFmtId="180" fontId="15" fillId="6" borderId="7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1" fontId="20" fillId="0" borderId="1" xfId="0" applyNumberFormat="1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81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0" fontId="17" fillId="0" borderId="1" xfId="0" applyNumberFormat="1" applyFont="1" applyFill="1" applyBorder="1" applyAlignment="1">
      <alignment vertical="center"/>
    </xf>
    <xf numFmtId="0" fontId="17" fillId="0" borderId="1" xfId="0" applyFont="1" applyFill="1" applyBorder="1" applyAlignment="1">
      <alignment vertical="center"/>
    </xf>
    <xf numFmtId="180" fontId="20" fillId="4" borderId="1" xfId="0" applyNumberFormat="1" applyFont="1" applyFill="1" applyBorder="1" applyAlignment="1">
      <alignment vertical="center"/>
    </xf>
    <xf numFmtId="180" fontId="20" fillId="0" borderId="1" xfId="0" applyNumberFormat="1" applyFont="1" applyFill="1" applyBorder="1" applyAlignment="1">
      <alignment vertical="center"/>
    </xf>
    <xf numFmtId="0" fontId="20" fillId="0" borderId="1" xfId="0" applyFont="1" applyFill="1" applyBorder="1" applyAlignment="1">
      <alignment vertical="center"/>
    </xf>
    <xf numFmtId="0" fontId="17" fillId="0" borderId="1" xfId="0" applyFont="1" applyBorder="1">
      <alignment vertical="center"/>
    </xf>
    <xf numFmtId="180" fontId="17" fillId="5" borderId="1" xfId="0" applyNumberFormat="1" applyFont="1" applyFill="1" applyBorder="1">
      <alignment vertical="center"/>
    </xf>
    <xf numFmtId="180" fontId="17" fillId="0" borderId="1" xfId="0" applyNumberFormat="1" applyFont="1" applyBorder="1">
      <alignment vertical="center"/>
    </xf>
    <xf numFmtId="180" fontId="17" fillId="0" borderId="0" xfId="0" applyNumberFormat="1" applyFont="1">
      <alignment vertical="center"/>
    </xf>
    <xf numFmtId="0" fontId="17" fillId="0" borderId="0" xfId="0" applyNumberFormat="1" applyFont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81" fontId="17" fillId="0" borderId="1" xfId="0" applyNumberFormat="1" applyFont="1" applyFill="1" applyBorder="1" applyAlignment="1">
      <alignment vertical="center"/>
    </xf>
    <xf numFmtId="0" fontId="17" fillId="0" borderId="1" xfId="0" applyNumberFormat="1" applyFont="1" applyFill="1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181" fontId="21" fillId="0" borderId="1" xfId="0" applyNumberFormat="1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7" xfId="0" applyNumberFormat="1" applyFont="1" applyBorder="1" applyAlignment="1">
      <alignment horizontal="center" vertical="center"/>
    </xf>
    <xf numFmtId="0" fontId="17" fillId="0" borderId="7" xfId="0" applyNumberFormat="1" applyFont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0" fontId="17" fillId="4" borderId="1" xfId="0" applyNumberFormat="1" applyFont="1" applyFill="1" applyBorder="1">
      <alignment vertical="center"/>
    </xf>
    <xf numFmtId="180" fontId="17" fillId="4" borderId="1" xfId="0" applyNumberFormat="1" applyFont="1" applyFill="1" applyBorder="1" applyAlignment="1">
      <alignment horizontal="center" vertical="center"/>
    </xf>
    <xf numFmtId="180" fontId="17" fillId="0" borderId="7" xfId="0" applyNumberFormat="1" applyFont="1" applyBorder="1" applyAlignment="1">
      <alignment vertical="center"/>
    </xf>
    <xf numFmtId="0" fontId="17" fillId="0" borderId="7" xfId="0" applyFont="1" applyBorder="1">
      <alignment vertical="center"/>
    </xf>
    <xf numFmtId="186" fontId="17" fillId="0" borderId="4" xfId="0" applyNumberFormat="1" applyFont="1" applyBorder="1" applyAlignment="1">
      <alignment horizontal="center" vertical="center"/>
    </xf>
    <xf numFmtId="186" fontId="17" fillId="0" borderId="2" xfId="0" applyNumberFormat="1" applyFont="1" applyBorder="1">
      <alignment vertical="center"/>
    </xf>
    <xf numFmtId="0" fontId="0" fillId="0" borderId="0" xfId="0" applyFill="1" applyAlignment="1">
      <alignment vertical="center"/>
    </xf>
    <xf numFmtId="181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2" fillId="5" borderId="1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center" vertical="center"/>
    </xf>
    <xf numFmtId="0" fontId="23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86" fontId="24" fillId="6" borderId="0" xfId="0" applyNumberFormat="1" applyFont="1" applyFill="1" applyAlignment="1">
      <alignment vertical="center"/>
    </xf>
    <xf numFmtId="180" fontId="0" fillId="0" borderId="0" xfId="0" applyNumberFormat="1" applyFill="1" applyAlignment="1">
      <alignment vertical="center"/>
    </xf>
    <xf numFmtId="181" fontId="21" fillId="0" borderId="1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0" fontId="0" fillId="0" borderId="4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4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" xfId="0" applyFill="1" applyBorder="1" applyAlignment="1">
      <alignment horizontal="left" vertical="center"/>
    </xf>
    <xf numFmtId="180" fontId="0" fillId="4" borderId="6" xfId="0" applyNumberFormat="1" applyFill="1" applyBorder="1" applyAlignment="1">
      <alignment vertical="center"/>
    </xf>
    <xf numFmtId="180" fontId="0" fillId="0" borderId="6" xfId="0" applyNumberFormat="1" applyFill="1" applyBorder="1" applyAlignment="1">
      <alignment vertical="center"/>
    </xf>
    <xf numFmtId="180" fontId="0" fillId="4" borderId="8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6"/>
  <sheetViews>
    <sheetView zoomScale="89" zoomScaleNormal="89" workbookViewId="0">
      <pane xSplit="1" ySplit="1" topLeftCell="B502" activePane="bottomRight" state="frozen"/>
      <selection/>
      <selection pane="topRight"/>
      <selection pane="bottomLeft"/>
      <selection pane="bottomRight" activeCell="B11" sqref="B11"/>
    </sheetView>
  </sheetViews>
  <sheetFormatPr defaultColWidth="9.140625" defaultRowHeight="17.6" outlineLevelCol="7"/>
  <cols>
    <col min="1" max="1" width="13" style="230" customWidth="1"/>
    <col min="2" max="2" width="41.0859375" style="231" customWidth="1"/>
    <col min="3" max="3" width="10.7890625" style="232" customWidth="1"/>
    <col min="4" max="4" width="12.140625" style="229" customWidth="1"/>
    <col min="5" max="5" width="15.5703125" style="229" customWidth="1"/>
    <col min="6" max="6" width="15.796875" style="233" customWidth="1"/>
    <col min="7" max="7" width="15.8125" style="229"/>
    <col min="8" max="8" width="22.59375" style="229" customWidth="1"/>
    <col min="9" max="9" width="12.6875" style="229"/>
    <col min="10" max="16384" width="9.140625" style="229"/>
  </cols>
  <sheetData>
    <row r="1" s="229" customFormat="1" ht="22" customHeight="1" spans="1:7">
      <c r="A1" s="234" t="s">
        <v>0</v>
      </c>
      <c r="B1" s="235" t="s">
        <v>1</v>
      </c>
      <c r="C1" s="236" t="s">
        <v>2</v>
      </c>
      <c r="D1" s="237" t="s">
        <v>3</v>
      </c>
      <c r="E1" s="238" t="s">
        <v>4</v>
      </c>
      <c r="F1" s="239" t="s">
        <v>5</v>
      </c>
      <c r="G1" s="240">
        <f>SUM(F:F)</f>
        <v>0</v>
      </c>
    </row>
    <row r="2" s="229" customFormat="1" ht="16.8" spans="1:6">
      <c r="A2" s="216"/>
      <c r="B2" s="211"/>
      <c r="C2" s="212"/>
      <c r="D2" s="89"/>
      <c r="E2" s="89"/>
      <c r="F2" s="215"/>
    </row>
    <row r="3" s="229" customFormat="1" ht="16.8" spans="1:6">
      <c r="A3" s="216"/>
      <c r="B3" s="211"/>
      <c r="C3" s="212"/>
      <c r="D3" s="89"/>
      <c r="E3" s="89"/>
      <c r="F3" s="215"/>
    </row>
    <row r="4" s="229" customFormat="1" ht="16.8" spans="1:6">
      <c r="A4" s="216"/>
      <c r="B4" s="211"/>
      <c r="C4" s="212"/>
      <c r="D4" s="89"/>
      <c r="E4" s="89"/>
      <c r="F4" s="215"/>
    </row>
    <row r="5" s="229" customFormat="1" ht="16.8" spans="1:6">
      <c r="A5" s="216"/>
      <c r="B5" s="211"/>
      <c r="C5" s="212"/>
      <c r="D5" s="89"/>
      <c r="E5" s="89"/>
      <c r="F5" s="215"/>
    </row>
    <row r="6" s="229" customFormat="1" ht="16.8" spans="1:6">
      <c r="A6" s="216"/>
      <c r="B6" s="211"/>
      <c r="C6" s="212"/>
      <c r="D6" s="89"/>
      <c r="E6" s="89"/>
      <c r="F6" s="215"/>
    </row>
    <row r="7" s="229" customFormat="1" ht="16.8" spans="1:6">
      <c r="A7" s="216"/>
      <c r="B7" s="211"/>
      <c r="C7" s="212"/>
      <c r="D7" s="89"/>
      <c r="E7" s="89"/>
      <c r="F7" s="215"/>
    </row>
    <row r="8" s="229" customFormat="1" ht="16.8" spans="1:6">
      <c r="A8" s="216"/>
      <c r="B8" s="211"/>
      <c r="C8" s="212"/>
      <c r="D8" s="89"/>
      <c r="E8" s="89"/>
      <c r="F8" s="215"/>
    </row>
    <row r="9" s="229" customFormat="1" ht="16.8" spans="1:6">
      <c r="A9" s="216"/>
      <c r="B9" s="211"/>
      <c r="C9" s="212"/>
      <c r="D9" s="89"/>
      <c r="E9" s="89"/>
      <c r="F9" s="215"/>
    </row>
    <row r="10" s="229" customFormat="1" ht="16.8" spans="1:6">
      <c r="A10" s="216"/>
      <c r="B10" s="211"/>
      <c r="C10" s="212"/>
      <c r="D10" s="89"/>
      <c r="E10" s="89"/>
      <c r="F10" s="215"/>
    </row>
    <row r="11" s="229" customFormat="1" ht="16.8" spans="1:8">
      <c r="A11" s="216"/>
      <c r="B11" s="211"/>
      <c r="C11" s="212"/>
      <c r="D11" s="89"/>
      <c r="E11" s="89"/>
      <c r="F11" s="215"/>
      <c r="H11" s="241"/>
    </row>
    <row r="12" s="229" customFormat="1" ht="16.8" spans="1:6">
      <c r="A12" s="216"/>
      <c r="B12" s="211"/>
      <c r="C12" s="212"/>
      <c r="D12" s="89"/>
      <c r="E12" s="89"/>
      <c r="F12" s="215"/>
    </row>
    <row r="13" s="229" customFormat="1" ht="16.8" spans="1:6">
      <c r="A13" s="216"/>
      <c r="B13" s="211"/>
      <c r="C13" s="212"/>
      <c r="D13" s="89"/>
      <c r="E13" s="89"/>
      <c r="F13" s="215"/>
    </row>
    <row r="14" s="229" customFormat="1" ht="16.8" spans="1:6">
      <c r="A14" s="216"/>
      <c r="B14" s="211"/>
      <c r="C14" s="212"/>
      <c r="D14" s="89"/>
      <c r="E14" s="89"/>
      <c r="F14" s="215"/>
    </row>
    <row r="15" s="229" customFormat="1" ht="16.8" spans="1:6">
      <c r="A15" s="216"/>
      <c r="B15" s="211"/>
      <c r="C15" s="212"/>
      <c r="D15" s="89"/>
      <c r="E15" s="89"/>
      <c r="F15" s="215"/>
    </row>
    <row r="16" s="229" customFormat="1" ht="16.8" spans="1:6">
      <c r="A16" s="216"/>
      <c r="B16" s="211"/>
      <c r="C16" s="212"/>
      <c r="D16" s="89"/>
      <c r="E16" s="89"/>
      <c r="F16" s="215"/>
    </row>
    <row r="17" s="229" customFormat="1" ht="16.8" spans="1:6">
      <c r="A17" s="216"/>
      <c r="B17" s="211"/>
      <c r="C17" s="212"/>
      <c r="D17" s="89"/>
      <c r="E17" s="89"/>
      <c r="F17" s="215"/>
    </row>
    <row r="18" s="229" customFormat="1" ht="16.8" spans="1:6">
      <c r="A18" s="216"/>
      <c r="B18" s="211"/>
      <c r="C18" s="212"/>
      <c r="D18" s="89"/>
      <c r="E18" s="89"/>
      <c r="F18" s="215"/>
    </row>
    <row r="19" s="229" customFormat="1" ht="16.8" spans="1:6">
      <c r="A19" s="216"/>
      <c r="B19" s="211"/>
      <c r="C19" s="212"/>
      <c r="D19" s="89"/>
      <c r="E19" s="89"/>
      <c r="F19" s="215"/>
    </row>
    <row r="20" s="229" customFormat="1" ht="16.8" spans="1:6">
      <c r="A20" s="216"/>
      <c r="B20" s="211"/>
      <c r="C20" s="212"/>
      <c r="D20" s="89"/>
      <c r="E20" s="89"/>
      <c r="F20" s="215"/>
    </row>
    <row r="21" s="229" customFormat="1" ht="16.8" spans="1:6">
      <c r="A21" s="216"/>
      <c r="B21" s="211"/>
      <c r="C21" s="212"/>
      <c r="D21" s="89"/>
      <c r="E21" s="89"/>
      <c r="F21" s="215"/>
    </row>
    <row r="22" s="229" customFormat="1" ht="16.8" spans="1:6">
      <c r="A22" s="216"/>
      <c r="B22" s="211"/>
      <c r="C22" s="212"/>
      <c r="D22" s="89"/>
      <c r="E22" s="89"/>
      <c r="F22" s="215"/>
    </row>
    <row r="23" s="229" customFormat="1" ht="16.8" spans="1:6">
      <c r="A23" s="216"/>
      <c r="B23" s="211"/>
      <c r="C23" s="212"/>
      <c r="D23" s="89"/>
      <c r="E23" s="89"/>
      <c r="F23" s="215"/>
    </row>
    <row r="24" s="229" customFormat="1" ht="16.8" spans="1:6">
      <c r="A24" s="216"/>
      <c r="B24" s="211"/>
      <c r="C24" s="212"/>
      <c r="D24" s="89"/>
      <c r="E24" s="89"/>
      <c r="F24" s="215"/>
    </row>
    <row r="25" s="229" customFormat="1" ht="16.8" spans="1:6">
      <c r="A25" s="216"/>
      <c r="B25" s="211"/>
      <c r="C25" s="212"/>
      <c r="D25" s="89"/>
      <c r="E25" s="89"/>
      <c r="F25" s="215"/>
    </row>
    <row r="26" s="229" customFormat="1" ht="16.8" spans="1:6">
      <c r="A26" s="216"/>
      <c r="B26" s="211"/>
      <c r="C26" s="212"/>
      <c r="D26" s="89"/>
      <c r="E26" s="89"/>
      <c r="F26" s="215"/>
    </row>
    <row r="27" s="229" customFormat="1" ht="16.8" spans="1:6">
      <c r="A27" s="216"/>
      <c r="B27" s="211"/>
      <c r="C27" s="212"/>
      <c r="D27" s="89"/>
      <c r="E27" s="89"/>
      <c r="F27" s="215"/>
    </row>
    <row r="28" s="229" customFormat="1" ht="16.8" spans="1:6">
      <c r="A28" s="216"/>
      <c r="B28" s="211"/>
      <c r="C28" s="212"/>
      <c r="D28" s="89"/>
      <c r="E28" s="89"/>
      <c r="F28" s="215"/>
    </row>
    <row r="29" s="229" customFormat="1" ht="16.8" spans="1:6">
      <c r="A29" s="216"/>
      <c r="B29" s="211"/>
      <c r="C29" s="212"/>
      <c r="D29" s="89"/>
      <c r="E29" s="89"/>
      <c r="F29" s="215"/>
    </row>
    <row r="30" s="229" customFormat="1" ht="16.8" spans="1:6">
      <c r="A30" s="216"/>
      <c r="B30" s="211"/>
      <c r="C30" s="212"/>
      <c r="D30" s="89"/>
      <c r="E30" s="89"/>
      <c r="F30" s="215"/>
    </row>
    <row r="31" s="229" customFormat="1" ht="16.8" spans="1:6">
      <c r="A31" s="216"/>
      <c r="B31" s="211"/>
      <c r="C31" s="212"/>
      <c r="D31" s="89"/>
      <c r="E31" s="89"/>
      <c r="F31" s="215"/>
    </row>
    <row r="32" s="229" customFormat="1" ht="16.8" spans="1:6">
      <c r="A32" s="216"/>
      <c r="B32" s="211"/>
      <c r="C32" s="212"/>
      <c r="D32" s="89"/>
      <c r="E32" s="89"/>
      <c r="F32" s="215"/>
    </row>
    <row r="33" s="229" customFormat="1" ht="16.8" spans="1:6">
      <c r="A33" s="216"/>
      <c r="B33" s="211"/>
      <c r="C33" s="212"/>
      <c r="D33" s="89"/>
      <c r="E33" s="89"/>
      <c r="F33" s="215"/>
    </row>
    <row r="34" s="229" customFormat="1" ht="16.8" spans="1:6">
      <c r="A34" s="216"/>
      <c r="B34" s="211"/>
      <c r="C34" s="212"/>
      <c r="D34" s="89"/>
      <c r="E34" s="89"/>
      <c r="F34" s="215"/>
    </row>
    <row r="35" s="229" customFormat="1" ht="16.8" spans="1:6">
      <c r="A35" s="216"/>
      <c r="B35" s="211"/>
      <c r="C35" s="212"/>
      <c r="D35" s="89"/>
      <c r="E35" s="89"/>
      <c r="F35" s="215"/>
    </row>
    <row r="36" s="229" customFormat="1" ht="16.8" spans="1:6">
      <c r="A36" s="216"/>
      <c r="B36" s="211"/>
      <c r="C36" s="212"/>
      <c r="D36" s="89"/>
      <c r="E36" s="89"/>
      <c r="F36" s="215"/>
    </row>
    <row r="37" s="229" customFormat="1" ht="16.8" spans="1:6">
      <c r="A37" s="216"/>
      <c r="B37" s="211"/>
      <c r="C37" s="212"/>
      <c r="D37" s="89"/>
      <c r="E37" s="89"/>
      <c r="F37" s="215"/>
    </row>
    <row r="38" s="229" customFormat="1" ht="16.8" spans="1:6">
      <c r="A38" s="216"/>
      <c r="B38" s="211"/>
      <c r="C38" s="212"/>
      <c r="D38" s="89"/>
      <c r="E38" s="89"/>
      <c r="F38" s="215"/>
    </row>
    <row r="39" s="229" customFormat="1" ht="16.8" spans="1:6">
      <c r="A39" s="216"/>
      <c r="B39" s="211"/>
      <c r="C39" s="212"/>
      <c r="D39" s="89"/>
      <c r="E39" s="89"/>
      <c r="F39" s="215"/>
    </row>
    <row r="40" s="229" customFormat="1" ht="16.8" spans="1:6">
      <c r="A40" s="216"/>
      <c r="B40" s="211"/>
      <c r="C40" s="212"/>
      <c r="D40" s="89"/>
      <c r="E40" s="89"/>
      <c r="F40" s="215"/>
    </row>
    <row r="41" s="229" customFormat="1" ht="16.8" spans="1:6">
      <c r="A41" s="216"/>
      <c r="B41" s="211"/>
      <c r="C41" s="212"/>
      <c r="D41" s="89"/>
      <c r="E41" s="89"/>
      <c r="F41" s="215"/>
    </row>
    <row r="42" s="229" customFormat="1" spans="1:6">
      <c r="A42" s="216"/>
      <c r="B42" s="211"/>
      <c r="C42" s="212"/>
      <c r="D42" s="89"/>
      <c r="E42" s="89"/>
      <c r="F42" s="215"/>
    </row>
    <row r="43" s="229" customFormat="1" spans="1:6">
      <c r="A43" s="216"/>
      <c r="B43" s="211"/>
      <c r="C43" s="212"/>
      <c r="D43" s="89"/>
      <c r="E43" s="89"/>
      <c r="F43" s="215"/>
    </row>
    <row r="44" s="229" customFormat="1" ht="16.8" spans="1:6">
      <c r="A44" s="216"/>
      <c r="B44" s="211"/>
      <c r="C44" s="212"/>
      <c r="D44" s="89"/>
      <c r="E44" s="89"/>
      <c r="F44" s="215"/>
    </row>
    <row r="45" s="229" customFormat="1" ht="16.8" spans="1:6">
      <c r="A45" s="216"/>
      <c r="B45" s="211"/>
      <c r="C45" s="212"/>
      <c r="D45" s="89"/>
      <c r="E45" s="89"/>
      <c r="F45" s="215"/>
    </row>
    <row r="46" s="229" customFormat="1" ht="16.8" spans="1:6">
      <c r="A46" s="216"/>
      <c r="B46" s="211"/>
      <c r="C46" s="212"/>
      <c r="D46" s="89"/>
      <c r="E46" s="89"/>
      <c r="F46" s="215"/>
    </row>
    <row r="47" s="229" customFormat="1" ht="16.8" spans="1:6">
      <c r="A47" s="216"/>
      <c r="B47" s="211"/>
      <c r="C47" s="212"/>
      <c r="D47" s="89"/>
      <c r="E47" s="89"/>
      <c r="F47" s="215"/>
    </row>
    <row r="48" s="229" customFormat="1" ht="16.8" spans="1:6">
      <c r="A48" s="216"/>
      <c r="B48" s="211"/>
      <c r="C48" s="212"/>
      <c r="D48" s="89"/>
      <c r="E48" s="89"/>
      <c r="F48" s="215"/>
    </row>
    <row r="49" s="229" customFormat="1" ht="16.8" spans="1:6">
      <c r="A49" s="216"/>
      <c r="B49" s="211"/>
      <c r="C49" s="212"/>
      <c r="D49" s="89"/>
      <c r="E49" s="89"/>
      <c r="F49" s="215"/>
    </row>
    <row r="50" s="229" customFormat="1" ht="16.8" spans="1:6">
      <c r="A50" s="216"/>
      <c r="B50" s="211"/>
      <c r="C50" s="212"/>
      <c r="D50" s="89"/>
      <c r="E50" s="89"/>
      <c r="F50" s="215"/>
    </row>
    <row r="51" s="229" customFormat="1" ht="16.8" spans="1:6">
      <c r="A51" s="216"/>
      <c r="B51" s="211"/>
      <c r="C51" s="212"/>
      <c r="D51" s="89"/>
      <c r="E51" s="89"/>
      <c r="F51" s="215"/>
    </row>
    <row r="52" s="229" customFormat="1" ht="16.8" spans="1:6">
      <c r="A52" s="216"/>
      <c r="B52" s="211"/>
      <c r="C52" s="212"/>
      <c r="D52" s="89"/>
      <c r="E52" s="89"/>
      <c r="F52" s="215"/>
    </row>
    <row r="53" s="229" customFormat="1" ht="16.8" spans="1:6">
      <c r="A53" s="216"/>
      <c r="B53" s="211"/>
      <c r="C53" s="212"/>
      <c r="D53" s="89"/>
      <c r="E53" s="89"/>
      <c r="F53" s="215"/>
    </row>
    <row r="54" s="229" customFormat="1" ht="16.8" spans="1:6">
      <c r="A54" s="216"/>
      <c r="B54" s="211"/>
      <c r="C54" s="212"/>
      <c r="D54" s="89"/>
      <c r="E54" s="89"/>
      <c r="F54" s="215"/>
    </row>
    <row r="55" s="229" customFormat="1" ht="16.8" spans="1:6">
      <c r="A55" s="216"/>
      <c r="B55" s="211"/>
      <c r="C55" s="212"/>
      <c r="D55" s="89"/>
      <c r="E55" s="89"/>
      <c r="F55" s="215"/>
    </row>
    <row r="56" s="229" customFormat="1" ht="16.8" spans="1:6">
      <c r="A56" s="216"/>
      <c r="B56" s="211"/>
      <c r="C56" s="212"/>
      <c r="D56" s="89"/>
      <c r="E56" s="89"/>
      <c r="F56" s="215"/>
    </row>
    <row r="57" s="229" customFormat="1" ht="16.8" spans="1:6">
      <c r="A57" s="216"/>
      <c r="B57" s="211"/>
      <c r="C57" s="212"/>
      <c r="D57" s="89"/>
      <c r="E57" s="89"/>
      <c r="F57" s="215"/>
    </row>
    <row r="58" s="229" customFormat="1" ht="16.8" spans="1:6">
      <c r="A58" s="216"/>
      <c r="B58" s="211"/>
      <c r="C58" s="212"/>
      <c r="D58" s="89"/>
      <c r="E58" s="89"/>
      <c r="F58" s="215"/>
    </row>
    <row r="59" s="229" customFormat="1" ht="16.8" spans="1:6">
      <c r="A59" s="216"/>
      <c r="B59" s="211"/>
      <c r="C59" s="212"/>
      <c r="D59" s="89"/>
      <c r="E59" s="89"/>
      <c r="F59" s="215"/>
    </row>
    <row r="60" s="229" customFormat="1" ht="16.8" spans="1:6">
      <c r="A60" s="216"/>
      <c r="B60" s="211"/>
      <c r="C60" s="212"/>
      <c r="D60" s="89"/>
      <c r="E60" s="89"/>
      <c r="F60" s="215"/>
    </row>
    <row r="61" s="229" customFormat="1" ht="16.8" spans="1:6">
      <c r="A61" s="216"/>
      <c r="B61" s="211"/>
      <c r="C61" s="212"/>
      <c r="D61" s="89"/>
      <c r="E61" s="89"/>
      <c r="F61" s="215"/>
    </row>
    <row r="62" s="229" customFormat="1" ht="16.8" spans="1:6">
      <c r="A62" s="216"/>
      <c r="B62" s="211"/>
      <c r="C62" s="212"/>
      <c r="D62" s="89"/>
      <c r="E62" s="89"/>
      <c r="F62" s="215"/>
    </row>
    <row r="63" s="229" customFormat="1" ht="16.8" spans="1:6">
      <c r="A63" s="216"/>
      <c r="B63" s="211"/>
      <c r="C63" s="212"/>
      <c r="D63" s="89"/>
      <c r="E63" s="89"/>
      <c r="F63" s="215"/>
    </row>
    <row r="64" s="229" customFormat="1" ht="16.8" spans="1:6">
      <c r="A64" s="216"/>
      <c r="B64" s="211"/>
      <c r="C64" s="212"/>
      <c r="D64" s="89"/>
      <c r="E64" s="89"/>
      <c r="F64" s="215"/>
    </row>
    <row r="65" s="229" customFormat="1" ht="16.8" spans="1:6">
      <c r="A65" s="216"/>
      <c r="B65" s="211"/>
      <c r="C65" s="212"/>
      <c r="D65" s="89"/>
      <c r="E65" s="89"/>
      <c r="F65" s="215"/>
    </row>
    <row r="66" s="229" customFormat="1" ht="16.8" spans="1:6">
      <c r="A66" s="216"/>
      <c r="B66" s="211"/>
      <c r="C66" s="212"/>
      <c r="D66" s="89"/>
      <c r="E66" s="89"/>
      <c r="F66" s="215"/>
    </row>
    <row r="67" s="229" customFormat="1" ht="16.8" spans="1:6">
      <c r="A67" s="216"/>
      <c r="B67" s="211"/>
      <c r="C67" s="212"/>
      <c r="D67" s="89"/>
      <c r="E67" s="89"/>
      <c r="F67" s="215"/>
    </row>
    <row r="68" s="229" customFormat="1" ht="16.8" spans="1:6">
      <c r="A68" s="216"/>
      <c r="B68" s="211"/>
      <c r="C68" s="212"/>
      <c r="D68" s="89"/>
      <c r="E68" s="89"/>
      <c r="F68" s="215"/>
    </row>
    <row r="69" s="229" customFormat="1" ht="16.8" spans="1:6">
      <c r="A69" s="216"/>
      <c r="B69" s="211"/>
      <c r="C69" s="212"/>
      <c r="D69" s="89"/>
      <c r="E69" s="89"/>
      <c r="F69" s="215"/>
    </row>
    <row r="70" s="229" customFormat="1" ht="16.8" spans="1:6">
      <c r="A70" s="216"/>
      <c r="B70" s="211"/>
      <c r="C70" s="212"/>
      <c r="D70" s="89"/>
      <c r="E70" s="89"/>
      <c r="F70" s="215"/>
    </row>
    <row r="71" s="229" customFormat="1" ht="16.8" spans="1:6">
      <c r="A71" s="216"/>
      <c r="B71" s="211"/>
      <c r="C71" s="212"/>
      <c r="D71" s="89"/>
      <c r="E71" s="89"/>
      <c r="F71" s="215"/>
    </row>
    <row r="72" s="229" customFormat="1" ht="16.8" spans="1:6">
      <c r="A72" s="216"/>
      <c r="B72" s="211"/>
      <c r="C72" s="212"/>
      <c r="D72" s="89"/>
      <c r="E72" s="89"/>
      <c r="F72" s="215"/>
    </row>
    <row r="73" s="229" customFormat="1" ht="16.8" spans="1:6">
      <c r="A73" s="216"/>
      <c r="B73" s="211"/>
      <c r="C73" s="212"/>
      <c r="D73" s="89"/>
      <c r="E73" s="89"/>
      <c r="F73" s="215"/>
    </row>
    <row r="74" s="229" customFormat="1" ht="16.8" spans="1:6">
      <c r="A74" s="216"/>
      <c r="B74" s="211"/>
      <c r="C74" s="212"/>
      <c r="D74" s="89"/>
      <c r="E74" s="89"/>
      <c r="F74" s="215"/>
    </row>
    <row r="75" s="229" customFormat="1" ht="16.8" spans="1:6">
      <c r="A75" s="216"/>
      <c r="B75" s="211"/>
      <c r="C75" s="212"/>
      <c r="D75" s="89"/>
      <c r="E75" s="89"/>
      <c r="F75" s="215"/>
    </row>
    <row r="76" s="229" customFormat="1" ht="16.8" spans="1:6">
      <c r="A76" s="216"/>
      <c r="B76" s="211"/>
      <c r="C76" s="212"/>
      <c r="D76" s="89"/>
      <c r="E76" s="89"/>
      <c r="F76" s="215"/>
    </row>
    <row r="77" s="229" customFormat="1" ht="16.8" spans="1:6">
      <c r="A77" s="216"/>
      <c r="B77" s="211"/>
      <c r="C77" s="212"/>
      <c r="D77" s="89"/>
      <c r="E77" s="89"/>
      <c r="F77" s="215"/>
    </row>
    <row r="78" s="229" customFormat="1" ht="16.8" spans="1:6">
      <c r="A78" s="216"/>
      <c r="B78" s="211"/>
      <c r="C78" s="212"/>
      <c r="D78" s="89"/>
      <c r="E78" s="89"/>
      <c r="F78" s="215"/>
    </row>
    <row r="79" s="229" customFormat="1" ht="16.8" spans="1:6">
      <c r="A79" s="216"/>
      <c r="B79" s="211"/>
      <c r="C79" s="212"/>
      <c r="D79" s="89"/>
      <c r="E79" s="89"/>
      <c r="F79" s="215"/>
    </row>
    <row r="80" s="229" customFormat="1" ht="16.8" spans="1:6">
      <c r="A80" s="216"/>
      <c r="B80" s="211"/>
      <c r="C80" s="212"/>
      <c r="D80" s="89"/>
      <c r="E80" s="89"/>
      <c r="F80" s="215"/>
    </row>
    <row r="81" s="229" customFormat="1" ht="16.8" spans="1:6">
      <c r="A81" s="216"/>
      <c r="B81" s="211"/>
      <c r="C81" s="212"/>
      <c r="D81" s="89"/>
      <c r="E81" s="89"/>
      <c r="F81" s="215"/>
    </row>
    <row r="82" s="229" customFormat="1" ht="16.8" spans="1:6">
      <c r="A82" s="216"/>
      <c r="B82" s="211"/>
      <c r="C82" s="212"/>
      <c r="D82" s="89"/>
      <c r="E82" s="89"/>
      <c r="F82" s="215"/>
    </row>
    <row r="83" s="229" customFormat="1" ht="16.8" spans="1:6">
      <c r="A83" s="216"/>
      <c r="B83" s="211"/>
      <c r="C83" s="212"/>
      <c r="D83" s="89"/>
      <c r="E83" s="89"/>
      <c r="F83" s="215"/>
    </row>
    <row r="84" s="229" customFormat="1" ht="16.8" spans="1:6">
      <c r="A84" s="216"/>
      <c r="B84" s="211"/>
      <c r="C84" s="212"/>
      <c r="D84" s="89"/>
      <c r="E84" s="89"/>
      <c r="F84" s="215"/>
    </row>
    <row r="85" s="229" customFormat="1" ht="16.8" spans="1:6">
      <c r="A85" s="216"/>
      <c r="B85" s="211"/>
      <c r="C85" s="212"/>
      <c r="D85" s="89"/>
      <c r="E85" s="89"/>
      <c r="F85" s="215"/>
    </row>
    <row r="86" s="229" customFormat="1" ht="16.8" spans="1:6">
      <c r="A86" s="216"/>
      <c r="B86" s="211"/>
      <c r="C86" s="212"/>
      <c r="D86" s="89"/>
      <c r="E86" s="89"/>
      <c r="F86" s="215"/>
    </row>
    <row r="87" s="229" customFormat="1" ht="16.8" spans="1:6">
      <c r="A87" s="216"/>
      <c r="B87" s="211"/>
      <c r="C87" s="212"/>
      <c r="D87" s="89"/>
      <c r="E87" s="89"/>
      <c r="F87" s="215"/>
    </row>
    <row r="88" s="229" customFormat="1" spans="1:6">
      <c r="A88" s="216"/>
      <c r="B88" s="211"/>
      <c r="C88" s="212"/>
      <c r="D88" s="89"/>
      <c r="E88" s="89"/>
      <c r="F88" s="215"/>
    </row>
    <row r="89" s="229" customFormat="1" spans="1:6">
      <c r="A89" s="216"/>
      <c r="B89" s="211"/>
      <c r="C89" s="212"/>
      <c r="D89" s="89"/>
      <c r="E89" s="89"/>
      <c r="F89" s="215"/>
    </row>
    <row r="90" s="229" customFormat="1" spans="1:6">
      <c r="A90" s="216"/>
      <c r="B90" s="211"/>
      <c r="C90" s="212"/>
      <c r="D90" s="89"/>
      <c r="E90" s="89"/>
      <c r="F90" s="215"/>
    </row>
    <row r="91" s="229" customFormat="1" ht="16.8" spans="1:6">
      <c r="A91" s="216"/>
      <c r="B91" s="211"/>
      <c r="C91" s="212"/>
      <c r="D91" s="89"/>
      <c r="E91" s="89"/>
      <c r="F91" s="215"/>
    </row>
    <row r="92" s="229" customFormat="1" ht="16.8" spans="1:6">
      <c r="A92" s="216"/>
      <c r="B92" s="211"/>
      <c r="C92" s="212"/>
      <c r="D92" s="89"/>
      <c r="E92" s="89"/>
      <c r="F92" s="215"/>
    </row>
    <row r="93" s="229" customFormat="1" ht="16.8" spans="1:6">
      <c r="A93" s="216"/>
      <c r="B93" s="211"/>
      <c r="C93" s="212"/>
      <c r="D93" s="89"/>
      <c r="E93" s="89"/>
      <c r="F93" s="215"/>
    </row>
    <row r="94" s="229" customFormat="1" ht="16.8" spans="1:6">
      <c r="A94" s="216"/>
      <c r="B94" s="211"/>
      <c r="C94" s="212"/>
      <c r="D94" s="89"/>
      <c r="E94" s="89"/>
      <c r="F94" s="215"/>
    </row>
    <row r="95" s="229" customFormat="1" ht="16.8" spans="1:6">
      <c r="A95" s="216"/>
      <c r="B95" s="211"/>
      <c r="C95" s="212"/>
      <c r="D95" s="89"/>
      <c r="E95" s="89"/>
      <c r="F95" s="215"/>
    </row>
    <row r="96" s="229" customFormat="1" ht="16.8" spans="1:6">
      <c r="A96" s="216"/>
      <c r="B96" s="211"/>
      <c r="C96" s="212"/>
      <c r="D96" s="89"/>
      <c r="E96" s="89"/>
      <c r="F96" s="215"/>
    </row>
    <row r="97" s="229" customFormat="1" ht="16.8" spans="1:6">
      <c r="A97" s="216"/>
      <c r="B97" s="211"/>
      <c r="C97" s="212"/>
      <c r="D97" s="89"/>
      <c r="E97" s="89"/>
      <c r="F97" s="215"/>
    </row>
    <row r="98" s="229" customFormat="1" ht="16.8" spans="1:6">
      <c r="A98" s="216"/>
      <c r="B98" s="211"/>
      <c r="C98" s="212"/>
      <c r="D98" s="89"/>
      <c r="E98" s="89"/>
      <c r="F98" s="215"/>
    </row>
    <row r="99" s="229" customFormat="1" ht="16.8" spans="1:6">
      <c r="A99" s="216"/>
      <c r="B99" s="211"/>
      <c r="C99" s="212"/>
      <c r="D99" s="89"/>
      <c r="E99" s="89"/>
      <c r="F99" s="215"/>
    </row>
    <row r="100" s="229" customFormat="1" ht="16.8" spans="1:6">
      <c r="A100" s="216"/>
      <c r="B100" s="211"/>
      <c r="C100" s="212"/>
      <c r="D100" s="89"/>
      <c r="E100" s="89"/>
      <c r="F100" s="215"/>
    </row>
    <row r="101" s="229" customFormat="1" ht="16.8" spans="1:6">
      <c r="A101" s="216"/>
      <c r="B101" s="211"/>
      <c r="C101" s="212"/>
      <c r="D101" s="89"/>
      <c r="E101" s="89"/>
      <c r="F101" s="215"/>
    </row>
    <row r="102" s="229" customFormat="1" ht="16.8" spans="1:6">
      <c r="A102" s="216"/>
      <c r="B102" s="211"/>
      <c r="C102" s="212"/>
      <c r="D102" s="89"/>
      <c r="E102" s="89"/>
      <c r="F102" s="215"/>
    </row>
    <row r="103" s="229" customFormat="1" ht="16.8" spans="1:6">
      <c r="A103" s="216"/>
      <c r="B103" s="211"/>
      <c r="C103" s="212"/>
      <c r="D103" s="89"/>
      <c r="E103" s="89"/>
      <c r="F103" s="215"/>
    </row>
    <row r="104" s="229" customFormat="1" ht="16.8" spans="1:6">
      <c r="A104" s="216"/>
      <c r="B104" s="211"/>
      <c r="C104" s="212"/>
      <c r="D104" s="89"/>
      <c r="E104" s="89"/>
      <c r="F104" s="215"/>
    </row>
    <row r="105" s="229" customFormat="1" ht="16.8" spans="1:6">
      <c r="A105" s="216"/>
      <c r="B105" s="211"/>
      <c r="C105" s="212"/>
      <c r="D105" s="89"/>
      <c r="E105" s="89"/>
      <c r="F105" s="215"/>
    </row>
    <row r="106" s="229" customFormat="1" ht="16.8" spans="1:6">
      <c r="A106" s="216"/>
      <c r="B106" s="211"/>
      <c r="C106" s="212"/>
      <c r="D106" s="89"/>
      <c r="E106" s="89"/>
      <c r="F106" s="215"/>
    </row>
    <row r="107" s="229" customFormat="1" ht="16.8" spans="1:6">
      <c r="A107" s="216"/>
      <c r="B107" s="211"/>
      <c r="C107" s="212"/>
      <c r="D107" s="89"/>
      <c r="E107" s="89"/>
      <c r="F107" s="215"/>
    </row>
    <row r="108" s="229" customFormat="1" ht="16.8" spans="1:6">
      <c r="A108" s="216"/>
      <c r="B108" s="211"/>
      <c r="C108" s="212"/>
      <c r="D108" s="89"/>
      <c r="E108" s="89"/>
      <c r="F108" s="215"/>
    </row>
    <row r="109" s="229" customFormat="1" ht="16.8" spans="1:6">
      <c r="A109" s="216"/>
      <c r="B109" s="211"/>
      <c r="C109" s="212"/>
      <c r="D109" s="89"/>
      <c r="E109" s="89"/>
      <c r="F109" s="215"/>
    </row>
    <row r="110" s="229" customFormat="1" ht="16.8" spans="1:6">
      <c r="A110" s="216"/>
      <c r="B110" s="211"/>
      <c r="C110" s="212"/>
      <c r="D110" s="89"/>
      <c r="E110" s="89"/>
      <c r="F110" s="215"/>
    </row>
    <row r="111" s="229" customFormat="1" ht="16.8" spans="1:6">
      <c r="A111" s="216"/>
      <c r="B111" s="211"/>
      <c r="C111" s="212"/>
      <c r="D111" s="89"/>
      <c r="E111" s="89"/>
      <c r="F111" s="215"/>
    </row>
    <row r="112" s="229" customFormat="1" ht="16.8" spans="1:6">
      <c r="A112" s="216"/>
      <c r="B112" s="211"/>
      <c r="C112" s="212"/>
      <c r="D112" s="89"/>
      <c r="E112" s="89"/>
      <c r="F112" s="215"/>
    </row>
    <row r="113" s="229" customFormat="1" ht="16.8" spans="1:6">
      <c r="A113" s="216"/>
      <c r="B113" s="211"/>
      <c r="C113" s="212"/>
      <c r="D113" s="89"/>
      <c r="E113" s="89"/>
      <c r="F113" s="215"/>
    </row>
    <row r="114" s="229" customFormat="1" ht="16.8" spans="1:6">
      <c r="A114" s="216"/>
      <c r="B114" s="211"/>
      <c r="C114" s="212"/>
      <c r="D114" s="89"/>
      <c r="E114" s="89"/>
      <c r="F114" s="215"/>
    </row>
    <row r="115" s="229" customFormat="1" ht="16.8" spans="1:6">
      <c r="A115" s="216"/>
      <c r="B115" s="211"/>
      <c r="C115" s="212"/>
      <c r="D115" s="89"/>
      <c r="E115" s="89"/>
      <c r="F115" s="215"/>
    </row>
    <row r="116" s="229" customFormat="1" ht="16.8" spans="1:6">
      <c r="A116" s="216"/>
      <c r="B116" s="211"/>
      <c r="C116" s="212"/>
      <c r="D116" s="89"/>
      <c r="E116" s="89"/>
      <c r="F116" s="215"/>
    </row>
    <row r="117" s="229" customFormat="1" ht="16.8" spans="1:6">
      <c r="A117" s="216"/>
      <c r="B117" s="211"/>
      <c r="C117" s="212"/>
      <c r="D117" s="89"/>
      <c r="E117" s="89"/>
      <c r="F117" s="215"/>
    </row>
    <row r="118" s="229" customFormat="1" ht="16.8" spans="1:6">
      <c r="A118" s="216"/>
      <c r="B118" s="211"/>
      <c r="C118" s="212"/>
      <c r="D118" s="89"/>
      <c r="E118" s="89"/>
      <c r="F118" s="215"/>
    </row>
    <row r="119" s="229" customFormat="1" ht="16.8" spans="1:6">
      <c r="A119" s="216"/>
      <c r="B119" s="211"/>
      <c r="C119" s="212"/>
      <c r="D119" s="89"/>
      <c r="E119" s="89"/>
      <c r="F119" s="215"/>
    </row>
    <row r="120" s="229" customFormat="1" ht="16.8" spans="1:6">
      <c r="A120" s="216"/>
      <c r="B120" s="211"/>
      <c r="C120" s="212"/>
      <c r="D120" s="89"/>
      <c r="E120" s="89"/>
      <c r="F120" s="215"/>
    </row>
    <row r="121" s="229" customFormat="1" ht="16.8" spans="1:6">
      <c r="A121" s="216"/>
      <c r="B121" s="211"/>
      <c r="C121" s="212"/>
      <c r="D121" s="89"/>
      <c r="E121" s="89"/>
      <c r="F121" s="215"/>
    </row>
    <row r="122" s="229" customFormat="1" ht="16.8" spans="1:6">
      <c r="A122" s="216"/>
      <c r="B122" s="211"/>
      <c r="C122" s="212"/>
      <c r="D122" s="89"/>
      <c r="E122" s="89"/>
      <c r="F122" s="215"/>
    </row>
    <row r="123" s="229" customFormat="1" ht="16.8" spans="1:6">
      <c r="A123" s="216"/>
      <c r="B123" s="211"/>
      <c r="C123" s="212"/>
      <c r="D123" s="89"/>
      <c r="E123" s="89"/>
      <c r="F123" s="215"/>
    </row>
    <row r="124" s="229" customFormat="1" ht="16.8" spans="1:6">
      <c r="A124" s="216"/>
      <c r="B124" s="211"/>
      <c r="C124" s="212"/>
      <c r="D124" s="89"/>
      <c r="E124" s="89"/>
      <c r="F124" s="215"/>
    </row>
    <row r="125" s="229" customFormat="1" ht="16.8" spans="1:6">
      <c r="A125" s="216"/>
      <c r="B125" s="211"/>
      <c r="C125" s="212"/>
      <c r="D125" s="89"/>
      <c r="E125" s="89"/>
      <c r="F125" s="215"/>
    </row>
    <row r="126" s="229" customFormat="1" ht="16.8" spans="1:6">
      <c r="A126" s="216"/>
      <c r="B126" s="211"/>
      <c r="C126" s="212"/>
      <c r="D126" s="89"/>
      <c r="E126" s="89"/>
      <c r="F126" s="215"/>
    </row>
    <row r="127" s="229" customFormat="1" ht="16.8" spans="1:6">
      <c r="A127" s="216"/>
      <c r="B127" s="211"/>
      <c r="C127" s="212"/>
      <c r="D127" s="89"/>
      <c r="E127" s="89"/>
      <c r="F127" s="215"/>
    </row>
    <row r="128" s="229" customFormat="1" ht="16.8" spans="1:6">
      <c r="A128" s="216"/>
      <c r="B128" s="211"/>
      <c r="C128" s="212"/>
      <c r="D128" s="89"/>
      <c r="E128" s="89"/>
      <c r="F128" s="215"/>
    </row>
    <row r="129" s="229" customFormat="1" ht="16.8" spans="1:6">
      <c r="A129" s="216"/>
      <c r="B129" s="211"/>
      <c r="C129" s="212"/>
      <c r="D129" s="89"/>
      <c r="E129" s="89"/>
      <c r="F129" s="215"/>
    </row>
    <row r="130" s="229" customFormat="1" ht="16.8" spans="1:6">
      <c r="A130" s="216"/>
      <c r="B130" s="211"/>
      <c r="C130" s="212"/>
      <c r="D130" s="89"/>
      <c r="E130" s="89"/>
      <c r="F130" s="215"/>
    </row>
    <row r="131" s="229" customFormat="1" ht="16.8" spans="1:6">
      <c r="A131" s="216"/>
      <c r="B131" s="211"/>
      <c r="C131" s="212"/>
      <c r="D131" s="89"/>
      <c r="E131" s="89"/>
      <c r="F131" s="215"/>
    </row>
    <row r="132" s="229" customFormat="1" ht="16.8" spans="1:6">
      <c r="A132" s="216"/>
      <c r="B132" s="211"/>
      <c r="C132" s="212"/>
      <c r="D132" s="89"/>
      <c r="E132" s="89"/>
      <c r="F132" s="215"/>
    </row>
    <row r="133" s="229" customFormat="1" ht="16.8" spans="1:6">
      <c r="A133" s="216"/>
      <c r="B133" s="211"/>
      <c r="C133" s="212"/>
      <c r="D133" s="89"/>
      <c r="E133" s="89"/>
      <c r="F133" s="215"/>
    </row>
    <row r="134" s="229" customFormat="1" ht="16.8" spans="1:6">
      <c r="A134" s="216"/>
      <c r="B134" s="211"/>
      <c r="C134" s="212"/>
      <c r="D134" s="89"/>
      <c r="E134" s="89"/>
      <c r="F134" s="215"/>
    </row>
    <row r="135" s="229" customFormat="1" ht="16.8" spans="1:6">
      <c r="A135" s="216"/>
      <c r="B135" s="211"/>
      <c r="C135" s="212"/>
      <c r="D135" s="89"/>
      <c r="E135" s="89"/>
      <c r="F135" s="215"/>
    </row>
    <row r="136" s="229" customFormat="1" spans="1:6">
      <c r="A136" s="216"/>
      <c r="B136" s="211"/>
      <c r="C136" s="212"/>
      <c r="D136" s="89"/>
      <c r="E136" s="89"/>
      <c r="F136" s="215"/>
    </row>
    <row r="137" s="229" customFormat="1" ht="16.8" spans="1:6">
      <c r="A137" s="216"/>
      <c r="B137" s="211"/>
      <c r="C137" s="212"/>
      <c r="D137" s="89"/>
      <c r="E137" s="89"/>
      <c r="F137" s="215"/>
    </row>
    <row r="138" s="229" customFormat="1" ht="16.8" spans="1:6">
      <c r="A138" s="216"/>
      <c r="B138" s="211"/>
      <c r="C138" s="212"/>
      <c r="D138" s="89"/>
      <c r="E138" s="89"/>
      <c r="F138" s="215"/>
    </row>
    <row r="139" s="229" customFormat="1" ht="16.8" spans="1:7">
      <c r="A139" s="216"/>
      <c r="B139" s="211"/>
      <c r="C139" s="212"/>
      <c r="D139" s="89"/>
      <c r="E139" s="89"/>
      <c r="F139" s="215"/>
      <c r="G139" s="241"/>
    </row>
    <row r="140" s="229" customFormat="1" ht="16.8" spans="1:7">
      <c r="A140" s="216"/>
      <c r="B140" s="211"/>
      <c r="C140" s="212"/>
      <c r="D140" s="89"/>
      <c r="E140" s="89"/>
      <c r="F140" s="215"/>
      <c r="G140" s="241"/>
    </row>
    <row r="141" s="229" customFormat="1" ht="16.8" spans="1:7">
      <c r="A141" s="216"/>
      <c r="B141" s="211"/>
      <c r="C141" s="212"/>
      <c r="D141" s="89"/>
      <c r="E141" s="89"/>
      <c r="F141" s="215"/>
      <c r="G141" s="241"/>
    </row>
    <row r="142" s="229" customFormat="1" ht="16.8" spans="1:7">
      <c r="A142" s="216"/>
      <c r="B142" s="211"/>
      <c r="C142" s="212"/>
      <c r="D142" s="89"/>
      <c r="E142" s="89"/>
      <c r="F142" s="215"/>
      <c r="G142" s="241"/>
    </row>
    <row r="143" s="229" customFormat="1" ht="16.8" spans="1:7">
      <c r="A143" s="216"/>
      <c r="B143" s="211"/>
      <c r="C143" s="212"/>
      <c r="D143" s="89"/>
      <c r="E143" s="89"/>
      <c r="F143" s="215"/>
      <c r="G143" s="241"/>
    </row>
    <row r="144" s="229" customFormat="1" ht="16.8" spans="1:7">
      <c r="A144" s="216"/>
      <c r="B144" s="211"/>
      <c r="C144" s="212"/>
      <c r="D144" s="89"/>
      <c r="E144" s="89"/>
      <c r="F144" s="215"/>
      <c r="G144" s="241"/>
    </row>
    <row r="145" s="229" customFormat="1" ht="16.8" spans="1:7">
      <c r="A145" s="216"/>
      <c r="B145" s="211"/>
      <c r="C145" s="212"/>
      <c r="D145" s="89"/>
      <c r="E145" s="89"/>
      <c r="F145" s="215"/>
      <c r="G145" s="241"/>
    </row>
    <row r="146" s="229" customFormat="1" ht="16.8" spans="1:7">
      <c r="A146" s="216"/>
      <c r="B146" s="211"/>
      <c r="C146" s="212"/>
      <c r="D146" s="89"/>
      <c r="E146" s="89"/>
      <c r="F146" s="215"/>
      <c r="G146" s="241"/>
    </row>
    <row r="147" s="229" customFormat="1" ht="16.8" spans="1:7">
      <c r="A147" s="216"/>
      <c r="B147" s="211"/>
      <c r="C147" s="212"/>
      <c r="D147" s="89"/>
      <c r="E147" s="89"/>
      <c r="F147" s="215"/>
      <c r="G147" s="241"/>
    </row>
    <row r="148" s="229" customFormat="1" ht="16.8" spans="1:7">
      <c r="A148" s="216"/>
      <c r="B148" s="211"/>
      <c r="C148" s="212"/>
      <c r="D148" s="89"/>
      <c r="E148" s="89"/>
      <c r="F148" s="215"/>
      <c r="G148" s="241"/>
    </row>
    <row r="149" s="229" customFormat="1" ht="16.8" spans="1:7">
      <c r="A149" s="216"/>
      <c r="B149" s="211"/>
      <c r="C149" s="212"/>
      <c r="D149" s="89"/>
      <c r="E149" s="89"/>
      <c r="F149" s="215"/>
      <c r="G149" s="241"/>
    </row>
    <row r="150" s="229" customFormat="1" ht="16.8" spans="1:7">
      <c r="A150" s="216"/>
      <c r="B150" s="211"/>
      <c r="C150" s="212"/>
      <c r="D150" s="89"/>
      <c r="E150" s="89"/>
      <c r="F150" s="215"/>
      <c r="G150" s="241"/>
    </row>
    <row r="151" s="229" customFormat="1" ht="16.8" spans="1:7">
      <c r="A151" s="216"/>
      <c r="B151" s="211"/>
      <c r="C151" s="212"/>
      <c r="D151" s="89"/>
      <c r="E151" s="89"/>
      <c r="F151" s="215"/>
      <c r="G151" s="241"/>
    </row>
    <row r="152" s="229" customFormat="1" ht="16.8" spans="1:7">
      <c r="A152" s="216"/>
      <c r="B152" s="211"/>
      <c r="C152" s="212"/>
      <c r="D152" s="89"/>
      <c r="E152" s="89"/>
      <c r="F152" s="215"/>
      <c r="G152" s="241"/>
    </row>
    <row r="153" s="229" customFormat="1" ht="16.8" spans="1:7">
      <c r="A153" s="216"/>
      <c r="B153" s="211"/>
      <c r="C153" s="212"/>
      <c r="D153" s="89"/>
      <c r="E153" s="89"/>
      <c r="F153" s="215"/>
      <c r="G153" s="241"/>
    </row>
    <row r="154" s="229" customFormat="1" ht="16.8" spans="1:7">
      <c r="A154" s="216"/>
      <c r="B154" s="211"/>
      <c r="C154" s="212"/>
      <c r="D154" s="89"/>
      <c r="E154" s="89"/>
      <c r="F154" s="215"/>
      <c r="G154" s="241"/>
    </row>
    <row r="155" s="229" customFormat="1" ht="16.8" spans="1:7">
      <c r="A155" s="216"/>
      <c r="B155" s="211"/>
      <c r="C155" s="212"/>
      <c r="D155" s="89"/>
      <c r="E155" s="89"/>
      <c r="F155" s="215"/>
      <c r="G155" s="241"/>
    </row>
    <row r="156" s="229" customFormat="1" ht="16.8" spans="1:7">
      <c r="A156" s="216"/>
      <c r="B156" s="211"/>
      <c r="C156" s="212"/>
      <c r="D156" s="89"/>
      <c r="E156" s="89"/>
      <c r="F156" s="215"/>
      <c r="G156" s="241"/>
    </row>
    <row r="157" s="229" customFormat="1" ht="16.8" spans="1:7">
      <c r="A157" s="216"/>
      <c r="B157" s="211"/>
      <c r="C157" s="212"/>
      <c r="D157" s="89"/>
      <c r="E157" s="89"/>
      <c r="F157" s="215"/>
      <c r="G157" s="241"/>
    </row>
    <row r="158" s="229" customFormat="1" ht="16.8" spans="1:7">
      <c r="A158" s="216"/>
      <c r="B158" s="211"/>
      <c r="C158" s="212"/>
      <c r="D158" s="89"/>
      <c r="E158" s="89"/>
      <c r="F158" s="215"/>
      <c r="G158" s="241"/>
    </row>
    <row r="159" s="229" customFormat="1" ht="16.8" spans="1:7">
      <c r="A159" s="216"/>
      <c r="B159" s="211"/>
      <c r="C159" s="212"/>
      <c r="D159" s="89"/>
      <c r="E159" s="89"/>
      <c r="F159" s="215"/>
      <c r="G159" s="241"/>
    </row>
    <row r="160" s="229" customFormat="1" ht="16.8" spans="1:7">
      <c r="A160" s="216"/>
      <c r="B160" s="211"/>
      <c r="C160" s="212"/>
      <c r="D160" s="89"/>
      <c r="E160" s="89"/>
      <c r="F160" s="215"/>
      <c r="G160" s="241"/>
    </row>
    <row r="161" s="229" customFormat="1" ht="16.8" spans="1:7">
      <c r="A161" s="216"/>
      <c r="B161" s="211"/>
      <c r="C161" s="212"/>
      <c r="D161" s="89"/>
      <c r="E161" s="89"/>
      <c r="F161" s="215"/>
      <c r="G161" s="241"/>
    </row>
    <row r="162" s="229" customFormat="1" ht="16.8" spans="1:7">
      <c r="A162" s="216"/>
      <c r="B162" s="211"/>
      <c r="C162" s="212"/>
      <c r="D162" s="89"/>
      <c r="E162" s="89"/>
      <c r="F162" s="215"/>
      <c r="G162" s="241"/>
    </row>
    <row r="163" s="229" customFormat="1" ht="16.8" spans="1:7">
      <c r="A163" s="216"/>
      <c r="B163" s="211"/>
      <c r="C163" s="212"/>
      <c r="D163" s="89"/>
      <c r="E163" s="89"/>
      <c r="F163" s="215"/>
      <c r="G163" s="241"/>
    </row>
    <row r="164" s="229" customFormat="1" ht="16.8" spans="1:7">
      <c r="A164" s="216"/>
      <c r="B164" s="211"/>
      <c r="C164" s="212"/>
      <c r="D164" s="89"/>
      <c r="E164" s="89"/>
      <c r="F164" s="215"/>
      <c r="G164" s="241"/>
    </row>
    <row r="165" s="229" customFormat="1" ht="16.8" spans="1:6">
      <c r="A165" s="216"/>
      <c r="B165" s="211"/>
      <c r="C165" s="212"/>
      <c r="D165" s="89"/>
      <c r="E165" s="89"/>
      <c r="F165" s="215"/>
    </row>
    <row r="166" s="229" customFormat="1" ht="16.8" spans="1:6">
      <c r="A166" s="216"/>
      <c r="B166" s="211"/>
      <c r="C166" s="212"/>
      <c r="D166" s="89"/>
      <c r="E166" s="89"/>
      <c r="F166" s="215"/>
    </row>
    <row r="167" s="229" customFormat="1" ht="16.8" spans="1:6">
      <c r="A167" s="216"/>
      <c r="B167" s="211"/>
      <c r="C167" s="212"/>
      <c r="D167" s="89"/>
      <c r="E167" s="89"/>
      <c r="F167" s="215"/>
    </row>
    <row r="168" s="229" customFormat="1" ht="16.8" spans="1:6">
      <c r="A168" s="216"/>
      <c r="B168" s="211"/>
      <c r="C168" s="212"/>
      <c r="D168" s="89"/>
      <c r="E168" s="89"/>
      <c r="F168" s="215"/>
    </row>
    <row r="169" s="229" customFormat="1" spans="1:6">
      <c r="A169" s="216"/>
      <c r="B169" s="211"/>
      <c r="C169" s="212"/>
      <c r="D169" s="89"/>
      <c r="E169" s="89"/>
      <c r="F169" s="215"/>
    </row>
    <row r="170" s="229" customFormat="1" ht="16.8" spans="1:6">
      <c r="A170" s="216"/>
      <c r="B170" s="211"/>
      <c r="C170" s="212"/>
      <c r="D170" s="89"/>
      <c r="E170" s="89"/>
      <c r="F170" s="215"/>
    </row>
    <row r="171" s="229" customFormat="1" ht="16.8" spans="1:6">
      <c r="A171" s="216"/>
      <c r="B171" s="211"/>
      <c r="C171" s="212"/>
      <c r="D171" s="89"/>
      <c r="E171" s="89"/>
      <c r="F171" s="215"/>
    </row>
    <row r="172" s="229" customFormat="1" ht="16.8" spans="1:6">
      <c r="A172" s="216"/>
      <c r="B172" s="211"/>
      <c r="C172" s="212"/>
      <c r="D172" s="89"/>
      <c r="E172" s="89"/>
      <c r="F172" s="215"/>
    </row>
    <row r="173" s="229" customFormat="1" ht="16.8" spans="1:6">
      <c r="A173" s="216"/>
      <c r="B173" s="211"/>
      <c r="C173" s="212"/>
      <c r="D173" s="89"/>
      <c r="E173" s="89"/>
      <c r="F173" s="215"/>
    </row>
    <row r="174" s="229" customFormat="1" ht="16.8" spans="1:6">
      <c r="A174" s="216"/>
      <c r="B174" s="211"/>
      <c r="C174" s="212"/>
      <c r="D174" s="89"/>
      <c r="E174" s="89"/>
      <c r="F174" s="215"/>
    </row>
    <row r="175" s="229" customFormat="1" ht="16.8" spans="1:6">
      <c r="A175" s="216"/>
      <c r="B175" s="211"/>
      <c r="C175" s="212"/>
      <c r="D175" s="89"/>
      <c r="E175" s="89"/>
      <c r="F175" s="215"/>
    </row>
    <row r="176" s="229" customFormat="1" ht="16.8" spans="1:6">
      <c r="A176" s="216"/>
      <c r="B176" s="211"/>
      <c r="C176" s="212"/>
      <c r="D176" s="89"/>
      <c r="E176" s="89"/>
      <c r="F176" s="215"/>
    </row>
    <row r="177" s="229" customFormat="1" ht="16.8" spans="1:6">
      <c r="A177" s="216"/>
      <c r="B177" s="211"/>
      <c r="C177" s="212"/>
      <c r="D177" s="89"/>
      <c r="E177" s="89"/>
      <c r="F177" s="215"/>
    </row>
    <row r="178" s="229" customFormat="1" ht="16.8" spans="1:6">
      <c r="A178" s="216"/>
      <c r="B178" s="211"/>
      <c r="C178" s="212"/>
      <c r="D178" s="89"/>
      <c r="E178" s="89"/>
      <c r="F178" s="215"/>
    </row>
    <row r="179" s="229" customFormat="1" ht="16.8" spans="1:6">
      <c r="A179" s="216"/>
      <c r="B179" s="211"/>
      <c r="C179" s="212"/>
      <c r="D179" s="89"/>
      <c r="E179" s="89"/>
      <c r="F179" s="215"/>
    </row>
    <row r="180" s="229" customFormat="1" ht="16.8" spans="1:6">
      <c r="A180" s="216"/>
      <c r="B180" s="211"/>
      <c r="C180" s="212"/>
      <c r="D180" s="89"/>
      <c r="E180" s="89"/>
      <c r="F180" s="215"/>
    </row>
    <row r="181" s="229" customFormat="1" ht="16.8" spans="1:6">
      <c r="A181" s="216"/>
      <c r="B181" s="211"/>
      <c r="C181" s="212"/>
      <c r="D181" s="89"/>
      <c r="E181" s="89"/>
      <c r="F181" s="215"/>
    </row>
    <row r="182" s="229" customFormat="1" ht="16.8" spans="1:6">
      <c r="A182" s="216"/>
      <c r="B182" s="211"/>
      <c r="C182" s="212"/>
      <c r="D182" s="89"/>
      <c r="E182" s="89"/>
      <c r="F182" s="215"/>
    </row>
    <row r="183" s="229" customFormat="1" ht="16.8" spans="1:6">
      <c r="A183" s="216"/>
      <c r="B183" s="211"/>
      <c r="C183" s="212"/>
      <c r="D183" s="89"/>
      <c r="E183" s="89"/>
      <c r="F183" s="215"/>
    </row>
    <row r="184" s="229" customFormat="1" ht="16.8" spans="1:6">
      <c r="A184" s="216"/>
      <c r="B184" s="211"/>
      <c r="C184" s="212"/>
      <c r="D184" s="89"/>
      <c r="E184" s="89"/>
      <c r="F184" s="215"/>
    </row>
    <row r="185" s="229" customFormat="1" ht="16.8" spans="1:6">
      <c r="A185" s="216"/>
      <c r="B185" s="211"/>
      <c r="C185" s="212"/>
      <c r="D185" s="89"/>
      <c r="E185" s="89"/>
      <c r="F185" s="215"/>
    </row>
    <row r="186" s="229" customFormat="1" ht="16.8" spans="1:6">
      <c r="A186" s="216"/>
      <c r="B186" s="211"/>
      <c r="C186" s="212"/>
      <c r="D186" s="89"/>
      <c r="E186" s="89"/>
      <c r="F186" s="215"/>
    </row>
    <row r="187" s="229" customFormat="1" ht="16.8" spans="1:6">
      <c r="A187" s="216"/>
      <c r="B187" s="211"/>
      <c r="C187" s="212"/>
      <c r="D187" s="89"/>
      <c r="E187" s="89"/>
      <c r="F187" s="215"/>
    </row>
    <row r="188" s="229" customFormat="1" ht="16.8" spans="1:6">
      <c r="A188" s="216"/>
      <c r="B188" s="211"/>
      <c r="C188" s="212"/>
      <c r="D188" s="89"/>
      <c r="E188" s="89"/>
      <c r="F188" s="215"/>
    </row>
    <row r="189" s="229" customFormat="1" ht="16.8" spans="1:6">
      <c r="A189" s="216"/>
      <c r="B189" s="211"/>
      <c r="C189" s="212"/>
      <c r="D189" s="89"/>
      <c r="E189" s="89"/>
      <c r="F189" s="215"/>
    </row>
    <row r="190" s="229" customFormat="1" ht="16.8" spans="1:6">
      <c r="A190" s="216"/>
      <c r="B190" s="211"/>
      <c r="C190" s="212"/>
      <c r="D190" s="89"/>
      <c r="E190" s="89"/>
      <c r="F190" s="215"/>
    </row>
    <row r="191" s="229" customFormat="1" ht="16.8" spans="1:6">
      <c r="A191" s="216"/>
      <c r="B191" s="211"/>
      <c r="C191" s="212"/>
      <c r="D191" s="89"/>
      <c r="E191" s="89"/>
      <c r="F191" s="215"/>
    </row>
    <row r="192" s="229" customFormat="1" ht="16.8" spans="1:6">
      <c r="A192" s="216"/>
      <c r="B192" s="211"/>
      <c r="C192" s="212"/>
      <c r="D192" s="89"/>
      <c r="E192" s="89"/>
      <c r="F192" s="215"/>
    </row>
    <row r="193" s="229" customFormat="1" ht="16.8" spans="1:6">
      <c r="A193" s="216"/>
      <c r="B193" s="211"/>
      <c r="C193" s="212"/>
      <c r="D193" s="89"/>
      <c r="E193" s="89"/>
      <c r="F193" s="215"/>
    </row>
    <row r="194" s="229" customFormat="1" ht="16.8" spans="1:6">
      <c r="A194" s="216"/>
      <c r="B194" s="211"/>
      <c r="C194" s="212"/>
      <c r="D194" s="89"/>
      <c r="E194" s="89"/>
      <c r="F194" s="215"/>
    </row>
    <row r="195" s="229" customFormat="1" ht="16.8" spans="1:6">
      <c r="A195" s="216"/>
      <c r="B195" s="211"/>
      <c r="C195" s="212"/>
      <c r="D195" s="89"/>
      <c r="E195" s="89"/>
      <c r="F195" s="215"/>
    </row>
    <row r="196" s="229" customFormat="1" ht="16.8" spans="1:6">
      <c r="A196" s="216"/>
      <c r="B196" s="211"/>
      <c r="C196" s="212"/>
      <c r="D196" s="89"/>
      <c r="E196" s="89"/>
      <c r="F196" s="215"/>
    </row>
    <row r="197" s="229" customFormat="1" ht="16.8" spans="1:6">
      <c r="A197" s="216"/>
      <c r="B197" s="211"/>
      <c r="C197" s="212"/>
      <c r="D197" s="89"/>
      <c r="E197" s="89"/>
      <c r="F197" s="215"/>
    </row>
    <row r="198" s="229" customFormat="1" ht="16.8" spans="1:6">
      <c r="A198" s="216"/>
      <c r="B198" s="211"/>
      <c r="C198" s="212"/>
      <c r="D198" s="89"/>
      <c r="E198" s="89"/>
      <c r="F198" s="215"/>
    </row>
    <row r="199" s="229" customFormat="1" ht="16.8" spans="1:6">
      <c r="A199" s="216"/>
      <c r="B199" s="211"/>
      <c r="C199" s="212"/>
      <c r="D199" s="89"/>
      <c r="E199" s="89"/>
      <c r="F199" s="215"/>
    </row>
    <row r="200" s="229" customFormat="1" ht="16.8" spans="1:6">
      <c r="A200" s="216"/>
      <c r="B200" s="211"/>
      <c r="C200" s="212"/>
      <c r="D200" s="89"/>
      <c r="E200" s="89"/>
      <c r="F200" s="215"/>
    </row>
    <row r="201" s="229" customFormat="1" ht="16.8" spans="1:6">
      <c r="A201" s="216"/>
      <c r="B201" s="211"/>
      <c r="C201" s="212"/>
      <c r="D201" s="89"/>
      <c r="E201" s="89"/>
      <c r="F201" s="215"/>
    </row>
    <row r="202" s="229" customFormat="1" ht="16.8" spans="1:6">
      <c r="A202" s="216"/>
      <c r="B202" s="211"/>
      <c r="C202" s="212"/>
      <c r="D202" s="89"/>
      <c r="E202" s="89"/>
      <c r="F202" s="215"/>
    </row>
    <row r="203" s="229" customFormat="1" ht="16.8" spans="1:6">
      <c r="A203" s="216"/>
      <c r="B203" s="211"/>
      <c r="C203" s="212"/>
      <c r="D203" s="89"/>
      <c r="E203" s="89"/>
      <c r="F203" s="215"/>
    </row>
    <row r="204" s="229" customFormat="1" ht="16.8" spans="1:6">
      <c r="A204" s="216"/>
      <c r="B204" s="211"/>
      <c r="C204" s="212"/>
      <c r="D204" s="89"/>
      <c r="E204" s="89"/>
      <c r="F204" s="215"/>
    </row>
    <row r="205" s="229" customFormat="1" ht="16.8" spans="1:6">
      <c r="A205" s="216"/>
      <c r="B205" s="211"/>
      <c r="C205" s="212"/>
      <c r="D205" s="89"/>
      <c r="E205" s="89"/>
      <c r="F205" s="215"/>
    </row>
    <row r="206" s="229" customFormat="1" ht="16.8" spans="1:6">
      <c r="A206" s="216"/>
      <c r="B206" s="211"/>
      <c r="C206" s="212"/>
      <c r="D206" s="89"/>
      <c r="E206" s="89"/>
      <c r="F206" s="215"/>
    </row>
    <row r="207" s="229" customFormat="1" ht="16.8" spans="1:6">
      <c r="A207" s="216"/>
      <c r="B207" s="211"/>
      <c r="C207" s="212"/>
      <c r="D207" s="89"/>
      <c r="E207" s="89"/>
      <c r="F207" s="215"/>
    </row>
    <row r="208" s="229" customFormat="1" ht="16.8" spans="1:6">
      <c r="A208" s="216"/>
      <c r="B208" s="211"/>
      <c r="C208" s="212"/>
      <c r="D208" s="89"/>
      <c r="E208" s="89"/>
      <c r="F208" s="215"/>
    </row>
    <row r="209" s="229" customFormat="1" ht="16.8" spans="1:6">
      <c r="A209" s="216"/>
      <c r="B209" s="211"/>
      <c r="C209" s="212"/>
      <c r="D209" s="89"/>
      <c r="E209" s="89"/>
      <c r="F209" s="215"/>
    </row>
    <row r="210" s="229" customFormat="1" ht="16.8" spans="1:6">
      <c r="A210" s="216"/>
      <c r="B210" s="211"/>
      <c r="C210" s="212"/>
      <c r="D210" s="89"/>
      <c r="E210" s="89"/>
      <c r="F210" s="215"/>
    </row>
    <row r="211" s="229" customFormat="1" ht="16.8" spans="1:6">
      <c r="A211" s="216"/>
      <c r="B211" s="211"/>
      <c r="C211" s="212"/>
      <c r="D211" s="89"/>
      <c r="E211" s="89"/>
      <c r="F211" s="215"/>
    </row>
    <row r="212" s="229" customFormat="1" ht="16.8" spans="1:6">
      <c r="A212" s="216"/>
      <c r="B212" s="211"/>
      <c r="C212" s="212"/>
      <c r="D212" s="89"/>
      <c r="E212" s="89"/>
      <c r="F212" s="215"/>
    </row>
    <row r="213" s="229" customFormat="1" ht="16.8" spans="1:6">
      <c r="A213" s="216"/>
      <c r="B213" s="211"/>
      <c r="C213" s="212"/>
      <c r="D213" s="89"/>
      <c r="E213" s="89"/>
      <c r="F213" s="215"/>
    </row>
    <row r="214" s="229" customFormat="1" ht="16.8" spans="1:6">
      <c r="A214" s="216"/>
      <c r="B214" s="211"/>
      <c r="C214" s="212"/>
      <c r="D214" s="89"/>
      <c r="E214" s="89"/>
      <c r="F214" s="215"/>
    </row>
    <row r="215" s="229" customFormat="1" ht="16.8" spans="1:6">
      <c r="A215" s="216"/>
      <c r="B215" s="211"/>
      <c r="C215" s="212"/>
      <c r="D215" s="89"/>
      <c r="E215" s="89"/>
      <c r="F215" s="215"/>
    </row>
    <row r="216" s="229" customFormat="1" ht="16.8" spans="1:6">
      <c r="A216" s="216"/>
      <c r="B216" s="211"/>
      <c r="C216" s="212"/>
      <c r="D216" s="89"/>
      <c r="E216" s="89"/>
      <c r="F216" s="215"/>
    </row>
    <row r="217" s="229" customFormat="1" ht="16.8" spans="1:6">
      <c r="A217" s="216"/>
      <c r="B217" s="211"/>
      <c r="C217" s="212"/>
      <c r="D217" s="89"/>
      <c r="E217" s="89"/>
      <c r="F217" s="215"/>
    </row>
    <row r="218" s="229" customFormat="1" ht="16.8" spans="1:6">
      <c r="A218" s="216"/>
      <c r="B218" s="211"/>
      <c r="C218" s="212"/>
      <c r="D218" s="89"/>
      <c r="E218" s="89"/>
      <c r="F218" s="215"/>
    </row>
    <row r="219" s="229" customFormat="1" ht="16.8" spans="1:6">
      <c r="A219" s="216"/>
      <c r="B219" s="211"/>
      <c r="C219" s="212"/>
      <c r="D219" s="89"/>
      <c r="E219" s="89"/>
      <c r="F219" s="215"/>
    </row>
    <row r="220" s="229" customFormat="1" ht="16.8" spans="1:6">
      <c r="A220" s="216"/>
      <c r="B220" s="211"/>
      <c r="C220" s="212"/>
      <c r="D220" s="89"/>
      <c r="E220" s="89"/>
      <c r="F220" s="215"/>
    </row>
    <row r="221" s="229" customFormat="1" ht="16.8" spans="1:6">
      <c r="A221" s="216"/>
      <c r="B221" s="211"/>
      <c r="C221" s="212"/>
      <c r="D221" s="89"/>
      <c r="E221" s="89"/>
      <c r="F221" s="215"/>
    </row>
    <row r="222" s="229" customFormat="1" spans="1:6">
      <c r="A222" s="242"/>
      <c r="B222" s="243"/>
      <c r="C222" s="244"/>
      <c r="D222" s="245"/>
      <c r="E222" s="89"/>
      <c r="F222" s="215"/>
    </row>
    <row r="223" s="229" customFormat="1" spans="1:6">
      <c r="A223" s="242"/>
      <c r="B223" s="243"/>
      <c r="C223" s="244"/>
      <c r="D223" s="245"/>
      <c r="E223" s="89"/>
      <c r="F223" s="215"/>
    </row>
    <row r="224" s="229" customFormat="1" spans="1:6">
      <c r="A224" s="242"/>
      <c r="B224" s="243"/>
      <c r="C224" s="244"/>
      <c r="D224" s="245"/>
      <c r="E224" s="89"/>
      <c r="F224" s="215"/>
    </row>
    <row r="225" s="229" customFormat="1" spans="1:6">
      <c r="A225" s="242"/>
      <c r="B225" s="243"/>
      <c r="C225" s="244"/>
      <c r="D225" s="245"/>
      <c r="E225" s="89"/>
      <c r="F225" s="215"/>
    </row>
    <row r="226" s="229" customFormat="1" spans="1:6">
      <c r="A226" s="242"/>
      <c r="B226" s="243"/>
      <c r="C226" s="244"/>
      <c r="D226" s="245"/>
      <c r="E226" s="89"/>
      <c r="F226" s="215"/>
    </row>
    <row r="227" s="229" customFormat="1" spans="1:6">
      <c r="A227" s="242"/>
      <c r="B227" s="243"/>
      <c r="C227" s="244"/>
      <c r="D227" s="245"/>
      <c r="E227" s="89"/>
      <c r="F227" s="215"/>
    </row>
    <row r="228" s="229" customFormat="1" spans="1:6">
      <c r="A228" s="242"/>
      <c r="B228" s="243"/>
      <c r="C228" s="244"/>
      <c r="D228" s="245"/>
      <c r="E228" s="89"/>
      <c r="F228" s="215"/>
    </row>
    <row r="229" s="229" customFormat="1" spans="1:6">
      <c r="A229" s="242"/>
      <c r="B229" s="243"/>
      <c r="C229" s="244"/>
      <c r="D229" s="245"/>
      <c r="E229" s="89"/>
      <c r="F229" s="215"/>
    </row>
    <row r="230" s="229" customFormat="1" spans="1:6">
      <c r="A230" s="242"/>
      <c r="B230" s="243"/>
      <c r="C230" s="244"/>
      <c r="D230" s="245"/>
      <c r="E230" s="89"/>
      <c r="F230" s="215"/>
    </row>
    <row r="231" s="229" customFormat="1" spans="1:6">
      <c r="A231" s="242"/>
      <c r="B231" s="243"/>
      <c r="C231" s="244"/>
      <c r="D231" s="245"/>
      <c r="E231" s="89"/>
      <c r="F231" s="215"/>
    </row>
    <row r="232" s="229" customFormat="1" spans="1:6">
      <c r="A232" s="242"/>
      <c r="B232" s="243"/>
      <c r="C232" s="244"/>
      <c r="D232" s="245"/>
      <c r="E232" s="89"/>
      <c r="F232" s="215"/>
    </row>
    <row r="233" s="229" customFormat="1" spans="1:6">
      <c r="A233" s="242"/>
      <c r="B233" s="243"/>
      <c r="C233" s="244"/>
      <c r="D233" s="245"/>
      <c r="E233" s="89"/>
      <c r="F233" s="215"/>
    </row>
    <row r="234" s="229" customFormat="1" spans="1:6">
      <c r="A234" s="242"/>
      <c r="B234" s="243"/>
      <c r="C234" s="244"/>
      <c r="D234" s="245"/>
      <c r="E234" s="89"/>
      <c r="F234" s="215"/>
    </row>
    <row r="235" s="229" customFormat="1" spans="1:6">
      <c r="A235" s="242"/>
      <c r="B235" s="243"/>
      <c r="C235" s="244"/>
      <c r="D235" s="245"/>
      <c r="E235" s="89"/>
      <c r="F235" s="215"/>
    </row>
    <row r="236" s="229" customFormat="1" spans="1:6">
      <c r="A236" s="242"/>
      <c r="B236" s="243"/>
      <c r="C236" s="244"/>
      <c r="D236" s="245"/>
      <c r="E236" s="89"/>
      <c r="F236" s="215"/>
    </row>
    <row r="237" s="229" customFormat="1" spans="1:6">
      <c r="A237" s="242"/>
      <c r="B237" s="243"/>
      <c r="C237" s="244"/>
      <c r="D237" s="245"/>
      <c r="E237" s="89"/>
      <c r="F237" s="215"/>
    </row>
    <row r="238" s="229" customFormat="1" spans="1:6">
      <c r="A238" s="242"/>
      <c r="B238" s="243"/>
      <c r="C238" s="244"/>
      <c r="D238" s="245"/>
      <c r="E238" s="89"/>
      <c r="F238" s="215"/>
    </row>
    <row r="239" s="229" customFormat="1" spans="1:7">
      <c r="A239" s="242"/>
      <c r="B239" s="243"/>
      <c r="C239" s="244"/>
      <c r="D239" s="245"/>
      <c r="E239" s="89"/>
      <c r="F239" s="215"/>
      <c r="G239" s="241"/>
    </row>
    <row r="240" s="229" customFormat="1" spans="1:6">
      <c r="A240" s="242"/>
      <c r="B240" s="243"/>
      <c r="C240" s="244"/>
      <c r="D240" s="245"/>
      <c r="E240" s="89"/>
      <c r="F240" s="215"/>
    </row>
    <row r="241" s="229" customFormat="1" spans="1:6">
      <c r="A241" s="242"/>
      <c r="B241" s="243"/>
      <c r="C241" s="244"/>
      <c r="D241" s="245"/>
      <c r="E241" s="89"/>
      <c r="F241" s="215"/>
    </row>
    <row r="242" s="229" customFormat="1" spans="1:6">
      <c r="A242" s="242"/>
      <c r="B242" s="243"/>
      <c r="C242" s="244"/>
      <c r="D242" s="245"/>
      <c r="E242" s="89"/>
      <c r="F242" s="215"/>
    </row>
    <row r="243" s="229" customFormat="1" spans="1:6">
      <c r="A243" s="242"/>
      <c r="B243" s="243"/>
      <c r="C243" s="244"/>
      <c r="D243" s="245"/>
      <c r="E243" s="89"/>
      <c r="F243" s="215"/>
    </row>
    <row r="244" s="229" customFormat="1" spans="1:6">
      <c r="A244" s="242"/>
      <c r="B244" s="243"/>
      <c r="C244" s="244"/>
      <c r="D244" s="245"/>
      <c r="E244" s="89"/>
      <c r="F244" s="215"/>
    </row>
    <row r="245" s="229" customFormat="1" spans="1:6">
      <c r="A245" s="242"/>
      <c r="B245" s="243"/>
      <c r="C245" s="244"/>
      <c r="D245" s="245"/>
      <c r="E245" s="89"/>
      <c r="F245" s="215"/>
    </row>
    <row r="246" s="229" customFormat="1" spans="1:6">
      <c r="A246" s="242"/>
      <c r="B246" s="243"/>
      <c r="C246" s="244"/>
      <c r="D246" s="245"/>
      <c r="E246" s="89"/>
      <c r="F246" s="215"/>
    </row>
    <row r="247" s="229" customFormat="1" spans="1:6">
      <c r="A247" s="242"/>
      <c r="B247" s="243"/>
      <c r="C247" s="244"/>
      <c r="D247" s="245"/>
      <c r="E247" s="89"/>
      <c r="F247" s="215"/>
    </row>
    <row r="248" s="229" customFormat="1" spans="1:6">
      <c r="A248" s="242"/>
      <c r="B248" s="243"/>
      <c r="C248" s="244"/>
      <c r="D248" s="245"/>
      <c r="E248" s="89"/>
      <c r="F248" s="215"/>
    </row>
    <row r="249" s="229" customFormat="1" spans="1:6">
      <c r="A249" s="242"/>
      <c r="B249" s="243"/>
      <c r="C249" s="244"/>
      <c r="D249" s="245"/>
      <c r="E249" s="89"/>
      <c r="F249" s="215"/>
    </row>
    <row r="250" s="229" customFormat="1" spans="1:6">
      <c r="A250" s="242"/>
      <c r="B250" s="243"/>
      <c r="C250" s="244"/>
      <c r="D250" s="245"/>
      <c r="E250" s="89"/>
      <c r="F250" s="215"/>
    </row>
    <row r="251" s="229" customFormat="1" spans="1:6">
      <c r="A251" s="242"/>
      <c r="B251" s="243"/>
      <c r="C251" s="244"/>
      <c r="D251" s="245"/>
      <c r="E251" s="89"/>
      <c r="F251" s="215"/>
    </row>
    <row r="252" s="229" customFormat="1" spans="1:6">
      <c r="A252" s="242"/>
      <c r="B252" s="243"/>
      <c r="C252" s="244"/>
      <c r="D252" s="245"/>
      <c r="E252" s="89"/>
      <c r="F252" s="215"/>
    </row>
    <row r="253" s="229" customFormat="1" spans="1:6">
      <c r="A253" s="242"/>
      <c r="B253" s="243"/>
      <c r="C253" s="244"/>
      <c r="D253" s="245"/>
      <c r="E253" s="89"/>
      <c r="F253" s="215"/>
    </row>
    <row r="254" s="229" customFormat="1" spans="1:6">
      <c r="A254" s="242"/>
      <c r="B254" s="243"/>
      <c r="C254" s="244"/>
      <c r="D254" s="245"/>
      <c r="E254" s="89"/>
      <c r="F254" s="215"/>
    </row>
    <row r="255" s="229" customFormat="1" spans="1:6">
      <c r="A255" s="242"/>
      <c r="B255" s="243"/>
      <c r="C255" s="244"/>
      <c r="D255" s="245"/>
      <c r="E255" s="89"/>
      <c r="F255" s="215"/>
    </row>
    <row r="256" s="229" customFormat="1" spans="1:6">
      <c r="A256" s="242"/>
      <c r="B256" s="243"/>
      <c r="C256" s="244"/>
      <c r="D256" s="245"/>
      <c r="E256" s="89"/>
      <c r="F256" s="215"/>
    </row>
    <row r="257" s="229" customFormat="1" spans="1:6">
      <c r="A257" s="242"/>
      <c r="B257" s="243"/>
      <c r="C257" s="244"/>
      <c r="D257" s="245"/>
      <c r="E257" s="89"/>
      <c r="F257" s="215"/>
    </row>
    <row r="258" s="229" customFormat="1" spans="1:6">
      <c r="A258" s="242"/>
      <c r="B258" s="243"/>
      <c r="C258" s="244"/>
      <c r="D258" s="245"/>
      <c r="E258" s="89"/>
      <c r="F258" s="215"/>
    </row>
    <row r="259" s="229" customFormat="1" spans="1:6">
      <c r="A259" s="242"/>
      <c r="B259" s="243"/>
      <c r="C259" s="244"/>
      <c r="D259" s="245"/>
      <c r="E259" s="89"/>
      <c r="F259" s="215"/>
    </row>
    <row r="260" s="229" customFormat="1" spans="1:6">
      <c r="A260" s="242"/>
      <c r="B260" s="243"/>
      <c r="C260" s="244"/>
      <c r="D260" s="245"/>
      <c r="E260" s="89"/>
      <c r="F260" s="215"/>
    </row>
    <row r="261" s="229" customFormat="1" spans="1:6">
      <c r="A261" s="242"/>
      <c r="B261" s="243"/>
      <c r="C261" s="244"/>
      <c r="D261" s="245"/>
      <c r="E261" s="89"/>
      <c r="F261" s="215"/>
    </row>
    <row r="262" s="229" customFormat="1" spans="1:6">
      <c r="A262" s="242"/>
      <c r="B262" s="243"/>
      <c r="C262" s="244"/>
      <c r="D262" s="245"/>
      <c r="E262" s="89"/>
      <c r="F262" s="215"/>
    </row>
    <row r="263" s="229" customFormat="1" spans="1:6">
      <c r="A263" s="242"/>
      <c r="B263" s="243"/>
      <c r="C263" s="244"/>
      <c r="D263" s="245"/>
      <c r="E263" s="89"/>
      <c r="F263" s="215"/>
    </row>
    <row r="264" s="229" customFormat="1" spans="1:6">
      <c r="A264" s="242"/>
      <c r="B264" s="243"/>
      <c r="C264" s="244"/>
      <c r="D264" s="245"/>
      <c r="E264" s="89"/>
      <c r="F264" s="215"/>
    </row>
    <row r="265" s="229" customFormat="1" spans="1:6">
      <c r="A265" s="242"/>
      <c r="B265" s="243"/>
      <c r="C265" s="244"/>
      <c r="D265" s="245"/>
      <c r="E265" s="89"/>
      <c r="F265" s="215"/>
    </row>
    <row r="266" s="229" customFormat="1" spans="1:6">
      <c r="A266" s="242"/>
      <c r="B266" s="243"/>
      <c r="C266" s="244"/>
      <c r="D266" s="245"/>
      <c r="E266" s="89"/>
      <c r="F266" s="215"/>
    </row>
    <row r="267" s="229" customFormat="1" spans="1:6">
      <c r="A267" s="242"/>
      <c r="B267" s="243"/>
      <c r="C267" s="244"/>
      <c r="D267" s="245"/>
      <c r="E267" s="89"/>
      <c r="F267" s="215"/>
    </row>
    <row r="268" s="229" customFormat="1" spans="1:6">
      <c r="A268" s="242"/>
      <c r="B268" s="243"/>
      <c r="C268" s="244"/>
      <c r="D268" s="245"/>
      <c r="E268" s="89"/>
      <c r="F268" s="215"/>
    </row>
    <row r="269" s="229" customFormat="1" spans="1:6">
      <c r="A269" s="242"/>
      <c r="B269" s="243"/>
      <c r="C269" s="244"/>
      <c r="D269" s="245"/>
      <c r="E269" s="89"/>
      <c r="F269" s="215"/>
    </row>
    <row r="270" s="229" customFormat="1" spans="1:6">
      <c r="A270" s="242"/>
      <c r="B270" s="243"/>
      <c r="C270" s="244"/>
      <c r="D270" s="245"/>
      <c r="E270" s="89"/>
      <c r="F270" s="215"/>
    </row>
    <row r="271" s="229" customFormat="1" spans="1:6">
      <c r="A271" s="242"/>
      <c r="B271" s="243"/>
      <c r="C271" s="244"/>
      <c r="D271" s="245"/>
      <c r="E271" s="89"/>
      <c r="F271" s="215"/>
    </row>
    <row r="272" s="229" customFormat="1" spans="1:6">
      <c r="A272" s="242"/>
      <c r="B272" s="243"/>
      <c r="C272" s="244"/>
      <c r="D272" s="245"/>
      <c r="E272" s="89"/>
      <c r="F272" s="215"/>
    </row>
    <row r="273" s="229" customFormat="1" spans="1:6">
      <c r="A273" s="242"/>
      <c r="B273" s="243"/>
      <c r="C273" s="244"/>
      <c r="D273" s="245"/>
      <c r="E273" s="89"/>
      <c r="F273" s="215"/>
    </row>
    <row r="274" s="229" customFormat="1" spans="1:6">
      <c r="A274" s="242"/>
      <c r="B274" s="243"/>
      <c r="C274" s="244"/>
      <c r="D274" s="245"/>
      <c r="E274" s="89"/>
      <c r="F274" s="215"/>
    </row>
    <row r="275" s="229" customFormat="1" spans="1:6">
      <c r="A275" s="242"/>
      <c r="B275" s="243"/>
      <c r="C275" s="244"/>
      <c r="D275" s="245"/>
      <c r="E275" s="89"/>
      <c r="F275" s="215"/>
    </row>
    <row r="276" s="229" customFormat="1" spans="1:6">
      <c r="A276" s="242"/>
      <c r="B276" s="243"/>
      <c r="C276" s="244"/>
      <c r="D276" s="245"/>
      <c r="E276" s="89"/>
      <c r="F276" s="215"/>
    </row>
    <row r="277" s="229" customFormat="1" spans="1:6">
      <c r="A277" s="242"/>
      <c r="B277" s="243"/>
      <c r="C277" s="244"/>
      <c r="D277" s="245"/>
      <c r="E277" s="89"/>
      <c r="F277" s="215"/>
    </row>
    <row r="278" s="229" customFormat="1" spans="1:6">
      <c r="A278" s="242"/>
      <c r="B278" s="243"/>
      <c r="C278" s="244"/>
      <c r="D278" s="245"/>
      <c r="E278" s="89"/>
      <c r="F278" s="215"/>
    </row>
    <row r="279" s="229" customFormat="1" spans="1:6">
      <c r="A279" s="242"/>
      <c r="B279" s="243"/>
      <c r="C279" s="244"/>
      <c r="D279" s="245"/>
      <c r="E279" s="89"/>
      <c r="F279" s="215"/>
    </row>
    <row r="280" s="229" customFormat="1" spans="1:6">
      <c r="A280" s="242"/>
      <c r="B280" s="243"/>
      <c r="C280" s="244"/>
      <c r="D280" s="245"/>
      <c r="E280" s="89"/>
      <c r="F280" s="215"/>
    </row>
    <row r="281" s="229" customFormat="1" spans="1:6">
      <c r="A281" s="242"/>
      <c r="B281" s="243"/>
      <c r="C281" s="244"/>
      <c r="D281" s="245"/>
      <c r="E281" s="89"/>
      <c r="F281" s="215"/>
    </row>
    <row r="282" s="229" customFormat="1" spans="1:6">
      <c r="A282" s="242"/>
      <c r="B282" s="243"/>
      <c r="C282" s="244"/>
      <c r="D282" s="245"/>
      <c r="E282" s="89"/>
      <c r="F282" s="215"/>
    </row>
    <row r="283" s="229" customFormat="1" spans="1:6">
      <c r="A283" s="242"/>
      <c r="B283" s="243"/>
      <c r="C283" s="244"/>
      <c r="D283" s="245"/>
      <c r="E283" s="89"/>
      <c r="F283" s="215"/>
    </row>
    <row r="284" s="229" customFormat="1" spans="1:6">
      <c r="A284" s="242"/>
      <c r="B284" s="243"/>
      <c r="C284" s="244"/>
      <c r="D284" s="245"/>
      <c r="E284" s="89"/>
      <c r="F284" s="215"/>
    </row>
    <row r="285" s="229" customFormat="1" spans="1:6">
      <c r="A285" s="242"/>
      <c r="B285" s="243"/>
      <c r="C285" s="244"/>
      <c r="D285" s="245"/>
      <c r="E285" s="89"/>
      <c r="F285" s="215"/>
    </row>
    <row r="286" s="229" customFormat="1" spans="1:6">
      <c r="A286" s="242"/>
      <c r="B286" s="243"/>
      <c r="C286" s="244"/>
      <c r="D286" s="245"/>
      <c r="E286" s="89"/>
      <c r="F286" s="215"/>
    </row>
    <row r="287" s="229" customFormat="1" spans="1:6">
      <c r="A287" s="242"/>
      <c r="B287" s="243"/>
      <c r="C287" s="244"/>
      <c r="D287" s="245"/>
      <c r="E287" s="89"/>
      <c r="F287" s="215"/>
    </row>
    <row r="288" s="229" customFormat="1" spans="1:6">
      <c r="A288" s="242"/>
      <c r="B288" s="243"/>
      <c r="C288" s="244"/>
      <c r="D288" s="245"/>
      <c r="E288" s="89"/>
      <c r="F288" s="215"/>
    </row>
    <row r="289" s="229" customFormat="1" spans="1:6">
      <c r="A289" s="242"/>
      <c r="B289" s="243"/>
      <c r="C289" s="244"/>
      <c r="D289" s="245"/>
      <c r="E289" s="89"/>
      <c r="F289" s="215"/>
    </row>
    <row r="290" s="229" customFormat="1" spans="1:6">
      <c r="A290" s="242"/>
      <c r="B290" s="243"/>
      <c r="C290" s="244"/>
      <c r="D290" s="245"/>
      <c r="E290" s="89"/>
      <c r="F290" s="215"/>
    </row>
    <row r="291" s="229" customFormat="1" spans="1:6">
      <c r="A291" s="242"/>
      <c r="B291" s="243"/>
      <c r="C291" s="244"/>
      <c r="D291" s="245"/>
      <c r="E291" s="89"/>
      <c r="F291" s="215"/>
    </row>
    <row r="292" s="229" customFormat="1" spans="1:6">
      <c r="A292" s="242"/>
      <c r="B292" s="243"/>
      <c r="C292" s="244"/>
      <c r="D292" s="245"/>
      <c r="E292" s="89"/>
      <c r="F292" s="215"/>
    </row>
    <row r="293" s="229" customFormat="1" spans="1:6">
      <c r="A293" s="242"/>
      <c r="B293" s="243"/>
      <c r="C293" s="244"/>
      <c r="D293" s="245"/>
      <c r="E293" s="89"/>
      <c r="F293" s="215"/>
    </row>
    <row r="294" s="229" customFormat="1" spans="1:6">
      <c r="A294" s="242"/>
      <c r="B294" s="243"/>
      <c r="C294" s="244"/>
      <c r="D294" s="245"/>
      <c r="E294" s="89"/>
      <c r="F294" s="215"/>
    </row>
    <row r="295" s="229" customFormat="1" spans="1:6">
      <c r="A295" s="242"/>
      <c r="B295" s="243"/>
      <c r="C295" s="244"/>
      <c r="D295" s="245"/>
      <c r="E295" s="89"/>
      <c r="F295" s="215"/>
    </row>
    <row r="296" s="229" customFormat="1" spans="1:6">
      <c r="A296" s="242"/>
      <c r="B296" s="243"/>
      <c r="C296" s="244"/>
      <c r="D296" s="245"/>
      <c r="E296" s="89"/>
      <c r="F296" s="215"/>
    </row>
    <row r="297" s="229" customFormat="1" spans="1:6">
      <c r="A297" s="242"/>
      <c r="B297" s="243"/>
      <c r="C297" s="244"/>
      <c r="D297" s="245"/>
      <c r="E297" s="89"/>
      <c r="F297" s="215"/>
    </row>
    <row r="298" s="229" customFormat="1" spans="1:6">
      <c r="A298" s="242"/>
      <c r="B298" s="243"/>
      <c r="C298" s="244"/>
      <c r="D298" s="245"/>
      <c r="E298" s="89"/>
      <c r="F298" s="215"/>
    </row>
    <row r="299" s="229" customFormat="1" spans="1:6">
      <c r="A299" s="242"/>
      <c r="B299" s="243"/>
      <c r="C299" s="244"/>
      <c r="D299" s="245"/>
      <c r="E299" s="89"/>
      <c r="F299" s="215"/>
    </row>
    <row r="300" s="229" customFormat="1" spans="1:6">
      <c r="A300" s="242"/>
      <c r="B300" s="243"/>
      <c r="C300" s="244"/>
      <c r="D300" s="245"/>
      <c r="E300" s="89"/>
      <c r="F300" s="215"/>
    </row>
    <row r="301" s="229" customFormat="1" spans="1:6">
      <c r="A301" s="242"/>
      <c r="B301" s="243"/>
      <c r="C301" s="244"/>
      <c r="D301" s="245"/>
      <c r="E301" s="89"/>
      <c r="F301" s="215"/>
    </row>
    <row r="302" s="229" customFormat="1" spans="1:6">
      <c r="A302" s="242"/>
      <c r="B302" s="243"/>
      <c r="C302" s="244"/>
      <c r="D302" s="245"/>
      <c r="E302" s="89"/>
      <c r="F302" s="215"/>
    </row>
    <row r="303" s="229" customFormat="1" spans="1:6">
      <c r="A303" s="242"/>
      <c r="B303" s="243"/>
      <c r="C303" s="244"/>
      <c r="D303" s="245"/>
      <c r="E303" s="89"/>
      <c r="F303" s="215"/>
    </row>
    <row r="304" s="229" customFormat="1" spans="1:6">
      <c r="A304" s="242"/>
      <c r="B304" s="243"/>
      <c r="C304" s="244"/>
      <c r="D304" s="245"/>
      <c r="E304" s="89"/>
      <c r="F304" s="215"/>
    </row>
    <row r="305" s="229" customFormat="1" spans="1:6">
      <c r="A305" s="242"/>
      <c r="B305" s="243"/>
      <c r="C305" s="244"/>
      <c r="D305" s="245"/>
      <c r="E305" s="89"/>
      <c r="F305" s="215"/>
    </row>
    <row r="306" s="229" customFormat="1" spans="1:6">
      <c r="A306" s="242"/>
      <c r="B306" s="243"/>
      <c r="C306" s="244"/>
      <c r="D306" s="245"/>
      <c r="E306" s="89"/>
      <c r="F306" s="215"/>
    </row>
    <row r="307" s="229" customFormat="1" spans="1:6">
      <c r="A307" s="242"/>
      <c r="B307" s="243"/>
      <c r="C307" s="244"/>
      <c r="D307" s="245"/>
      <c r="E307" s="89"/>
      <c r="F307" s="215"/>
    </row>
    <row r="308" s="229" customFormat="1" spans="1:6">
      <c r="A308" s="242"/>
      <c r="B308" s="243"/>
      <c r="C308" s="244"/>
      <c r="D308" s="245"/>
      <c r="E308" s="89"/>
      <c r="F308" s="215"/>
    </row>
    <row r="309" s="229" customFormat="1" spans="1:6">
      <c r="A309" s="242"/>
      <c r="B309" s="243"/>
      <c r="C309" s="244"/>
      <c r="D309" s="245"/>
      <c r="E309" s="89"/>
      <c r="F309" s="215"/>
    </row>
    <row r="310" s="229" customFormat="1" spans="1:6">
      <c r="A310" s="242"/>
      <c r="B310" s="243"/>
      <c r="C310" s="244"/>
      <c r="D310" s="245"/>
      <c r="E310" s="89"/>
      <c r="F310" s="215"/>
    </row>
    <row r="311" s="229" customFormat="1" spans="1:6">
      <c r="A311" s="242"/>
      <c r="B311" s="243"/>
      <c r="C311" s="244"/>
      <c r="D311" s="245"/>
      <c r="E311" s="89"/>
      <c r="F311" s="215"/>
    </row>
    <row r="312" s="229" customFormat="1" spans="1:6">
      <c r="A312" s="242"/>
      <c r="B312" s="243"/>
      <c r="C312" s="244"/>
      <c r="D312" s="245"/>
      <c r="E312" s="89"/>
      <c r="F312" s="215"/>
    </row>
    <row r="313" s="229" customFormat="1" spans="1:6">
      <c r="A313" s="242"/>
      <c r="B313" s="243"/>
      <c r="C313" s="244"/>
      <c r="D313" s="245"/>
      <c r="E313" s="89"/>
      <c r="F313" s="215"/>
    </row>
    <row r="314" s="229" customFormat="1" spans="1:6">
      <c r="A314" s="242"/>
      <c r="B314" s="243"/>
      <c r="C314" s="244"/>
      <c r="D314" s="245"/>
      <c r="E314" s="89"/>
      <c r="F314" s="215"/>
    </row>
    <row r="315" s="229" customFormat="1" spans="1:6">
      <c r="A315" s="242"/>
      <c r="B315" s="243"/>
      <c r="C315" s="244"/>
      <c r="D315" s="245"/>
      <c r="E315" s="89"/>
      <c r="F315" s="215"/>
    </row>
    <row r="316" s="229" customFormat="1" spans="1:6">
      <c r="A316" s="242"/>
      <c r="B316" s="243"/>
      <c r="C316" s="244"/>
      <c r="D316" s="245"/>
      <c r="E316" s="89"/>
      <c r="F316" s="215"/>
    </row>
    <row r="317" s="229" customFormat="1" spans="1:6">
      <c r="A317" s="242"/>
      <c r="B317" s="243"/>
      <c r="C317" s="244"/>
      <c r="D317" s="245"/>
      <c r="E317" s="89"/>
      <c r="F317" s="215"/>
    </row>
    <row r="318" s="229" customFormat="1" spans="1:6">
      <c r="A318" s="242"/>
      <c r="B318" s="243"/>
      <c r="C318" s="244"/>
      <c r="D318" s="245"/>
      <c r="E318" s="89"/>
      <c r="F318" s="215"/>
    </row>
    <row r="319" s="229" customFormat="1" spans="1:6">
      <c r="A319" s="242"/>
      <c r="B319" s="243"/>
      <c r="C319" s="244"/>
      <c r="D319" s="245"/>
      <c r="E319" s="89"/>
      <c r="F319" s="215"/>
    </row>
    <row r="320" s="229" customFormat="1" spans="1:6">
      <c r="A320" s="242"/>
      <c r="B320" s="243"/>
      <c r="C320" s="244"/>
      <c r="D320" s="245"/>
      <c r="E320" s="89"/>
      <c r="F320" s="215"/>
    </row>
    <row r="321" s="229" customFormat="1" spans="1:6">
      <c r="A321" s="242"/>
      <c r="B321" s="243"/>
      <c r="C321" s="244"/>
      <c r="D321" s="245"/>
      <c r="E321" s="89"/>
      <c r="F321" s="215"/>
    </row>
    <row r="322" s="229" customFormat="1" spans="1:6">
      <c r="A322" s="242"/>
      <c r="B322" s="243"/>
      <c r="C322" s="244"/>
      <c r="D322" s="245"/>
      <c r="E322" s="89"/>
      <c r="F322" s="215"/>
    </row>
    <row r="323" s="229" customFormat="1" spans="1:6">
      <c r="A323" s="242"/>
      <c r="B323" s="243"/>
      <c r="C323" s="244"/>
      <c r="D323" s="245"/>
      <c r="E323" s="89"/>
      <c r="F323" s="215"/>
    </row>
    <row r="324" s="229" customFormat="1" spans="1:6">
      <c r="A324" s="242"/>
      <c r="B324" s="243"/>
      <c r="C324" s="244"/>
      <c r="D324" s="245"/>
      <c r="E324" s="89"/>
      <c r="F324" s="215"/>
    </row>
    <row r="325" s="229" customFormat="1" spans="1:6">
      <c r="A325" s="242"/>
      <c r="B325" s="243"/>
      <c r="C325" s="244"/>
      <c r="D325" s="245"/>
      <c r="E325" s="89"/>
      <c r="F325" s="215"/>
    </row>
    <row r="326" s="229" customFormat="1" spans="1:6">
      <c r="A326" s="242"/>
      <c r="B326" s="243"/>
      <c r="C326" s="244"/>
      <c r="D326" s="245"/>
      <c r="E326" s="89"/>
      <c r="F326" s="215"/>
    </row>
    <row r="327" s="229" customFormat="1" spans="1:6">
      <c r="A327" s="242"/>
      <c r="B327" s="243"/>
      <c r="C327" s="244"/>
      <c r="D327" s="245"/>
      <c r="E327" s="89"/>
      <c r="F327" s="215"/>
    </row>
    <row r="328" s="229" customFormat="1" spans="1:6">
      <c r="A328" s="242"/>
      <c r="B328" s="243"/>
      <c r="C328" s="244"/>
      <c r="D328" s="245"/>
      <c r="E328" s="89"/>
      <c r="F328" s="215"/>
    </row>
    <row r="329" s="229" customFormat="1" spans="1:6">
      <c r="A329" s="242"/>
      <c r="B329" s="243"/>
      <c r="C329" s="244"/>
      <c r="D329" s="245"/>
      <c r="E329" s="89"/>
      <c r="F329" s="215"/>
    </row>
    <row r="330" s="229" customFormat="1" spans="1:6">
      <c r="A330" s="242"/>
      <c r="B330" s="243"/>
      <c r="C330" s="244"/>
      <c r="D330" s="245"/>
      <c r="E330" s="89"/>
      <c r="F330" s="215"/>
    </row>
    <row r="331" s="229" customFormat="1" spans="1:6">
      <c r="A331" s="242"/>
      <c r="B331" s="243"/>
      <c r="C331" s="244"/>
      <c r="D331" s="245"/>
      <c r="E331" s="89"/>
      <c r="F331" s="215"/>
    </row>
    <row r="332" s="229" customFormat="1" spans="1:6">
      <c r="A332" s="242"/>
      <c r="B332" s="243"/>
      <c r="C332" s="244"/>
      <c r="D332" s="245"/>
      <c r="E332" s="89"/>
      <c r="F332" s="215"/>
    </row>
    <row r="333" s="229" customFormat="1" spans="1:6">
      <c r="A333" s="242"/>
      <c r="B333" s="243"/>
      <c r="C333" s="244"/>
      <c r="D333" s="245"/>
      <c r="E333" s="89"/>
      <c r="F333" s="215"/>
    </row>
    <row r="334" s="229" customFormat="1" spans="1:6">
      <c r="A334" s="242"/>
      <c r="B334" s="243"/>
      <c r="C334" s="244"/>
      <c r="D334" s="245"/>
      <c r="E334" s="89"/>
      <c r="F334" s="215"/>
    </row>
    <row r="335" s="229" customFormat="1" spans="1:6">
      <c r="A335" s="242"/>
      <c r="B335" s="243"/>
      <c r="C335" s="244"/>
      <c r="D335" s="245"/>
      <c r="E335" s="89"/>
      <c r="F335" s="215"/>
    </row>
    <row r="336" s="229" customFormat="1" spans="1:6">
      <c r="A336" s="242"/>
      <c r="B336" s="243"/>
      <c r="C336" s="244"/>
      <c r="D336" s="245"/>
      <c r="E336" s="89"/>
      <c r="F336" s="215"/>
    </row>
    <row r="337" s="229" customFormat="1" spans="1:8">
      <c r="A337" s="242"/>
      <c r="B337" s="243"/>
      <c r="C337" s="244"/>
      <c r="D337" s="245"/>
      <c r="E337" s="89"/>
      <c r="F337" s="215"/>
      <c r="H337" s="241"/>
    </row>
    <row r="338" s="229" customFormat="1" spans="1:8">
      <c r="A338" s="242"/>
      <c r="B338" s="243"/>
      <c r="C338" s="244"/>
      <c r="D338" s="245"/>
      <c r="E338" s="89"/>
      <c r="F338" s="215"/>
      <c r="H338" s="241"/>
    </row>
    <row r="339" s="229" customFormat="1" spans="1:6">
      <c r="A339" s="242"/>
      <c r="B339" s="243"/>
      <c r="C339" s="244"/>
      <c r="D339" s="245"/>
      <c r="E339" s="89"/>
      <c r="F339" s="215"/>
    </row>
    <row r="340" s="229" customFormat="1" spans="1:6">
      <c r="A340" s="242"/>
      <c r="B340" s="243"/>
      <c r="C340" s="244"/>
      <c r="D340" s="245"/>
      <c r="E340" s="89"/>
      <c r="F340" s="215"/>
    </row>
    <row r="341" s="229" customFormat="1" spans="1:6">
      <c r="A341" s="242"/>
      <c r="B341" s="243"/>
      <c r="C341" s="244"/>
      <c r="D341" s="245"/>
      <c r="E341" s="89"/>
      <c r="F341" s="215"/>
    </row>
    <row r="342" s="229" customFormat="1" spans="1:6">
      <c r="A342" s="242"/>
      <c r="B342" s="243"/>
      <c r="C342" s="244"/>
      <c r="D342" s="245"/>
      <c r="E342" s="89"/>
      <c r="F342" s="215"/>
    </row>
    <row r="343" s="229" customFormat="1" spans="1:6">
      <c r="A343" s="242"/>
      <c r="B343" s="243"/>
      <c r="C343" s="244"/>
      <c r="D343" s="245"/>
      <c r="E343" s="89"/>
      <c r="F343" s="215"/>
    </row>
    <row r="344" s="229" customFormat="1" spans="1:6">
      <c r="A344" s="242"/>
      <c r="B344" s="243"/>
      <c r="C344" s="244"/>
      <c r="D344" s="245"/>
      <c r="E344" s="89"/>
      <c r="F344" s="215"/>
    </row>
    <row r="345" s="229" customFormat="1" spans="1:6">
      <c r="A345" s="242"/>
      <c r="B345" s="243"/>
      <c r="C345" s="244"/>
      <c r="D345" s="245"/>
      <c r="E345" s="89"/>
      <c r="F345" s="215"/>
    </row>
    <row r="346" s="229" customFormat="1" spans="1:6">
      <c r="A346" s="242"/>
      <c r="B346" s="243"/>
      <c r="C346" s="244"/>
      <c r="D346" s="245"/>
      <c r="E346" s="89"/>
      <c r="F346" s="215"/>
    </row>
    <row r="347" s="229" customFormat="1" spans="1:6">
      <c r="A347" s="242"/>
      <c r="B347" s="243"/>
      <c r="C347" s="244"/>
      <c r="D347" s="245"/>
      <c r="E347" s="89"/>
      <c r="F347" s="215"/>
    </row>
    <row r="348" s="229" customFormat="1" spans="1:6">
      <c r="A348" s="242"/>
      <c r="B348" s="243"/>
      <c r="C348" s="244"/>
      <c r="D348" s="245"/>
      <c r="E348" s="89"/>
      <c r="F348" s="215"/>
    </row>
    <row r="349" s="229" customFormat="1" spans="1:6">
      <c r="A349" s="242"/>
      <c r="B349" s="243"/>
      <c r="C349" s="244"/>
      <c r="D349" s="245"/>
      <c r="E349" s="89"/>
      <c r="F349" s="215"/>
    </row>
    <row r="350" s="229" customFormat="1" spans="1:6">
      <c r="A350" s="242"/>
      <c r="B350" s="243"/>
      <c r="C350" s="244"/>
      <c r="D350" s="245"/>
      <c r="E350" s="89"/>
      <c r="F350" s="215"/>
    </row>
    <row r="351" s="229" customFormat="1" spans="1:6">
      <c r="A351" s="242"/>
      <c r="B351" s="243"/>
      <c r="C351" s="244"/>
      <c r="D351" s="245"/>
      <c r="E351" s="89"/>
      <c r="F351" s="215"/>
    </row>
    <row r="352" s="229" customFormat="1" spans="1:6">
      <c r="A352" s="242"/>
      <c r="B352" s="243"/>
      <c r="C352" s="244"/>
      <c r="D352" s="245"/>
      <c r="E352" s="89"/>
      <c r="F352" s="215"/>
    </row>
    <row r="353" s="229" customFormat="1" spans="1:6">
      <c r="A353" s="242"/>
      <c r="B353" s="243"/>
      <c r="C353" s="244"/>
      <c r="D353" s="245"/>
      <c r="E353" s="89"/>
      <c r="F353" s="215"/>
    </row>
    <row r="354" s="229" customFormat="1" spans="1:6">
      <c r="A354" s="242"/>
      <c r="B354" s="243"/>
      <c r="C354" s="244"/>
      <c r="D354" s="245"/>
      <c r="E354" s="89"/>
      <c r="F354" s="215"/>
    </row>
    <row r="355" s="229" customFormat="1" spans="1:6">
      <c r="A355" s="242"/>
      <c r="B355" s="243"/>
      <c r="C355" s="244"/>
      <c r="D355" s="245"/>
      <c r="E355" s="89"/>
      <c r="F355" s="215"/>
    </row>
    <row r="356" s="229" customFormat="1" spans="1:6">
      <c r="A356" s="242"/>
      <c r="B356" s="243"/>
      <c r="C356" s="244"/>
      <c r="D356" s="245"/>
      <c r="E356" s="89"/>
      <c r="F356" s="215"/>
    </row>
    <row r="357" s="229" customFormat="1" spans="1:6">
      <c r="A357" s="242"/>
      <c r="B357" s="243"/>
      <c r="C357" s="244"/>
      <c r="D357" s="245"/>
      <c r="E357" s="89"/>
      <c r="F357" s="215"/>
    </row>
    <row r="358" s="229" customFormat="1" spans="1:6">
      <c r="A358" s="242"/>
      <c r="B358" s="243"/>
      <c r="C358" s="244"/>
      <c r="D358" s="245"/>
      <c r="E358" s="89"/>
      <c r="F358" s="215"/>
    </row>
    <row r="359" s="229" customFormat="1" spans="1:6">
      <c r="A359" s="242"/>
      <c r="B359" s="243"/>
      <c r="C359" s="244"/>
      <c r="D359" s="245"/>
      <c r="E359" s="89"/>
      <c r="F359" s="215"/>
    </row>
    <row r="360" s="229" customFormat="1" spans="1:6">
      <c r="A360" s="242"/>
      <c r="B360" s="243"/>
      <c r="C360" s="244"/>
      <c r="D360" s="245"/>
      <c r="E360" s="89"/>
      <c r="F360" s="215"/>
    </row>
    <row r="361" s="229" customFormat="1" spans="1:6">
      <c r="A361" s="242"/>
      <c r="B361" s="243"/>
      <c r="C361" s="244"/>
      <c r="D361" s="245"/>
      <c r="E361" s="89"/>
      <c r="F361" s="215"/>
    </row>
    <row r="362" s="229" customFormat="1" spans="1:6">
      <c r="A362" s="242"/>
      <c r="B362" s="243"/>
      <c r="C362" s="244"/>
      <c r="D362" s="245"/>
      <c r="E362" s="89"/>
      <c r="F362" s="215"/>
    </row>
    <row r="363" s="229" customFormat="1" spans="1:6">
      <c r="A363" s="242"/>
      <c r="B363" s="243"/>
      <c r="C363" s="244"/>
      <c r="D363" s="245"/>
      <c r="E363" s="89"/>
      <c r="F363" s="215"/>
    </row>
    <row r="364" s="229" customFormat="1" spans="1:6">
      <c r="A364" s="242"/>
      <c r="B364" s="243"/>
      <c r="C364" s="244"/>
      <c r="D364" s="245"/>
      <c r="E364" s="89"/>
      <c r="F364" s="215"/>
    </row>
    <row r="365" s="229" customFormat="1" spans="1:8">
      <c r="A365" s="242"/>
      <c r="B365" s="243"/>
      <c r="C365" s="244"/>
      <c r="D365" s="245"/>
      <c r="E365" s="89"/>
      <c r="F365" s="215"/>
      <c r="H365" s="241"/>
    </row>
    <row r="366" s="229" customFormat="1" spans="1:6">
      <c r="A366" s="242"/>
      <c r="B366" s="243"/>
      <c r="C366" s="244"/>
      <c r="D366" s="245"/>
      <c r="E366" s="89"/>
      <c r="F366" s="215"/>
    </row>
    <row r="367" s="229" customFormat="1" spans="1:6">
      <c r="A367" s="242"/>
      <c r="B367" s="243"/>
      <c r="C367" s="244"/>
      <c r="D367" s="245"/>
      <c r="E367" s="89"/>
      <c r="F367" s="215"/>
    </row>
    <row r="368" s="229" customFormat="1" spans="1:6">
      <c r="A368" s="242"/>
      <c r="B368" s="243"/>
      <c r="C368" s="244"/>
      <c r="D368" s="245"/>
      <c r="E368" s="89"/>
      <c r="F368" s="215"/>
    </row>
    <row r="369" s="229" customFormat="1" spans="1:6">
      <c r="A369" s="242"/>
      <c r="B369" s="243"/>
      <c r="C369" s="244"/>
      <c r="D369" s="245"/>
      <c r="E369" s="89"/>
      <c r="F369" s="215"/>
    </row>
    <row r="370" s="229" customFormat="1" spans="1:6">
      <c r="A370" s="242"/>
      <c r="B370" s="243"/>
      <c r="C370" s="244"/>
      <c r="D370" s="245"/>
      <c r="E370" s="89"/>
      <c r="F370" s="215"/>
    </row>
    <row r="371" s="229" customFormat="1" spans="1:6">
      <c r="A371" s="242"/>
      <c r="B371" s="243"/>
      <c r="C371" s="244"/>
      <c r="D371" s="245"/>
      <c r="E371" s="89"/>
      <c r="F371" s="215"/>
    </row>
    <row r="372" s="229" customFormat="1" spans="1:6">
      <c r="A372" s="242"/>
      <c r="B372" s="243"/>
      <c r="C372" s="244"/>
      <c r="D372" s="245"/>
      <c r="E372" s="89"/>
      <c r="F372" s="215"/>
    </row>
    <row r="373" s="229" customFormat="1" spans="1:6">
      <c r="A373" s="242"/>
      <c r="B373" s="243"/>
      <c r="C373" s="244"/>
      <c r="D373" s="245"/>
      <c r="E373" s="89"/>
      <c r="F373" s="215"/>
    </row>
    <row r="374" s="229" customFormat="1" spans="1:6">
      <c r="A374" s="242"/>
      <c r="B374" s="243"/>
      <c r="C374" s="244"/>
      <c r="D374" s="245"/>
      <c r="E374" s="89"/>
      <c r="F374" s="215"/>
    </row>
    <row r="375" s="229" customFormat="1" spans="1:6">
      <c r="A375" s="242"/>
      <c r="B375" s="243"/>
      <c r="C375" s="244"/>
      <c r="D375" s="245"/>
      <c r="E375" s="89"/>
      <c r="F375" s="215"/>
    </row>
    <row r="376" s="229" customFormat="1" spans="1:6">
      <c r="A376" s="242"/>
      <c r="B376" s="243"/>
      <c r="C376" s="244"/>
      <c r="D376" s="245"/>
      <c r="E376" s="89"/>
      <c r="F376" s="215"/>
    </row>
    <row r="377" s="229" customFormat="1" spans="1:6">
      <c r="A377" s="242"/>
      <c r="B377" s="243"/>
      <c r="C377" s="244"/>
      <c r="D377" s="245"/>
      <c r="E377" s="89"/>
      <c r="F377" s="215"/>
    </row>
    <row r="378" s="229" customFormat="1" spans="1:6">
      <c r="A378" s="242"/>
      <c r="B378" s="243"/>
      <c r="C378" s="244"/>
      <c r="D378" s="245"/>
      <c r="E378" s="89"/>
      <c r="F378" s="215"/>
    </row>
    <row r="379" s="229" customFormat="1" spans="1:6">
      <c r="A379" s="242"/>
      <c r="B379" s="243"/>
      <c r="C379" s="244"/>
      <c r="D379" s="245"/>
      <c r="E379" s="89"/>
      <c r="F379" s="215"/>
    </row>
    <row r="380" s="229" customFormat="1" spans="1:6">
      <c r="A380" s="242"/>
      <c r="B380" s="243"/>
      <c r="C380" s="244"/>
      <c r="D380" s="245"/>
      <c r="E380" s="89"/>
      <c r="F380" s="215"/>
    </row>
    <row r="381" s="229" customFormat="1" spans="1:6">
      <c r="A381" s="242"/>
      <c r="B381" s="243"/>
      <c r="C381" s="244"/>
      <c r="D381" s="245"/>
      <c r="E381" s="89"/>
      <c r="F381" s="215"/>
    </row>
    <row r="382" s="229" customFormat="1" spans="1:6">
      <c r="A382" s="242"/>
      <c r="B382" s="243"/>
      <c r="C382" s="244"/>
      <c r="D382" s="245"/>
      <c r="E382" s="89"/>
      <c r="F382" s="215"/>
    </row>
    <row r="383" s="229" customFormat="1" spans="1:6">
      <c r="A383" s="242"/>
      <c r="B383" s="246"/>
      <c r="C383" s="244"/>
      <c r="D383" s="247"/>
      <c r="E383" s="89"/>
      <c r="F383" s="215"/>
    </row>
    <row r="384" s="229" customFormat="1" spans="1:6">
      <c r="A384" s="242"/>
      <c r="B384" s="246"/>
      <c r="C384" s="244"/>
      <c r="D384" s="247"/>
      <c r="E384" s="89"/>
      <c r="F384" s="215"/>
    </row>
    <row r="385" s="229" customFormat="1" spans="1:6">
      <c r="A385" s="242"/>
      <c r="B385" s="246"/>
      <c r="C385" s="244"/>
      <c r="D385" s="247"/>
      <c r="E385" s="89"/>
      <c r="F385" s="215"/>
    </row>
    <row r="386" s="229" customFormat="1" spans="1:6">
      <c r="A386" s="242"/>
      <c r="B386" s="246"/>
      <c r="C386" s="244"/>
      <c r="D386" s="247"/>
      <c r="E386" s="89"/>
      <c r="F386" s="215"/>
    </row>
    <row r="387" s="229" customFormat="1" spans="1:6">
      <c r="A387" s="242"/>
      <c r="B387" s="246"/>
      <c r="C387" s="244"/>
      <c r="D387" s="247"/>
      <c r="E387" s="89"/>
      <c r="F387" s="215"/>
    </row>
    <row r="388" s="229" customFormat="1" spans="1:6">
      <c r="A388" s="242"/>
      <c r="B388" s="246"/>
      <c r="C388" s="244"/>
      <c r="D388" s="247"/>
      <c r="E388" s="89"/>
      <c r="F388" s="215"/>
    </row>
    <row r="389" s="229" customFormat="1" spans="1:6">
      <c r="A389" s="242"/>
      <c r="B389" s="246"/>
      <c r="C389" s="244"/>
      <c r="D389" s="247"/>
      <c r="E389" s="89"/>
      <c r="F389" s="215"/>
    </row>
    <row r="390" s="229" customFormat="1" spans="1:6">
      <c r="A390" s="242"/>
      <c r="B390" s="246"/>
      <c r="C390" s="244"/>
      <c r="D390" s="247"/>
      <c r="E390" s="89"/>
      <c r="F390" s="215"/>
    </row>
    <row r="391" s="229" customFormat="1" spans="1:6">
      <c r="A391" s="242"/>
      <c r="B391" s="246"/>
      <c r="C391" s="244"/>
      <c r="D391" s="247"/>
      <c r="E391" s="89"/>
      <c r="F391" s="215"/>
    </row>
    <row r="392" s="229" customFormat="1" spans="1:6">
      <c r="A392" s="242"/>
      <c r="B392" s="246"/>
      <c r="C392" s="244"/>
      <c r="D392" s="247"/>
      <c r="E392" s="89"/>
      <c r="F392" s="215"/>
    </row>
    <row r="393" s="229" customFormat="1" spans="1:6">
      <c r="A393" s="242"/>
      <c r="B393" s="246"/>
      <c r="C393" s="244"/>
      <c r="D393" s="247"/>
      <c r="E393" s="89"/>
      <c r="F393" s="215"/>
    </row>
    <row r="394" s="229" customFormat="1" spans="1:6">
      <c r="A394" s="242"/>
      <c r="B394" s="246"/>
      <c r="C394" s="244"/>
      <c r="D394" s="247"/>
      <c r="E394" s="89"/>
      <c r="F394" s="215"/>
    </row>
    <row r="395" s="229" customFormat="1" spans="1:6">
      <c r="A395" s="242"/>
      <c r="B395" s="246"/>
      <c r="C395" s="244"/>
      <c r="D395" s="247"/>
      <c r="E395" s="89"/>
      <c r="F395" s="215"/>
    </row>
    <row r="396" s="229" customFormat="1" spans="1:6">
      <c r="A396" s="242"/>
      <c r="B396" s="246"/>
      <c r="C396" s="244"/>
      <c r="D396" s="247"/>
      <c r="E396" s="89"/>
      <c r="F396" s="215"/>
    </row>
    <row r="397" s="229" customFormat="1" spans="1:6">
      <c r="A397" s="242"/>
      <c r="B397" s="246"/>
      <c r="C397" s="244"/>
      <c r="D397" s="247"/>
      <c r="E397" s="89"/>
      <c r="F397" s="215"/>
    </row>
    <row r="398" s="229" customFormat="1" spans="1:6">
      <c r="A398" s="242"/>
      <c r="B398" s="246"/>
      <c r="C398" s="244"/>
      <c r="D398" s="247"/>
      <c r="E398" s="89"/>
      <c r="F398" s="215"/>
    </row>
    <row r="399" s="229" customFormat="1" spans="1:6">
      <c r="A399" s="242"/>
      <c r="B399" s="246"/>
      <c r="C399" s="244"/>
      <c r="D399" s="247"/>
      <c r="E399" s="89"/>
      <c r="F399" s="215"/>
    </row>
    <row r="400" s="229" customFormat="1" spans="1:6">
      <c r="A400" s="242"/>
      <c r="B400" s="246"/>
      <c r="C400" s="244"/>
      <c r="D400" s="247"/>
      <c r="E400" s="89"/>
      <c r="F400" s="215"/>
    </row>
    <row r="401" s="229" customFormat="1" spans="1:6">
      <c r="A401" s="242"/>
      <c r="B401" s="246"/>
      <c r="C401" s="244"/>
      <c r="D401" s="247"/>
      <c r="E401" s="89"/>
      <c r="F401" s="215"/>
    </row>
    <row r="402" s="229" customFormat="1" spans="1:6">
      <c r="A402" s="242"/>
      <c r="B402" s="246"/>
      <c r="C402" s="244"/>
      <c r="D402" s="247"/>
      <c r="E402" s="89"/>
      <c r="F402" s="215"/>
    </row>
    <row r="403" s="229" customFormat="1" spans="1:6">
      <c r="A403" s="242"/>
      <c r="B403" s="246"/>
      <c r="C403" s="244"/>
      <c r="D403" s="247"/>
      <c r="E403" s="89"/>
      <c r="F403" s="215"/>
    </row>
    <row r="404" s="229" customFormat="1" spans="1:6">
      <c r="A404" s="242"/>
      <c r="B404" s="246"/>
      <c r="C404" s="244"/>
      <c r="D404" s="247"/>
      <c r="E404" s="89"/>
      <c r="F404" s="215"/>
    </row>
    <row r="405" s="229" customFormat="1" spans="1:6">
      <c r="A405" s="242"/>
      <c r="B405" s="246"/>
      <c r="C405" s="244"/>
      <c r="D405" s="247"/>
      <c r="E405" s="89"/>
      <c r="F405" s="215"/>
    </row>
    <row r="406" s="229" customFormat="1" spans="1:6">
      <c r="A406" s="242"/>
      <c r="B406" s="246"/>
      <c r="C406" s="244"/>
      <c r="D406" s="247"/>
      <c r="E406" s="89"/>
      <c r="F406" s="215"/>
    </row>
    <row r="407" s="229" customFormat="1" spans="1:6">
      <c r="A407" s="242"/>
      <c r="B407" s="246"/>
      <c r="C407" s="244"/>
      <c r="D407" s="247"/>
      <c r="E407" s="89"/>
      <c r="F407" s="215"/>
    </row>
    <row r="408" s="229" customFormat="1" spans="1:6">
      <c r="A408" s="242"/>
      <c r="B408" s="246"/>
      <c r="C408" s="244"/>
      <c r="D408" s="247"/>
      <c r="E408" s="89"/>
      <c r="F408" s="215"/>
    </row>
    <row r="409" s="229" customFormat="1" spans="1:6">
      <c r="A409" s="242"/>
      <c r="B409" s="246"/>
      <c r="C409" s="244"/>
      <c r="D409" s="247"/>
      <c r="E409" s="89"/>
      <c r="F409" s="215"/>
    </row>
    <row r="410" s="229" customFormat="1" spans="1:6">
      <c r="A410" s="242"/>
      <c r="B410" s="246"/>
      <c r="C410" s="244"/>
      <c r="D410" s="247"/>
      <c r="E410" s="89"/>
      <c r="F410" s="215"/>
    </row>
    <row r="411" s="229" customFormat="1" spans="1:6">
      <c r="A411" s="242"/>
      <c r="B411" s="246"/>
      <c r="C411" s="244"/>
      <c r="D411" s="247"/>
      <c r="E411" s="89"/>
      <c r="F411" s="215"/>
    </row>
    <row r="412" s="229" customFormat="1" spans="1:6">
      <c r="A412" s="242"/>
      <c r="B412" s="246"/>
      <c r="C412" s="244"/>
      <c r="D412" s="247"/>
      <c r="E412" s="89"/>
      <c r="F412" s="215"/>
    </row>
    <row r="413" s="229" customFormat="1" spans="1:6">
      <c r="A413" s="242"/>
      <c r="B413" s="246"/>
      <c r="C413" s="244"/>
      <c r="D413" s="247"/>
      <c r="E413" s="89"/>
      <c r="F413" s="215"/>
    </row>
    <row r="414" s="229" customFormat="1" spans="1:6">
      <c r="A414" s="242"/>
      <c r="B414" s="246"/>
      <c r="C414" s="244"/>
      <c r="D414" s="247"/>
      <c r="E414" s="89"/>
      <c r="F414" s="215"/>
    </row>
    <row r="415" s="229" customFormat="1" spans="1:6">
      <c r="A415" s="242"/>
      <c r="B415" s="246"/>
      <c r="C415" s="244"/>
      <c r="D415" s="247"/>
      <c r="E415" s="89"/>
      <c r="F415" s="215"/>
    </row>
    <row r="416" s="229" customFormat="1" spans="1:6">
      <c r="A416" s="242"/>
      <c r="B416" s="246"/>
      <c r="C416" s="244"/>
      <c r="D416" s="247"/>
      <c r="E416" s="89"/>
      <c r="F416" s="215"/>
    </row>
    <row r="417" s="229" customFormat="1" spans="1:6">
      <c r="A417" s="242"/>
      <c r="B417" s="246"/>
      <c r="C417" s="244"/>
      <c r="D417" s="247"/>
      <c r="E417" s="89"/>
      <c r="F417" s="215"/>
    </row>
    <row r="418" s="229" customFormat="1" spans="1:6">
      <c r="A418" s="242"/>
      <c r="B418" s="246"/>
      <c r="C418" s="244"/>
      <c r="D418" s="247"/>
      <c r="E418" s="89"/>
      <c r="F418" s="215"/>
    </row>
    <row r="419" s="229" customFormat="1" spans="1:6">
      <c r="A419" s="242"/>
      <c r="B419" s="246"/>
      <c r="C419" s="244"/>
      <c r="D419" s="247"/>
      <c r="E419" s="89"/>
      <c r="F419" s="215"/>
    </row>
    <row r="420" s="229" customFormat="1" spans="1:6">
      <c r="A420" s="242"/>
      <c r="B420" s="246"/>
      <c r="C420" s="244"/>
      <c r="D420" s="247"/>
      <c r="E420" s="89"/>
      <c r="F420" s="215"/>
    </row>
    <row r="421" s="229" customFormat="1" spans="1:6">
      <c r="A421" s="242"/>
      <c r="B421" s="246"/>
      <c r="C421" s="244"/>
      <c r="D421" s="247"/>
      <c r="E421" s="89"/>
      <c r="F421" s="215"/>
    </row>
    <row r="422" s="229" customFormat="1" spans="1:6">
      <c r="A422" s="242"/>
      <c r="B422" s="246"/>
      <c r="C422" s="244"/>
      <c r="D422" s="247"/>
      <c r="E422" s="89"/>
      <c r="F422" s="215"/>
    </row>
    <row r="423" s="229" customFormat="1" spans="1:6">
      <c r="A423" s="242"/>
      <c r="B423" s="246"/>
      <c r="C423" s="244"/>
      <c r="D423" s="247"/>
      <c r="E423" s="89"/>
      <c r="F423" s="215"/>
    </row>
    <row r="424" s="229" customFormat="1" spans="1:6">
      <c r="A424" s="242"/>
      <c r="B424" s="246"/>
      <c r="C424" s="244"/>
      <c r="D424" s="247"/>
      <c r="E424" s="89"/>
      <c r="F424" s="215"/>
    </row>
    <row r="425" s="229" customFormat="1" spans="1:6">
      <c r="A425" s="242"/>
      <c r="B425" s="246"/>
      <c r="C425" s="244"/>
      <c r="D425" s="247"/>
      <c r="E425" s="89"/>
      <c r="F425" s="215"/>
    </row>
    <row r="426" s="229" customFormat="1" spans="1:6">
      <c r="A426" s="242"/>
      <c r="B426" s="246"/>
      <c r="C426" s="244"/>
      <c r="D426" s="247"/>
      <c r="E426" s="89"/>
      <c r="F426" s="215"/>
    </row>
    <row r="427" s="229" customFormat="1" spans="1:6">
      <c r="A427" s="242"/>
      <c r="B427" s="246"/>
      <c r="C427" s="244"/>
      <c r="D427" s="247"/>
      <c r="E427" s="89"/>
      <c r="F427" s="215"/>
    </row>
    <row r="428" s="229" customFormat="1" spans="1:6">
      <c r="A428" s="242"/>
      <c r="B428" s="248"/>
      <c r="C428" s="244"/>
      <c r="D428" s="249"/>
      <c r="E428" s="89"/>
      <c r="F428" s="199"/>
    </row>
    <row r="429" s="229" customFormat="1" spans="1:6">
      <c r="A429" s="242"/>
      <c r="B429" s="248"/>
      <c r="C429" s="244"/>
      <c r="D429" s="249"/>
      <c r="E429" s="89"/>
      <c r="F429" s="199"/>
    </row>
    <row r="430" s="229" customFormat="1" spans="1:6">
      <c r="A430" s="242"/>
      <c r="B430" s="243"/>
      <c r="C430" s="244"/>
      <c r="D430" s="247"/>
      <c r="E430" s="89"/>
      <c r="F430" s="215"/>
    </row>
    <row r="431" s="229" customFormat="1" spans="1:6">
      <c r="A431" s="242"/>
      <c r="B431" s="243"/>
      <c r="C431" s="244"/>
      <c r="D431" s="247"/>
      <c r="E431" s="89"/>
      <c r="F431" s="215"/>
    </row>
    <row r="432" s="229" customFormat="1" spans="1:6">
      <c r="A432" s="242"/>
      <c r="B432" s="243"/>
      <c r="C432" s="244"/>
      <c r="D432" s="247"/>
      <c r="E432" s="89"/>
      <c r="F432" s="215"/>
    </row>
    <row r="433" s="229" customFormat="1" spans="1:6">
      <c r="A433" s="242"/>
      <c r="B433" s="243"/>
      <c r="C433" s="244"/>
      <c r="D433" s="247"/>
      <c r="E433" s="89"/>
      <c r="F433" s="215"/>
    </row>
    <row r="434" s="229" customFormat="1" spans="1:6">
      <c r="A434" s="242"/>
      <c r="B434" s="243"/>
      <c r="C434" s="244"/>
      <c r="D434" s="247"/>
      <c r="E434" s="89"/>
      <c r="F434" s="215"/>
    </row>
    <row r="435" s="229" customFormat="1" spans="1:6">
      <c r="A435" s="242"/>
      <c r="B435" s="243"/>
      <c r="C435" s="244"/>
      <c r="D435" s="247"/>
      <c r="E435" s="89"/>
      <c r="F435" s="215"/>
    </row>
    <row r="436" s="229" customFormat="1" spans="1:6">
      <c r="A436" s="242"/>
      <c r="B436" s="243"/>
      <c r="C436" s="244"/>
      <c r="D436" s="247"/>
      <c r="E436" s="89"/>
      <c r="F436" s="215"/>
    </row>
    <row r="437" s="229" customFormat="1" spans="1:6">
      <c r="A437" s="242"/>
      <c r="B437" s="243"/>
      <c r="C437" s="244"/>
      <c r="D437" s="247"/>
      <c r="E437" s="89"/>
      <c r="F437" s="215"/>
    </row>
    <row r="438" s="229" customFormat="1" spans="1:6">
      <c r="A438" s="242"/>
      <c r="B438" s="243"/>
      <c r="C438" s="244"/>
      <c r="D438" s="247"/>
      <c r="E438" s="89"/>
      <c r="F438" s="215"/>
    </row>
    <row r="439" s="229" customFormat="1" spans="1:6">
      <c r="A439" s="242"/>
      <c r="B439" s="243"/>
      <c r="C439" s="244"/>
      <c r="D439" s="247"/>
      <c r="E439" s="89"/>
      <c r="F439" s="215"/>
    </row>
    <row r="440" s="229" customFormat="1" spans="1:6">
      <c r="A440" s="242"/>
      <c r="B440" s="243"/>
      <c r="C440" s="244"/>
      <c r="D440" s="245"/>
      <c r="E440" s="89"/>
      <c r="F440" s="215"/>
    </row>
    <row r="441" s="229" customFormat="1" spans="1:6">
      <c r="A441" s="242"/>
      <c r="B441" s="243"/>
      <c r="C441" s="244"/>
      <c r="D441" s="245"/>
      <c r="E441" s="89"/>
      <c r="F441" s="215"/>
    </row>
    <row r="442" s="229" customFormat="1" spans="1:6">
      <c r="A442" s="242"/>
      <c r="B442" s="250"/>
      <c r="C442" s="244"/>
      <c r="D442" s="245"/>
      <c r="E442" s="89"/>
      <c r="F442" s="215"/>
    </row>
    <row r="443" s="229" customFormat="1" spans="1:6">
      <c r="A443" s="242"/>
      <c r="B443" s="250"/>
      <c r="C443" s="244"/>
      <c r="D443" s="245"/>
      <c r="E443" s="89"/>
      <c r="F443" s="215"/>
    </row>
    <row r="444" s="229" customFormat="1" spans="1:6">
      <c r="A444" s="242"/>
      <c r="B444" s="250"/>
      <c r="C444" s="244"/>
      <c r="D444" s="245"/>
      <c r="E444" s="89"/>
      <c r="F444" s="215"/>
    </row>
    <row r="445" s="229" customFormat="1" spans="1:6">
      <c r="A445" s="242"/>
      <c r="B445" s="250"/>
      <c r="C445" s="244"/>
      <c r="D445" s="245"/>
      <c r="E445" s="89"/>
      <c r="F445" s="215"/>
    </row>
    <row r="446" s="229" customFormat="1" spans="1:6">
      <c r="A446" s="242"/>
      <c r="B446" s="250"/>
      <c r="C446" s="244"/>
      <c r="D446" s="245"/>
      <c r="E446" s="89"/>
      <c r="F446" s="215"/>
    </row>
    <row r="447" s="229" customFormat="1" spans="1:6">
      <c r="A447" s="242"/>
      <c r="B447" s="250"/>
      <c r="C447" s="244"/>
      <c r="D447" s="245"/>
      <c r="E447" s="89"/>
      <c r="F447" s="215"/>
    </row>
    <row r="448" s="229" customFormat="1" spans="1:6">
      <c r="A448" s="242"/>
      <c r="B448" s="250"/>
      <c r="C448" s="244"/>
      <c r="D448" s="245"/>
      <c r="E448" s="89"/>
      <c r="F448" s="215"/>
    </row>
    <row r="449" s="229" customFormat="1" spans="1:6">
      <c r="A449" s="242"/>
      <c r="B449" s="250"/>
      <c r="C449" s="244"/>
      <c r="D449" s="245"/>
      <c r="E449" s="89"/>
      <c r="F449" s="215"/>
    </row>
    <row r="450" s="229" customFormat="1" spans="1:6">
      <c r="A450" s="242"/>
      <c r="B450" s="250"/>
      <c r="C450" s="244"/>
      <c r="D450" s="245"/>
      <c r="E450" s="89"/>
      <c r="F450" s="215"/>
    </row>
    <row r="451" s="229" customFormat="1" spans="1:6">
      <c r="A451" s="242"/>
      <c r="B451" s="250"/>
      <c r="C451" s="244"/>
      <c r="D451" s="245"/>
      <c r="E451" s="89"/>
      <c r="F451" s="215"/>
    </row>
    <row r="452" s="229" customFormat="1" spans="1:6">
      <c r="A452" s="242"/>
      <c r="B452" s="250"/>
      <c r="C452" s="244"/>
      <c r="D452" s="245"/>
      <c r="E452" s="89"/>
      <c r="F452" s="215"/>
    </row>
    <row r="453" s="229" customFormat="1" spans="1:6">
      <c r="A453" s="242"/>
      <c r="B453" s="250"/>
      <c r="C453" s="244"/>
      <c r="D453" s="245"/>
      <c r="E453" s="89"/>
      <c r="F453" s="215"/>
    </row>
    <row r="454" s="229" customFormat="1" spans="1:6">
      <c r="A454" s="242"/>
      <c r="B454" s="250"/>
      <c r="C454" s="244"/>
      <c r="D454" s="245"/>
      <c r="E454" s="89"/>
      <c r="F454" s="215"/>
    </row>
    <row r="455" s="229" customFormat="1" spans="1:6">
      <c r="A455" s="242"/>
      <c r="B455" s="250"/>
      <c r="C455" s="244"/>
      <c r="D455" s="245"/>
      <c r="E455" s="89"/>
      <c r="F455" s="215"/>
    </row>
    <row r="456" s="229" customFormat="1" spans="1:6">
      <c r="A456" s="242"/>
      <c r="B456" s="250"/>
      <c r="C456" s="244"/>
      <c r="D456" s="245"/>
      <c r="E456" s="89"/>
      <c r="F456" s="215"/>
    </row>
    <row r="457" s="229" customFormat="1" spans="1:6">
      <c r="A457" s="242"/>
      <c r="B457" s="243"/>
      <c r="C457" s="251"/>
      <c r="D457" s="245"/>
      <c r="E457" s="89"/>
      <c r="F457" s="215"/>
    </row>
    <row r="458" s="229" customFormat="1" spans="1:6">
      <c r="A458" s="242"/>
      <c r="B458" s="252"/>
      <c r="C458" s="244"/>
      <c r="D458" s="245"/>
      <c r="E458" s="89"/>
      <c r="F458" s="215"/>
    </row>
    <row r="459" s="229" customFormat="1" spans="1:6">
      <c r="A459" s="242"/>
      <c r="B459" s="252"/>
      <c r="C459" s="244"/>
      <c r="D459" s="245"/>
      <c r="E459" s="89"/>
      <c r="F459" s="215"/>
    </row>
    <row r="460" s="229" customFormat="1" spans="1:6">
      <c r="A460" s="242"/>
      <c r="B460" s="252"/>
      <c r="C460" s="244"/>
      <c r="D460" s="245"/>
      <c r="E460" s="89"/>
      <c r="F460" s="215"/>
    </row>
    <row r="461" s="229" customFormat="1" spans="1:6">
      <c r="A461" s="242"/>
      <c r="B461" s="252"/>
      <c r="C461" s="244"/>
      <c r="D461" s="245"/>
      <c r="E461" s="89"/>
      <c r="F461" s="215"/>
    </row>
    <row r="462" s="229" customFormat="1" spans="1:6">
      <c r="A462" s="242"/>
      <c r="B462" s="252"/>
      <c r="C462" s="244"/>
      <c r="D462" s="245"/>
      <c r="E462" s="89"/>
      <c r="F462" s="215"/>
    </row>
    <row r="463" s="229" customFormat="1" spans="1:6">
      <c r="A463" s="242"/>
      <c r="B463" s="252"/>
      <c r="C463" s="244"/>
      <c r="D463" s="245"/>
      <c r="E463" s="89"/>
      <c r="F463" s="215"/>
    </row>
    <row r="464" s="229" customFormat="1" spans="1:6">
      <c r="A464" s="242"/>
      <c r="B464" s="252"/>
      <c r="C464" s="244"/>
      <c r="D464" s="245"/>
      <c r="E464" s="89"/>
      <c r="F464" s="215"/>
    </row>
    <row r="465" s="229" customFormat="1" spans="1:6">
      <c r="A465" s="242"/>
      <c r="B465" s="252"/>
      <c r="C465" s="244"/>
      <c r="D465" s="245"/>
      <c r="E465" s="89"/>
      <c r="F465" s="215"/>
    </row>
    <row r="466" s="229" customFormat="1" spans="1:6">
      <c r="A466" s="242"/>
      <c r="B466" s="252"/>
      <c r="C466" s="244"/>
      <c r="D466" s="245"/>
      <c r="E466" s="89"/>
      <c r="F466" s="215"/>
    </row>
    <row r="467" s="229" customFormat="1" spans="1:7">
      <c r="A467" s="242"/>
      <c r="B467" s="252"/>
      <c r="C467" s="244"/>
      <c r="D467" s="245"/>
      <c r="E467" s="89"/>
      <c r="F467" s="215"/>
      <c r="G467" s="241"/>
    </row>
    <row r="468" s="229" customFormat="1" spans="1:6">
      <c r="A468" s="242"/>
      <c r="B468" s="252"/>
      <c r="C468" s="244"/>
      <c r="D468" s="245"/>
      <c r="E468" s="89"/>
      <c r="F468" s="215"/>
    </row>
    <row r="469" s="229" customFormat="1" spans="1:6">
      <c r="A469" s="242"/>
      <c r="B469" s="252"/>
      <c r="C469" s="244"/>
      <c r="D469" s="245"/>
      <c r="E469" s="89"/>
      <c r="F469" s="215"/>
    </row>
    <row r="470" s="229" customFormat="1" spans="1:6">
      <c r="A470" s="242"/>
      <c r="B470" s="250"/>
      <c r="C470" s="244"/>
      <c r="D470" s="245"/>
      <c r="E470" s="89"/>
      <c r="F470" s="215"/>
    </row>
    <row r="471" s="229" customFormat="1" spans="1:6">
      <c r="A471" s="242"/>
      <c r="B471" s="250"/>
      <c r="C471" s="244"/>
      <c r="D471" s="245"/>
      <c r="E471" s="89"/>
      <c r="F471" s="215"/>
    </row>
    <row r="472" s="229" customFormat="1" spans="1:6">
      <c r="A472" s="242"/>
      <c r="B472" s="250"/>
      <c r="C472" s="244"/>
      <c r="D472" s="245"/>
      <c r="E472" s="89"/>
      <c r="F472" s="215"/>
    </row>
    <row r="473" s="229" customFormat="1" spans="1:6">
      <c r="A473" s="242"/>
      <c r="B473" s="250"/>
      <c r="C473" s="244"/>
      <c r="D473" s="245"/>
      <c r="E473" s="89"/>
      <c r="F473" s="215"/>
    </row>
    <row r="474" s="229" customFormat="1" spans="1:6">
      <c r="A474" s="242"/>
      <c r="B474" s="250"/>
      <c r="C474" s="244"/>
      <c r="D474" s="245"/>
      <c r="E474" s="89"/>
      <c r="F474" s="215"/>
    </row>
    <row r="475" s="229" customFormat="1" spans="1:6">
      <c r="A475" s="242"/>
      <c r="B475" s="250"/>
      <c r="C475" s="244"/>
      <c r="D475" s="245"/>
      <c r="E475" s="89"/>
      <c r="F475" s="215"/>
    </row>
    <row r="476" s="229" customFormat="1" spans="1:6">
      <c r="A476" s="242"/>
      <c r="B476" s="250"/>
      <c r="C476" s="244"/>
      <c r="D476" s="245"/>
      <c r="E476" s="89"/>
      <c r="F476" s="215"/>
    </row>
    <row r="477" s="229" customFormat="1" spans="1:6">
      <c r="A477" s="242"/>
      <c r="B477" s="250"/>
      <c r="C477" s="244"/>
      <c r="D477" s="245"/>
      <c r="E477" s="89"/>
      <c r="F477" s="215"/>
    </row>
    <row r="478" s="229" customFormat="1" spans="1:6">
      <c r="A478" s="242"/>
      <c r="B478" s="250"/>
      <c r="C478" s="244"/>
      <c r="D478" s="245"/>
      <c r="E478" s="89"/>
      <c r="F478" s="215"/>
    </row>
    <row r="479" s="229" customFormat="1" spans="1:6">
      <c r="A479" s="242"/>
      <c r="B479" s="250"/>
      <c r="C479" s="244"/>
      <c r="D479" s="245"/>
      <c r="E479" s="89"/>
      <c r="F479" s="215"/>
    </row>
    <row r="480" s="229" customFormat="1" spans="1:6">
      <c r="A480" s="242"/>
      <c r="B480" s="250"/>
      <c r="C480" s="244"/>
      <c r="D480" s="245"/>
      <c r="E480" s="89"/>
      <c r="F480" s="215"/>
    </row>
    <row r="481" s="229" customFormat="1" spans="1:6">
      <c r="A481" s="242"/>
      <c r="B481" s="250"/>
      <c r="C481" s="244"/>
      <c r="D481" s="245"/>
      <c r="E481" s="89"/>
      <c r="F481" s="215"/>
    </row>
    <row r="482" s="229" customFormat="1" spans="1:6">
      <c r="A482" s="242"/>
      <c r="B482" s="250"/>
      <c r="C482" s="244"/>
      <c r="D482" s="245"/>
      <c r="E482" s="89"/>
      <c r="F482" s="215"/>
    </row>
    <row r="483" s="229" customFormat="1" spans="1:6">
      <c r="A483" s="242"/>
      <c r="B483" s="250"/>
      <c r="C483" s="244"/>
      <c r="D483" s="245"/>
      <c r="E483" s="89"/>
      <c r="F483" s="215"/>
    </row>
    <row r="484" s="229" customFormat="1" spans="1:6">
      <c r="A484" s="242"/>
      <c r="B484" s="250"/>
      <c r="C484" s="244"/>
      <c r="D484" s="245"/>
      <c r="E484" s="89"/>
      <c r="F484" s="215"/>
    </row>
    <row r="485" s="229" customFormat="1" spans="1:6">
      <c r="A485" s="242"/>
      <c r="B485" s="250"/>
      <c r="C485" s="244"/>
      <c r="D485" s="245"/>
      <c r="E485" s="89"/>
      <c r="F485" s="215"/>
    </row>
    <row r="486" s="229" customFormat="1" spans="1:6">
      <c r="A486" s="242"/>
      <c r="B486" s="250"/>
      <c r="C486" s="244"/>
      <c r="D486" s="245"/>
      <c r="E486" s="89"/>
      <c r="F486" s="215"/>
    </row>
    <row r="487" s="229" customFormat="1" spans="1:6">
      <c r="A487" s="242"/>
      <c r="B487" s="250"/>
      <c r="C487" s="244"/>
      <c r="D487" s="245"/>
      <c r="E487" s="89"/>
      <c r="F487" s="215"/>
    </row>
    <row r="488" s="229" customFormat="1" spans="1:6">
      <c r="A488" s="242"/>
      <c r="B488" s="250"/>
      <c r="C488" s="244"/>
      <c r="D488" s="245"/>
      <c r="E488" s="89"/>
      <c r="F488" s="215"/>
    </row>
    <row r="489" s="229" customFormat="1" spans="1:6">
      <c r="A489" s="242"/>
      <c r="B489" s="215"/>
      <c r="C489" s="244"/>
      <c r="D489" s="89"/>
      <c r="E489" s="89"/>
      <c r="F489" s="215"/>
    </row>
    <row r="490" s="229" customFormat="1" spans="1:6">
      <c r="A490" s="242"/>
      <c r="B490" s="215"/>
      <c r="C490" s="244"/>
      <c r="D490" s="89"/>
      <c r="E490" s="89"/>
      <c r="F490" s="215"/>
    </row>
    <row r="491" s="229" customFormat="1" spans="1:6">
      <c r="A491" s="242"/>
      <c r="B491" s="215"/>
      <c r="C491" s="244"/>
      <c r="D491" s="89"/>
      <c r="E491" s="89"/>
      <c r="F491" s="215"/>
    </row>
    <row r="492" s="229" customFormat="1" spans="1:6">
      <c r="A492" s="242"/>
      <c r="B492" s="215"/>
      <c r="C492" s="244"/>
      <c r="D492" s="89"/>
      <c r="E492" s="89"/>
      <c r="F492" s="215"/>
    </row>
    <row r="493" s="229" customFormat="1" spans="1:6">
      <c r="A493" s="242"/>
      <c r="B493" s="215"/>
      <c r="C493" s="244"/>
      <c r="D493" s="89"/>
      <c r="E493" s="89"/>
      <c r="F493" s="215"/>
    </row>
    <row r="494" s="229" customFormat="1" spans="1:6">
      <c r="A494" s="242"/>
      <c r="B494" s="215"/>
      <c r="C494" s="244"/>
      <c r="D494" s="89"/>
      <c r="E494" s="89"/>
      <c r="F494" s="215"/>
    </row>
    <row r="495" s="229" customFormat="1" spans="1:6">
      <c r="A495" s="242"/>
      <c r="B495" s="215"/>
      <c r="C495" s="244"/>
      <c r="D495" s="89"/>
      <c r="E495" s="89"/>
      <c r="F495" s="215"/>
    </row>
    <row r="496" s="229" customFormat="1" spans="1:6">
      <c r="A496" s="242"/>
      <c r="B496" s="215"/>
      <c r="C496" s="244"/>
      <c r="D496" s="89"/>
      <c r="E496" s="89"/>
      <c r="F496" s="215"/>
    </row>
    <row r="497" s="229" customFormat="1" spans="1:6">
      <c r="A497" s="242"/>
      <c r="B497" s="253"/>
      <c r="C497" s="244"/>
      <c r="D497" s="89"/>
      <c r="E497" s="89"/>
      <c r="F497" s="215"/>
    </row>
    <row r="498" s="229" customFormat="1" spans="1:6">
      <c r="A498" s="242"/>
      <c r="B498" s="253"/>
      <c r="C498" s="244"/>
      <c r="D498" s="89"/>
      <c r="E498" s="89"/>
      <c r="F498" s="215"/>
    </row>
    <row r="499" s="229" customFormat="1" spans="1:6">
      <c r="A499" s="242"/>
      <c r="B499" s="253"/>
      <c r="C499" s="244"/>
      <c r="D499" s="89"/>
      <c r="E499" s="89"/>
      <c r="F499" s="215"/>
    </row>
    <row r="500" s="229" customFormat="1" spans="1:6">
      <c r="A500" s="242"/>
      <c r="B500" s="253"/>
      <c r="C500" s="244"/>
      <c r="D500" s="89"/>
      <c r="E500" s="89"/>
      <c r="F500" s="215"/>
    </row>
    <row r="501" s="229" customFormat="1" spans="1:6">
      <c r="A501" s="242"/>
      <c r="B501" s="253"/>
      <c r="C501" s="244"/>
      <c r="D501" s="89"/>
      <c r="E501" s="89"/>
      <c r="F501" s="215"/>
    </row>
    <row r="502" s="229" customFormat="1" spans="1:6">
      <c r="A502" s="242"/>
      <c r="B502" s="253"/>
      <c r="C502" s="244"/>
      <c r="D502" s="89"/>
      <c r="E502" s="89"/>
      <c r="F502" s="215"/>
    </row>
    <row r="503" s="229" customFormat="1" spans="1:6">
      <c r="A503" s="242"/>
      <c r="B503" s="253"/>
      <c r="C503" s="244"/>
      <c r="D503" s="89"/>
      <c r="E503" s="89"/>
      <c r="F503" s="215"/>
    </row>
    <row r="504" s="229" customFormat="1" spans="1:6">
      <c r="A504" s="242"/>
      <c r="B504" s="253"/>
      <c r="C504" s="244"/>
      <c r="D504" s="89"/>
      <c r="E504" s="89"/>
      <c r="F504" s="215"/>
    </row>
    <row r="505" s="229" customFormat="1" spans="1:6">
      <c r="A505" s="242"/>
      <c r="B505" s="253"/>
      <c r="C505" s="244"/>
      <c r="D505" s="89"/>
      <c r="E505" s="89"/>
      <c r="F505" s="215"/>
    </row>
    <row r="506" s="229" customFormat="1" spans="1:6">
      <c r="A506" s="242"/>
      <c r="B506" s="253"/>
      <c r="C506" s="244"/>
      <c r="D506" s="89"/>
      <c r="E506" s="89"/>
      <c r="F506" s="215"/>
    </row>
    <row r="507" s="229" customFormat="1" spans="1:6">
      <c r="A507" s="242"/>
      <c r="B507" s="253"/>
      <c r="C507" s="244"/>
      <c r="D507" s="89"/>
      <c r="E507" s="89"/>
      <c r="F507" s="215"/>
    </row>
    <row r="508" s="229" customFormat="1" spans="1:6">
      <c r="A508" s="242"/>
      <c r="B508" s="253"/>
      <c r="C508" s="244"/>
      <c r="D508" s="89"/>
      <c r="E508" s="89"/>
      <c r="F508" s="215"/>
    </row>
    <row r="509" s="229" customFormat="1" spans="1:6">
      <c r="A509" s="242"/>
      <c r="B509" s="253"/>
      <c r="C509" s="244"/>
      <c r="D509" s="89"/>
      <c r="E509" s="89"/>
      <c r="F509" s="215"/>
    </row>
    <row r="510" s="229" customFormat="1" spans="1:6">
      <c r="A510" s="242"/>
      <c r="B510" s="253"/>
      <c r="C510" s="244"/>
      <c r="D510" s="89"/>
      <c r="E510" s="89"/>
      <c r="F510" s="215"/>
    </row>
    <row r="511" s="229" customFormat="1" spans="1:6">
      <c r="A511" s="242"/>
      <c r="B511" s="253"/>
      <c r="C511" s="244"/>
      <c r="D511" s="89"/>
      <c r="E511" s="89"/>
      <c r="F511" s="215"/>
    </row>
    <row r="512" s="229" customFormat="1" spans="1:6">
      <c r="A512" s="242"/>
      <c r="B512" s="253"/>
      <c r="C512" s="244"/>
      <c r="D512" s="89"/>
      <c r="E512" s="89"/>
      <c r="F512" s="215"/>
    </row>
    <row r="513" s="229" customFormat="1" spans="1:6">
      <c r="A513" s="242"/>
      <c r="B513" s="253"/>
      <c r="C513" s="244"/>
      <c r="D513" s="89"/>
      <c r="E513" s="89"/>
      <c r="F513" s="215"/>
    </row>
    <row r="514" s="229" customFormat="1" spans="1:6">
      <c r="A514" s="242"/>
      <c r="B514" s="253"/>
      <c r="C514" s="244"/>
      <c r="D514" s="89"/>
      <c r="E514" s="89"/>
      <c r="F514" s="215"/>
    </row>
    <row r="515" s="229" customFormat="1" spans="1:7">
      <c r="A515" s="242"/>
      <c r="B515" s="253"/>
      <c r="C515" s="244"/>
      <c r="D515" s="89"/>
      <c r="E515" s="89"/>
      <c r="F515" s="215"/>
      <c r="G515" s="241"/>
    </row>
    <row r="516" s="229" customFormat="1" spans="1:6">
      <c r="A516" s="242"/>
      <c r="B516" s="253"/>
      <c r="C516" s="244"/>
      <c r="D516" s="89"/>
      <c r="E516" s="89"/>
      <c r="F516" s="215"/>
    </row>
    <row r="517" s="229" customFormat="1" spans="1:6">
      <c r="A517" s="242"/>
      <c r="B517" s="253"/>
      <c r="C517" s="244"/>
      <c r="D517" s="89"/>
      <c r="E517" s="89"/>
      <c r="F517" s="215"/>
    </row>
    <row r="518" s="229" customFormat="1" spans="1:6">
      <c r="A518" s="242"/>
      <c r="B518" s="253"/>
      <c r="C518" s="244"/>
      <c r="D518" s="89"/>
      <c r="E518" s="89"/>
      <c r="F518" s="215"/>
    </row>
    <row r="519" s="229" customFormat="1" spans="1:6">
      <c r="A519" s="242"/>
      <c r="B519" s="253"/>
      <c r="C519" s="244"/>
      <c r="D519" s="89"/>
      <c r="E519" s="89"/>
      <c r="F519" s="215"/>
    </row>
    <row r="520" spans="1:6">
      <c r="A520" s="242"/>
      <c r="B520" s="253"/>
      <c r="C520" s="244"/>
      <c r="D520" s="89"/>
      <c r="E520" s="89"/>
      <c r="F520" s="215"/>
    </row>
    <row r="521" spans="1:6">
      <c r="A521" s="242"/>
      <c r="B521" s="253"/>
      <c r="C521" s="244"/>
      <c r="D521" s="89"/>
      <c r="E521" s="89"/>
      <c r="F521" s="215"/>
    </row>
    <row r="522" spans="1:6">
      <c r="A522" s="242"/>
      <c r="B522" s="253"/>
      <c r="C522" s="244"/>
      <c r="D522" s="89"/>
      <c r="E522" s="89"/>
      <c r="F522" s="215"/>
    </row>
    <row r="523" spans="1:6">
      <c r="A523" s="242"/>
      <c r="B523" s="253"/>
      <c r="C523" s="244"/>
      <c r="D523" s="89"/>
      <c r="E523" s="89"/>
      <c r="F523" s="215"/>
    </row>
    <row r="524" spans="1:6">
      <c r="A524" s="242"/>
      <c r="B524" s="253"/>
      <c r="C524" s="244"/>
      <c r="D524" s="89"/>
      <c r="E524" s="89"/>
      <c r="F524" s="215"/>
    </row>
    <row r="525" spans="1:6">
      <c r="A525" s="242"/>
      <c r="B525" s="253"/>
      <c r="C525" s="244"/>
      <c r="D525" s="89"/>
      <c r="E525" s="89"/>
      <c r="F525" s="215"/>
    </row>
    <row r="526" spans="1:6">
      <c r="A526" s="242"/>
      <c r="B526" s="253"/>
      <c r="C526" s="244"/>
      <c r="D526" s="89"/>
      <c r="E526" s="89"/>
      <c r="F526" s="215"/>
    </row>
    <row r="527" spans="1:6">
      <c r="A527" s="242"/>
      <c r="B527" s="253"/>
      <c r="C527" s="244"/>
      <c r="D527" s="89"/>
      <c r="E527" s="89"/>
      <c r="F527" s="215"/>
    </row>
    <row r="528" spans="1:6">
      <c r="A528" s="242"/>
      <c r="B528" s="253"/>
      <c r="C528" s="244"/>
      <c r="D528" s="89"/>
      <c r="E528" s="89"/>
      <c r="F528" s="215"/>
    </row>
    <row r="529" spans="1:6">
      <c r="A529" s="242"/>
      <c r="B529" s="253"/>
      <c r="C529" s="244"/>
      <c r="D529" s="89"/>
      <c r="E529" s="89"/>
      <c r="F529" s="215"/>
    </row>
    <row r="530" spans="1:6">
      <c r="A530" s="242"/>
      <c r="B530" s="253"/>
      <c r="C530" s="244"/>
      <c r="D530" s="89"/>
      <c r="E530" s="89"/>
      <c r="F530" s="215"/>
    </row>
    <row r="531" spans="1:6">
      <c r="A531" s="242"/>
      <c r="B531" s="253"/>
      <c r="C531" s="244"/>
      <c r="D531" s="89"/>
      <c r="E531" s="89"/>
      <c r="F531" s="215"/>
    </row>
    <row r="532" spans="1:6">
      <c r="A532" s="242"/>
      <c r="B532" s="253"/>
      <c r="C532" s="244"/>
      <c r="D532" s="89"/>
      <c r="E532" s="89"/>
      <c r="F532" s="215"/>
    </row>
    <row r="533" spans="1:6">
      <c r="A533" s="242"/>
      <c r="B533" s="253"/>
      <c r="C533" s="244"/>
      <c r="D533" s="89"/>
      <c r="E533" s="89"/>
      <c r="F533" s="215"/>
    </row>
    <row r="534" spans="1:6">
      <c r="A534" s="242"/>
      <c r="B534" s="253"/>
      <c r="C534" s="244"/>
      <c r="D534" s="89"/>
      <c r="E534" s="89"/>
      <c r="F534" s="215"/>
    </row>
    <row r="535" spans="1:6">
      <c r="A535" s="242"/>
      <c r="B535" s="253"/>
      <c r="C535" s="244"/>
      <c r="D535" s="89"/>
      <c r="E535" s="89"/>
      <c r="F535" s="215"/>
    </row>
    <row r="536" spans="1:6">
      <c r="A536" s="242"/>
      <c r="B536" s="253"/>
      <c r="C536" s="244"/>
      <c r="D536" s="89"/>
      <c r="E536" s="89"/>
      <c r="F536" s="215"/>
    </row>
    <row r="537" spans="1:6">
      <c r="A537" s="242"/>
      <c r="B537" s="253"/>
      <c r="C537" s="244"/>
      <c r="D537" s="89"/>
      <c r="E537" s="89"/>
      <c r="F537" s="215"/>
    </row>
    <row r="538" spans="1:6">
      <c r="A538" s="242"/>
      <c r="B538" s="253"/>
      <c r="C538" s="244"/>
      <c r="D538" s="89"/>
      <c r="E538" s="89"/>
      <c r="F538" s="215"/>
    </row>
    <row r="539" spans="1:6">
      <c r="A539" s="242"/>
      <c r="B539" s="253"/>
      <c r="C539" s="244"/>
      <c r="D539" s="89"/>
      <c r="E539" s="89"/>
      <c r="F539" s="215"/>
    </row>
    <row r="540" spans="1:6">
      <c r="A540" s="242"/>
      <c r="B540" s="253"/>
      <c r="C540" s="244"/>
      <c r="D540" s="89"/>
      <c r="E540" s="89"/>
      <c r="F540" s="215"/>
    </row>
    <row r="541" spans="1:6">
      <c r="A541" s="242"/>
      <c r="B541" s="253"/>
      <c r="C541" s="244"/>
      <c r="D541" s="89"/>
      <c r="E541" s="89"/>
      <c r="F541" s="215"/>
    </row>
    <row r="542" spans="1:6">
      <c r="A542" s="242"/>
      <c r="B542" s="253"/>
      <c r="C542" s="244"/>
      <c r="D542" s="89"/>
      <c r="E542" s="89"/>
      <c r="F542" s="215"/>
    </row>
    <row r="543" spans="1:6">
      <c r="A543" s="242"/>
      <c r="B543" s="253"/>
      <c r="C543" s="244"/>
      <c r="D543" s="89"/>
      <c r="E543" s="89"/>
      <c r="F543" s="215"/>
    </row>
    <row r="544" spans="1:6">
      <c r="A544" s="242"/>
      <c r="B544" s="253"/>
      <c r="C544" s="244"/>
      <c r="D544" s="89"/>
      <c r="E544" s="89"/>
      <c r="F544" s="215"/>
    </row>
    <row r="545" spans="1:6">
      <c r="A545" s="242"/>
      <c r="B545" s="253"/>
      <c r="C545" s="244"/>
      <c r="D545" s="89"/>
      <c r="E545" s="89"/>
      <c r="F545" s="215"/>
    </row>
    <row r="546" spans="1:6">
      <c r="A546" s="242"/>
      <c r="B546" s="253"/>
      <c r="C546" s="244"/>
      <c r="D546" s="89"/>
      <c r="E546" s="89"/>
      <c r="F546" s="215"/>
    </row>
    <row r="547" spans="1:6">
      <c r="A547" s="242"/>
      <c r="B547" s="253"/>
      <c r="C547" s="244"/>
      <c r="D547" s="89"/>
      <c r="E547" s="89"/>
      <c r="F547" s="215"/>
    </row>
    <row r="548" spans="1:6">
      <c r="A548" s="242"/>
      <c r="B548" s="253"/>
      <c r="C548" s="244"/>
      <c r="D548" s="89"/>
      <c r="E548" s="89"/>
      <c r="F548" s="215"/>
    </row>
    <row r="549" spans="1:6">
      <c r="A549" s="242"/>
      <c r="B549" s="253"/>
      <c r="C549" s="244"/>
      <c r="D549" s="89"/>
      <c r="E549" s="89"/>
      <c r="F549" s="215"/>
    </row>
    <row r="550" spans="1:6">
      <c r="A550" s="242"/>
      <c r="B550" s="253"/>
      <c r="C550" s="244"/>
      <c r="D550" s="89"/>
      <c r="E550" s="89"/>
      <c r="F550" s="215"/>
    </row>
    <row r="551" spans="1:6">
      <c r="A551" s="242"/>
      <c r="B551" s="253"/>
      <c r="C551" s="244"/>
      <c r="D551" s="89"/>
      <c r="E551" s="89"/>
      <c r="F551" s="215"/>
    </row>
    <row r="552" spans="1:6">
      <c r="A552" s="242"/>
      <c r="B552" s="253"/>
      <c r="C552" s="244"/>
      <c r="D552" s="89"/>
      <c r="E552" s="89"/>
      <c r="F552" s="215"/>
    </row>
    <row r="553" spans="1:6">
      <c r="A553" s="242"/>
      <c r="B553" s="253"/>
      <c r="C553" s="244"/>
      <c r="D553" s="89"/>
      <c r="E553" s="89"/>
      <c r="F553" s="215"/>
    </row>
    <row r="554" spans="1:6">
      <c r="A554" s="242"/>
      <c r="B554" s="253"/>
      <c r="C554" s="244"/>
      <c r="D554" s="89"/>
      <c r="E554" s="89"/>
      <c r="F554" s="215"/>
    </row>
    <row r="555" spans="1:6">
      <c r="A555" s="242"/>
      <c r="B555" s="253"/>
      <c r="C555" s="244"/>
      <c r="D555" s="89"/>
      <c r="E555" s="254"/>
      <c r="F555" s="255"/>
    </row>
    <row r="556" spans="1:6">
      <c r="A556" s="242"/>
      <c r="B556" s="253"/>
      <c r="C556" s="244"/>
      <c r="D556" s="89"/>
      <c r="E556" s="256">
        <f>SUM(F2:F555)</f>
        <v>0</v>
      </c>
      <c r="F556" s="257"/>
    </row>
  </sheetData>
  <mergeCells count="1">
    <mergeCell ref="E556:F556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04"/>
  <sheetViews>
    <sheetView zoomScale="86" zoomScaleNormal="86" workbookViewId="0">
      <pane xSplit="3" ySplit="1" topLeftCell="D180" activePane="bottomRight" state="frozen"/>
      <selection/>
      <selection pane="topRight"/>
      <selection pane="bottomLeft"/>
      <selection pane="bottomRight" activeCell="A2" sqref="A2:H793"/>
    </sheetView>
  </sheetViews>
  <sheetFormatPr defaultColWidth="9.140625" defaultRowHeight="17.6"/>
  <cols>
    <col min="1" max="1" width="13" style="183" customWidth="1"/>
    <col min="2" max="2" width="9.875" style="208" customWidth="1"/>
    <col min="3" max="3" width="30.125" style="185" customWidth="1"/>
    <col min="4" max="4" width="5.9375" style="184" customWidth="1"/>
    <col min="5" max="5" width="12" style="182" customWidth="1"/>
    <col min="6" max="6" width="13.625" style="182" customWidth="1"/>
    <col min="7" max="7" width="18.0078125" style="182" customWidth="1"/>
    <col min="8" max="8" width="29.25" style="182" customWidth="1"/>
    <col min="9" max="9" width="14.9375" style="182"/>
    <col min="10" max="10" width="9.140625" style="182"/>
    <col min="11" max="11" width="13.5" style="182"/>
    <col min="12" max="16384" width="9.140625" style="182"/>
  </cols>
  <sheetData>
    <row r="1" s="12" customFormat="1" ht="20.4" spans="1:8">
      <c r="A1" s="186" t="s">
        <v>0</v>
      </c>
      <c r="B1" s="209" t="s">
        <v>6</v>
      </c>
      <c r="C1" s="187" t="s">
        <v>1</v>
      </c>
      <c r="D1" s="188" t="s">
        <v>2</v>
      </c>
      <c r="E1" s="197" t="s">
        <v>3</v>
      </c>
      <c r="F1" s="197" t="s">
        <v>4</v>
      </c>
      <c r="G1" s="197" t="s">
        <v>5</v>
      </c>
      <c r="H1" s="96" t="s">
        <v>7</v>
      </c>
    </row>
    <row r="2" s="182" customFormat="1" spans="1:8">
      <c r="A2" s="189"/>
      <c r="B2" s="210"/>
      <c r="C2" s="190"/>
      <c r="D2" s="190"/>
      <c r="E2" s="198"/>
      <c r="F2" s="198"/>
      <c r="G2" s="199"/>
      <c r="H2" s="200"/>
    </row>
    <row r="3" s="182" customFormat="1" spans="1:8">
      <c r="A3" s="189"/>
      <c r="B3" s="210"/>
      <c r="C3" s="190"/>
      <c r="D3" s="190"/>
      <c r="E3" s="198"/>
      <c r="F3" s="198"/>
      <c r="G3" s="199"/>
      <c r="H3" s="200"/>
    </row>
    <row r="4" s="182" customFormat="1" spans="1:8">
      <c r="A4" s="189"/>
      <c r="B4" s="210"/>
      <c r="C4" s="190"/>
      <c r="D4" s="190"/>
      <c r="E4" s="198"/>
      <c r="F4" s="198"/>
      <c r="G4" s="199"/>
      <c r="H4" s="200"/>
    </row>
    <row r="5" s="182" customFormat="1" spans="1:9">
      <c r="A5" s="189"/>
      <c r="B5" s="210"/>
      <c r="C5" s="190"/>
      <c r="D5" s="190"/>
      <c r="E5" s="198"/>
      <c r="F5" s="198"/>
      <c r="G5" s="199"/>
      <c r="H5" s="200"/>
      <c r="I5" s="207"/>
    </row>
    <row r="6" s="182" customFormat="1" spans="1:8">
      <c r="A6" s="189"/>
      <c r="B6" s="210"/>
      <c r="C6" s="190"/>
      <c r="D6" s="190"/>
      <c r="E6" s="198"/>
      <c r="F6" s="198"/>
      <c r="G6" s="199"/>
      <c r="H6" s="200"/>
    </row>
    <row r="7" s="182" customFormat="1" spans="1:8">
      <c r="A7" s="189"/>
      <c r="B7" s="210"/>
      <c r="C7" s="190"/>
      <c r="D7" s="190"/>
      <c r="E7" s="198"/>
      <c r="F7" s="198"/>
      <c r="G7" s="199"/>
      <c r="H7" s="200"/>
    </row>
    <row r="8" s="182" customFormat="1" spans="1:8">
      <c r="A8" s="189"/>
      <c r="B8" s="210"/>
      <c r="C8" s="190"/>
      <c r="D8" s="190"/>
      <c r="E8" s="198"/>
      <c r="F8" s="198"/>
      <c r="G8" s="199"/>
      <c r="H8" s="200"/>
    </row>
    <row r="9" s="182" customFormat="1" spans="1:8">
      <c r="A9" s="189"/>
      <c r="B9" s="210"/>
      <c r="C9" s="190"/>
      <c r="D9" s="190"/>
      <c r="E9" s="198"/>
      <c r="F9" s="198"/>
      <c r="G9" s="199"/>
      <c r="H9" s="200"/>
    </row>
    <row r="10" s="182" customFormat="1" spans="1:8">
      <c r="A10" s="189"/>
      <c r="B10" s="210"/>
      <c r="C10" s="190"/>
      <c r="D10" s="190"/>
      <c r="E10" s="198"/>
      <c r="F10" s="198"/>
      <c r="G10" s="199"/>
      <c r="H10" s="200"/>
    </row>
    <row r="11" s="182" customFormat="1" spans="1:8">
      <c r="A11" s="189"/>
      <c r="B11" s="210"/>
      <c r="C11" s="190"/>
      <c r="D11" s="190"/>
      <c r="E11" s="198"/>
      <c r="F11" s="198"/>
      <c r="G11" s="199"/>
      <c r="H11" s="200"/>
    </row>
    <row r="12" s="182" customFormat="1" spans="1:8">
      <c r="A12" s="189"/>
      <c r="B12" s="210"/>
      <c r="C12" s="190"/>
      <c r="D12" s="190"/>
      <c r="E12" s="198"/>
      <c r="F12" s="198"/>
      <c r="G12" s="199"/>
      <c r="H12" s="200"/>
    </row>
    <row r="13" s="182" customFormat="1" spans="1:8">
      <c r="A13" s="189"/>
      <c r="B13" s="210"/>
      <c r="C13" s="190"/>
      <c r="D13" s="190"/>
      <c r="E13" s="198"/>
      <c r="F13" s="198"/>
      <c r="G13" s="199"/>
      <c r="H13" s="200"/>
    </row>
    <row r="14" s="182" customFormat="1" spans="1:8">
      <c r="A14" s="189"/>
      <c r="B14" s="210"/>
      <c r="C14" s="190"/>
      <c r="D14" s="190"/>
      <c r="E14" s="198"/>
      <c r="F14" s="198"/>
      <c r="G14" s="199"/>
      <c r="H14" s="200"/>
    </row>
    <row r="15" s="182" customFormat="1" spans="1:8">
      <c r="A15" s="189"/>
      <c r="B15" s="210"/>
      <c r="C15" s="190"/>
      <c r="D15" s="190"/>
      <c r="E15" s="198"/>
      <c r="F15" s="198"/>
      <c r="G15" s="199"/>
      <c r="H15" s="200"/>
    </row>
    <row r="16" s="182" customFormat="1" spans="1:8">
      <c r="A16" s="189"/>
      <c r="B16" s="210"/>
      <c r="C16" s="190"/>
      <c r="D16" s="190"/>
      <c r="E16" s="198"/>
      <c r="F16" s="198"/>
      <c r="G16" s="199"/>
      <c r="H16" s="200"/>
    </row>
    <row r="17" s="182" customFormat="1" spans="1:8">
      <c r="A17" s="189"/>
      <c r="B17" s="210"/>
      <c r="C17" s="190"/>
      <c r="D17" s="190"/>
      <c r="E17" s="198"/>
      <c r="F17" s="198"/>
      <c r="G17" s="199"/>
      <c r="H17" s="200"/>
    </row>
    <row r="18" s="182" customFormat="1" spans="1:8">
      <c r="A18" s="189"/>
      <c r="B18" s="210"/>
      <c r="C18" s="190"/>
      <c r="D18" s="190"/>
      <c r="E18" s="198"/>
      <c r="F18" s="198"/>
      <c r="G18" s="199"/>
      <c r="H18" s="200"/>
    </row>
    <row r="19" s="182" customFormat="1" spans="1:8">
      <c r="A19" s="189"/>
      <c r="B19" s="210"/>
      <c r="C19" s="190"/>
      <c r="D19" s="190"/>
      <c r="E19" s="198"/>
      <c r="F19" s="198"/>
      <c r="G19" s="199"/>
      <c r="H19" s="200"/>
    </row>
    <row r="20" s="182" customFormat="1" spans="1:8">
      <c r="A20" s="189"/>
      <c r="B20" s="210"/>
      <c r="C20" s="190"/>
      <c r="D20" s="190"/>
      <c r="E20" s="198"/>
      <c r="F20" s="198"/>
      <c r="G20" s="199"/>
      <c r="H20" s="200"/>
    </row>
    <row r="21" s="182" customFormat="1" spans="1:8">
      <c r="A21" s="189"/>
      <c r="B21" s="210"/>
      <c r="C21" s="190"/>
      <c r="D21" s="190"/>
      <c r="E21" s="198"/>
      <c r="F21" s="198"/>
      <c r="G21" s="199"/>
      <c r="H21" s="200"/>
    </row>
    <row r="22" s="182" customFormat="1" spans="1:8">
      <c r="A22" s="189"/>
      <c r="B22" s="210"/>
      <c r="C22" s="190"/>
      <c r="D22" s="190"/>
      <c r="E22" s="198"/>
      <c r="F22" s="198"/>
      <c r="G22" s="199"/>
      <c r="H22" s="200"/>
    </row>
    <row r="23" s="182" customFormat="1" spans="1:8">
      <c r="A23" s="189"/>
      <c r="B23" s="210"/>
      <c r="C23" s="190"/>
      <c r="D23" s="190"/>
      <c r="E23" s="198"/>
      <c r="F23" s="198"/>
      <c r="G23" s="199"/>
      <c r="H23" s="200"/>
    </row>
    <row r="24" s="182" customFormat="1" spans="1:8">
      <c r="A24" s="189"/>
      <c r="B24" s="210"/>
      <c r="C24" s="190"/>
      <c r="D24" s="190"/>
      <c r="E24" s="198"/>
      <c r="F24" s="198"/>
      <c r="G24" s="199"/>
      <c r="H24" s="200"/>
    </row>
    <row r="25" s="182" customFormat="1" spans="1:8">
      <c r="A25" s="189"/>
      <c r="B25" s="210"/>
      <c r="C25" s="190"/>
      <c r="D25" s="190"/>
      <c r="E25" s="198"/>
      <c r="F25" s="198"/>
      <c r="G25" s="199"/>
      <c r="H25" s="200"/>
    </row>
    <row r="26" s="182" customFormat="1" spans="1:8">
      <c r="A26" s="189"/>
      <c r="B26" s="210"/>
      <c r="C26" s="190"/>
      <c r="D26" s="190"/>
      <c r="E26" s="198"/>
      <c r="F26" s="198"/>
      <c r="G26" s="199"/>
      <c r="H26" s="200"/>
    </row>
    <row r="27" s="182" customFormat="1" spans="1:8">
      <c r="A27" s="189"/>
      <c r="B27" s="210"/>
      <c r="C27" s="190"/>
      <c r="D27" s="190"/>
      <c r="E27" s="198"/>
      <c r="F27" s="198"/>
      <c r="G27" s="199"/>
      <c r="H27" s="200"/>
    </row>
    <row r="28" s="182" customFormat="1" spans="1:8">
      <c r="A28" s="189"/>
      <c r="B28" s="210"/>
      <c r="C28" s="190"/>
      <c r="D28" s="190"/>
      <c r="E28" s="198"/>
      <c r="F28" s="198"/>
      <c r="G28" s="199"/>
      <c r="H28" s="200"/>
    </row>
    <row r="29" s="182" customFormat="1" spans="1:8">
      <c r="A29" s="189"/>
      <c r="B29" s="210"/>
      <c r="C29" s="190"/>
      <c r="D29" s="190"/>
      <c r="E29" s="198"/>
      <c r="F29" s="198"/>
      <c r="G29" s="199"/>
      <c r="H29" s="200"/>
    </row>
    <row r="30" s="182" customFormat="1" spans="1:8">
      <c r="A30" s="189"/>
      <c r="B30" s="210"/>
      <c r="C30" s="190"/>
      <c r="D30" s="190"/>
      <c r="E30" s="198"/>
      <c r="F30" s="198"/>
      <c r="G30" s="199"/>
      <c r="H30" s="200"/>
    </row>
    <row r="31" s="182" customFormat="1" spans="1:8">
      <c r="A31" s="189"/>
      <c r="B31" s="210"/>
      <c r="C31" s="190"/>
      <c r="D31" s="190"/>
      <c r="E31" s="198"/>
      <c r="F31" s="198"/>
      <c r="G31" s="199"/>
      <c r="H31" s="200"/>
    </row>
    <row r="32" s="182" customFormat="1" spans="1:8">
      <c r="A32" s="189"/>
      <c r="B32" s="210"/>
      <c r="C32" s="190"/>
      <c r="D32" s="190"/>
      <c r="E32" s="198"/>
      <c r="F32" s="198"/>
      <c r="G32" s="199"/>
      <c r="H32" s="200"/>
    </row>
    <row r="33" s="182" customFormat="1" spans="1:8">
      <c r="A33" s="189"/>
      <c r="B33" s="210"/>
      <c r="C33" s="190"/>
      <c r="D33" s="190"/>
      <c r="E33" s="198"/>
      <c r="F33" s="198"/>
      <c r="G33" s="199"/>
      <c r="H33" s="200"/>
    </row>
    <row r="34" s="182" customFormat="1" spans="1:8">
      <c r="A34" s="189"/>
      <c r="B34" s="210"/>
      <c r="C34" s="190"/>
      <c r="D34" s="190"/>
      <c r="E34" s="198"/>
      <c r="F34" s="198"/>
      <c r="G34" s="199"/>
      <c r="H34" s="200"/>
    </row>
    <row r="35" s="182" customFormat="1" spans="1:8">
      <c r="A35" s="189"/>
      <c r="B35" s="210"/>
      <c r="C35" s="190"/>
      <c r="D35" s="190"/>
      <c r="E35" s="198"/>
      <c r="F35" s="198"/>
      <c r="G35" s="199"/>
      <c r="H35" s="200"/>
    </row>
    <row r="36" s="182" customFormat="1" spans="1:8">
      <c r="A36" s="189"/>
      <c r="B36" s="210"/>
      <c r="C36" s="190"/>
      <c r="D36" s="190"/>
      <c r="E36" s="198"/>
      <c r="F36" s="198"/>
      <c r="G36" s="199"/>
      <c r="H36" s="200"/>
    </row>
    <row r="37" s="182" customFormat="1" spans="1:8">
      <c r="A37" s="189"/>
      <c r="B37" s="210"/>
      <c r="C37" s="190"/>
      <c r="D37" s="190"/>
      <c r="E37" s="198"/>
      <c r="F37" s="198"/>
      <c r="G37" s="199"/>
      <c r="H37" s="200"/>
    </row>
    <row r="38" s="182" customFormat="1" spans="1:8">
      <c r="A38" s="189"/>
      <c r="B38" s="210"/>
      <c r="C38" s="190"/>
      <c r="D38" s="190"/>
      <c r="E38" s="198"/>
      <c r="F38" s="198"/>
      <c r="G38" s="199"/>
      <c r="H38" s="200"/>
    </row>
    <row r="39" s="182" customFormat="1" spans="1:8">
      <c r="A39" s="189"/>
      <c r="B39" s="210"/>
      <c r="C39" s="190"/>
      <c r="D39" s="190"/>
      <c r="E39" s="198"/>
      <c r="F39" s="198"/>
      <c r="G39" s="199"/>
      <c r="H39" s="200"/>
    </row>
    <row r="40" ht="13" customHeight="1" spans="1:8">
      <c r="A40" s="189"/>
      <c r="B40" s="210"/>
      <c r="C40" s="190"/>
      <c r="D40" s="190"/>
      <c r="E40" s="198"/>
      <c r="F40" s="198"/>
      <c r="G40" s="199"/>
      <c r="H40" s="200"/>
    </row>
    <row r="41" spans="1:8">
      <c r="A41" s="189"/>
      <c r="B41" s="210"/>
      <c r="C41" s="190"/>
      <c r="D41" s="190"/>
      <c r="E41" s="198"/>
      <c r="F41" s="198"/>
      <c r="G41" s="199"/>
      <c r="H41" s="200"/>
    </row>
    <row r="42" spans="1:8">
      <c r="A42" s="189"/>
      <c r="B42" s="210"/>
      <c r="C42" s="190"/>
      <c r="D42" s="190"/>
      <c r="E42" s="198"/>
      <c r="F42" s="198"/>
      <c r="G42" s="199"/>
      <c r="H42" s="200"/>
    </row>
    <row r="43" spans="1:8">
      <c r="A43" s="189"/>
      <c r="B43" s="210"/>
      <c r="C43" s="190"/>
      <c r="D43" s="190"/>
      <c r="E43" s="198"/>
      <c r="F43" s="198"/>
      <c r="G43" s="199"/>
      <c r="H43" s="200"/>
    </row>
    <row r="44" spans="1:8">
      <c r="A44" s="189"/>
      <c r="B44" s="210"/>
      <c r="C44" s="190"/>
      <c r="D44" s="190"/>
      <c r="E44" s="198"/>
      <c r="F44" s="198"/>
      <c r="G44" s="199"/>
      <c r="H44" s="200"/>
    </row>
    <row r="45" spans="1:8">
      <c r="A45" s="189"/>
      <c r="B45" s="210"/>
      <c r="C45" s="190"/>
      <c r="D45" s="190"/>
      <c r="E45" s="198"/>
      <c r="F45" s="198"/>
      <c r="G45" s="199"/>
      <c r="H45" s="200"/>
    </row>
    <row r="46" spans="1:8">
      <c r="A46" s="189"/>
      <c r="B46" s="210"/>
      <c r="C46" s="190"/>
      <c r="D46" s="190"/>
      <c r="E46" s="198"/>
      <c r="F46" s="198"/>
      <c r="G46" s="199"/>
      <c r="H46" s="200"/>
    </row>
    <row r="47" spans="1:8">
      <c r="A47" s="189"/>
      <c r="B47" s="210"/>
      <c r="C47" s="190"/>
      <c r="D47" s="190"/>
      <c r="E47" s="198"/>
      <c r="F47" s="198"/>
      <c r="G47" s="199"/>
      <c r="H47" s="200"/>
    </row>
    <row r="48" spans="1:8">
      <c r="A48" s="189"/>
      <c r="B48" s="210"/>
      <c r="C48" s="190"/>
      <c r="D48" s="190"/>
      <c r="E48" s="198"/>
      <c r="F48" s="198"/>
      <c r="G48" s="199"/>
      <c r="H48" s="200"/>
    </row>
    <row r="49" spans="1:8">
      <c r="A49" s="189"/>
      <c r="B49" s="210"/>
      <c r="C49" s="190"/>
      <c r="D49" s="190"/>
      <c r="E49" s="198"/>
      <c r="F49" s="198"/>
      <c r="G49" s="199"/>
      <c r="H49" s="200"/>
    </row>
    <row r="50" spans="1:8">
      <c r="A50" s="189"/>
      <c r="B50" s="210"/>
      <c r="C50" s="190"/>
      <c r="D50" s="190"/>
      <c r="E50" s="198"/>
      <c r="F50" s="198"/>
      <c r="G50" s="199"/>
      <c r="H50" s="200"/>
    </row>
    <row r="51" spans="1:8">
      <c r="A51" s="189"/>
      <c r="B51" s="210"/>
      <c r="C51" s="190"/>
      <c r="D51" s="190"/>
      <c r="E51" s="198"/>
      <c r="F51" s="198"/>
      <c r="G51" s="199"/>
      <c r="H51" s="200"/>
    </row>
    <row r="52" spans="1:8">
      <c r="A52" s="189"/>
      <c r="B52" s="210"/>
      <c r="C52" s="190"/>
      <c r="D52" s="190"/>
      <c r="E52" s="198"/>
      <c r="F52" s="198"/>
      <c r="G52" s="199"/>
      <c r="H52" s="200"/>
    </row>
    <row r="53" spans="1:8">
      <c r="A53" s="189"/>
      <c r="B53" s="210"/>
      <c r="C53" s="190"/>
      <c r="D53" s="190"/>
      <c r="E53" s="198"/>
      <c r="F53" s="198"/>
      <c r="G53" s="199"/>
      <c r="H53" s="200"/>
    </row>
    <row r="54" spans="1:8">
      <c r="A54" s="189"/>
      <c r="B54" s="210"/>
      <c r="C54" s="190"/>
      <c r="D54" s="190"/>
      <c r="E54" s="198"/>
      <c r="F54" s="198"/>
      <c r="G54" s="199"/>
      <c r="H54" s="200"/>
    </row>
    <row r="55" spans="1:8">
      <c r="A55" s="189"/>
      <c r="B55" s="210"/>
      <c r="C55" s="190"/>
      <c r="D55" s="190"/>
      <c r="E55" s="198"/>
      <c r="F55" s="198"/>
      <c r="G55" s="199"/>
      <c r="H55" s="200"/>
    </row>
    <row r="56" spans="1:8">
      <c r="A56" s="189"/>
      <c r="B56" s="210"/>
      <c r="C56" s="190"/>
      <c r="D56" s="190"/>
      <c r="E56" s="198"/>
      <c r="F56" s="198"/>
      <c r="G56" s="199"/>
      <c r="H56" s="200"/>
    </row>
    <row r="57" spans="1:8">
      <c r="A57" s="189"/>
      <c r="B57" s="210"/>
      <c r="C57" s="190"/>
      <c r="D57" s="190"/>
      <c r="E57" s="198"/>
      <c r="F57" s="198"/>
      <c r="G57" s="199"/>
      <c r="H57" s="200"/>
    </row>
    <row r="58" spans="1:8">
      <c r="A58" s="189"/>
      <c r="B58" s="210"/>
      <c r="C58" s="190"/>
      <c r="D58" s="190"/>
      <c r="E58" s="198"/>
      <c r="F58" s="198"/>
      <c r="G58" s="199"/>
      <c r="H58" s="200"/>
    </row>
    <row r="59" spans="1:8">
      <c r="A59" s="189"/>
      <c r="B59" s="210"/>
      <c r="C59" s="190"/>
      <c r="D59" s="190"/>
      <c r="E59" s="198"/>
      <c r="F59" s="198"/>
      <c r="G59" s="199"/>
      <c r="H59" s="200"/>
    </row>
    <row r="60" spans="1:8">
      <c r="A60" s="189"/>
      <c r="B60" s="210"/>
      <c r="C60" s="190"/>
      <c r="D60" s="190"/>
      <c r="E60" s="198"/>
      <c r="F60" s="198"/>
      <c r="G60" s="199"/>
      <c r="H60" s="200"/>
    </row>
    <row r="61" spans="1:8">
      <c r="A61" s="189"/>
      <c r="B61" s="210"/>
      <c r="C61" s="190"/>
      <c r="D61" s="190"/>
      <c r="E61" s="198"/>
      <c r="F61" s="198"/>
      <c r="G61" s="199"/>
      <c r="H61" s="200"/>
    </row>
    <row r="62" spans="1:8">
      <c r="A62" s="189"/>
      <c r="B62" s="210"/>
      <c r="C62" s="190"/>
      <c r="D62" s="190"/>
      <c r="E62" s="198"/>
      <c r="F62" s="198"/>
      <c r="G62" s="199"/>
      <c r="H62" s="200"/>
    </row>
    <row r="63" spans="1:8">
      <c r="A63" s="189"/>
      <c r="B63" s="210"/>
      <c r="C63" s="190"/>
      <c r="D63" s="190"/>
      <c r="E63" s="198"/>
      <c r="F63" s="198"/>
      <c r="G63" s="199"/>
      <c r="H63" s="200"/>
    </row>
    <row r="64" spans="1:8">
      <c r="A64" s="189"/>
      <c r="B64" s="210"/>
      <c r="C64" s="190"/>
      <c r="D64" s="190"/>
      <c r="E64" s="198"/>
      <c r="F64" s="198"/>
      <c r="G64" s="199"/>
      <c r="H64" s="200"/>
    </row>
    <row r="65" spans="1:8">
      <c r="A65" s="189"/>
      <c r="B65" s="210"/>
      <c r="C65" s="190"/>
      <c r="D65" s="190"/>
      <c r="E65" s="198"/>
      <c r="F65" s="198"/>
      <c r="G65" s="199"/>
      <c r="H65" s="200"/>
    </row>
    <row r="66" spans="1:8">
      <c r="A66" s="189"/>
      <c r="B66" s="210"/>
      <c r="C66" s="190"/>
      <c r="D66" s="190"/>
      <c r="E66" s="198"/>
      <c r="F66" s="198"/>
      <c r="G66" s="199"/>
      <c r="H66" s="200"/>
    </row>
    <row r="67" spans="1:8">
      <c r="A67" s="189"/>
      <c r="B67" s="210"/>
      <c r="C67" s="190"/>
      <c r="D67" s="190"/>
      <c r="E67" s="198"/>
      <c r="F67" s="198"/>
      <c r="G67" s="199"/>
      <c r="H67" s="200"/>
    </row>
    <row r="68" spans="1:8">
      <c r="A68" s="189"/>
      <c r="B68" s="210"/>
      <c r="C68" s="190"/>
      <c r="D68" s="190"/>
      <c r="E68" s="198"/>
      <c r="F68" s="198"/>
      <c r="G68" s="199"/>
      <c r="H68" s="200"/>
    </row>
    <row r="69" spans="1:8">
      <c r="A69" s="189"/>
      <c r="B69" s="210"/>
      <c r="C69" s="190"/>
      <c r="D69" s="190"/>
      <c r="E69" s="198"/>
      <c r="F69" s="198"/>
      <c r="G69" s="199"/>
      <c r="H69" s="200"/>
    </row>
    <row r="70" spans="1:8">
      <c r="A70" s="189"/>
      <c r="B70" s="210"/>
      <c r="C70" s="190"/>
      <c r="D70" s="190"/>
      <c r="E70" s="198"/>
      <c r="F70" s="198"/>
      <c r="G70" s="199"/>
      <c r="H70" s="200"/>
    </row>
    <row r="71" spans="1:8">
      <c r="A71" s="189"/>
      <c r="B71" s="210"/>
      <c r="C71" s="190"/>
      <c r="D71" s="190"/>
      <c r="E71" s="198"/>
      <c r="F71" s="198"/>
      <c r="G71" s="199"/>
      <c r="H71" s="200"/>
    </row>
    <row r="72" spans="1:8">
      <c r="A72" s="189"/>
      <c r="B72" s="210"/>
      <c r="C72" s="190"/>
      <c r="D72" s="190"/>
      <c r="E72" s="198"/>
      <c r="F72" s="198"/>
      <c r="G72" s="199"/>
      <c r="H72" s="200"/>
    </row>
    <row r="73" spans="1:8">
      <c r="A73" s="189"/>
      <c r="B73" s="210"/>
      <c r="C73" s="190"/>
      <c r="D73" s="190"/>
      <c r="E73" s="198"/>
      <c r="F73" s="198"/>
      <c r="G73" s="199"/>
      <c r="H73" s="200"/>
    </row>
    <row r="74" spans="1:8">
      <c r="A74" s="189"/>
      <c r="B74" s="210"/>
      <c r="C74" s="190"/>
      <c r="D74" s="190"/>
      <c r="E74" s="198"/>
      <c r="F74" s="198"/>
      <c r="G74" s="199"/>
      <c r="H74" s="200"/>
    </row>
    <row r="75" spans="1:8">
      <c r="A75" s="189"/>
      <c r="B75" s="210"/>
      <c r="C75" s="190"/>
      <c r="D75" s="190"/>
      <c r="E75" s="198"/>
      <c r="F75" s="198"/>
      <c r="G75" s="199"/>
      <c r="H75" s="200"/>
    </row>
    <row r="76" spans="1:8">
      <c r="A76" s="189"/>
      <c r="B76" s="210"/>
      <c r="C76" s="190"/>
      <c r="D76" s="190"/>
      <c r="E76" s="198"/>
      <c r="F76" s="198"/>
      <c r="G76" s="199"/>
      <c r="H76" s="200"/>
    </row>
    <row r="77" spans="1:8">
      <c r="A77" s="189"/>
      <c r="B77" s="210"/>
      <c r="C77" s="190"/>
      <c r="D77" s="190"/>
      <c r="E77" s="198"/>
      <c r="F77" s="198"/>
      <c r="G77" s="199"/>
      <c r="H77" s="200"/>
    </row>
    <row r="78" spans="1:8">
      <c r="A78" s="189"/>
      <c r="B78" s="210"/>
      <c r="C78" s="190"/>
      <c r="D78" s="190"/>
      <c r="E78" s="198"/>
      <c r="F78" s="198"/>
      <c r="G78" s="199"/>
      <c r="H78" s="200"/>
    </row>
    <row r="79" spans="1:8">
      <c r="A79" s="189"/>
      <c r="B79" s="210"/>
      <c r="C79" s="190"/>
      <c r="D79" s="190"/>
      <c r="E79" s="198"/>
      <c r="F79" s="198"/>
      <c r="G79" s="199"/>
      <c r="H79" s="200"/>
    </row>
    <row r="80" spans="1:8">
      <c r="A80" s="189"/>
      <c r="B80" s="210"/>
      <c r="C80" s="190"/>
      <c r="D80" s="190"/>
      <c r="E80" s="198"/>
      <c r="F80" s="198"/>
      <c r="G80" s="199"/>
      <c r="H80" s="200"/>
    </row>
    <row r="81" spans="1:8">
      <c r="A81" s="189"/>
      <c r="B81" s="210"/>
      <c r="C81" s="190"/>
      <c r="D81" s="190"/>
      <c r="E81" s="198"/>
      <c r="F81" s="198"/>
      <c r="G81" s="199"/>
      <c r="H81" s="200"/>
    </row>
    <row r="82" spans="1:8">
      <c r="A82" s="189"/>
      <c r="B82" s="210"/>
      <c r="C82" s="190"/>
      <c r="D82" s="190"/>
      <c r="E82" s="198"/>
      <c r="F82" s="198"/>
      <c r="G82" s="199"/>
      <c r="H82" s="200"/>
    </row>
    <row r="83" spans="1:8">
      <c r="A83" s="189"/>
      <c r="B83" s="210"/>
      <c r="C83" s="190"/>
      <c r="D83" s="190"/>
      <c r="E83" s="198"/>
      <c r="F83" s="198"/>
      <c r="G83" s="199"/>
      <c r="H83" s="200"/>
    </row>
    <row r="84" spans="1:8">
      <c r="A84" s="189"/>
      <c r="B84" s="210"/>
      <c r="C84" s="190"/>
      <c r="D84" s="190"/>
      <c r="E84" s="198"/>
      <c r="F84" s="198"/>
      <c r="G84" s="199"/>
      <c r="H84" s="200"/>
    </row>
    <row r="85" spans="1:8">
      <c r="A85" s="189"/>
      <c r="B85" s="210"/>
      <c r="C85" s="190"/>
      <c r="D85" s="190"/>
      <c r="E85" s="198"/>
      <c r="F85" s="198"/>
      <c r="G85" s="199"/>
      <c r="H85" s="200"/>
    </row>
    <row r="86" spans="1:8">
      <c r="A86" s="189"/>
      <c r="B86" s="210"/>
      <c r="C86" s="190"/>
      <c r="D86" s="190"/>
      <c r="E86" s="198"/>
      <c r="F86" s="198"/>
      <c r="G86" s="199"/>
      <c r="H86" s="200"/>
    </row>
    <row r="87" spans="1:8">
      <c r="A87" s="189"/>
      <c r="B87" s="210"/>
      <c r="C87" s="190"/>
      <c r="D87" s="190"/>
      <c r="E87" s="198"/>
      <c r="F87" s="198"/>
      <c r="G87" s="199"/>
      <c r="H87" s="200"/>
    </row>
    <row r="88" spans="1:8">
      <c r="A88" s="189"/>
      <c r="B88" s="210"/>
      <c r="C88" s="190"/>
      <c r="D88" s="190"/>
      <c r="E88" s="198"/>
      <c r="F88" s="198"/>
      <c r="G88" s="199"/>
      <c r="H88" s="200"/>
    </row>
    <row r="89" spans="1:8">
      <c r="A89" s="189"/>
      <c r="B89" s="210"/>
      <c r="C89" s="190"/>
      <c r="D89" s="190"/>
      <c r="E89" s="198"/>
      <c r="F89" s="198"/>
      <c r="G89" s="199"/>
      <c r="H89" s="200"/>
    </row>
    <row r="90" spans="1:8">
      <c r="A90" s="189"/>
      <c r="B90" s="210"/>
      <c r="C90" s="190"/>
      <c r="D90" s="190"/>
      <c r="E90" s="198"/>
      <c r="F90" s="198"/>
      <c r="G90" s="199"/>
      <c r="H90" s="200"/>
    </row>
    <row r="91" spans="1:8">
      <c r="A91" s="189"/>
      <c r="B91" s="210"/>
      <c r="C91" s="190"/>
      <c r="D91" s="190"/>
      <c r="E91" s="198"/>
      <c r="F91" s="198"/>
      <c r="G91" s="199"/>
      <c r="H91" s="200"/>
    </row>
    <row r="92" spans="1:8">
      <c r="A92" s="189"/>
      <c r="B92" s="210"/>
      <c r="C92" s="190"/>
      <c r="D92" s="190"/>
      <c r="E92" s="198"/>
      <c r="F92" s="198"/>
      <c r="G92" s="199"/>
      <c r="H92" s="200"/>
    </row>
    <row r="93" spans="1:8">
      <c r="A93" s="189"/>
      <c r="B93" s="210"/>
      <c r="C93" s="211"/>
      <c r="D93" s="212"/>
      <c r="E93" s="89"/>
      <c r="F93" s="198"/>
      <c r="G93" s="199"/>
      <c r="H93" s="200"/>
    </row>
    <row r="94" spans="1:8">
      <c r="A94" s="189"/>
      <c r="B94" s="210"/>
      <c r="C94" s="211"/>
      <c r="D94" s="212"/>
      <c r="E94" s="89"/>
      <c r="F94" s="198"/>
      <c r="G94" s="199"/>
      <c r="H94" s="200"/>
    </row>
    <row r="95" spans="1:8">
      <c r="A95" s="189"/>
      <c r="B95" s="210"/>
      <c r="C95" s="211"/>
      <c r="D95" s="212"/>
      <c r="E95" s="89"/>
      <c r="F95" s="198"/>
      <c r="G95" s="199"/>
      <c r="H95" s="200"/>
    </row>
    <row r="96" spans="1:8">
      <c r="A96" s="189"/>
      <c r="B96" s="210"/>
      <c r="C96" s="211"/>
      <c r="D96" s="212"/>
      <c r="E96" s="89"/>
      <c r="F96" s="198"/>
      <c r="G96" s="199"/>
      <c r="H96" s="200"/>
    </row>
    <row r="97" spans="1:8">
      <c r="A97" s="189"/>
      <c r="B97" s="210"/>
      <c r="C97" s="211"/>
      <c r="D97" s="212"/>
      <c r="E97" s="89"/>
      <c r="F97" s="198"/>
      <c r="G97" s="199"/>
      <c r="H97" s="200"/>
    </row>
    <row r="98" spans="1:8">
      <c r="A98" s="189"/>
      <c r="B98" s="210"/>
      <c r="C98" s="211"/>
      <c r="D98" s="212"/>
      <c r="E98" s="89"/>
      <c r="F98" s="198"/>
      <c r="G98" s="199"/>
      <c r="H98" s="200"/>
    </row>
    <row r="99" spans="1:8">
      <c r="A99" s="189"/>
      <c r="B99" s="210"/>
      <c r="C99" s="211"/>
      <c r="D99" s="212"/>
      <c r="E99" s="89"/>
      <c r="F99" s="198"/>
      <c r="G99" s="199"/>
      <c r="H99" s="200"/>
    </row>
    <row r="100" spans="1:8">
      <c r="A100" s="189"/>
      <c r="B100" s="210"/>
      <c r="C100" s="211"/>
      <c r="D100" s="212"/>
      <c r="E100" s="89"/>
      <c r="F100" s="198"/>
      <c r="G100" s="199"/>
      <c r="H100" s="200"/>
    </row>
    <row r="101" spans="1:9">
      <c r="A101" s="189"/>
      <c r="B101" s="210"/>
      <c r="C101" s="211"/>
      <c r="D101" s="212"/>
      <c r="E101" s="89"/>
      <c r="F101" s="198"/>
      <c r="G101" s="199"/>
      <c r="H101" s="200"/>
      <c r="I101" s="207"/>
    </row>
    <row r="102" spans="1:8">
      <c r="A102" s="189"/>
      <c r="B102" s="210"/>
      <c r="C102" s="211"/>
      <c r="D102" s="212"/>
      <c r="E102" s="89"/>
      <c r="F102" s="198"/>
      <c r="G102" s="199"/>
      <c r="H102" s="200"/>
    </row>
    <row r="103" spans="1:8">
      <c r="A103" s="189"/>
      <c r="B103" s="210"/>
      <c r="C103" s="211"/>
      <c r="D103" s="212"/>
      <c r="E103" s="89"/>
      <c r="F103" s="198"/>
      <c r="G103" s="199"/>
      <c r="H103" s="200"/>
    </row>
    <row r="104" spans="1:8">
      <c r="A104" s="213"/>
      <c r="B104" s="214"/>
      <c r="C104" s="211"/>
      <c r="D104" s="212"/>
      <c r="E104" s="89"/>
      <c r="F104" s="198"/>
      <c r="G104" s="215"/>
      <c r="H104" s="200"/>
    </row>
    <row r="105" spans="1:8">
      <c r="A105" s="213"/>
      <c r="B105" s="214"/>
      <c r="C105" s="211"/>
      <c r="D105" s="212"/>
      <c r="E105" s="89"/>
      <c r="F105" s="198"/>
      <c r="G105" s="215"/>
      <c r="H105" s="200"/>
    </row>
    <row r="106" spans="1:8">
      <c r="A106" s="213"/>
      <c r="B106" s="214"/>
      <c r="C106" s="211"/>
      <c r="D106" s="212"/>
      <c r="E106" s="89"/>
      <c r="F106" s="198"/>
      <c r="G106" s="215"/>
      <c r="H106" s="200"/>
    </row>
    <row r="107" spans="1:8">
      <c r="A107" s="213"/>
      <c r="B107" s="214"/>
      <c r="C107" s="211"/>
      <c r="D107" s="212"/>
      <c r="E107" s="89"/>
      <c r="F107" s="198"/>
      <c r="G107" s="215"/>
      <c r="H107" s="200"/>
    </row>
    <row r="108" spans="1:8">
      <c r="A108" s="213"/>
      <c r="B108" s="214"/>
      <c r="C108" s="211"/>
      <c r="D108" s="212"/>
      <c r="E108" s="89"/>
      <c r="F108" s="198"/>
      <c r="G108" s="215"/>
      <c r="H108" s="200"/>
    </row>
    <row r="109" spans="1:8">
      <c r="A109" s="213"/>
      <c r="B109" s="214"/>
      <c r="C109" s="211"/>
      <c r="D109" s="212"/>
      <c r="E109" s="89"/>
      <c r="F109" s="198"/>
      <c r="G109" s="215"/>
      <c r="H109" s="200"/>
    </row>
    <row r="110" spans="1:8">
      <c r="A110" s="213"/>
      <c r="B110" s="214"/>
      <c r="C110" s="211"/>
      <c r="D110" s="212"/>
      <c r="E110" s="89"/>
      <c r="F110" s="198"/>
      <c r="G110" s="215"/>
      <c r="H110" s="200"/>
    </row>
    <row r="111" spans="1:8">
      <c r="A111" s="213"/>
      <c r="B111" s="214"/>
      <c r="C111" s="211"/>
      <c r="D111" s="212"/>
      <c r="E111" s="89"/>
      <c r="F111" s="198"/>
      <c r="G111" s="215"/>
      <c r="H111" s="200"/>
    </row>
    <row r="112" spans="1:8">
      <c r="A112" s="213"/>
      <c r="B112" s="214"/>
      <c r="C112" s="211"/>
      <c r="D112" s="212"/>
      <c r="E112" s="89"/>
      <c r="F112" s="198"/>
      <c r="G112" s="215"/>
      <c r="H112" s="200"/>
    </row>
    <row r="113" spans="1:8">
      <c r="A113" s="213"/>
      <c r="B113" s="214"/>
      <c r="C113" s="211"/>
      <c r="D113" s="212"/>
      <c r="E113" s="89"/>
      <c r="F113" s="198"/>
      <c r="G113" s="215"/>
      <c r="H113" s="200"/>
    </row>
    <row r="114" spans="1:8">
      <c r="A114" s="213"/>
      <c r="B114" s="214"/>
      <c r="C114" s="211"/>
      <c r="D114" s="212"/>
      <c r="E114" s="89"/>
      <c r="F114" s="198"/>
      <c r="G114" s="215"/>
      <c r="H114" s="200"/>
    </row>
    <row r="115" spans="1:8">
      <c r="A115" s="213"/>
      <c r="B115" s="214"/>
      <c r="C115" s="190"/>
      <c r="D115" s="190"/>
      <c r="E115" s="198"/>
      <c r="F115" s="198"/>
      <c r="G115" s="215"/>
      <c r="H115" s="200"/>
    </row>
    <row r="116" spans="1:8">
      <c r="A116" s="213"/>
      <c r="B116" s="214"/>
      <c r="C116" s="190"/>
      <c r="D116" s="190"/>
      <c r="E116" s="198"/>
      <c r="F116" s="198"/>
      <c r="G116" s="215"/>
      <c r="H116" s="200"/>
    </row>
    <row r="117" spans="1:8">
      <c r="A117" s="213"/>
      <c r="B117" s="214"/>
      <c r="C117" s="190"/>
      <c r="D117" s="190"/>
      <c r="E117" s="198"/>
      <c r="F117" s="198"/>
      <c r="G117" s="215"/>
      <c r="H117" s="200"/>
    </row>
    <row r="118" spans="1:8">
      <c r="A118" s="213"/>
      <c r="B118" s="214"/>
      <c r="C118" s="190"/>
      <c r="D118" s="190"/>
      <c r="E118" s="198"/>
      <c r="F118" s="198"/>
      <c r="G118" s="215"/>
      <c r="H118" s="200"/>
    </row>
    <row r="119" spans="1:8">
      <c r="A119" s="213"/>
      <c r="B119" s="214"/>
      <c r="C119" s="190"/>
      <c r="D119" s="190"/>
      <c r="E119" s="198"/>
      <c r="F119" s="198"/>
      <c r="G119" s="215"/>
      <c r="H119" s="200"/>
    </row>
    <row r="120" spans="1:8">
      <c r="A120" s="213"/>
      <c r="B120" s="214"/>
      <c r="C120" s="190"/>
      <c r="D120" s="190"/>
      <c r="E120" s="198"/>
      <c r="F120" s="198"/>
      <c r="G120" s="215"/>
      <c r="H120" s="200"/>
    </row>
    <row r="121" spans="1:8">
      <c r="A121" s="213"/>
      <c r="B121" s="214"/>
      <c r="C121" s="190"/>
      <c r="D121" s="190"/>
      <c r="E121" s="198"/>
      <c r="F121" s="198"/>
      <c r="G121" s="215"/>
      <c r="H121" s="200"/>
    </row>
    <row r="122" spans="1:8">
      <c r="A122" s="213"/>
      <c r="B122" s="214"/>
      <c r="C122" s="190"/>
      <c r="D122" s="190"/>
      <c r="E122" s="198"/>
      <c r="F122" s="198"/>
      <c r="G122" s="215"/>
      <c r="H122" s="200"/>
    </row>
    <row r="123" spans="1:8">
      <c r="A123" s="213"/>
      <c r="B123" s="214"/>
      <c r="C123" s="190"/>
      <c r="D123" s="190"/>
      <c r="E123" s="198"/>
      <c r="F123" s="198"/>
      <c r="G123" s="215"/>
      <c r="H123" s="200"/>
    </row>
    <row r="124" spans="1:8">
      <c r="A124" s="213"/>
      <c r="B124" s="214"/>
      <c r="C124" s="190"/>
      <c r="D124" s="190"/>
      <c r="E124" s="198"/>
      <c r="F124" s="198"/>
      <c r="G124" s="215"/>
      <c r="H124" s="200"/>
    </row>
    <row r="125" spans="1:8">
      <c r="A125" s="213"/>
      <c r="B125" s="214"/>
      <c r="C125" s="190"/>
      <c r="D125" s="190"/>
      <c r="E125" s="198"/>
      <c r="F125" s="198"/>
      <c r="G125" s="215"/>
      <c r="H125" s="200"/>
    </row>
    <row r="126" spans="1:8">
      <c r="A126" s="189"/>
      <c r="B126" s="210"/>
      <c r="C126" s="190"/>
      <c r="D126" s="190"/>
      <c r="E126" s="198"/>
      <c r="F126" s="198"/>
      <c r="G126" s="199"/>
      <c r="H126" s="200"/>
    </row>
    <row r="127" spans="1:8">
      <c r="A127" s="189"/>
      <c r="B127" s="210"/>
      <c r="C127" s="190"/>
      <c r="D127" s="190"/>
      <c r="E127" s="198"/>
      <c r="F127" s="198"/>
      <c r="G127" s="199"/>
      <c r="H127" s="200"/>
    </row>
    <row r="128" spans="1:8">
      <c r="A128" s="189"/>
      <c r="B128" s="210"/>
      <c r="C128" s="190"/>
      <c r="D128" s="190"/>
      <c r="E128" s="198"/>
      <c r="F128" s="198"/>
      <c r="G128" s="199"/>
      <c r="H128" s="200"/>
    </row>
    <row r="129" spans="1:8">
      <c r="A129" s="189"/>
      <c r="B129" s="210"/>
      <c r="C129" s="190"/>
      <c r="D129" s="190"/>
      <c r="E129" s="198"/>
      <c r="F129" s="198"/>
      <c r="G129" s="199"/>
      <c r="H129" s="200"/>
    </row>
    <row r="130" spans="1:8">
      <c r="A130" s="189"/>
      <c r="B130" s="210"/>
      <c r="C130" s="190"/>
      <c r="D130" s="190"/>
      <c r="E130" s="198"/>
      <c r="F130" s="198"/>
      <c r="G130" s="199"/>
      <c r="H130" s="200"/>
    </row>
    <row r="131" spans="1:8">
      <c r="A131" s="189"/>
      <c r="B131" s="210"/>
      <c r="C131" s="190"/>
      <c r="D131" s="190"/>
      <c r="E131" s="198"/>
      <c r="F131" s="198"/>
      <c r="G131" s="199"/>
      <c r="H131" s="200"/>
    </row>
    <row r="132" spans="1:8">
      <c r="A132" s="189"/>
      <c r="B132" s="210"/>
      <c r="C132" s="190"/>
      <c r="D132" s="190"/>
      <c r="E132" s="198"/>
      <c r="F132" s="198"/>
      <c r="G132" s="199"/>
      <c r="H132" s="200"/>
    </row>
    <row r="133" spans="1:8">
      <c r="A133" s="189"/>
      <c r="B133" s="210"/>
      <c r="C133" s="190"/>
      <c r="D133" s="190"/>
      <c r="E133" s="198"/>
      <c r="F133" s="198"/>
      <c r="G133" s="199"/>
      <c r="H133" s="200"/>
    </row>
    <row r="134" spans="1:8">
      <c r="A134" s="189"/>
      <c r="B134" s="210"/>
      <c r="C134" s="190"/>
      <c r="D134" s="190"/>
      <c r="E134" s="198"/>
      <c r="F134" s="198"/>
      <c r="G134" s="199"/>
      <c r="H134" s="200"/>
    </row>
    <row r="135" spans="1:8">
      <c r="A135" s="189"/>
      <c r="B135" s="210"/>
      <c r="C135" s="190"/>
      <c r="D135" s="190"/>
      <c r="E135" s="198"/>
      <c r="F135" s="198"/>
      <c r="G135" s="199"/>
      <c r="H135" s="200"/>
    </row>
    <row r="136" spans="1:8">
      <c r="A136" s="189"/>
      <c r="B136" s="210"/>
      <c r="C136" s="190"/>
      <c r="D136" s="190"/>
      <c r="E136" s="198"/>
      <c r="F136" s="198"/>
      <c r="G136" s="199"/>
      <c r="H136" s="200"/>
    </row>
    <row r="137" spans="1:8">
      <c r="A137" s="189"/>
      <c r="B137" s="210"/>
      <c r="C137" s="190"/>
      <c r="D137" s="190"/>
      <c r="E137" s="198"/>
      <c r="F137" s="198"/>
      <c r="G137" s="199"/>
      <c r="H137" s="200"/>
    </row>
    <row r="138" spans="1:8">
      <c r="A138" s="189"/>
      <c r="B138" s="210"/>
      <c r="C138" s="190"/>
      <c r="D138" s="190"/>
      <c r="E138" s="198"/>
      <c r="F138" s="198"/>
      <c r="G138" s="199"/>
      <c r="H138" s="200"/>
    </row>
    <row r="139" spans="1:8">
      <c r="A139" s="189"/>
      <c r="B139" s="210"/>
      <c r="C139" s="190"/>
      <c r="D139" s="190"/>
      <c r="E139" s="198"/>
      <c r="F139" s="198"/>
      <c r="G139" s="199"/>
      <c r="H139" s="200"/>
    </row>
    <row r="140" spans="1:8">
      <c r="A140" s="189"/>
      <c r="B140" s="210"/>
      <c r="C140" s="190"/>
      <c r="D140" s="190"/>
      <c r="E140" s="198"/>
      <c r="F140" s="198"/>
      <c r="G140" s="199"/>
      <c r="H140" s="200"/>
    </row>
    <row r="141" spans="1:8">
      <c r="A141" s="189"/>
      <c r="B141" s="210"/>
      <c r="C141" s="190"/>
      <c r="D141" s="190"/>
      <c r="E141" s="198"/>
      <c r="F141" s="198"/>
      <c r="G141" s="199"/>
      <c r="H141" s="200"/>
    </row>
    <row r="142" spans="1:8">
      <c r="A142" s="189"/>
      <c r="B142" s="210"/>
      <c r="C142" s="190"/>
      <c r="D142" s="190"/>
      <c r="E142" s="198"/>
      <c r="F142" s="198"/>
      <c r="G142" s="199"/>
      <c r="H142" s="200"/>
    </row>
    <row r="143" spans="1:8">
      <c r="A143" s="189"/>
      <c r="B143" s="210"/>
      <c r="C143" s="190"/>
      <c r="D143" s="190"/>
      <c r="E143" s="198"/>
      <c r="F143" s="198"/>
      <c r="G143" s="199"/>
      <c r="H143" s="200"/>
    </row>
    <row r="144" spans="1:8">
      <c r="A144" s="189"/>
      <c r="B144" s="210"/>
      <c r="C144" s="190"/>
      <c r="D144" s="190"/>
      <c r="E144" s="198"/>
      <c r="F144" s="198"/>
      <c r="G144" s="199"/>
      <c r="H144" s="200"/>
    </row>
    <row r="145" spans="1:8">
      <c r="A145" s="189"/>
      <c r="B145" s="210"/>
      <c r="C145" s="190"/>
      <c r="D145" s="190"/>
      <c r="E145" s="198"/>
      <c r="F145" s="198"/>
      <c r="G145" s="199"/>
      <c r="H145" s="200"/>
    </row>
    <row r="146" spans="1:8">
      <c r="A146" s="189"/>
      <c r="B146" s="210"/>
      <c r="C146" s="190"/>
      <c r="D146" s="190"/>
      <c r="E146" s="198"/>
      <c r="F146" s="198"/>
      <c r="G146" s="199"/>
      <c r="H146" s="200"/>
    </row>
    <row r="147" spans="1:8">
      <c r="A147" s="189"/>
      <c r="B147" s="210"/>
      <c r="C147" s="190"/>
      <c r="D147" s="190"/>
      <c r="E147" s="198"/>
      <c r="F147" s="198"/>
      <c r="G147" s="199"/>
      <c r="H147" s="200"/>
    </row>
    <row r="148" spans="1:8">
      <c r="A148" s="189"/>
      <c r="B148" s="210"/>
      <c r="C148" s="190"/>
      <c r="D148" s="190"/>
      <c r="E148" s="198"/>
      <c r="F148" s="198"/>
      <c r="G148" s="199"/>
      <c r="H148" s="200"/>
    </row>
    <row r="149" spans="1:8">
      <c r="A149" s="189"/>
      <c r="B149" s="210"/>
      <c r="C149" s="190"/>
      <c r="D149" s="190"/>
      <c r="E149" s="198"/>
      <c r="F149" s="198"/>
      <c r="G149" s="199"/>
      <c r="H149" s="200"/>
    </row>
    <row r="150" spans="1:8">
      <c r="A150" s="189"/>
      <c r="B150" s="210"/>
      <c r="C150" s="190"/>
      <c r="D150" s="190"/>
      <c r="E150" s="198"/>
      <c r="F150" s="198"/>
      <c r="G150" s="199"/>
      <c r="H150" s="200"/>
    </row>
    <row r="151" spans="1:8">
      <c r="A151" s="189"/>
      <c r="B151" s="210"/>
      <c r="C151" s="190"/>
      <c r="D151" s="190"/>
      <c r="E151" s="198"/>
      <c r="F151" s="198"/>
      <c r="G151" s="199"/>
      <c r="H151" s="200"/>
    </row>
    <row r="152" spans="1:8">
      <c r="A152" s="189"/>
      <c r="B152" s="210"/>
      <c r="C152" s="190"/>
      <c r="D152" s="190"/>
      <c r="E152" s="198"/>
      <c r="F152" s="198"/>
      <c r="G152" s="199"/>
      <c r="H152" s="200"/>
    </row>
    <row r="153" spans="1:8">
      <c r="A153" s="189"/>
      <c r="B153" s="210"/>
      <c r="C153" s="190"/>
      <c r="D153" s="190"/>
      <c r="E153" s="198"/>
      <c r="F153" s="198"/>
      <c r="G153" s="199"/>
      <c r="H153" s="200"/>
    </row>
    <row r="154" spans="1:8">
      <c r="A154" s="189"/>
      <c r="B154" s="210"/>
      <c r="C154" s="190"/>
      <c r="D154" s="190"/>
      <c r="E154" s="198"/>
      <c r="F154" s="198"/>
      <c r="G154" s="199"/>
      <c r="H154" s="200"/>
    </row>
    <row r="155" spans="1:8">
      <c r="A155" s="189"/>
      <c r="B155" s="210"/>
      <c r="C155" s="190"/>
      <c r="D155" s="190"/>
      <c r="E155" s="198"/>
      <c r="F155" s="198"/>
      <c r="G155" s="199"/>
      <c r="H155" s="200"/>
    </row>
    <row r="156" spans="1:8">
      <c r="A156" s="189"/>
      <c r="B156" s="210"/>
      <c r="C156" s="190"/>
      <c r="D156" s="190"/>
      <c r="E156" s="198"/>
      <c r="F156" s="198"/>
      <c r="G156" s="199"/>
      <c r="H156" s="200"/>
    </row>
    <row r="157" spans="1:8">
      <c r="A157" s="189"/>
      <c r="B157" s="210"/>
      <c r="C157" s="190"/>
      <c r="D157" s="190"/>
      <c r="E157" s="198"/>
      <c r="F157" s="198"/>
      <c r="G157" s="199"/>
      <c r="H157" s="200"/>
    </row>
    <row r="158" spans="1:8">
      <c r="A158" s="189"/>
      <c r="B158" s="210"/>
      <c r="C158" s="190"/>
      <c r="D158" s="190"/>
      <c r="E158" s="198"/>
      <c r="F158" s="198"/>
      <c r="G158" s="199"/>
      <c r="H158" s="200"/>
    </row>
    <row r="159" spans="1:8">
      <c r="A159" s="189"/>
      <c r="B159" s="210"/>
      <c r="C159" s="190"/>
      <c r="D159" s="190"/>
      <c r="E159" s="198"/>
      <c r="F159" s="198"/>
      <c r="G159" s="199"/>
      <c r="H159" s="200"/>
    </row>
    <row r="160" spans="1:8">
      <c r="A160" s="189"/>
      <c r="B160" s="210"/>
      <c r="C160" s="190"/>
      <c r="D160" s="190"/>
      <c r="E160" s="198"/>
      <c r="F160" s="198"/>
      <c r="G160" s="199"/>
      <c r="H160" s="200"/>
    </row>
    <row r="161" spans="1:8">
      <c r="A161" s="189"/>
      <c r="B161" s="210"/>
      <c r="C161" s="190"/>
      <c r="D161" s="190"/>
      <c r="E161" s="198"/>
      <c r="F161" s="198"/>
      <c r="G161" s="199"/>
      <c r="H161" s="200"/>
    </row>
    <row r="162" spans="1:8">
      <c r="A162" s="189"/>
      <c r="B162" s="210"/>
      <c r="C162" s="190"/>
      <c r="D162" s="190"/>
      <c r="E162" s="198"/>
      <c r="F162" s="198"/>
      <c r="G162" s="199"/>
      <c r="H162" s="200"/>
    </row>
    <row r="163" spans="1:8">
      <c r="A163" s="189"/>
      <c r="B163" s="210"/>
      <c r="C163" s="190"/>
      <c r="D163" s="190"/>
      <c r="E163" s="198"/>
      <c r="F163" s="198"/>
      <c r="G163" s="199"/>
      <c r="H163" s="200"/>
    </row>
    <row r="164" spans="1:8">
      <c r="A164" s="189"/>
      <c r="B164" s="210"/>
      <c r="C164" s="190"/>
      <c r="D164" s="190"/>
      <c r="E164" s="198"/>
      <c r="F164" s="198"/>
      <c r="G164" s="199"/>
      <c r="H164" s="200"/>
    </row>
    <row r="165" spans="1:8">
      <c r="A165" s="189"/>
      <c r="B165" s="210"/>
      <c r="C165" s="190"/>
      <c r="D165" s="190"/>
      <c r="E165" s="198"/>
      <c r="F165" s="198"/>
      <c r="G165" s="199"/>
      <c r="H165" s="200"/>
    </row>
    <row r="166" spans="1:8">
      <c r="A166" s="189"/>
      <c r="B166" s="210"/>
      <c r="C166" s="190"/>
      <c r="D166" s="190"/>
      <c r="E166" s="198"/>
      <c r="F166" s="198"/>
      <c r="G166" s="199"/>
      <c r="H166" s="200"/>
    </row>
    <row r="167" spans="1:8">
      <c r="A167" s="189"/>
      <c r="B167" s="210"/>
      <c r="C167" s="190"/>
      <c r="D167" s="190"/>
      <c r="E167" s="198"/>
      <c r="F167" s="198"/>
      <c r="G167" s="199"/>
      <c r="H167" s="200"/>
    </row>
    <row r="168" spans="1:8">
      <c r="A168" s="189"/>
      <c r="B168" s="210"/>
      <c r="C168" s="190"/>
      <c r="D168" s="190"/>
      <c r="E168" s="198"/>
      <c r="F168" s="198"/>
      <c r="G168" s="199"/>
      <c r="H168" s="200"/>
    </row>
    <row r="169" spans="1:8">
      <c r="A169" s="189"/>
      <c r="B169" s="210"/>
      <c r="C169" s="190"/>
      <c r="D169" s="190"/>
      <c r="E169" s="198"/>
      <c r="F169" s="198"/>
      <c r="G169" s="199"/>
      <c r="H169" s="200"/>
    </row>
    <row r="170" spans="1:8">
      <c r="A170" s="189"/>
      <c r="B170" s="210"/>
      <c r="C170" s="190"/>
      <c r="D170" s="190"/>
      <c r="E170" s="198"/>
      <c r="F170" s="198"/>
      <c r="G170" s="199"/>
      <c r="H170" s="200"/>
    </row>
    <row r="171" spans="1:9">
      <c r="A171" s="189"/>
      <c r="B171" s="210"/>
      <c r="C171" s="190"/>
      <c r="D171" s="190"/>
      <c r="E171" s="198"/>
      <c r="F171" s="198"/>
      <c r="G171" s="199"/>
      <c r="H171" s="200"/>
      <c r="I171" s="207"/>
    </row>
    <row r="172" spans="1:8">
      <c r="A172" s="189"/>
      <c r="B172" s="210"/>
      <c r="C172" s="190"/>
      <c r="D172" s="190"/>
      <c r="E172" s="198"/>
      <c r="F172" s="198"/>
      <c r="G172" s="199"/>
      <c r="H172" s="200"/>
    </row>
    <row r="173" spans="1:8">
      <c r="A173" s="189"/>
      <c r="B173" s="210"/>
      <c r="C173" s="190"/>
      <c r="D173" s="190"/>
      <c r="E173" s="198"/>
      <c r="F173" s="198"/>
      <c r="G173" s="199"/>
      <c r="H173" s="200"/>
    </row>
    <row r="174" spans="1:8">
      <c r="A174" s="189"/>
      <c r="B174" s="210"/>
      <c r="C174" s="190"/>
      <c r="D174" s="190"/>
      <c r="E174" s="198"/>
      <c r="F174" s="198"/>
      <c r="G174" s="199"/>
      <c r="H174" s="200"/>
    </row>
    <row r="175" spans="1:8">
      <c r="A175" s="189"/>
      <c r="B175" s="210"/>
      <c r="C175" s="190"/>
      <c r="D175" s="190"/>
      <c r="E175" s="198"/>
      <c r="F175" s="198"/>
      <c r="G175" s="199"/>
      <c r="H175" s="200"/>
    </row>
    <row r="176" spans="1:8">
      <c r="A176" s="189"/>
      <c r="B176" s="210"/>
      <c r="C176" s="190"/>
      <c r="D176" s="190"/>
      <c r="E176" s="198"/>
      <c r="F176" s="198"/>
      <c r="G176" s="199"/>
      <c r="H176" s="200"/>
    </row>
    <row r="177" spans="1:8">
      <c r="A177" s="189"/>
      <c r="B177" s="210"/>
      <c r="C177" s="190"/>
      <c r="D177" s="190"/>
      <c r="E177" s="198"/>
      <c r="F177" s="198"/>
      <c r="G177" s="199"/>
      <c r="H177" s="200"/>
    </row>
    <row r="178" spans="1:8">
      <c r="A178" s="189"/>
      <c r="B178" s="210"/>
      <c r="C178" s="190"/>
      <c r="D178" s="190"/>
      <c r="E178" s="198"/>
      <c r="F178" s="198"/>
      <c r="G178" s="199"/>
      <c r="H178" s="200"/>
    </row>
    <row r="179" spans="1:8">
      <c r="A179" s="189"/>
      <c r="B179" s="210"/>
      <c r="C179" s="190"/>
      <c r="D179" s="190"/>
      <c r="E179" s="198"/>
      <c r="F179" s="198"/>
      <c r="G179" s="199"/>
      <c r="H179" s="200"/>
    </row>
    <row r="180" spans="1:8">
      <c r="A180" s="189"/>
      <c r="B180" s="210"/>
      <c r="C180" s="190"/>
      <c r="D180" s="190"/>
      <c r="E180" s="198"/>
      <c r="F180" s="198"/>
      <c r="G180" s="199"/>
      <c r="H180" s="200"/>
    </row>
    <row r="181" spans="1:8">
      <c r="A181" s="189"/>
      <c r="B181" s="210"/>
      <c r="C181" s="190"/>
      <c r="D181" s="190"/>
      <c r="E181" s="198"/>
      <c r="F181" s="198"/>
      <c r="G181" s="199"/>
      <c r="H181" s="200"/>
    </row>
    <row r="182" spans="1:8">
      <c r="A182" s="189"/>
      <c r="B182" s="210"/>
      <c r="C182" s="190"/>
      <c r="D182" s="190"/>
      <c r="E182" s="198"/>
      <c r="F182" s="198"/>
      <c r="G182" s="199"/>
      <c r="H182" s="200"/>
    </row>
    <row r="183" spans="1:8">
      <c r="A183" s="189"/>
      <c r="B183" s="210"/>
      <c r="C183" s="190"/>
      <c r="D183" s="190"/>
      <c r="E183" s="198"/>
      <c r="F183" s="198"/>
      <c r="G183" s="199"/>
      <c r="H183" s="200"/>
    </row>
    <row r="184" spans="1:8">
      <c r="A184" s="189"/>
      <c r="B184" s="210"/>
      <c r="C184" s="190"/>
      <c r="D184" s="190"/>
      <c r="E184" s="198"/>
      <c r="F184" s="198"/>
      <c r="G184" s="199"/>
      <c r="H184" s="200"/>
    </row>
    <row r="185" spans="1:8">
      <c r="A185" s="189"/>
      <c r="B185" s="210"/>
      <c r="C185" s="190"/>
      <c r="D185" s="190"/>
      <c r="E185" s="198"/>
      <c r="F185" s="198"/>
      <c r="G185" s="199"/>
      <c r="H185" s="200"/>
    </row>
    <row r="186" spans="1:8">
      <c r="A186" s="189"/>
      <c r="B186" s="210"/>
      <c r="C186" s="190"/>
      <c r="D186" s="190"/>
      <c r="E186" s="198"/>
      <c r="F186" s="198"/>
      <c r="G186" s="199"/>
      <c r="H186" s="200"/>
    </row>
    <row r="187" spans="1:8">
      <c r="A187" s="189"/>
      <c r="B187" s="210"/>
      <c r="C187" s="190"/>
      <c r="D187" s="190"/>
      <c r="E187" s="198"/>
      <c r="F187" s="198"/>
      <c r="G187" s="199"/>
      <c r="H187" s="200"/>
    </row>
    <row r="188" spans="1:8">
      <c r="A188" s="189"/>
      <c r="B188" s="210"/>
      <c r="C188" s="190"/>
      <c r="D188" s="190"/>
      <c r="E188" s="198"/>
      <c r="F188" s="198"/>
      <c r="G188" s="199"/>
      <c r="H188" s="200"/>
    </row>
    <row r="189" spans="1:8">
      <c r="A189" s="189"/>
      <c r="B189" s="210"/>
      <c r="C189" s="190"/>
      <c r="D189" s="190"/>
      <c r="E189" s="198"/>
      <c r="F189" s="198"/>
      <c r="G189" s="199"/>
      <c r="H189" s="200"/>
    </row>
    <row r="190" spans="1:8">
      <c r="A190" s="189"/>
      <c r="B190" s="210"/>
      <c r="C190" s="190"/>
      <c r="D190" s="190"/>
      <c r="E190" s="198"/>
      <c r="F190" s="198"/>
      <c r="G190" s="199"/>
      <c r="H190" s="200"/>
    </row>
    <row r="191" spans="1:8">
      <c r="A191" s="189"/>
      <c r="B191" s="210"/>
      <c r="C191" s="190"/>
      <c r="D191" s="190"/>
      <c r="E191" s="198"/>
      <c r="F191" s="198"/>
      <c r="G191" s="199"/>
      <c r="H191" s="200"/>
    </row>
    <row r="192" spans="1:8">
      <c r="A192" s="189"/>
      <c r="B192" s="210"/>
      <c r="C192" s="190"/>
      <c r="D192" s="190"/>
      <c r="E192" s="198"/>
      <c r="F192" s="198"/>
      <c r="G192" s="199"/>
      <c r="H192" s="200"/>
    </row>
    <row r="193" spans="1:8">
      <c r="A193" s="189"/>
      <c r="B193" s="210"/>
      <c r="C193" s="190"/>
      <c r="D193" s="190"/>
      <c r="E193" s="198"/>
      <c r="F193" s="198"/>
      <c r="G193" s="199"/>
      <c r="H193" s="200"/>
    </row>
    <row r="194" spans="1:8">
      <c r="A194" s="189"/>
      <c r="B194" s="210"/>
      <c r="C194" s="190"/>
      <c r="D194" s="190"/>
      <c r="E194" s="198"/>
      <c r="F194" s="198"/>
      <c r="G194" s="199"/>
      <c r="H194" s="200"/>
    </row>
    <row r="195" spans="1:8">
      <c r="A195" s="189"/>
      <c r="B195" s="210"/>
      <c r="C195" s="190"/>
      <c r="D195" s="190"/>
      <c r="E195" s="198"/>
      <c r="F195" s="198"/>
      <c r="G195" s="199"/>
      <c r="H195" s="200"/>
    </row>
    <row r="196" spans="1:8">
      <c r="A196" s="189"/>
      <c r="B196" s="210"/>
      <c r="C196" s="190"/>
      <c r="D196" s="190"/>
      <c r="E196" s="198"/>
      <c r="F196" s="198"/>
      <c r="G196" s="199"/>
      <c r="H196" s="200"/>
    </row>
    <row r="197" spans="1:8">
      <c r="A197" s="189"/>
      <c r="B197" s="210"/>
      <c r="C197" s="190"/>
      <c r="D197" s="190"/>
      <c r="E197" s="198"/>
      <c r="F197" s="198"/>
      <c r="G197" s="199"/>
      <c r="H197" s="200"/>
    </row>
    <row r="198" spans="1:8">
      <c r="A198" s="189"/>
      <c r="B198" s="210"/>
      <c r="C198" s="190"/>
      <c r="D198" s="190"/>
      <c r="E198" s="198"/>
      <c r="F198" s="198"/>
      <c r="G198" s="199"/>
      <c r="H198" s="200"/>
    </row>
    <row r="199" spans="1:8">
      <c r="A199" s="189"/>
      <c r="B199" s="210"/>
      <c r="C199" s="190"/>
      <c r="D199" s="190"/>
      <c r="E199" s="198"/>
      <c r="F199" s="198"/>
      <c r="G199" s="199"/>
      <c r="H199" s="200"/>
    </row>
    <row r="200" spans="1:8">
      <c r="A200" s="189"/>
      <c r="B200" s="210"/>
      <c r="C200" s="190"/>
      <c r="D200" s="190"/>
      <c r="E200" s="198"/>
      <c r="F200" s="198"/>
      <c r="G200" s="199"/>
      <c r="H200" s="200"/>
    </row>
    <row r="201" spans="1:8">
      <c r="A201" s="189"/>
      <c r="B201" s="210"/>
      <c r="C201" s="190"/>
      <c r="D201" s="190"/>
      <c r="E201" s="198"/>
      <c r="F201" s="198"/>
      <c r="G201" s="199"/>
      <c r="H201" s="200"/>
    </row>
    <row r="202" spans="1:8">
      <c r="A202" s="189"/>
      <c r="B202" s="210"/>
      <c r="C202" s="190"/>
      <c r="D202" s="190"/>
      <c r="E202" s="198"/>
      <c r="F202" s="198"/>
      <c r="G202" s="199"/>
      <c r="H202" s="200"/>
    </row>
    <row r="203" spans="1:8">
      <c r="A203" s="189"/>
      <c r="B203" s="210"/>
      <c r="C203" s="190"/>
      <c r="D203" s="190"/>
      <c r="E203" s="198"/>
      <c r="F203" s="198"/>
      <c r="G203" s="199"/>
      <c r="H203" s="200"/>
    </row>
    <row r="204" spans="1:8">
      <c r="A204" s="189"/>
      <c r="B204" s="210"/>
      <c r="C204" s="190"/>
      <c r="D204" s="190"/>
      <c r="E204" s="198"/>
      <c r="F204" s="198"/>
      <c r="G204" s="199"/>
      <c r="H204" s="200"/>
    </row>
    <row r="205" spans="1:8">
      <c r="A205" s="189"/>
      <c r="B205" s="210"/>
      <c r="C205" s="190"/>
      <c r="D205" s="190"/>
      <c r="E205" s="198"/>
      <c r="F205" s="198"/>
      <c r="G205" s="199"/>
      <c r="H205" s="200"/>
    </row>
    <row r="206" spans="1:8">
      <c r="A206" s="189"/>
      <c r="B206" s="210"/>
      <c r="C206" s="190"/>
      <c r="D206" s="190"/>
      <c r="E206" s="198"/>
      <c r="F206" s="198"/>
      <c r="G206" s="199"/>
      <c r="H206" s="200"/>
    </row>
    <row r="207" spans="1:8">
      <c r="A207" s="189"/>
      <c r="B207" s="210"/>
      <c r="C207" s="190"/>
      <c r="D207" s="190"/>
      <c r="E207" s="198"/>
      <c r="F207" s="198"/>
      <c r="G207" s="199"/>
      <c r="H207" s="200"/>
    </row>
    <row r="208" spans="1:8">
      <c r="A208" s="189"/>
      <c r="B208" s="210"/>
      <c r="C208" s="190"/>
      <c r="D208" s="190"/>
      <c r="E208" s="198"/>
      <c r="F208" s="198"/>
      <c r="G208" s="199"/>
      <c r="H208" s="200"/>
    </row>
    <row r="209" spans="1:8">
      <c r="A209" s="189"/>
      <c r="B209" s="210"/>
      <c r="C209" s="190"/>
      <c r="D209" s="190"/>
      <c r="E209" s="198"/>
      <c r="F209" s="198"/>
      <c r="G209" s="199"/>
      <c r="H209" s="200"/>
    </row>
    <row r="210" spans="1:8">
      <c r="A210" s="189"/>
      <c r="B210" s="210"/>
      <c r="C210" s="190"/>
      <c r="D210" s="190"/>
      <c r="E210" s="198"/>
      <c r="F210" s="198"/>
      <c r="G210" s="199"/>
      <c r="H210" s="200"/>
    </row>
    <row r="211" spans="1:8">
      <c r="A211" s="189"/>
      <c r="B211" s="210"/>
      <c r="C211" s="190"/>
      <c r="D211" s="190"/>
      <c r="E211" s="198"/>
      <c r="F211" s="198"/>
      <c r="G211" s="199"/>
      <c r="H211" s="200"/>
    </row>
    <row r="212" spans="1:8">
      <c r="A212" s="189"/>
      <c r="B212" s="210"/>
      <c r="C212" s="190"/>
      <c r="D212" s="190"/>
      <c r="E212" s="198"/>
      <c r="F212" s="198"/>
      <c r="G212" s="199"/>
      <c r="H212" s="200"/>
    </row>
    <row r="213" spans="1:8">
      <c r="A213" s="189"/>
      <c r="B213" s="210"/>
      <c r="C213" s="190"/>
      <c r="D213" s="190"/>
      <c r="E213" s="198"/>
      <c r="F213" s="198"/>
      <c r="G213" s="199"/>
      <c r="H213" s="200"/>
    </row>
    <row r="214" spans="1:8">
      <c r="A214" s="189"/>
      <c r="B214" s="210"/>
      <c r="C214" s="190"/>
      <c r="D214" s="190"/>
      <c r="E214" s="198"/>
      <c r="F214" s="198"/>
      <c r="G214" s="199"/>
      <c r="H214" s="200"/>
    </row>
    <row r="215" spans="1:8">
      <c r="A215" s="189"/>
      <c r="B215" s="210"/>
      <c r="C215" s="190"/>
      <c r="D215" s="190"/>
      <c r="E215" s="198"/>
      <c r="F215" s="198"/>
      <c r="G215" s="199"/>
      <c r="H215" s="200"/>
    </row>
    <row r="216" spans="1:8">
      <c r="A216" s="189"/>
      <c r="B216" s="210"/>
      <c r="C216" s="190"/>
      <c r="D216" s="190"/>
      <c r="E216" s="198"/>
      <c r="F216" s="198"/>
      <c r="G216" s="199"/>
      <c r="H216" s="200"/>
    </row>
    <row r="217" spans="1:8">
      <c r="A217" s="189"/>
      <c r="B217" s="210"/>
      <c r="C217" s="190"/>
      <c r="D217" s="190"/>
      <c r="E217" s="198"/>
      <c r="F217" s="198"/>
      <c r="G217" s="199"/>
      <c r="H217" s="200"/>
    </row>
    <row r="218" spans="1:8">
      <c r="A218" s="189"/>
      <c r="B218" s="210"/>
      <c r="C218" s="190"/>
      <c r="D218" s="190"/>
      <c r="E218" s="198"/>
      <c r="F218" s="198"/>
      <c r="G218" s="199"/>
      <c r="H218" s="200"/>
    </row>
    <row r="219" spans="1:8">
      <c r="A219" s="189"/>
      <c r="B219" s="210"/>
      <c r="C219" s="190"/>
      <c r="D219" s="190"/>
      <c r="E219" s="198"/>
      <c r="F219" s="198"/>
      <c r="G219" s="199"/>
      <c r="H219" s="200"/>
    </row>
    <row r="220" spans="1:8">
      <c r="A220" s="189"/>
      <c r="B220" s="210"/>
      <c r="C220" s="190"/>
      <c r="D220" s="190"/>
      <c r="E220" s="198"/>
      <c r="F220" s="198"/>
      <c r="G220" s="199"/>
      <c r="H220" s="200"/>
    </row>
    <row r="221" spans="1:8">
      <c r="A221" s="189"/>
      <c r="B221" s="210"/>
      <c r="C221" s="190"/>
      <c r="D221" s="190"/>
      <c r="E221" s="198"/>
      <c r="F221" s="198"/>
      <c r="G221" s="199"/>
      <c r="H221" s="200"/>
    </row>
    <row r="222" spans="1:8">
      <c r="A222" s="189"/>
      <c r="B222" s="210"/>
      <c r="C222" s="190"/>
      <c r="D222" s="190"/>
      <c r="E222" s="198"/>
      <c r="F222" s="198"/>
      <c r="G222" s="199"/>
      <c r="H222" s="200"/>
    </row>
    <row r="223" spans="1:8">
      <c r="A223" s="189"/>
      <c r="B223" s="210"/>
      <c r="C223" s="190"/>
      <c r="D223" s="190"/>
      <c r="E223" s="198"/>
      <c r="F223" s="198"/>
      <c r="G223" s="199"/>
      <c r="H223" s="200"/>
    </row>
    <row r="224" spans="1:8">
      <c r="A224" s="189"/>
      <c r="B224" s="210"/>
      <c r="C224" s="190"/>
      <c r="D224" s="190"/>
      <c r="E224" s="198"/>
      <c r="F224" s="198"/>
      <c r="G224" s="199"/>
      <c r="H224" s="200"/>
    </row>
    <row r="225" spans="1:8">
      <c r="A225" s="189"/>
      <c r="B225" s="210"/>
      <c r="C225" s="190"/>
      <c r="D225" s="190"/>
      <c r="E225" s="198"/>
      <c r="F225" s="198"/>
      <c r="G225" s="199"/>
      <c r="H225" s="200"/>
    </row>
    <row r="226" spans="1:8">
      <c r="A226" s="189"/>
      <c r="B226" s="210"/>
      <c r="C226" s="190"/>
      <c r="D226" s="190"/>
      <c r="E226" s="198"/>
      <c r="F226" s="198"/>
      <c r="G226" s="199"/>
      <c r="H226" s="200"/>
    </row>
    <row r="227" spans="1:8">
      <c r="A227" s="189"/>
      <c r="B227" s="210"/>
      <c r="C227" s="190"/>
      <c r="D227" s="190"/>
      <c r="E227" s="198"/>
      <c r="F227" s="198"/>
      <c r="G227" s="199"/>
      <c r="H227" s="200"/>
    </row>
    <row r="228" spans="1:8">
      <c r="A228" s="189"/>
      <c r="B228" s="210"/>
      <c r="C228" s="190"/>
      <c r="D228" s="190"/>
      <c r="E228" s="198"/>
      <c r="F228" s="198"/>
      <c r="G228" s="199"/>
      <c r="H228" s="200"/>
    </row>
    <row r="229" spans="1:8">
      <c r="A229" s="189"/>
      <c r="B229" s="210"/>
      <c r="C229" s="190"/>
      <c r="D229" s="190"/>
      <c r="E229" s="198"/>
      <c r="F229" s="198"/>
      <c r="G229" s="199"/>
      <c r="H229" s="200"/>
    </row>
    <row r="230" spans="1:8">
      <c r="A230" s="189"/>
      <c r="B230" s="210"/>
      <c r="C230" s="190"/>
      <c r="D230" s="190"/>
      <c r="E230" s="198"/>
      <c r="F230" s="198"/>
      <c r="G230" s="199"/>
      <c r="H230" s="200"/>
    </row>
    <row r="231" spans="1:8">
      <c r="A231" s="189"/>
      <c r="B231" s="210"/>
      <c r="C231" s="190"/>
      <c r="D231" s="190"/>
      <c r="E231" s="198"/>
      <c r="F231" s="198"/>
      <c r="G231" s="199"/>
      <c r="H231" s="200"/>
    </row>
    <row r="232" spans="1:8">
      <c r="A232" s="189"/>
      <c r="B232" s="210"/>
      <c r="C232" s="190"/>
      <c r="D232" s="190"/>
      <c r="E232" s="198"/>
      <c r="F232" s="198"/>
      <c r="G232" s="199"/>
      <c r="H232" s="200"/>
    </row>
    <row r="233" spans="1:8">
      <c r="A233" s="189"/>
      <c r="B233" s="210"/>
      <c r="C233" s="190"/>
      <c r="D233" s="190"/>
      <c r="E233" s="198"/>
      <c r="F233" s="198"/>
      <c r="G233" s="199"/>
      <c r="H233" s="200"/>
    </row>
    <row r="234" spans="1:8">
      <c r="A234" s="189"/>
      <c r="B234" s="210"/>
      <c r="C234" s="190"/>
      <c r="D234" s="190"/>
      <c r="E234" s="198"/>
      <c r="F234" s="198"/>
      <c r="G234" s="199"/>
      <c r="H234" s="200"/>
    </row>
    <row r="235" spans="1:8">
      <c r="A235" s="189"/>
      <c r="B235" s="210"/>
      <c r="C235" s="190"/>
      <c r="D235" s="190"/>
      <c r="E235" s="198"/>
      <c r="F235" s="198"/>
      <c r="G235" s="199"/>
      <c r="H235" s="200"/>
    </row>
    <row r="236" spans="1:8">
      <c r="A236" s="189"/>
      <c r="B236" s="210"/>
      <c r="C236" s="190"/>
      <c r="D236" s="190"/>
      <c r="E236" s="198"/>
      <c r="F236" s="198"/>
      <c r="G236" s="199"/>
      <c r="H236" s="200"/>
    </row>
    <row r="237" spans="1:8">
      <c r="A237" s="189"/>
      <c r="B237" s="210"/>
      <c r="C237" s="190"/>
      <c r="D237" s="190"/>
      <c r="E237" s="198"/>
      <c r="F237" s="198"/>
      <c r="G237" s="199"/>
      <c r="H237" s="200"/>
    </row>
    <row r="238" spans="1:8">
      <c r="A238" s="189"/>
      <c r="B238" s="210"/>
      <c r="C238" s="190"/>
      <c r="D238" s="210"/>
      <c r="E238" s="198"/>
      <c r="F238" s="198"/>
      <c r="G238" s="199"/>
      <c r="H238" s="200"/>
    </row>
    <row r="239" spans="1:8">
      <c r="A239" s="189"/>
      <c r="B239" s="210"/>
      <c r="C239" s="190"/>
      <c r="D239" s="210"/>
      <c r="E239" s="198"/>
      <c r="F239" s="198"/>
      <c r="G239" s="199"/>
      <c r="H239" s="200"/>
    </row>
    <row r="240" spans="1:8">
      <c r="A240" s="189"/>
      <c r="B240" s="210"/>
      <c r="C240" s="190"/>
      <c r="D240" s="210"/>
      <c r="E240" s="198"/>
      <c r="F240" s="198"/>
      <c r="G240" s="199"/>
      <c r="H240" s="200"/>
    </row>
    <row r="241" spans="1:8">
      <c r="A241" s="189"/>
      <c r="B241" s="210"/>
      <c r="C241" s="190"/>
      <c r="D241" s="210"/>
      <c r="E241" s="198"/>
      <c r="F241" s="198"/>
      <c r="G241" s="199"/>
      <c r="H241" s="200"/>
    </row>
    <row r="242" spans="1:8">
      <c r="A242" s="189"/>
      <c r="B242" s="210"/>
      <c r="C242" s="190"/>
      <c r="D242" s="210"/>
      <c r="E242" s="198"/>
      <c r="F242" s="198"/>
      <c r="G242" s="199"/>
      <c r="H242" s="200"/>
    </row>
    <row r="243" spans="1:8">
      <c r="A243" s="189"/>
      <c r="B243" s="210"/>
      <c r="C243" s="190"/>
      <c r="D243" s="210"/>
      <c r="E243" s="198"/>
      <c r="F243" s="198"/>
      <c r="G243" s="199"/>
      <c r="H243" s="200"/>
    </row>
    <row r="244" spans="1:8">
      <c r="A244" s="189"/>
      <c r="B244" s="210"/>
      <c r="C244" s="190"/>
      <c r="D244" s="210"/>
      <c r="E244" s="198"/>
      <c r="F244" s="198"/>
      <c r="G244" s="199"/>
      <c r="H244" s="200"/>
    </row>
    <row r="245" spans="1:8">
      <c r="A245" s="189"/>
      <c r="B245" s="210"/>
      <c r="C245" s="190"/>
      <c r="D245" s="210"/>
      <c r="E245" s="198"/>
      <c r="F245" s="198"/>
      <c r="G245" s="199"/>
      <c r="H245" s="200"/>
    </row>
    <row r="246" spans="1:8">
      <c r="A246" s="189"/>
      <c r="B246" s="210"/>
      <c r="C246" s="190"/>
      <c r="D246" s="210"/>
      <c r="E246" s="198"/>
      <c r="F246" s="198"/>
      <c r="G246" s="199"/>
      <c r="H246" s="200"/>
    </row>
    <row r="247" spans="1:8">
      <c r="A247" s="189"/>
      <c r="B247" s="210"/>
      <c r="C247" s="190"/>
      <c r="D247" s="210"/>
      <c r="E247" s="198"/>
      <c r="F247" s="198"/>
      <c r="G247" s="199"/>
      <c r="H247" s="200"/>
    </row>
    <row r="248" spans="1:8">
      <c r="A248" s="189"/>
      <c r="B248" s="210"/>
      <c r="C248" s="190"/>
      <c r="D248" s="210"/>
      <c r="E248" s="198"/>
      <c r="F248" s="198"/>
      <c r="G248" s="199"/>
      <c r="H248" s="200"/>
    </row>
    <row r="249" spans="1:8">
      <c r="A249" s="189"/>
      <c r="B249" s="210"/>
      <c r="C249" s="190"/>
      <c r="D249" s="210"/>
      <c r="E249" s="198"/>
      <c r="F249" s="198"/>
      <c r="G249" s="199"/>
      <c r="H249" s="200"/>
    </row>
    <row r="250" spans="1:8">
      <c r="A250" s="189"/>
      <c r="B250" s="210"/>
      <c r="C250" s="190"/>
      <c r="D250" s="210"/>
      <c r="E250" s="198"/>
      <c r="F250" s="198"/>
      <c r="G250" s="199"/>
      <c r="H250" s="200"/>
    </row>
    <row r="251" spans="1:8">
      <c r="A251" s="189"/>
      <c r="B251" s="210"/>
      <c r="C251" s="190"/>
      <c r="D251" s="210"/>
      <c r="E251" s="198"/>
      <c r="F251" s="198"/>
      <c r="G251" s="199"/>
      <c r="H251" s="200"/>
    </row>
    <row r="252" spans="1:8">
      <c r="A252" s="189"/>
      <c r="B252" s="210"/>
      <c r="C252" s="190"/>
      <c r="D252" s="210"/>
      <c r="E252" s="198"/>
      <c r="F252" s="198"/>
      <c r="G252" s="199"/>
      <c r="H252" s="200"/>
    </row>
    <row r="253" spans="1:8">
      <c r="A253" s="189"/>
      <c r="B253" s="210"/>
      <c r="C253" s="190"/>
      <c r="D253" s="210"/>
      <c r="E253" s="198"/>
      <c r="F253" s="198"/>
      <c r="G253" s="199"/>
      <c r="H253" s="200"/>
    </row>
    <row r="254" spans="1:8">
      <c r="A254" s="189"/>
      <c r="B254" s="210"/>
      <c r="C254" s="190"/>
      <c r="D254" s="210"/>
      <c r="E254" s="198"/>
      <c r="F254" s="198"/>
      <c r="G254" s="199"/>
      <c r="H254" s="200"/>
    </row>
    <row r="255" spans="1:8">
      <c r="A255" s="189"/>
      <c r="B255" s="210"/>
      <c r="C255" s="190"/>
      <c r="D255" s="210"/>
      <c r="E255" s="198"/>
      <c r="F255" s="198"/>
      <c r="G255" s="199"/>
      <c r="H255" s="200"/>
    </row>
    <row r="256" spans="1:8">
      <c r="A256" s="189"/>
      <c r="B256" s="210"/>
      <c r="C256" s="190"/>
      <c r="D256" s="210"/>
      <c r="E256" s="198"/>
      <c r="F256" s="198"/>
      <c r="G256" s="199"/>
      <c r="H256" s="200"/>
    </row>
    <row r="257" spans="1:8">
      <c r="A257" s="189"/>
      <c r="B257" s="210"/>
      <c r="C257" s="190"/>
      <c r="D257" s="210"/>
      <c r="E257" s="198"/>
      <c r="F257" s="198"/>
      <c r="G257" s="199"/>
      <c r="H257" s="200"/>
    </row>
    <row r="258" spans="1:8">
      <c r="A258" s="189"/>
      <c r="B258" s="210"/>
      <c r="C258" s="190"/>
      <c r="D258" s="210"/>
      <c r="E258" s="198"/>
      <c r="F258" s="198"/>
      <c r="G258" s="199"/>
      <c r="H258" s="200"/>
    </row>
    <row r="259" spans="1:8">
      <c r="A259" s="189"/>
      <c r="B259" s="210"/>
      <c r="C259" s="190"/>
      <c r="D259" s="210"/>
      <c r="E259" s="198"/>
      <c r="F259" s="198"/>
      <c r="G259" s="199"/>
      <c r="H259" s="200"/>
    </row>
    <row r="260" spans="1:8">
      <c r="A260" s="189"/>
      <c r="B260" s="210"/>
      <c r="C260" s="190"/>
      <c r="D260" s="190"/>
      <c r="E260" s="198"/>
      <c r="F260" s="198"/>
      <c r="G260" s="199"/>
      <c r="H260" s="200"/>
    </row>
    <row r="261" spans="1:8">
      <c r="A261" s="189"/>
      <c r="B261" s="210"/>
      <c r="C261" s="190"/>
      <c r="D261" s="190"/>
      <c r="E261" s="198"/>
      <c r="F261" s="198"/>
      <c r="G261" s="199"/>
      <c r="H261" s="200"/>
    </row>
    <row r="262" spans="1:8">
      <c r="A262" s="189"/>
      <c r="B262" s="210"/>
      <c r="C262" s="190"/>
      <c r="D262" s="190"/>
      <c r="E262" s="198"/>
      <c r="F262" s="198"/>
      <c r="G262" s="199"/>
      <c r="H262" s="200"/>
    </row>
    <row r="263" spans="1:8">
      <c r="A263" s="189"/>
      <c r="B263" s="210"/>
      <c r="C263" s="190"/>
      <c r="D263" s="190"/>
      <c r="E263" s="198"/>
      <c r="F263" s="198"/>
      <c r="G263" s="199"/>
      <c r="H263" s="200"/>
    </row>
    <row r="264" spans="1:8">
      <c r="A264" s="189"/>
      <c r="B264" s="210"/>
      <c r="C264" s="190"/>
      <c r="D264" s="190"/>
      <c r="E264" s="198"/>
      <c r="F264" s="198"/>
      <c r="G264" s="199"/>
      <c r="H264" s="200"/>
    </row>
    <row r="265" spans="1:8">
      <c r="A265" s="189"/>
      <c r="B265" s="210"/>
      <c r="C265" s="190"/>
      <c r="D265" s="190"/>
      <c r="E265" s="198"/>
      <c r="F265" s="198"/>
      <c r="G265" s="199"/>
      <c r="H265" s="200"/>
    </row>
    <row r="266" spans="1:8">
      <c r="A266" s="189"/>
      <c r="B266" s="210"/>
      <c r="C266" s="190"/>
      <c r="D266" s="190"/>
      <c r="E266" s="198"/>
      <c r="F266" s="198"/>
      <c r="G266" s="199"/>
      <c r="H266" s="200"/>
    </row>
    <row r="267" spans="1:8">
      <c r="A267" s="189"/>
      <c r="B267" s="210"/>
      <c r="C267" s="190"/>
      <c r="D267" s="190"/>
      <c r="E267" s="198"/>
      <c r="F267" s="198"/>
      <c r="G267" s="199"/>
      <c r="H267" s="200"/>
    </row>
    <row r="268" spans="1:8">
      <c r="A268" s="189"/>
      <c r="B268" s="210"/>
      <c r="C268" s="190"/>
      <c r="D268" s="190"/>
      <c r="E268" s="198"/>
      <c r="F268" s="198"/>
      <c r="G268" s="199"/>
      <c r="H268" s="200"/>
    </row>
    <row r="269" spans="1:8">
      <c r="A269" s="189"/>
      <c r="B269" s="210"/>
      <c r="C269" s="190"/>
      <c r="D269" s="190"/>
      <c r="E269" s="198"/>
      <c r="F269" s="198"/>
      <c r="G269" s="199"/>
      <c r="H269" s="200"/>
    </row>
    <row r="270" spans="1:8">
      <c r="A270" s="189"/>
      <c r="B270" s="210"/>
      <c r="C270" s="190"/>
      <c r="D270" s="190"/>
      <c r="E270" s="198"/>
      <c r="F270" s="198"/>
      <c r="G270" s="199"/>
      <c r="H270" s="200"/>
    </row>
    <row r="271" spans="1:8">
      <c r="A271" s="189"/>
      <c r="B271" s="210"/>
      <c r="C271" s="190"/>
      <c r="D271" s="190"/>
      <c r="E271" s="198"/>
      <c r="F271" s="198"/>
      <c r="G271" s="199"/>
      <c r="H271" s="200"/>
    </row>
    <row r="272" spans="1:8">
      <c r="A272" s="189"/>
      <c r="B272" s="210"/>
      <c r="C272" s="190"/>
      <c r="D272" s="190"/>
      <c r="E272" s="198"/>
      <c r="F272" s="198"/>
      <c r="G272" s="199"/>
      <c r="H272" s="200"/>
    </row>
    <row r="273" spans="1:8">
      <c r="A273" s="189"/>
      <c r="B273" s="210"/>
      <c r="C273" s="190"/>
      <c r="D273" s="190"/>
      <c r="E273" s="198"/>
      <c r="F273" s="198"/>
      <c r="G273" s="199"/>
      <c r="H273" s="200"/>
    </row>
    <row r="274" spans="1:8">
      <c r="A274" s="189"/>
      <c r="B274" s="210"/>
      <c r="C274" s="190"/>
      <c r="D274" s="190"/>
      <c r="E274" s="198"/>
      <c r="F274" s="198"/>
      <c r="G274" s="199"/>
      <c r="H274" s="200"/>
    </row>
    <row r="275" spans="1:8">
      <c r="A275" s="189"/>
      <c r="B275" s="210"/>
      <c r="C275" s="190"/>
      <c r="D275" s="190"/>
      <c r="E275" s="198"/>
      <c r="F275" s="198"/>
      <c r="G275" s="199"/>
      <c r="H275" s="200"/>
    </row>
    <row r="276" spans="1:8">
      <c r="A276" s="189"/>
      <c r="B276" s="210"/>
      <c r="C276" s="190"/>
      <c r="D276" s="190"/>
      <c r="E276" s="198"/>
      <c r="F276" s="198"/>
      <c r="G276" s="199"/>
      <c r="H276" s="200"/>
    </row>
    <row r="277" spans="1:8">
      <c r="A277" s="189"/>
      <c r="B277" s="210"/>
      <c r="C277" s="190"/>
      <c r="D277" s="190"/>
      <c r="E277" s="198"/>
      <c r="F277" s="198"/>
      <c r="G277" s="199"/>
      <c r="H277" s="200"/>
    </row>
    <row r="278" spans="1:8">
      <c r="A278" s="189"/>
      <c r="B278" s="210"/>
      <c r="C278" s="190"/>
      <c r="D278" s="190"/>
      <c r="E278" s="198"/>
      <c r="F278" s="198"/>
      <c r="G278" s="199"/>
      <c r="H278" s="200"/>
    </row>
    <row r="279" spans="1:8">
      <c r="A279" s="189"/>
      <c r="B279" s="210"/>
      <c r="C279" s="190"/>
      <c r="D279" s="190"/>
      <c r="E279" s="198"/>
      <c r="F279" s="198"/>
      <c r="G279" s="199"/>
      <c r="H279" s="200"/>
    </row>
    <row r="280" spans="1:8">
      <c r="A280" s="189"/>
      <c r="B280" s="210"/>
      <c r="C280" s="190"/>
      <c r="D280" s="190"/>
      <c r="E280" s="198"/>
      <c r="F280" s="198"/>
      <c r="G280" s="199"/>
      <c r="H280" s="200"/>
    </row>
    <row r="281" spans="1:8">
      <c r="A281" s="189"/>
      <c r="B281" s="210"/>
      <c r="C281" s="190"/>
      <c r="D281" s="190"/>
      <c r="E281" s="198"/>
      <c r="F281" s="198"/>
      <c r="G281" s="199"/>
      <c r="H281" s="200"/>
    </row>
    <row r="282" spans="1:8">
      <c r="A282" s="189"/>
      <c r="B282" s="210"/>
      <c r="C282" s="190"/>
      <c r="D282" s="190"/>
      <c r="E282" s="198"/>
      <c r="F282" s="198"/>
      <c r="G282" s="199"/>
      <c r="H282" s="200"/>
    </row>
    <row r="283" spans="1:8">
      <c r="A283" s="189"/>
      <c r="B283" s="210"/>
      <c r="C283" s="190"/>
      <c r="D283" s="190"/>
      <c r="E283" s="198"/>
      <c r="F283" s="198"/>
      <c r="G283" s="199"/>
      <c r="H283" s="200"/>
    </row>
    <row r="284" spans="1:8">
      <c r="A284" s="189"/>
      <c r="B284" s="210"/>
      <c r="C284" s="190"/>
      <c r="D284" s="190"/>
      <c r="E284" s="198"/>
      <c r="F284" s="198"/>
      <c r="G284" s="199"/>
      <c r="H284" s="200"/>
    </row>
    <row r="285" spans="1:8">
      <c r="A285" s="189"/>
      <c r="B285" s="210"/>
      <c r="C285" s="190"/>
      <c r="D285" s="190"/>
      <c r="E285" s="198"/>
      <c r="F285" s="198"/>
      <c r="G285" s="199"/>
      <c r="H285" s="200"/>
    </row>
    <row r="286" spans="1:8">
      <c r="A286" s="189"/>
      <c r="B286" s="210"/>
      <c r="C286" s="190"/>
      <c r="D286" s="190"/>
      <c r="E286" s="198"/>
      <c r="F286" s="198"/>
      <c r="G286" s="199"/>
      <c r="H286" s="200"/>
    </row>
    <row r="287" spans="1:8">
      <c r="A287" s="189"/>
      <c r="B287" s="210"/>
      <c r="C287" s="190"/>
      <c r="D287" s="190"/>
      <c r="E287" s="198"/>
      <c r="F287" s="198"/>
      <c r="G287" s="199"/>
      <c r="H287" s="200"/>
    </row>
    <row r="288" spans="1:8">
      <c r="A288" s="189"/>
      <c r="B288" s="210"/>
      <c r="C288" s="211"/>
      <c r="D288" s="190"/>
      <c r="E288" s="198"/>
      <c r="F288" s="198"/>
      <c r="G288" s="199"/>
      <c r="H288" s="200"/>
    </row>
    <row r="289" spans="1:8">
      <c r="A289" s="189"/>
      <c r="B289" s="210"/>
      <c r="C289" s="211"/>
      <c r="D289" s="190"/>
      <c r="E289" s="198"/>
      <c r="F289" s="198"/>
      <c r="G289" s="199"/>
      <c r="H289" s="200"/>
    </row>
    <row r="290" spans="1:8">
      <c r="A290" s="189"/>
      <c r="B290" s="210"/>
      <c r="C290" s="211"/>
      <c r="D290" s="190"/>
      <c r="E290" s="198"/>
      <c r="F290" s="198"/>
      <c r="G290" s="199"/>
      <c r="H290" s="200"/>
    </row>
    <row r="291" spans="1:8">
      <c r="A291" s="189"/>
      <c r="B291" s="210"/>
      <c r="C291" s="211"/>
      <c r="D291" s="190"/>
      <c r="E291" s="198"/>
      <c r="F291" s="198"/>
      <c r="G291" s="199"/>
      <c r="H291" s="200"/>
    </row>
    <row r="292" spans="1:8">
      <c r="A292" s="189"/>
      <c r="B292" s="210"/>
      <c r="C292" s="211"/>
      <c r="D292" s="190"/>
      <c r="E292" s="198"/>
      <c r="F292" s="198"/>
      <c r="G292" s="199"/>
      <c r="H292" s="200"/>
    </row>
    <row r="293" spans="1:8">
      <c r="A293" s="189"/>
      <c r="B293" s="210"/>
      <c r="C293" s="190"/>
      <c r="D293" s="190"/>
      <c r="E293" s="198"/>
      <c r="F293" s="198"/>
      <c r="G293" s="199"/>
      <c r="H293" s="200"/>
    </row>
    <row r="294" spans="1:8">
      <c r="A294" s="189"/>
      <c r="B294" s="210"/>
      <c r="C294" s="190"/>
      <c r="D294" s="190"/>
      <c r="E294" s="198"/>
      <c r="F294" s="198"/>
      <c r="G294" s="199"/>
      <c r="H294" s="200"/>
    </row>
    <row r="295" spans="1:8">
      <c r="A295" s="189"/>
      <c r="B295" s="210"/>
      <c r="C295" s="190"/>
      <c r="D295" s="190"/>
      <c r="E295" s="198"/>
      <c r="F295" s="198"/>
      <c r="G295" s="199"/>
      <c r="H295" s="200"/>
    </row>
    <row r="296" spans="1:8">
      <c r="A296" s="189"/>
      <c r="B296" s="210"/>
      <c r="C296" s="190"/>
      <c r="D296" s="190"/>
      <c r="E296" s="198"/>
      <c r="F296" s="198"/>
      <c r="G296" s="199"/>
      <c r="H296" s="200"/>
    </row>
    <row r="297" spans="1:8">
      <c r="A297" s="189"/>
      <c r="B297" s="210"/>
      <c r="C297" s="190"/>
      <c r="D297" s="190"/>
      <c r="E297" s="198"/>
      <c r="F297" s="198"/>
      <c r="G297" s="199"/>
      <c r="H297" s="200"/>
    </row>
    <row r="298" spans="1:8">
      <c r="A298" s="189"/>
      <c r="B298" s="210"/>
      <c r="C298" s="190"/>
      <c r="D298" s="190"/>
      <c r="E298" s="198"/>
      <c r="F298" s="198"/>
      <c r="G298" s="199"/>
      <c r="H298" s="200"/>
    </row>
    <row r="299" spans="1:8">
      <c r="A299" s="189"/>
      <c r="B299" s="210"/>
      <c r="C299" s="190"/>
      <c r="D299" s="190"/>
      <c r="E299" s="198"/>
      <c r="F299" s="198"/>
      <c r="G299" s="199"/>
      <c r="H299" s="200"/>
    </row>
    <row r="300" spans="1:8">
      <c r="A300" s="189"/>
      <c r="B300" s="210"/>
      <c r="C300" s="190"/>
      <c r="D300" s="190"/>
      <c r="E300" s="198"/>
      <c r="F300" s="198"/>
      <c r="G300" s="199"/>
      <c r="H300" s="200"/>
    </row>
    <row r="301" spans="1:8">
      <c r="A301" s="189"/>
      <c r="B301" s="210"/>
      <c r="C301" s="190"/>
      <c r="D301" s="190"/>
      <c r="E301" s="198"/>
      <c r="F301" s="198"/>
      <c r="G301" s="199"/>
      <c r="H301" s="200"/>
    </row>
    <row r="302" spans="1:8">
      <c r="A302" s="216"/>
      <c r="B302" s="210"/>
      <c r="C302" s="190"/>
      <c r="D302" s="190"/>
      <c r="E302" s="198"/>
      <c r="F302" s="198"/>
      <c r="G302" s="199"/>
      <c r="H302" s="200"/>
    </row>
    <row r="303" spans="1:8">
      <c r="A303" s="216"/>
      <c r="B303" s="210"/>
      <c r="C303" s="190"/>
      <c r="D303" s="190"/>
      <c r="E303" s="198"/>
      <c r="F303" s="198"/>
      <c r="G303" s="199"/>
      <c r="H303" s="200"/>
    </row>
    <row r="304" spans="1:8">
      <c r="A304" s="216"/>
      <c r="B304" s="210"/>
      <c r="C304" s="190"/>
      <c r="D304" s="190"/>
      <c r="E304" s="198"/>
      <c r="F304" s="198"/>
      <c r="G304" s="199"/>
      <c r="H304" s="200"/>
    </row>
    <row r="305" spans="1:8">
      <c r="A305" s="216"/>
      <c r="B305" s="210"/>
      <c r="C305" s="190"/>
      <c r="D305" s="190"/>
      <c r="E305" s="198"/>
      <c r="F305" s="198"/>
      <c r="G305" s="199"/>
      <c r="H305" s="200"/>
    </row>
    <row r="306" spans="1:8">
      <c r="A306" s="216"/>
      <c r="B306" s="210"/>
      <c r="C306" s="190"/>
      <c r="D306" s="190"/>
      <c r="E306" s="198"/>
      <c r="F306" s="198"/>
      <c r="G306" s="199"/>
      <c r="H306" s="200"/>
    </row>
    <row r="307" spans="1:8">
      <c r="A307" s="216"/>
      <c r="B307" s="210"/>
      <c r="C307" s="190"/>
      <c r="D307" s="190"/>
      <c r="E307" s="198"/>
      <c r="F307" s="198"/>
      <c r="G307" s="199"/>
      <c r="H307" s="200"/>
    </row>
    <row r="308" spans="1:8">
      <c r="A308" s="216"/>
      <c r="B308" s="210"/>
      <c r="C308" s="190"/>
      <c r="D308" s="190"/>
      <c r="E308" s="198"/>
      <c r="F308" s="198"/>
      <c r="G308" s="199"/>
      <c r="H308" s="200"/>
    </row>
    <row r="309" spans="1:8">
      <c r="A309" s="216"/>
      <c r="B309" s="210"/>
      <c r="C309" s="190"/>
      <c r="D309" s="190"/>
      <c r="E309" s="198"/>
      <c r="F309" s="198"/>
      <c r="G309" s="199"/>
      <c r="H309" s="200"/>
    </row>
    <row r="310" spans="1:8">
      <c r="A310" s="216"/>
      <c r="B310" s="210"/>
      <c r="C310" s="190"/>
      <c r="D310" s="190"/>
      <c r="E310" s="198"/>
      <c r="F310" s="198"/>
      <c r="G310" s="199"/>
      <c r="H310" s="200"/>
    </row>
    <row r="311" spans="1:9">
      <c r="A311" s="189"/>
      <c r="B311" s="210"/>
      <c r="C311" s="190"/>
      <c r="D311" s="190"/>
      <c r="E311" s="198"/>
      <c r="F311" s="198"/>
      <c r="G311" s="199"/>
      <c r="H311" s="200"/>
      <c r="I311" s="207"/>
    </row>
    <row r="312" spans="1:8">
      <c r="A312" s="189"/>
      <c r="B312" s="210"/>
      <c r="C312" s="190"/>
      <c r="D312" s="190"/>
      <c r="E312" s="198"/>
      <c r="F312" s="198"/>
      <c r="G312" s="199"/>
      <c r="H312" s="200"/>
    </row>
    <row r="313" spans="1:8">
      <c r="A313" s="189"/>
      <c r="B313" s="210"/>
      <c r="C313" s="190"/>
      <c r="D313" s="190"/>
      <c r="E313" s="198"/>
      <c r="F313" s="198"/>
      <c r="G313" s="199"/>
      <c r="H313" s="200"/>
    </row>
    <row r="314" spans="1:8">
      <c r="A314" s="189"/>
      <c r="B314" s="210"/>
      <c r="C314" s="190"/>
      <c r="D314" s="190"/>
      <c r="E314" s="198"/>
      <c r="F314" s="198"/>
      <c r="G314" s="199"/>
      <c r="H314" s="200"/>
    </row>
    <row r="315" spans="1:8">
      <c r="A315" s="189"/>
      <c r="B315" s="210"/>
      <c r="C315" s="190"/>
      <c r="D315" s="190"/>
      <c r="E315" s="198"/>
      <c r="F315" s="198"/>
      <c r="G315" s="199"/>
      <c r="H315" s="200"/>
    </row>
    <row r="316" spans="1:8">
      <c r="A316" s="189"/>
      <c r="B316" s="210"/>
      <c r="C316" s="190"/>
      <c r="D316" s="190"/>
      <c r="E316" s="198"/>
      <c r="F316" s="198"/>
      <c r="G316" s="199"/>
      <c r="H316" s="200"/>
    </row>
    <row r="317" spans="1:8">
      <c r="A317" s="189"/>
      <c r="B317" s="210"/>
      <c r="C317" s="190"/>
      <c r="D317" s="190"/>
      <c r="E317" s="198"/>
      <c r="F317" s="198"/>
      <c r="G317" s="199"/>
      <c r="H317" s="200"/>
    </row>
    <row r="318" spans="1:8">
      <c r="A318" s="189"/>
      <c r="B318" s="210"/>
      <c r="C318" s="190"/>
      <c r="D318" s="190"/>
      <c r="E318" s="198"/>
      <c r="F318" s="198"/>
      <c r="G318" s="199"/>
      <c r="H318" s="200"/>
    </row>
    <row r="319" spans="1:8">
      <c r="A319" s="189"/>
      <c r="B319" s="210"/>
      <c r="C319" s="190"/>
      <c r="D319" s="190"/>
      <c r="E319" s="198"/>
      <c r="F319" s="198"/>
      <c r="G319" s="199"/>
      <c r="H319" s="200"/>
    </row>
    <row r="320" spans="1:8">
      <c r="A320" s="189"/>
      <c r="B320" s="210"/>
      <c r="C320" s="190"/>
      <c r="D320" s="190"/>
      <c r="E320" s="198"/>
      <c r="F320" s="198"/>
      <c r="G320" s="199"/>
      <c r="H320" s="200"/>
    </row>
    <row r="321" spans="1:8">
      <c r="A321" s="189"/>
      <c r="B321" s="210"/>
      <c r="C321" s="190"/>
      <c r="D321" s="190"/>
      <c r="E321" s="198"/>
      <c r="F321" s="198"/>
      <c r="G321" s="199"/>
      <c r="H321" s="200"/>
    </row>
    <row r="322" spans="1:8">
      <c r="A322" s="189"/>
      <c r="B322" s="210"/>
      <c r="C322" s="190"/>
      <c r="D322" s="190"/>
      <c r="E322" s="198"/>
      <c r="F322" s="198"/>
      <c r="G322" s="199"/>
      <c r="H322" s="200"/>
    </row>
    <row r="323" spans="1:8">
      <c r="A323" s="189"/>
      <c r="B323" s="210"/>
      <c r="C323" s="190"/>
      <c r="D323" s="190"/>
      <c r="E323" s="198"/>
      <c r="F323" s="198"/>
      <c r="G323" s="199"/>
      <c r="H323" s="200"/>
    </row>
    <row r="324" spans="1:8">
      <c r="A324" s="189"/>
      <c r="B324" s="210"/>
      <c r="C324" s="190"/>
      <c r="D324" s="190"/>
      <c r="E324" s="198"/>
      <c r="F324" s="198"/>
      <c r="G324" s="199"/>
      <c r="H324" s="200"/>
    </row>
    <row r="325" spans="1:8">
      <c r="A325" s="189"/>
      <c r="B325" s="210"/>
      <c r="C325" s="190"/>
      <c r="D325" s="190"/>
      <c r="E325" s="198"/>
      <c r="F325" s="198"/>
      <c r="G325" s="199"/>
      <c r="H325" s="200"/>
    </row>
    <row r="326" spans="1:8">
      <c r="A326" s="189"/>
      <c r="B326" s="210"/>
      <c r="C326" s="190"/>
      <c r="D326" s="190"/>
      <c r="E326" s="198"/>
      <c r="F326" s="198"/>
      <c r="G326" s="199"/>
      <c r="H326" s="200"/>
    </row>
    <row r="327" spans="1:8">
      <c r="A327" s="189"/>
      <c r="B327" s="210"/>
      <c r="C327" s="190"/>
      <c r="D327" s="190"/>
      <c r="E327" s="198"/>
      <c r="F327" s="198"/>
      <c r="G327" s="199"/>
      <c r="H327" s="200"/>
    </row>
    <row r="328" spans="1:8">
      <c r="A328" s="189"/>
      <c r="B328" s="210"/>
      <c r="C328" s="190"/>
      <c r="D328" s="190"/>
      <c r="E328" s="198"/>
      <c r="F328" s="198"/>
      <c r="G328" s="199"/>
      <c r="H328" s="200"/>
    </row>
    <row r="329" spans="1:8">
      <c r="A329" s="189"/>
      <c r="B329" s="210"/>
      <c r="C329" s="190"/>
      <c r="D329" s="190"/>
      <c r="E329" s="198"/>
      <c r="F329" s="198"/>
      <c r="G329" s="199"/>
      <c r="H329" s="200"/>
    </row>
    <row r="330" spans="1:8">
      <c r="A330" s="189"/>
      <c r="B330" s="210"/>
      <c r="C330" s="190"/>
      <c r="D330" s="190"/>
      <c r="E330" s="198"/>
      <c r="F330" s="198"/>
      <c r="G330" s="199"/>
      <c r="H330" s="200"/>
    </row>
    <row r="331" spans="1:8">
      <c r="A331" s="189"/>
      <c r="B331" s="210"/>
      <c r="C331" s="190"/>
      <c r="D331" s="190"/>
      <c r="E331" s="198"/>
      <c r="F331" s="198"/>
      <c r="G331" s="199"/>
      <c r="H331" s="200"/>
    </row>
    <row r="332" spans="1:8">
      <c r="A332" s="189"/>
      <c r="B332" s="210"/>
      <c r="C332" s="190"/>
      <c r="D332" s="190"/>
      <c r="E332" s="198"/>
      <c r="F332" s="198"/>
      <c r="G332" s="199"/>
      <c r="H332" s="200"/>
    </row>
    <row r="333" spans="1:8">
      <c r="A333" s="189"/>
      <c r="B333" s="210"/>
      <c r="C333" s="190"/>
      <c r="D333" s="190"/>
      <c r="E333" s="198"/>
      <c r="F333" s="198"/>
      <c r="G333" s="199"/>
      <c r="H333" s="200"/>
    </row>
    <row r="334" spans="1:8">
      <c r="A334" s="189"/>
      <c r="B334" s="210"/>
      <c r="C334" s="190"/>
      <c r="D334" s="190"/>
      <c r="E334" s="198"/>
      <c r="F334" s="198"/>
      <c r="G334" s="199"/>
      <c r="H334" s="200"/>
    </row>
    <row r="335" spans="1:8">
      <c r="A335" s="189"/>
      <c r="B335" s="210"/>
      <c r="C335" s="190"/>
      <c r="D335" s="190"/>
      <c r="E335" s="198"/>
      <c r="F335" s="198"/>
      <c r="G335" s="199"/>
      <c r="H335" s="200"/>
    </row>
    <row r="336" spans="1:8">
      <c r="A336" s="189"/>
      <c r="B336" s="210"/>
      <c r="C336" s="190"/>
      <c r="D336" s="190"/>
      <c r="E336" s="198"/>
      <c r="F336" s="198"/>
      <c r="G336" s="199"/>
      <c r="H336" s="200"/>
    </row>
    <row r="337" spans="1:8">
      <c r="A337" s="189"/>
      <c r="B337" s="210"/>
      <c r="C337" s="190"/>
      <c r="D337" s="190"/>
      <c r="E337" s="198"/>
      <c r="F337" s="198"/>
      <c r="G337" s="199"/>
      <c r="H337" s="200"/>
    </row>
    <row r="338" spans="1:8">
      <c r="A338" s="189"/>
      <c r="B338" s="210"/>
      <c r="C338" s="190"/>
      <c r="D338" s="190"/>
      <c r="E338" s="198"/>
      <c r="F338" s="198"/>
      <c r="G338" s="199"/>
      <c r="H338" s="200"/>
    </row>
    <row r="339" spans="1:8">
      <c r="A339" s="189"/>
      <c r="B339" s="210"/>
      <c r="C339" s="190"/>
      <c r="D339" s="190"/>
      <c r="E339" s="198"/>
      <c r="F339" s="198"/>
      <c r="G339" s="199"/>
      <c r="H339" s="200"/>
    </row>
    <row r="340" spans="1:8">
      <c r="A340" s="189"/>
      <c r="B340" s="210"/>
      <c r="C340" s="190"/>
      <c r="D340" s="190"/>
      <c r="E340" s="198"/>
      <c r="F340" s="198"/>
      <c r="G340" s="199"/>
      <c r="H340" s="200"/>
    </row>
    <row r="341" spans="1:8">
      <c r="A341" s="189"/>
      <c r="B341" s="210"/>
      <c r="C341" s="190"/>
      <c r="D341" s="190"/>
      <c r="E341" s="198"/>
      <c r="F341" s="198"/>
      <c r="G341" s="199"/>
      <c r="H341" s="200"/>
    </row>
    <row r="342" spans="1:8">
      <c r="A342" s="189"/>
      <c r="B342" s="210"/>
      <c r="C342" s="190"/>
      <c r="D342" s="190"/>
      <c r="E342" s="198"/>
      <c r="F342" s="198"/>
      <c r="G342" s="199"/>
      <c r="H342" s="200"/>
    </row>
    <row r="343" spans="1:8">
      <c r="A343" s="189"/>
      <c r="B343" s="210"/>
      <c r="C343" s="190"/>
      <c r="D343" s="190"/>
      <c r="E343" s="198"/>
      <c r="F343" s="198"/>
      <c r="G343" s="199"/>
      <c r="H343" s="200"/>
    </row>
    <row r="344" spans="1:8">
      <c r="A344" s="189"/>
      <c r="B344" s="210"/>
      <c r="C344" s="190"/>
      <c r="D344" s="190"/>
      <c r="E344" s="198"/>
      <c r="F344" s="198"/>
      <c r="G344" s="199"/>
      <c r="H344" s="200"/>
    </row>
    <row r="345" spans="1:8">
      <c r="A345" s="189"/>
      <c r="B345" s="210"/>
      <c r="C345" s="190"/>
      <c r="D345" s="190"/>
      <c r="E345" s="198"/>
      <c r="F345" s="198"/>
      <c r="G345" s="199"/>
      <c r="H345" s="200"/>
    </row>
    <row r="346" spans="1:8">
      <c r="A346" s="189"/>
      <c r="B346" s="210"/>
      <c r="C346" s="190"/>
      <c r="D346" s="190"/>
      <c r="E346" s="198"/>
      <c r="F346" s="198"/>
      <c r="G346" s="199"/>
      <c r="H346" s="200"/>
    </row>
    <row r="347" spans="1:8">
      <c r="A347" s="189"/>
      <c r="B347" s="210"/>
      <c r="C347" s="190"/>
      <c r="D347" s="190"/>
      <c r="E347" s="198"/>
      <c r="F347" s="198"/>
      <c r="G347" s="199"/>
      <c r="H347" s="200"/>
    </row>
    <row r="348" spans="1:8">
      <c r="A348" s="189"/>
      <c r="B348" s="210"/>
      <c r="C348" s="190"/>
      <c r="D348" s="190"/>
      <c r="E348" s="198"/>
      <c r="F348" s="198"/>
      <c r="G348" s="199"/>
      <c r="H348" s="200"/>
    </row>
    <row r="349" spans="1:8">
      <c r="A349" s="189"/>
      <c r="B349" s="210"/>
      <c r="C349" s="190"/>
      <c r="D349" s="190"/>
      <c r="E349" s="198"/>
      <c r="F349" s="198"/>
      <c r="G349" s="199"/>
      <c r="H349" s="200"/>
    </row>
    <row r="350" spans="1:8">
      <c r="A350" s="189"/>
      <c r="B350" s="210"/>
      <c r="C350" s="190"/>
      <c r="D350" s="190"/>
      <c r="E350" s="198"/>
      <c r="F350" s="198"/>
      <c r="G350" s="199"/>
      <c r="H350" s="200"/>
    </row>
    <row r="351" spans="1:8">
      <c r="A351" s="189"/>
      <c r="B351" s="210"/>
      <c r="C351" s="190"/>
      <c r="D351" s="190"/>
      <c r="E351" s="198"/>
      <c r="F351" s="198"/>
      <c r="G351" s="199"/>
      <c r="H351" s="200"/>
    </row>
    <row r="352" spans="1:8">
      <c r="A352" s="189"/>
      <c r="B352" s="210"/>
      <c r="C352" s="190"/>
      <c r="D352" s="190"/>
      <c r="E352" s="198"/>
      <c r="F352" s="198"/>
      <c r="G352" s="199"/>
      <c r="H352" s="200"/>
    </row>
    <row r="353" spans="1:8">
      <c r="A353" s="189"/>
      <c r="B353" s="210"/>
      <c r="C353" s="190"/>
      <c r="D353" s="190"/>
      <c r="E353" s="198"/>
      <c r="F353" s="198"/>
      <c r="G353" s="199"/>
      <c r="H353" s="200"/>
    </row>
    <row r="354" spans="1:8">
      <c r="A354" s="189"/>
      <c r="B354" s="210"/>
      <c r="C354" s="190"/>
      <c r="D354" s="190"/>
      <c r="E354" s="198"/>
      <c r="F354" s="198"/>
      <c r="G354" s="199"/>
      <c r="H354" s="200"/>
    </row>
    <row r="355" spans="1:8">
      <c r="A355" s="189"/>
      <c r="B355" s="210"/>
      <c r="C355" s="190"/>
      <c r="D355" s="190"/>
      <c r="E355" s="198"/>
      <c r="F355" s="198"/>
      <c r="G355" s="199"/>
      <c r="H355" s="200"/>
    </row>
    <row r="356" spans="1:8">
      <c r="A356" s="189"/>
      <c r="B356" s="210"/>
      <c r="C356" s="190"/>
      <c r="D356" s="190"/>
      <c r="E356" s="198"/>
      <c r="F356" s="198"/>
      <c r="G356" s="199"/>
      <c r="H356" s="200"/>
    </row>
    <row r="357" spans="1:8">
      <c r="A357" s="189"/>
      <c r="B357" s="210"/>
      <c r="C357" s="190"/>
      <c r="D357" s="190"/>
      <c r="E357" s="198"/>
      <c r="F357" s="198"/>
      <c r="G357" s="199"/>
      <c r="H357" s="200"/>
    </row>
    <row r="358" spans="1:8">
      <c r="A358" s="189"/>
      <c r="B358" s="210"/>
      <c r="C358" s="190"/>
      <c r="D358" s="190"/>
      <c r="E358" s="198"/>
      <c r="F358" s="198"/>
      <c r="G358" s="199"/>
      <c r="H358" s="200"/>
    </row>
    <row r="359" spans="1:8">
      <c r="A359" s="189"/>
      <c r="B359" s="210"/>
      <c r="C359" s="190"/>
      <c r="D359" s="190"/>
      <c r="E359" s="198"/>
      <c r="F359" s="198"/>
      <c r="G359" s="199"/>
      <c r="H359" s="200"/>
    </row>
    <row r="360" spans="1:8">
      <c r="A360" s="189"/>
      <c r="B360" s="210"/>
      <c r="C360" s="190"/>
      <c r="D360" s="190"/>
      <c r="E360" s="198"/>
      <c r="F360" s="198"/>
      <c r="G360" s="199"/>
      <c r="H360" s="200"/>
    </row>
    <row r="361" spans="1:8">
      <c r="A361" s="189"/>
      <c r="B361" s="210"/>
      <c r="C361" s="190"/>
      <c r="D361" s="190"/>
      <c r="E361" s="198"/>
      <c r="F361" s="198"/>
      <c r="G361" s="199"/>
      <c r="H361" s="200"/>
    </row>
    <row r="362" spans="1:8">
      <c r="A362" s="189"/>
      <c r="B362" s="210"/>
      <c r="C362" s="190"/>
      <c r="D362" s="190"/>
      <c r="E362" s="198"/>
      <c r="F362" s="198"/>
      <c r="G362" s="199"/>
      <c r="H362" s="200"/>
    </row>
    <row r="363" spans="1:8">
      <c r="A363" s="189"/>
      <c r="B363" s="210"/>
      <c r="C363" s="190"/>
      <c r="D363" s="190"/>
      <c r="E363" s="198"/>
      <c r="F363" s="198"/>
      <c r="G363" s="199"/>
      <c r="H363" s="200"/>
    </row>
    <row r="364" spans="1:8">
      <c r="A364" s="189"/>
      <c r="B364" s="210"/>
      <c r="C364" s="190"/>
      <c r="D364" s="190"/>
      <c r="E364" s="198"/>
      <c r="F364" s="198"/>
      <c r="G364" s="199"/>
      <c r="H364" s="200"/>
    </row>
    <row r="365" spans="1:8">
      <c r="A365" s="189"/>
      <c r="B365" s="210"/>
      <c r="C365" s="190"/>
      <c r="D365" s="190"/>
      <c r="E365" s="198"/>
      <c r="F365" s="198"/>
      <c r="G365" s="199"/>
      <c r="H365" s="200"/>
    </row>
    <row r="366" spans="1:8">
      <c r="A366" s="189"/>
      <c r="B366" s="210"/>
      <c r="C366" s="190"/>
      <c r="D366" s="190"/>
      <c r="E366" s="198"/>
      <c r="F366" s="198"/>
      <c r="G366" s="199"/>
      <c r="H366" s="200"/>
    </row>
    <row r="367" spans="1:8">
      <c r="A367" s="189"/>
      <c r="B367" s="210"/>
      <c r="C367" s="190"/>
      <c r="D367" s="190"/>
      <c r="E367" s="198"/>
      <c r="F367" s="198"/>
      <c r="G367" s="199"/>
      <c r="H367" s="200"/>
    </row>
    <row r="368" spans="1:8">
      <c r="A368" s="189"/>
      <c r="B368" s="210"/>
      <c r="C368" s="190"/>
      <c r="D368" s="190"/>
      <c r="E368" s="198"/>
      <c r="F368" s="198"/>
      <c r="G368" s="199"/>
      <c r="H368" s="200"/>
    </row>
    <row r="369" spans="1:8">
      <c r="A369" s="189"/>
      <c r="B369" s="210"/>
      <c r="C369" s="190"/>
      <c r="D369" s="190"/>
      <c r="E369" s="198"/>
      <c r="F369" s="198"/>
      <c r="G369" s="199"/>
      <c r="H369" s="200"/>
    </row>
    <row r="370" spans="1:8">
      <c r="A370" s="189"/>
      <c r="B370" s="210"/>
      <c r="C370" s="190"/>
      <c r="D370" s="190"/>
      <c r="E370" s="198"/>
      <c r="F370" s="198"/>
      <c r="G370" s="199"/>
      <c r="H370" s="200"/>
    </row>
    <row r="371" spans="1:8">
      <c r="A371" s="189"/>
      <c r="B371" s="210"/>
      <c r="C371" s="190"/>
      <c r="D371" s="190"/>
      <c r="E371" s="198"/>
      <c r="F371" s="198"/>
      <c r="G371" s="199"/>
      <c r="H371" s="200"/>
    </row>
    <row r="372" spans="1:8">
      <c r="A372" s="189"/>
      <c r="B372" s="210"/>
      <c r="C372" s="190"/>
      <c r="D372" s="190"/>
      <c r="E372" s="198"/>
      <c r="F372" s="198"/>
      <c r="G372" s="199"/>
      <c r="H372" s="200"/>
    </row>
    <row r="373" spans="1:8">
      <c r="A373" s="189"/>
      <c r="B373" s="210"/>
      <c r="C373" s="190"/>
      <c r="D373" s="190"/>
      <c r="E373" s="198"/>
      <c r="F373" s="198"/>
      <c r="G373" s="199"/>
      <c r="H373" s="200"/>
    </row>
    <row r="374" spans="1:8">
      <c r="A374" s="189"/>
      <c r="B374" s="210"/>
      <c r="C374" s="190"/>
      <c r="D374" s="190"/>
      <c r="E374" s="198"/>
      <c r="F374" s="198"/>
      <c r="G374" s="199"/>
      <c r="H374" s="200"/>
    </row>
    <row r="375" spans="1:8">
      <c r="A375" s="189"/>
      <c r="B375" s="210"/>
      <c r="C375" s="190"/>
      <c r="D375" s="190"/>
      <c r="E375" s="198"/>
      <c r="F375" s="198"/>
      <c r="G375" s="199"/>
      <c r="H375" s="200"/>
    </row>
    <row r="376" spans="1:8">
      <c r="A376" s="189"/>
      <c r="B376" s="210"/>
      <c r="C376" s="190"/>
      <c r="D376" s="190"/>
      <c r="E376" s="198"/>
      <c r="F376" s="198"/>
      <c r="G376" s="199"/>
      <c r="H376" s="200"/>
    </row>
    <row r="377" spans="1:8">
      <c r="A377" s="189"/>
      <c r="B377" s="210"/>
      <c r="C377" s="190"/>
      <c r="D377" s="190"/>
      <c r="E377" s="198"/>
      <c r="F377" s="198"/>
      <c r="G377" s="199"/>
      <c r="H377" s="200"/>
    </row>
    <row r="378" spans="1:8">
      <c r="A378" s="189"/>
      <c r="B378" s="210"/>
      <c r="C378" s="190"/>
      <c r="D378" s="190"/>
      <c r="E378" s="198"/>
      <c r="F378" s="198"/>
      <c r="G378" s="199"/>
      <c r="H378" s="200"/>
    </row>
    <row r="379" spans="1:8">
      <c r="A379" s="189"/>
      <c r="B379" s="210"/>
      <c r="C379" s="190"/>
      <c r="D379" s="190"/>
      <c r="E379" s="198"/>
      <c r="F379" s="198"/>
      <c r="G379" s="199"/>
      <c r="H379" s="200"/>
    </row>
    <row r="380" spans="1:8">
      <c r="A380" s="189"/>
      <c r="B380" s="210"/>
      <c r="C380" s="190"/>
      <c r="D380" s="190"/>
      <c r="E380" s="198"/>
      <c r="F380" s="198"/>
      <c r="G380" s="199"/>
      <c r="H380" s="200"/>
    </row>
    <row r="381" spans="1:8">
      <c r="A381" s="189"/>
      <c r="B381" s="210"/>
      <c r="C381" s="190"/>
      <c r="D381" s="190"/>
      <c r="E381" s="198"/>
      <c r="F381" s="198"/>
      <c r="G381" s="199"/>
      <c r="H381" s="200"/>
    </row>
    <row r="382" spans="1:8">
      <c r="A382" s="189"/>
      <c r="B382" s="210"/>
      <c r="C382" s="190"/>
      <c r="D382" s="190"/>
      <c r="E382" s="198"/>
      <c r="F382" s="198"/>
      <c r="G382" s="199"/>
      <c r="H382" s="200"/>
    </row>
    <row r="383" spans="1:8">
      <c r="A383" s="189"/>
      <c r="B383" s="210"/>
      <c r="C383" s="190"/>
      <c r="D383" s="190"/>
      <c r="E383" s="198"/>
      <c r="F383" s="198"/>
      <c r="G383" s="199"/>
      <c r="H383" s="200"/>
    </row>
    <row r="384" spans="1:8">
      <c r="A384" s="189"/>
      <c r="B384" s="210"/>
      <c r="C384" s="190"/>
      <c r="D384" s="190"/>
      <c r="E384" s="198"/>
      <c r="F384" s="198"/>
      <c r="G384" s="199"/>
      <c r="H384" s="200"/>
    </row>
    <row r="385" spans="1:8">
      <c r="A385" s="189"/>
      <c r="B385" s="210"/>
      <c r="C385" s="190"/>
      <c r="D385" s="190"/>
      <c r="E385" s="198"/>
      <c r="F385" s="198"/>
      <c r="G385" s="199"/>
      <c r="H385" s="200"/>
    </row>
    <row r="386" spans="1:8">
      <c r="A386" s="189"/>
      <c r="B386" s="210"/>
      <c r="C386" s="190"/>
      <c r="D386" s="190"/>
      <c r="E386" s="198"/>
      <c r="F386" s="198"/>
      <c r="G386" s="199"/>
      <c r="H386" s="200"/>
    </row>
    <row r="387" spans="1:8">
      <c r="A387" s="189"/>
      <c r="B387" s="210"/>
      <c r="C387" s="190"/>
      <c r="D387" s="190"/>
      <c r="E387" s="198"/>
      <c r="F387" s="198"/>
      <c r="G387" s="199"/>
      <c r="H387" s="200"/>
    </row>
    <row r="388" spans="1:8">
      <c r="A388" s="189"/>
      <c r="B388" s="210"/>
      <c r="C388" s="190"/>
      <c r="D388" s="190"/>
      <c r="E388" s="198"/>
      <c r="F388" s="198"/>
      <c r="G388" s="199"/>
      <c r="H388" s="200"/>
    </row>
    <row r="389" spans="1:8">
      <c r="A389" s="189"/>
      <c r="B389" s="210"/>
      <c r="C389" s="190"/>
      <c r="D389" s="190"/>
      <c r="E389" s="198"/>
      <c r="F389" s="198"/>
      <c r="G389" s="199"/>
      <c r="H389" s="200"/>
    </row>
    <row r="390" spans="1:8">
      <c r="A390" s="189"/>
      <c r="B390" s="210"/>
      <c r="C390" s="190"/>
      <c r="D390" s="190"/>
      <c r="E390" s="198"/>
      <c r="F390" s="198"/>
      <c r="G390" s="199"/>
      <c r="H390" s="200"/>
    </row>
    <row r="391" spans="1:8">
      <c r="A391" s="189"/>
      <c r="B391" s="210"/>
      <c r="C391" s="190"/>
      <c r="D391" s="190"/>
      <c r="E391" s="198"/>
      <c r="F391" s="198"/>
      <c r="G391" s="199"/>
      <c r="H391" s="200"/>
    </row>
    <row r="392" spans="1:8">
      <c r="A392" s="189"/>
      <c r="B392" s="210"/>
      <c r="C392" s="190"/>
      <c r="D392" s="190"/>
      <c r="E392" s="198"/>
      <c r="F392" s="198"/>
      <c r="G392" s="199"/>
      <c r="H392" s="200"/>
    </row>
    <row r="393" spans="1:8">
      <c r="A393" s="189"/>
      <c r="B393" s="210"/>
      <c r="C393" s="190"/>
      <c r="D393" s="190"/>
      <c r="E393" s="198"/>
      <c r="F393" s="198"/>
      <c r="G393" s="199"/>
      <c r="H393" s="200"/>
    </row>
    <row r="394" spans="1:8">
      <c r="A394" s="189"/>
      <c r="B394" s="210"/>
      <c r="C394" s="190"/>
      <c r="D394" s="190"/>
      <c r="E394" s="198"/>
      <c r="F394" s="198"/>
      <c r="G394" s="199"/>
      <c r="H394" s="200"/>
    </row>
    <row r="395" spans="1:8">
      <c r="A395" s="189"/>
      <c r="B395" s="210"/>
      <c r="C395" s="190"/>
      <c r="D395" s="190"/>
      <c r="E395" s="198"/>
      <c r="F395" s="198"/>
      <c r="G395" s="199"/>
      <c r="H395" s="200"/>
    </row>
    <row r="396" spans="1:8">
      <c r="A396" s="189"/>
      <c r="B396" s="210"/>
      <c r="C396" s="190"/>
      <c r="D396" s="190"/>
      <c r="E396" s="198"/>
      <c r="F396" s="198"/>
      <c r="G396" s="199"/>
      <c r="H396" s="200"/>
    </row>
    <row r="397" spans="1:8">
      <c r="A397" s="189"/>
      <c r="B397" s="210"/>
      <c r="C397" s="190"/>
      <c r="D397" s="190"/>
      <c r="E397" s="198"/>
      <c r="F397" s="198"/>
      <c r="G397" s="199"/>
      <c r="H397" s="200"/>
    </row>
    <row r="398" spans="1:8">
      <c r="A398" s="189"/>
      <c r="B398" s="210"/>
      <c r="C398" s="190"/>
      <c r="D398" s="190"/>
      <c r="E398" s="198"/>
      <c r="F398" s="198"/>
      <c r="G398" s="199"/>
      <c r="H398" s="200"/>
    </row>
    <row r="399" spans="1:8">
      <c r="A399" s="189"/>
      <c r="B399" s="210"/>
      <c r="C399" s="190"/>
      <c r="D399" s="190"/>
      <c r="E399" s="198"/>
      <c r="F399" s="198"/>
      <c r="G399" s="199"/>
      <c r="H399" s="200"/>
    </row>
    <row r="400" spans="1:8">
      <c r="A400" s="189"/>
      <c r="B400" s="210"/>
      <c r="C400" s="190"/>
      <c r="D400" s="190"/>
      <c r="E400" s="198"/>
      <c r="F400" s="198"/>
      <c r="G400" s="199"/>
      <c r="H400" s="200"/>
    </row>
    <row r="401" spans="1:8">
      <c r="A401" s="189"/>
      <c r="B401" s="210"/>
      <c r="C401" s="190"/>
      <c r="D401" s="190"/>
      <c r="E401" s="198"/>
      <c r="F401" s="198"/>
      <c r="G401" s="199"/>
      <c r="H401" s="200"/>
    </row>
    <row r="402" spans="1:8">
      <c r="A402" s="189"/>
      <c r="B402" s="210"/>
      <c r="C402" s="190"/>
      <c r="D402" s="190"/>
      <c r="E402" s="198"/>
      <c r="F402" s="198"/>
      <c r="G402" s="199"/>
      <c r="H402" s="200"/>
    </row>
    <row r="403" spans="1:8">
      <c r="A403" s="189"/>
      <c r="B403" s="210"/>
      <c r="C403" s="190"/>
      <c r="D403" s="190"/>
      <c r="E403" s="198"/>
      <c r="F403" s="198"/>
      <c r="G403" s="199"/>
      <c r="H403" s="200"/>
    </row>
    <row r="404" spans="1:8">
      <c r="A404" s="189"/>
      <c r="B404" s="210"/>
      <c r="C404" s="190"/>
      <c r="D404" s="190"/>
      <c r="E404" s="198"/>
      <c r="F404" s="198"/>
      <c r="G404" s="199"/>
      <c r="H404" s="200"/>
    </row>
    <row r="405" spans="1:8">
      <c r="A405" s="189"/>
      <c r="B405" s="210"/>
      <c r="C405" s="190"/>
      <c r="D405" s="190"/>
      <c r="E405" s="198"/>
      <c r="F405" s="198"/>
      <c r="G405" s="199"/>
      <c r="H405" s="200"/>
    </row>
    <row r="406" spans="1:8">
      <c r="A406" s="189"/>
      <c r="B406" s="210"/>
      <c r="C406" s="190"/>
      <c r="D406" s="190"/>
      <c r="E406" s="198"/>
      <c r="F406" s="198"/>
      <c r="G406" s="199"/>
      <c r="H406" s="200"/>
    </row>
    <row r="407" spans="1:8">
      <c r="A407" s="189"/>
      <c r="B407" s="210"/>
      <c r="C407" s="190"/>
      <c r="D407" s="190"/>
      <c r="E407" s="198"/>
      <c r="F407" s="198"/>
      <c r="G407" s="199"/>
      <c r="H407" s="200"/>
    </row>
    <row r="408" spans="1:8">
      <c r="A408" s="189"/>
      <c r="B408" s="210"/>
      <c r="C408" s="190"/>
      <c r="D408" s="190"/>
      <c r="E408" s="198"/>
      <c r="F408" s="198"/>
      <c r="G408" s="199"/>
      <c r="H408" s="200"/>
    </row>
    <row r="409" spans="1:8">
      <c r="A409" s="189"/>
      <c r="B409" s="210"/>
      <c r="C409" s="190"/>
      <c r="D409" s="190"/>
      <c r="E409" s="198"/>
      <c r="F409" s="198"/>
      <c r="G409" s="199"/>
      <c r="H409" s="200"/>
    </row>
    <row r="410" spans="1:8">
      <c r="A410" s="189"/>
      <c r="B410" s="210"/>
      <c r="C410" s="190"/>
      <c r="D410" s="190"/>
      <c r="E410" s="198"/>
      <c r="F410" s="198"/>
      <c r="G410" s="199"/>
      <c r="H410" s="200"/>
    </row>
    <row r="411" spans="1:8">
      <c r="A411" s="189"/>
      <c r="B411" s="210"/>
      <c r="C411" s="190"/>
      <c r="D411" s="190"/>
      <c r="E411" s="198"/>
      <c r="F411" s="198"/>
      <c r="G411" s="199"/>
      <c r="H411" s="200"/>
    </row>
    <row r="412" spans="1:8">
      <c r="A412" s="189"/>
      <c r="B412" s="210"/>
      <c r="C412" s="190"/>
      <c r="D412" s="190"/>
      <c r="E412" s="198"/>
      <c r="F412" s="198"/>
      <c r="G412" s="199"/>
      <c r="H412" s="200"/>
    </row>
    <row r="413" spans="1:8">
      <c r="A413" s="189"/>
      <c r="B413" s="210"/>
      <c r="C413" s="190"/>
      <c r="D413" s="190"/>
      <c r="E413" s="198"/>
      <c r="F413" s="198"/>
      <c r="G413" s="199"/>
      <c r="H413" s="200"/>
    </row>
    <row r="414" spans="1:8">
      <c r="A414" s="189"/>
      <c r="B414" s="210"/>
      <c r="C414" s="190"/>
      <c r="D414" s="190"/>
      <c r="E414" s="198"/>
      <c r="F414" s="198"/>
      <c r="G414" s="199"/>
      <c r="H414" s="200"/>
    </row>
    <row r="415" spans="1:8">
      <c r="A415" s="189"/>
      <c r="B415" s="210"/>
      <c r="C415" s="190"/>
      <c r="D415" s="190"/>
      <c r="E415" s="198"/>
      <c r="F415" s="198"/>
      <c r="G415" s="199"/>
      <c r="H415" s="200"/>
    </row>
    <row r="416" spans="1:8">
      <c r="A416" s="189"/>
      <c r="B416" s="210"/>
      <c r="C416" s="190"/>
      <c r="D416" s="190"/>
      <c r="E416" s="198"/>
      <c r="F416" s="198"/>
      <c r="G416" s="199"/>
      <c r="H416" s="200"/>
    </row>
    <row r="417" spans="1:8">
      <c r="A417" s="189"/>
      <c r="B417" s="210"/>
      <c r="C417" s="190"/>
      <c r="D417" s="190"/>
      <c r="E417" s="198"/>
      <c r="F417" s="198"/>
      <c r="G417" s="199"/>
      <c r="H417" s="200"/>
    </row>
    <row r="418" spans="1:8">
      <c r="A418" s="189"/>
      <c r="B418" s="210"/>
      <c r="C418" s="190"/>
      <c r="D418" s="190"/>
      <c r="E418" s="198"/>
      <c r="F418" s="198"/>
      <c r="G418" s="199"/>
      <c r="H418" s="200"/>
    </row>
    <row r="419" spans="1:8">
      <c r="A419" s="189"/>
      <c r="B419" s="210"/>
      <c r="C419" s="190"/>
      <c r="D419" s="190"/>
      <c r="E419" s="198"/>
      <c r="F419" s="198"/>
      <c r="G419" s="199"/>
      <c r="H419" s="200"/>
    </row>
    <row r="420" spans="1:8">
      <c r="A420" s="189"/>
      <c r="B420" s="210"/>
      <c r="C420" s="190"/>
      <c r="D420" s="190"/>
      <c r="E420" s="198"/>
      <c r="F420" s="198"/>
      <c r="G420" s="199"/>
      <c r="H420" s="200"/>
    </row>
    <row r="421" spans="1:8">
      <c r="A421" s="189"/>
      <c r="B421" s="210"/>
      <c r="C421" s="190"/>
      <c r="D421" s="190"/>
      <c r="E421" s="198"/>
      <c r="F421" s="198"/>
      <c r="G421" s="199"/>
      <c r="H421" s="200"/>
    </row>
    <row r="422" spans="1:8">
      <c r="A422" s="189"/>
      <c r="B422" s="210"/>
      <c r="C422" s="190"/>
      <c r="D422" s="190"/>
      <c r="E422" s="198"/>
      <c r="F422" s="198"/>
      <c r="G422" s="199"/>
      <c r="H422" s="200"/>
    </row>
    <row r="423" spans="1:8">
      <c r="A423" s="189"/>
      <c r="B423" s="210"/>
      <c r="C423" s="190"/>
      <c r="D423" s="190"/>
      <c r="E423" s="198"/>
      <c r="F423" s="198"/>
      <c r="G423" s="199"/>
      <c r="H423" s="200"/>
    </row>
    <row r="424" spans="1:8">
      <c r="A424" s="189"/>
      <c r="B424" s="210"/>
      <c r="C424" s="190"/>
      <c r="D424" s="190"/>
      <c r="E424" s="198"/>
      <c r="F424" s="198"/>
      <c r="G424" s="199"/>
      <c r="H424" s="200"/>
    </row>
    <row r="425" spans="1:8">
      <c r="A425" s="189"/>
      <c r="B425" s="210"/>
      <c r="C425" s="190"/>
      <c r="D425" s="190"/>
      <c r="E425" s="198"/>
      <c r="F425" s="198"/>
      <c r="G425" s="199"/>
      <c r="H425" s="200"/>
    </row>
    <row r="426" spans="1:8">
      <c r="A426" s="189"/>
      <c r="B426" s="210"/>
      <c r="C426" s="190"/>
      <c r="D426" s="190"/>
      <c r="E426" s="198"/>
      <c r="F426" s="198"/>
      <c r="G426" s="199"/>
      <c r="H426" s="200"/>
    </row>
    <row r="427" spans="1:8">
      <c r="A427" s="189"/>
      <c r="B427" s="210"/>
      <c r="C427" s="190"/>
      <c r="D427" s="190"/>
      <c r="E427" s="198"/>
      <c r="F427" s="198"/>
      <c r="G427" s="199"/>
      <c r="H427" s="200"/>
    </row>
    <row r="428" spans="1:8">
      <c r="A428" s="189"/>
      <c r="B428" s="210"/>
      <c r="C428" s="190"/>
      <c r="D428" s="190"/>
      <c r="E428" s="198"/>
      <c r="F428" s="198"/>
      <c r="G428" s="199"/>
      <c r="H428" s="200"/>
    </row>
    <row r="429" spans="1:8">
      <c r="A429" s="189"/>
      <c r="B429" s="210"/>
      <c r="C429" s="190"/>
      <c r="D429" s="190"/>
      <c r="E429" s="198"/>
      <c r="F429" s="198"/>
      <c r="G429" s="199"/>
      <c r="H429" s="200"/>
    </row>
    <row r="430" spans="1:8">
      <c r="A430" s="189"/>
      <c r="B430" s="210"/>
      <c r="C430" s="190"/>
      <c r="D430" s="190"/>
      <c r="E430" s="198"/>
      <c r="F430" s="198"/>
      <c r="G430" s="199"/>
      <c r="H430" s="200"/>
    </row>
    <row r="431" spans="1:8">
      <c r="A431" s="189"/>
      <c r="B431" s="210"/>
      <c r="C431" s="190"/>
      <c r="D431" s="190"/>
      <c r="E431" s="198"/>
      <c r="F431" s="198"/>
      <c r="G431" s="199"/>
      <c r="H431" s="200"/>
    </row>
    <row r="432" spans="1:8">
      <c r="A432" s="189"/>
      <c r="B432" s="210"/>
      <c r="C432" s="190"/>
      <c r="D432" s="190"/>
      <c r="E432" s="198"/>
      <c r="F432" s="198"/>
      <c r="G432" s="199"/>
      <c r="H432" s="200"/>
    </row>
    <row r="433" spans="1:8">
      <c r="A433" s="189"/>
      <c r="B433" s="210"/>
      <c r="C433" s="190"/>
      <c r="D433" s="190"/>
      <c r="E433" s="198"/>
      <c r="F433" s="198"/>
      <c r="G433" s="199"/>
      <c r="H433" s="200"/>
    </row>
    <row r="434" spans="1:8">
      <c r="A434" s="189"/>
      <c r="B434" s="210"/>
      <c r="C434" s="190"/>
      <c r="D434" s="190"/>
      <c r="E434" s="198"/>
      <c r="F434" s="198"/>
      <c r="G434" s="199"/>
      <c r="H434" s="200"/>
    </row>
    <row r="435" spans="1:8">
      <c r="A435" s="189"/>
      <c r="B435" s="210"/>
      <c r="C435" s="190"/>
      <c r="D435" s="190"/>
      <c r="E435" s="198"/>
      <c r="F435" s="198"/>
      <c r="G435" s="199"/>
      <c r="H435" s="200"/>
    </row>
    <row r="436" spans="1:8">
      <c r="A436" s="189"/>
      <c r="B436" s="210"/>
      <c r="C436" s="190"/>
      <c r="D436" s="190"/>
      <c r="E436" s="198"/>
      <c r="F436" s="198"/>
      <c r="G436" s="199"/>
      <c r="H436" s="200"/>
    </row>
    <row r="437" spans="1:8">
      <c r="A437" s="189"/>
      <c r="B437" s="210"/>
      <c r="C437" s="190"/>
      <c r="D437" s="190"/>
      <c r="E437" s="198"/>
      <c r="F437" s="198"/>
      <c r="G437" s="199"/>
      <c r="H437" s="200"/>
    </row>
    <row r="438" spans="1:8">
      <c r="A438" s="189"/>
      <c r="B438" s="210"/>
      <c r="C438" s="190"/>
      <c r="D438" s="190"/>
      <c r="E438" s="198"/>
      <c r="F438" s="198"/>
      <c r="G438" s="199"/>
      <c r="H438" s="200"/>
    </row>
    <row r="439" spans="1:8">
      <c r="A439" s="189"/>
      <c r="B439" s="210"/>
      <c r="C439" s="190"/>
      <c r="D439" s="190"/>
      <c r="E439" s="198"/>
      <c r="F439" s="198"/>
      <c r="G439" s="199"/>
      <c r="H439" s="200"/>
    </row>
    <row r="440" spans="1:8">
      <c r="A440" s="189"/>
      <c r="B440" s="210"/>
      <c r="C440" s="190"/>
      <c r="D440" s="190"/>
      <c r="E440" s="198"/>
      <c r="F440" s="198"/>
      <c r="G440" s="199"/>
      <c r="H440" s="200"/>
    </row>
    <row r="441" spans="1:8">
      <c r="A441" s="189"/>
      <c r="B441" s="210"/>
      <c r="C441" s="190"/>
      <c r="D441" s="190"/>
      <c r="E441" s="198"/>
      <c r="F441" s="198"/>
      <c r="G441" s="199"/>
      <c r="H441" s="200"/>
    </row>
    <row r="442" spans="1:8">
      <c r="A442" s="189"/>
      <c r="B442" s="210"/>
      <c r="C442" s="190"/>
      <c r="D442" s="190"/>
      <c r="E442" s="198"/>
      <c r="F442" s="198"/>
      <c r="G442" s="199"/>
      <c r="H442" s="200"/>
    </row>
    <row r="443" spans="1:8">
      <c r="A443" s="189"/>
      <c r="B443" s="210"/>
      <c r="C443" s="190"/>
      <c r="D443" s="190"/>
      <c r="E443" s="198"/>
      <c r="F443" s="198"/>
      <c r="G443" s="199"/>
      <c r="H443" s="200"/>
    </row>
    <row r="444" spans="1:8">
      <c r="A444" s="189"/>
      <c r="B444" s="210"/>
      <c r="C444" s="190"/>
      <c r="D444" s="190"/>
      <c r="E444" s="198"/>
      <c r="F444" s="198"/>
      <c r="G444" s="199"/>
      <c r="H444" s="200"/>
    </row>
    <row r="445" spans="1:8">
      <c r="A445" s="189"/>
      <c r="B445" s="210"/>
      <c r="C445" s="190"/>
      <c r="D445" s="190"/>
      <c r="E445" s="198"/>
      <c r="F445" s="198"/>
      <c r="G445" s="199"/>
      <c r="H445" s="200"/>
    </row>
    <row r="446" spans="1:8">
      <c r="A446" s="189"/>
      <c r="B446" s="210"/>
      <c r="C446" s="190"/>
      <c r="D446" s="190"/>
      <c r="E446" s="198"/>
      <c r="F446" s="198"/>
      <c r="G446" s="199"/>
      <c r="H446" s="200"/>
    </row>
    <row r="447" spans="1:8">
      <c r="A447" s="189"/>
      <c r="B447" s="210"/>
      <c r="C447" s="190"/>
      <c r="D447" s="190"/>
      <c r="E447" s="198"/>
      <c r="F447" s="198"/>
      <c r="G447" s="199"/>
      <c r="H447" s="200"/>
    </row>
    <row r="448" spans="1:8">
      <c r="A448" s="189"/>
      <c r="B448" s="210"/>
      <c r="C448" s="190"/>
      <c r="D448" s="190"/>
      <c r="E448" s="198"/>
      <c r="F448" s="198"/>
      <c r="G448" s="199"/>
      <c r="H448" s="200"/>
    </row>
    <row r="449" spans="1:8">
      <c r="A449" s="189"/>
      <c r="B449" s="210"/>
      <c r="C449" s="190"/>
      <c r="D449" s="190"/>
      <c r="E449" s="198"/>
      <c r="F449" s="198"/>
      <c r="G449" s="199"/>
      <c r="H449" s="200"/>
    </row>
    <row r="450" spans="1:8">
      <c r="A450" s="189"/>
      <c r="B450" s="210"/>
      <c r="C450" s="190"/>
      <c r="D450" s="190"/>
      <c r="E450" s="198"/>
      <c r="F450" s="198"/>
      <c r="G450" s="199"/>
      <c r="H450" s="200"/>
    </row>
    <row r="451" spans="1:8">
      <c r="A451" s="189"/>
      <c r="B451" s="210"/>
      <c r="C451" s="190"/>
      <c r="D451" s="190"/>
      <c r="E451" s="198"/>
      <c r="F451" s="198"/>
      <c r="G451" s="199"/>
      <c r="H451" s="200"/>
    </row>
    <row r="452" spans="1:8">
      <c r="A452" s="189"/>
      <c r="B452" s="210"/>
      <c r="C452" s="190"/>
      <c r="D452" s="190"/>
      <c r="E452" s="198"/>
      <c r="F452" s="198"/>
      <c r="G452" s="199"/>
      <c r="H452" s="200"/>
    </row>
    <row r="453" spans="1:8">
      <c r="A453" s="189"/>
      <c r="B453" s="210"/>
      <c r="C453" s="190"/>
      <c r="D453" s="190"/>
      <c r="E453" s="198"/>
      <c r="F453" s="198"/>
      <c r="G453" s="199"/>
      <c r="H453" s="200"/>
    </row>
    <row r="454" spans="1:8">
      <c r="A454" s="189"/>
      <c r="B454" s="210"/>
      <c r="C454" s="190"/>
      <c r="D454" s="190"/>
      <c r="E454" s="198"/>
      <c r="F454" s="198"/>
      <c r="G454" s="199"/>
      <c r="H454" s="200"/>
    </row>
    <row r="455" spans="1:8">
      <c r="A455" s="189"/>
      <c r="B455" s="210"/>
      <c r="C455" s="190"/>
      <c r="D455" s="190"/>
      <c r="E455" s="198"/>
      <c r="F455" s="198"/>
      <c r="G455" s="199"/>
      <c r="H455" s="200"/>
    </row>
    <row r="456" spans="1:8">
      <c r="A456" s="189"/>
      <c r="B456" s="210"/>
      <c r="C456" s="190"/>
      <c r="D456" s="190"/>
      <c r="E456" s="198"/>
      <c r="F456" s="198"/>
      <c r="G456" s="199"/>
      <c r="H456" s="200"/>
    </row>
    <row r="457" spans="1:8">
      <c r="A457" s="189"/>
      <c r="B457" s="210"/>
      <c r="C457" s="190"/>
      <c r="D457" s="190"/>
      <c r="E457" s="198"/>
      <c r="F457" s="198"/>
      <c r="G457" s="199"/>
      <c r="H457" s="200"/>
    </row>
    <row r="458" spans="1:8">
      <c r="A458" s="189"/>
      <c r="B458" s="210"/>
      <c r="C458" s="190"/>
      <c r="D458" s="190"/>
      <c r="E458" s="198"/>
      <c r="F458" s="198"/>
      <c r="G458" s="199"/>
      <c r="H458" s="200"/>
    </row>
    <row r="459" spans="1:8">
      <c r="A459" s="189"/>
      <c r="B459" s="210"/>
      <c r="C459" s="190"/>
      <c r="D459" s="190"/>
      <c r="E459" s="198"/>
      <c r="F459" s="198"/>
      <c r="G459" s="199"/>
      <c r="H459" s="200"/>
    </row>
    <row r="460" spans="1:8">
      <c r="A460" s="189"/>
      <c r="B460" s="210"/>
      <c r="C460" s="190"/>
      <c r="D460" s="190"/>
      <c r="E460" s="198"/>
      <c r="F460" s="198"/>
      <c r="G460" s="199"/>
      <c r="H460" s="200"/>
    </row>
    <row r="461" spans="1:8">
      <c r="A461" s="189"/>
      <c r="B461" s="210"/>
      <c r="C461" s="190"/>
      <c r="D461" s="190"/>
      <c r="E461" s="198"/>
      <c r="F461" s="198"/>
      <c r="G461" s="199"/>
      <c r="H461" s="200"/>
    </row>
    <row r="462" spans="1:8">
      <c r="A462" s="189"/>
      <c r="B462" s="210"/>
      <c r="C462" s="190"/>
      <c r="D462" s="190"/>
      <c r="E462" s="198"/>
      <c r="F462" s="198"/>
      <c r="G462" s="199"/>
      <c r="H462" s="200"/>
    </row>
    <row r="463" spans="1:8">
      <c r="A463" s="189"/>
      <c r="B463" s="210"/>
      <c r="C463" s="190"/>
      <c r="D463" s="190"/>
      <c r="E463" s="198"/>
      <c r="F463" s="198"/>
      <c r="G463" s="199"/>
      <c r="H463" s="200"/>
    </row>
    <row r="464" spans="1:8">
      <c r="A464" s="189"/>
      <c r="B464" s="210"/>
      <c r="C464" s="190"/>
      <c r="D464" s="190"/>
      <c r="E464" s="198"/>
      <c r="F464" s="198"/>
      <c r="G464" s="199"/>
      <c r="H464" s="200"/>
    </row>
    <row r="465" spans="1:8">
      <c r="A465" s="189"/>
      <c r="B465" s="210"/>
      <c r="C465" s="190"/>
      <c r="D465" s="190"/>
      <c r="E465" s="198"/>
      <c r="F465" s="198"/>
      <c r="G465" s="199"/>
      <c r="H465" s="200"/>
    </row>
    <row r="466" spans="1:8">
      <c r="A466" s="189"/>
      <c r="B466" s="210"/>
      <c r="C466" s="190"/>
      <c r="D466" s="190"/>
      <c r="E466" s="198"/>
      <c r="F466" s="198"/>
      <c r="G466" s="199"/>
      <c r="H466" s="200"/>
    </row>
    <row r="467" spans="1:8">
      <c r="A467" s="189"/>
      <c r="B467" s="210"/>
      <c r="C467" s="190"/>
      <c r="D467" s="190"/>
      <c r="E467" s="198"/>
      <c r="F467" s="198"/>
      <c r="G467" s="199"/>
      <c r="H467" s="200"/>
    </row>
    <row r="468" spans="1:8">
      <c r="A468" s="189"/>
      <c r="B468" s="210"/>
      <c r="C468" s="190"/>
      <c r="D468" s="190"/>
      <c r="E468" s="198"/>
      <c r="F468" s="198"/>
      <c r="G468" s="199"/>
      <c r="H468" s="200"/>
    </row>
    <row r="469" spans="1:8">
      <c r="A469" s="189"/>
      <c r="B469" s="210"/>
      <c r="C469" s="190"/>
      <c r="D469" s="190"/>
      <c r="E469" s="198"/>
      <c r="F469" s="198"/>
      <c r="G469" s="199"/>
      <c r="H469" s="200"/>
    </row>
    <row r="470" spans="1:8">
      <c r="A470" s="189"/>
      <c r="B470" s="210"/>
      <c r="C470" s="190"/>
      <c r="D470" s="190"/>
      <c r="E470" s="198"/>
      <c r="F470" s="198"/>
      <c r="G470" s="199"/>
      <c r="H470" s="200"/>
    </row>
    <row r="471" spans="1:8">
      <c r="A471" s="189"/>
      <c r="B471" s="210"/>
      <c r="C471" s="190"/>
      <c r="D471" s="190"/>
      <c r="E471" s="198"/>
      <c r="F471" s="198"/>
      <c r="G471" s="199"/>
      <c r="H471" s="200"/>
    </row>
    <row r="472" spans="1:8">
      <c r="A472" s="189"/>
      <c r="B472" s="210"/>
      <c r="C472" s="190"/>
      <c r="D472" s="190"/>
      <c r="E472" s="198"/>
      <c r="F472" s="198"/>
      <c r="G472" s="199"/>
      <c r="H472" s="200"/>
    </row>
    <row r="473" spans="1:8">
      <c r="A473" s="189"/>
      <c r="B473" s="210"/>
      <c r="C473" s="190"/>
      <c r="D473" s="190"/>
      <c r="E473" s="198"/>
      <c r="F473" s="198"/>
      <c r="G473" s="199"/>
      <c r="H473" s="200"/>
    </row>
    <row r="474" spans="1:8">
      <c r="A474" s="189"/>
      <c r="B474" s="210"/>
      <c r="C474" s="190"/>
      <c r="D474" s="190"/>
      <c r="E474" s="198"/>
      <c r="F474" s="198"/>
      <c r="G474" s="199"/>
      <c r="H474" s="200"/>
    </row>
    <row r="475" spans="1:8">
      <c r="A475" s="189"/>
      <c r="B475" s="210"/>
      <c r="C475" s="190"/>
      <c r="D475" s="190"/>
      <c r="E475" s="198"/>
      <c r="F475" s="198"/>
      <c r="G475" s="199"/>
      <c r="H475" s="200"/>
    </row>
    <row r="476" spans="1:9">
      <c r="A476" s="189"/>
      <c r="B476" s="210"/>
      <c r="C476" s="190"/>
      <c r="D476" s="190"/>
      <c r="E476" s="198"/>
      <c r="F476" s="198"/>
      <c r="G476" s="199"/>
      <c r="H476" s="200"/>
      <c r="I476" s="217"/>
    </row>
    <row r="477" spans="1:9">
      <c r="A477" s="189"/>
      <c r="B477" s="210"/>
      <c r="C477" s="190"/>
      <c r="D477" s="190"/>
      <c r="E477" s="198"/>
      <c r="F477" s="198"/>
      <c r="G477" s="199"/>
      <c r="H477" s="200"/>
      <c r="I477" s="217"/>
    </row>
    <row r="478" spans="1:9">
      <c r="A478" s="189"/>
      <c r="B478" s="210"/>
      <c r="C478" s="190"/>
      <c r="D478" s="190"/>
      <c r="E478" s="198"/>
      <c r="F478" s="198"/>
      <c r="G478" s="199"/>
      <c r="H478" s="200"/>
      <c r="I478" s="217"/>
    </row>
    <row r="479" spans="1:9">
      <c r="A479" s="189"/>
      <c r="B479" s="210"/>
      <c r="C479" s="190"/>
      <c r="D479" s="190"/>
      <c r="E479" s="198"/>
      <c r="F479" s="198"/>
      <c r="G479" s="199"/>
      <c r="H479" s="200"/>
      <c r="I479" s="217"/>
    </row>
    <row r="480" spans="1:9">
      <c r="A480" s="189"/>
      <c r="B480" s="210"/>
      <c r="C480" s="190"/>
      <c r="D480" s="190"/>
      <c r="E480" s="198"/>
      <c r="F480" s="198"/>
      <c r="G480" s="199"/>
      <c r="H480" s="200"/>
      <c r="I480" s="217"/>
    </row>
    <row r="481" spans="1:9">
      <c r="A481" s="189"/>
      <c r="B481" s="210"/>
      <c r="C481" s="190"/>
      <c r="D481" s="190"/>
      <c r="E481" s="198"/>
      <c r="F481" s="198"/>
      <c r="G481" s="199"/>
      <c r="H481" s="200"/>
      <c r="I481" s="217"/>
    </row>
    <row r="482" spans="1:9">
      <c r="A482" s="189"/>
      <c r="B482" s="210"/>
      <c r="C482" s="190"/>
      <c r="D482" s="190"/>
      <c r="E482" s="198"/>
      <c r="F482" s="198"/>
      <c r="G482" s="199"/>
      <c r="H482" s="200"/>
      <c r="I482" s="217"/>
    </row>
    <row r="483" spans="1:9">
      <c r="A483" s="189"/>
      <c r="B483" s="210"/>
      <c r="C483" s="190"/>
      <c r="D483" s="190"/>
      <c r="E483" s="198"/>
      <c r="F483" s="198"/>
      <c r="G483" s="199"/>
      <c r="H483" s="200"/>
      <c r="I483" s="217"/>
    </row>
    <row r="484" spans="1:9">
      <c r="A484" s="189"/>
      <c r="B484" s="210"/>
      <c r="C484" s="190"/>
      <c r="D484" s="190"/>
      <c r="E484" s="198"/>
      <c r="F484" s="198"/>
      <c r="G484" s="199"/>
      <c r="H484" s="200"/>
      <c r="I484" s="217"/>
    </row>
    <row r="485" spans="1:9">
      <c r="A485" s="189"/>
      <c r="B485" s="210"/>
      <c r="C485" s="190"/>
      <c r="D485" s="190"/>
      <c r="E485" s="198"/>
      <c r="F485" s="198"/>
      <c r="G485" s="199"/>
      <c r="H485" s="200"/>
      <c r="I485" s="217"/>
    </row>
    <row r="486" spans="1:9">
      <c r="A486" s="189"/>
      <c r="B486" s="210"/>
      <c r="C486" s="190"/>
      <c r="D486" s="190"/>
      <c r="E486" s="198"/>
      <c r="F486" s="198"/>
      <c r="G486" s="199"/>
      <c r="H486" s="200"/>
      <c r="I486" s="217"/>
    </row>
    <row r="487" spans="1:9">
      <c r="A487" s="189"/>
      <c r="B487" s="210"/>
      <c r="C487" s="190"/>
      <c r="D487" s="190"/>
      <c r="E487" s="198"/>
      <c r="F487" s="198"/>
      <c r="G487" s="199"/>
      <c r="H487" s="200"/>
      <c r="I487" s="217"/>
    </row>
    <row r="488" spans="1:9">
      <c r="A488" s="189"/>
      <c r="B488" s="210"/>
      <c r="C488" s="190"/>
      <c r="D488" s="190"/>
      <c r="E488" s="198"/>
      <c r="F488" s="198"/>
      <c r="G488" s="199"/>
      <c r="H488" s="200"/>
      <c r="I488" s="217"/>
    </row>
    <row r="489" spans="1:9">
      <c r="A489" s="189"/>
      <c r="B489" s="210"/>
      <c r="C489" s="190"/>
      <c r="D489" s="190"/>
      <c r="E489" s="198"/>
      <c r="F489" s="198"/>
      <c r="G489" s="199"/>
      <c r="H489" s="200"/>
      <c r="I489" s="217"/>
    </row>
    <row r="490" spans="1:9">
      <c r="A490" s="189"/>
      <c r="B490" s="210"/>
      <c r="C490" s="190"/>
      <c r="D490" s="190"/>
      <c r="E490" s="198"/>
      <c r="F490" s="198"/>
      <c r="G490" s="199"/>
      <c r="H490" s="200"/>
      <c r="I490" s="217"/>
    </row>
    <row r="491" spans="1:9">
      <c r="A491" s="189"/>
      <c r="B491" s="210"/>
      <c r="C491" s="190"/>
      <c r="D491" s="190"/>
      <c r="E491" s="198"/>
      <c r="F491" s="198"/>
      <c r="G491" s="199"/>
      <c r="H491" s="200"/>
      <c r="I491" s="217"/>
    </row>
    <row r="492" spans="1:9">
      <c r="A492" s="189"/>
      <c r="B492" s="210"/>
      <c r="C492" s="190"/>
      <c r="D492" s="190"/>
      <c r="E492" s="198"/>
      <c r="F492" s="198"/>
      <c r="G492" s="199"/>
      <c r="H492" s="200"/>
      <c r="I492" s="217"/>
    </row>
    <row r="493" spans="1:9">
      <c r="A493" s="189"/>
      <c r="B493" s="210"/>
      <c r="C493" s="190"/>
      <c r="D493" s="190"/>
      <c r="E493" s="198"/>
      <c r="F493" s="198"/>
      <c r="G493" s="199"/>
      <c r="H493" s="200"/>
      <c r="I493" s="217"/>
    </row>
    <row r="494" spans="1:9">
      <c r="A494" s="189"/>
      <c r="B494" s="210"/>
      <c r="C494" s="190"/>
      <c r="D494" s="190"/>
      <c r="E494" s="198"/>
      <c r="F494" s="198"/>
      <c r="G494" s="199"/>
      <c r="H494" s="200"/>
      <c r="I494" s="217"/>
    </row>
    <row r="495" spans="1:9">
      <c r="A495" s="189"/>
      <c r="B495" s="210"/>
      <c r="C495" s="190"/>
      <c r="D495" s="190"/>
      <c r="E495" s="198"/>
      <c r="F495" s="198"/>
      <c r="G495" s="199"/>
      <c r="H495" s="200"/>
      <c r="I495" s="217"/>
    </row>
    <row r="496" spans="1:8">
      <c r="A496" s="189"/>
      <c r="B496" s="210"/>
      <c r="C496" s="190"/>
      <c r="D496" s="190"/>
      <c r="E496" s="198"/>
      <c r="F496" s="198"/>
      <c r="G496" s="199"/>
      <c r="H496" s="200"/>
    </row>
    <row r="497" spans="1:8">
      <c r="A497" s="189"/>
      <c r="B497" s="210"/>
      <c r="C497" s="190"/>
      <c r="D497" s="190"/>
      <c r="E497" s="198"/>
      <c r="F497" s="198"/>
      <c r="G497" s="199"/>
      <c r="H497" s="200"/>
    </row>
    <row r="498" spans="1:8">
      <c r="A498" s="189"/>
      <c r="B498" s="210"/>
      <c r="C498" s="190"/>
      <c r="D498" s="190"/>
      <c r="E498" s="198"/>
      <c r="F498" s="198"/>
      <c r="G498" s="199"/>
      <c r="H498" s="200"/>
    </row>
    <row r="499" spans="1:8">
      <c r="A499" s="189"/>
      <c r="B499" s="210"/>
      <c r="C499" s="190"/>
      <c r="D499" s="190"/>
      <c r="E499" s="198"/>
      <c r="F499" s="198"/>
      <c r="G499" s="199"/>
      <c r="H499" s="200"/>
    </row>
    <row r="500" spans="1:8">
      <c r="A500" s="189"/>
      <c r="B500" s="210"/>
      <c r="C500" s="190"/>
      <c r="D500" s="190"/>
      <c r="E500" s="198"/>
      <c r="F500" s="198"/>
      <c r="G500" s="199"/>
      <c r="H500" s="200"/>
    </row>
    <row r="501" spans="1:8">
      <c r="A501" s="189"/>
      <c r="B501" s="210"/>
      <c r="C501" s="190"/>
      <c r="D501" s="190"/>
      <c r="E501" s="198"/>
      <c r="F501" s="198"/>
      <c r="G501" s="199"/>
      <c r="H501" s="200"/>
    </row>
    <row r="502" spans="1:8">
      <c r="A502" s="189"/>
      <c r="B502" s="210"/>
      <c r="C502" s="190"/>
      <c r="D502" s="190"/>
      <c r="E502" s="198"/>
      <c r="F502" s="198"/>
      <c r="G502" s="199"/>
      <c r="H502" s="200"/>
    </row>
    <row r="503" spans="1:8">
      <c r="A503" s="189"/>
      <c r="B503" s="210"/>
      <c r="C503" s="190"/>
      <c r="D503" s="190"/>
      <c r="E503" s="198"/>
      <c r="F503" s="198"/>
      <c r="G503" s="199"/>
      <c r="H503" s="200"/>
    </row>
    <row r="504" spans="1:8">
      <c r="A504" s="189"/>
      <c r="B504" s="210"/>
      <c r="C504" s="190"/>
      <c r="D504" s="190"/>
      <c r="E504" s="198"/>
      <c r="F504" s="198"/>
      <c r="G504" s="199"/>
      <c r="H504" s="200"/>
    </row>
    <row r="505" spans="1:8">
      <c r="A505" s="189"/>
      <c r="B505" s="210"/>
      <c r="C505" s="190"/>
      <c r="D505" s="190"/>
      <c r="E505" s="198"/>
      <c r="F505" s="198"/>
      <c r="G505" s="199"/>
      <c r="H505" s="200"/>
    </row>
    <row r="506" spans="1:8">
      <c r="A506" s="189"/>
      <c r="B506" s="210"/>
      <c r="C506" s="190"/>
      <c r="D506" s="190"/>
      <c r="E506" s="198"/>
      <c r="F506" s="198"/>
      <c r="G506" s="199"/>
      <c r="H506" s="200"/>
    </row>
    <row r="507" spans="1:8">
      <c r="A507" s="189"/>
      <c r="B507" s="210"/>
      <c r="C507" s="190"/>
      <c r="D507" s="190"/>
      <c r="E507" s="198"/>
      <c r="F507" s="198"/>
      <c r="G507" s="199"/>
      <c r="H507" s="200"/>
    </row>
    <row r="508" spans="1:8">
      <c r="A508" s="189"/>
      <c r="B508" s="210"/>
      <c r="C508" s="190"/>
      <c r="D508" s="190"/>
      <c r="E508" s="198"/>
      <c r="F508" s="198"/>
      <c r="G508" s="199"/>
      <c r="H508" s="200"/>
    </row>
    <row r="509" spans="1:8">
      <c r="A509" s="189"/>
      <c r="B509" s="210"/>
      <c r="C509" s="190"/>
      <c r="D509" s="190"/>
      <c r="E509" s="198"/>
      <c r="F509" s="198"/>
      <c r="G509" s="199"/>
      <c r="H509" s="200"/>
    </row>
    <row r="510" spans="1:8">
      <c r="A510" s="189"/>
      <c r="B510" s="210"/>
      <c r="C510" s="190"/>
      <c r="D510" s="190"/>
      <c r="E510" s="198"/>
      <c r="F510" s="198"/>
      <c r="G510" s="199"/>
      <c r="H510" s="200"/>
    </row>
    <row r="511" spans="1:8">
      <c r="A511" s="189"/>
      <c r="B511" s="210"/>
      <c r="C511" s="190"/>
      <c r="D511" s="190"/>
      <c r="E511" s="198"/>
      <c r="F511" s="198"/>
      <c r="G511" s="199"/>
      <c r="H511" s="200"/>
    </row>
    <row r="512" spans="1:8">
      <c r="A512" s="189"/>
      <c r="B512" s="210"/>
      <c r="C512" s="190"/>
      <c r="D512" s="190"/>
      <c r="E512" s="198"/>
      <c r="F512" s="198"/>
      <c r="G512" s="199"/>
      <c r="H512" s="200"/>
    </row>
    <row r="513" spans="1:8">
      <c r="A513" s="189"/>
      <c r="B513" s="210"/>
      <c r="C513" s="190"/>
      <c r="D513" s="190"/>
      <c r="E513" s="198"/>
      <c r="F513" s="198"/>
      <c r="G513" s="199"/>
      <c r="H513" s="200"/>
    </row>
    <row r="514" spans="1:8">
      <c r="A514" s="189"/>
      <c r="B514" s="210"/>
      <c r="C514" s="190"/>
      <c r="D514" s="190"/>
      <c r="E514" s="198"/>
      <c r="F514" s="198"/>
      <c r="G514" s="199"/>
      <c r="H514" s="200"/>
    </row>
    <row r="515" spans="1:8">
      <c r="A515" s="189"/>
      <c r="B515" s="210"/>
      <c r="C515" s="190"/>
      <c r="D515" s="190"/>
      <c r="E515" s="198"/>
      <c r="F515" s="198"/>
      <c r="G515" s="199"/>
      <c r="H515" s="200"/>
    </row>
    <row r="516" spans="1:8">
      <c r="A516" s="189"/>
      <c r="B516" s="210"/>
      <c r="C516" s="190"/>
      <c r="D516" s="190"/>
      <c r="E516" s="198"/>
      <c r="F516" s="198"/>
      <c r="G516" s="199"/>
      <c r="H516" s="200"/>
    </row>
    <row r="517" spans="1:8">
      <c r="A517" s="189"/>
      <c r="B517" s="210"/>
      <c r="C517" s="190"/>
      <c r="D517" s="190"/>
      <c r="E517" s="198"/>
      <c r="F517" s="198"/>
      <c r="G517" s="199"/>
      <c r="H517" s="200"/>
    </row>
    <row r="518" spans="1:8">
      <c r="A518" s="189"/>
      <c r="B518" s="210"/>
      <c r="C518" s="190"/>
      <c r="D518" s="190"/>
      <c r="E518" s="198"/>
      <c r="F518" s="198"/>
      <c r="G518" s="199"/>
      <c r="H518" s="200"/>
    </row>
    <row r="519" spans="1:8">
      <c r="A519" s="189"/>
      <c r="B519" s="210"/>
      <c r="C519" s="190"/>
      <c r="D519" s="190"/>
      <c r="E519" s="198"/>
      <c r="F519" s="198"/>
      <c r="G519" s="199"/>
      <c r="H519" s="200"/>
    </row>
    <row r="520" spans="1:8">
      <c r="A520" s="189"/>
      <c r="B520" s="210"/>
      <c r="C520" s="190"/>
      <c r="D520" s="190"/>
      <c r="E520" s="198"/>
      <c r="F520" s="198"/>
      <c r="G520" s="199"/>
      <c r="H520" s="200"/>
    </row>
    <row r="521" spans="1:8">
      <c r="A521" s="189"/>
      <c r="B521" s="210"/>
      <c r="C521" s="190"/>
      <c r="D521" s="190"/>
      <c r="E521" s="198"/>
      <c r="F521" s="198"/>
      <c r="G521" s="199"/>
      <c r="H521" s="200"/>
    </row>
    <row r="522" spans="1:8">
      <c r="A522" s="189"/>
      <c r="B522" s="210"/>
      <c r="C522" s="190"/>
      <c r="D522" s="190"/>
      <c r="E522" s="198"/>
      <c r="F522" s="198"/>
      <c r="G522" s="199"/>
      <c r="H522" s="200"/>
    </row>
    <row r="523" spans="1:8">
      <c r="A523" s="189"/>
      <c r="B523" s="210"/>
      <c r="C523" s="190"/>
      <c r="D523" s="190"/>
      <c r="E523" s="198"/>
      <c r="F523" s="198"/>
      <c r="G523" s="199"/>
      <c r="H523" s="200"/>
    </row>
    <row r="524" spans="1:8">
      <c r="A524" s="189"/>
      <c r="B524" s="210"/>
      <c r="C524" s="190"/>
      <c r="D524" s="190"/>
      <c r="E524" s="198"/>
      <c r="F524" s="198"/>
      <c r="G524" s="199"/>
      <c r="H524" s="200"/>
    </row>
    <row r="525" spans="1:8">
      <c r="A525" s="189"/>
      <c r="B525" s="210"/>
      <c r="C525" s="190"/>
      <c r="D525" s="190"/>
      <c r="E525" s="198"/>
      <c r="F525" s="198"/>
      <c r="G525" s="199"/>
      <c r="H525" s="200"/>
    </row>
    <row r="526" spans="1:8">
      <c r="A526" s="189"/>
      <c r="B526" s="210"/>
      <c r="C526" s="190"/>
      <c r="D526" s="190"/>
      <c r="E526" s="198"/>
      <c r="F526" s="198"/>
      <c r="G526" s="199"/>
      <c r="H526" s="200"/>
    </row>
    <row r="527" spans="1:8">
      <c r="A527" s="189"/>
      <c r="B527" s="210"/>
      <c r="C527" s="190"/>
      <c r="D527" s="190"/>
      <c r="E527" s="198"/>
      <c r="F527" s="198"/>
      <c r="G527" s="199"/>
      <c r="H527" s="200"/>
    </row>
    <row r="528" spans="1:8">
      <c r="A528" s="189"/>
      <c r="B528" s="210"/>
      <c r="C528" s="190"/>
      <c r="D528" s="190"/>
      <c r="E528" s="198"/>
      <c r="F528" s="198"/>
      <c r="G528" s="199"/>
      <c r="H528" s="200"/>
    </row>
    <row r="529" spans="1:8">
      <c r="A529" s="189"/>
      <c r="B529" s="210"/>
      <c r="C529" s="190"/>
      <c r="D529" s="190"/>
      <c r="E529" s="198"/>
      <c r="F529" s="198"/>
      <c r="G529" s="199"/>
      <c r="H529" s="200"/>
    </row>
    <row r="530" spans="1:8">
      <c r="A530" s="189"/>
      <c r="B530" s="210"/>
      <c r="C530" s="190"/>
      <c r="D530" s="190"/>
      <c r="E530" s="198"/>
      <c r="F530" s="198"/>
      <c r="G530" s="199"/>
      <c r="H530" s="200"/>
    </row>
    <row r="531" spans="1:8">
      <c r="A531" s="189"/>
      <c r="B531" s="210"/>
      <c r="C531" s="190"/>
      <c r="D531" s="190"/>
      <c r="E531" s="198"/>
      <c r="F531" s="198"/>
      <c r="G531" s="199"/>
      <c r="H531" s="200"/>
    </row>
    <row r="532" spans="1:8">
      <c r="A532" s="189"/>
      <c r="B532" s="210"/>
      <c r="C532" s="190"/>
      <c r="D532" s="190"/>
      <c r="E532" s="198"/>
      <c r="F532" s="198"/>
      <c r="G532" s="199"/>
      <c r="H532" s="200"/>
    </row>
    <row r="533" spans="1:8">
      <c r="A533" s="189"/>
      <c r="B533" s="210"/>
      <c r="C533" s="190"/>
      <c r="D533" s="190"/>
      <c r="E533" s="198"/>
      <c r="F533" s="198"/>
      <c r="G533" s="199"/>
      <c r="H533" s="200"/>
    </row>
    <row r="534" spans="1:8">
      <c r="A534" s="189"/>
      <c r="B534" s="210"/>
      <c r="C534" s="190"/>
      <c r="D534" s="190"/>
      <c r="E534" s="198"/>
      <c r="F534" s="198"/>
      <c r="G534" s="199"/>
      <c r="H534" s="200"/>
    </row>
    <row r="535" spans="1:8">
      <c r="A535" s="189"/>
      <c r="B535" s="210"/>
      <c r="C535" s="190"/>
      <c r="D535" s="190"/>
      <c r="E535" s="198"/>
      <c r="F535" s="198"/>
      <c r="G535" s="199"/>
      <c r="H535" s="200"/>
    </row>
    <row r="536" spans="1:8">
      <c r="A536" s="189"/>
      <c r="B536" s="210"/>
      <c r="C536" s="190"/>
      <c r="D536" s="190"/>
      <c r="E536" s="198"/>
      <c r="F536" s="198"/>
      <c r="G536" s="199"/>
      <c r="H536" s="200"/>
    </row>
    <row r="537" spans="1:8">
      <c r="A537" s="189"/>
      <c r="B537" s="210"/>
      <c r="C537" s="190"/>
      <c r="D537" s="190"/>
      <c r="E537" s="198"/>
      <c r="F537" s="198"/>
      <c r="G537" s="199"/>
      <c r="H537" s="200"/>
    </row>
    <row r="538" spans="1:8">
      <c r="A538" s="189"/>
      <c r="B538" s="210"/>
      <c r="C538" s="190"/>
      <c r="D538" s="190"/>
      <c r="E538" s="198"/>
      <c r="F538" s="198"/>
      <c r="G538" s="199"/>
      <c r="H538" s="200"/>
    </row>
    <row r="539" spans="1:8">
      <c r="A539" s="189"/>
      <c r="B539" s="210"/>
      <c r="C539" s="190"/>
      <c r="D539" s="190"/>
      <c r="E539" s="198"/>
      <c r="F539" s="198"/>
      <c r="G539" s="199"/>
      <c r="H539" s="200"/>
    </row>
    <row r="540" spans="1:8">
      <c r="A540" s="189"/>
      <c r="B540" s="210"/>
      <c r="C540" s="95"/>
      <c r="D540" s="95"/>
      <c r="E540" s="198"/>
      <c r="F540" s="198"/>
      <c r="G540" s="199"/>
      <c r="H540" s="200"/>
    </row>
    <row r="541" spans="1:8">
      <c r="A541" s="189"/>
      <c r="B541" s="210"/>
      <c r="C541" s="95"/>
      <c r="D541" s="95"/>
      <c r="E541" s="198"/>
      <c r="F541" s="198"/>
      <c r="G541" s="199"/>
      <c r="H541" s="200"/>
    </row>
    <row r="542" spans="1:8">
      <c r="A542" s="189"/>
      <c r="B542" s="210"/>
      <c r="C542" s="190"/>
      <c r="D542" s="190"/>
      <c r="E542" s="198"/>
      <c r="F542" s="198"/>
      <c r="G542" s="199"/>
      <c r="H542" s="200"/>
    </row>
    <row r="543" spans="1:8">
      <c r="A543" s="189"/>
      <c r="B543" s="210"/>
      <c r="C543" s="190"/>
      <c r="D543" s="190"/>
      <c r="E543" s="198"/>
      <c r="F543" s="198"/>
      <c r="G543" s="199"/>
      <c r="H543" s="200"/>
    </row>
    <row r="544" spans="1:8">
      <c r="A544" s="189"/>
      <c r="B544" s="210"/>
      <c r="C544" s="190"/>
      <c r="D544" s="190"/>
      <c r="E544" s="198"/>
      <c r="F544" s="198"/>
      <c r="G544" s="199"/>
      <c r="H544" s="200"/>
    </row>
    <row r="545" spans="1:8">
      <c r="A545" s="189"/>
      <c r="B545" s="210"/>
      <c r="C545" s="190"/>
      <c r="D545" s="190"/>
      <c r="E545" s="198"/>
      <c r="F545" s="198"/>
      <c r="G545" s="199"/>
      <c r="H545" s="200"/>
    </row>
    <row r="546" spans="1:8">
      <c r="A546" s="189"/>
      <c r="B546" s="210"/>
      <c r="C546" s="190"/>
      <c r="D546" s="190"/>
      <c r="E546" s="198"/>
      <c r="F546" s="198"/>
      <c r="G546" s="199"/>
      <c r="H546" s="200"/>
    </row>
    <row r="547" spans="1:8">
      <c r="A547" s="189"/>
      <c r="B547" s="210"/>
      <c r="C547" s="190"/>
      <c r="D547" s="190"/>
      <c r="E547" s="198"/>
      <c r="F547" s="198"/>
      <c r="G547" s="199"/>
      <c r="H547" s="200"/>
    </row>
    <row r="548" spans="1:8">
      <c r="A548" s="189"/>
      <c r="B548" s="210"/>
      <c r="C548" s="190"/>
      <c r="D548" s="190"/>
      <c r="E548" s="198"/>
      <c r="F548" s="198"/>
      <c r="G548" s="199"/>
      <c r="H548" s="200"/>
    </row>
    <row r="549" spans="1:8">
      <c r="A549" s="189"/>
      <c r="B549" s="210"/>
      <c r="C549" s="190"/>
      <c r="D549" s="190"/>
      <c r="E549" s="198"/>
      <c r="F549" s="198"/>
      <c r="G549" s="199"/>
      <c r="H549" s="200"/>
    </row>
    <row r="550" spans="1:8">
      <c r="A550" s="189"/>
      <c r="B550" s="210"/>
      <c r="C550" s="190"/>
      <c r="D550" s="190"/>
      <c r="E550" s="198"/>
      <c r="F550" s="198"/>
      <c r="G550" s="199"/>
      <c r="H550" s="200"/>
    </row>
    <row r="551" spans="1:8">
      <c r="A551" s="189"/>
      <c r="B551" s="210"/>
      <c r="C551" s="190"/>
      <c r="D551" s="190"/>
      <c r="E551" s="198"/>
      <c r="F551" s="198"/>
      <c r="G551" s="199"/>
      <c r="H551" s="200"/>
    </row>
    <row r="552" spans="1:8">
      <c r="A552" s="189"/>
      <c r="B552" s="210"/>
      <c r="C552" s="190"/>
      <c r="D552" s="190"/>
      <c r="E552" s="198"/>
      <c r="F552" s="198"/>
      <c r="G552" s="199"/>
      <c r="H552" s="200"/>
    </row>
    <row r="553" spans="1:8">
      <c r="A553" s="189"/>
      <c r="B553" s="210"/>
      <c r="C553" s="190"/>
      <c r="D553" s="190"/>
      <c r="E553" s="198"/>
      <c r="F553" s="198"/>
      <c r="G553" s="199"/>
      <c r="H553" s="200"/>
    </row>
    <row r="554" spans="1:8">
      <c r="A554" s="189"/>
      <c r="B554" s="210"/>
      <c r="C554" s="190"/>
      <c r="D554" s="190"/>
      <c r="E554" s="198"/>
      <c r="F554" s="198"/>
      <c r="G554" s="199"/>
      <c r="H554" s="200"/>
    </row>
    <row r="555" spans="1:8">
      <c r="A555" s="189"/>
      <c r="B555" s="210"/>
      <c r="C555" s="190"/>
      <c r="D555" s="190"/>
      <c r="E555" s="198"/>
      <c r="F555" s="198"/>
      <c r="G555" s="199"/>
      <c r="H555" s="200"/>
    </row>
    <row r="556" spans="1:8">
      <c r="A556" s="189"/>
      <c r="B556" s="210"/>
      <c r="C556" s="190"/>
      <c r="D556" s="190"/>
      <c r="E556" s="198"/>
      <c r="F556" s="198"/>
      <c r="G556" s="199"/>
      <c r="H556" s="200"/>
    </row>
    <row r="557" spans="1:8">
      <c r="A557" s="189"/>
      <c r="B557" s="210"/>
      <c r="C557" s="190"/>
      <c r="D557" s="190"/>
      <c r="E557" s="198"/>
      <c r="F557" s="198"/>
      <c r="G557" s="199"/>
      <c r="H557" s="200"/>
    </row>
    <row r="558" spans="1:8">
      <c r="A558" s="189"/>
      <c r="B558" s="210"/>
      <c r="C558" s="190"/>
      <c r="D558" s="190"/>
      <c r="E558" s="198"/>
      <c r="F558" s="198"/>
      <c r="G558" s="199"/>
      <c r="H558" s="200"/>
    </row>
    <row r="559" spans="1:8">
      <c r="A559" s="189"/>
      <c r="B559" s="210"/>
      <c r="C559" s="190"/>
      <c r="D559" s="190"/>
      <c r="E559" s="198"/>
      <c r="F559" s="198"/>
      <c r="G559" s="199"/>
      <c r="H559" s="200"/>
    </row>
    <row r="560" spans="1:8">
      <c r="A560" s="189"/>
      <c r="B560" s="210"/>
      <c r="C560" s="190"/>
      <c r="D560" s="190"/>
      <c r="E560" s="198"/>
      <c r="F560" s="198"/>
      <c r="G560" s="199"/>
      <c r="H560" s="200"/>
    </row>
    <row r="561" spans="1:8">
      <c r="A561" s="189"/>
      <c r="B561" s="210"/>
      <c r="C561" s="190"/>
      <c r="D561" s="190"/>
      <c r="E561" s="198"/>
      <c r="F561" s="198"/>
      <c r="G561" s="215"/>
      <c r="H561" s="200"/>
    </row>
    <row r="562" spans="1:8">
      <c r="A562" s="189"/>
      <c r="B562" s="210"/>
      <c r="C562" s="190"/>
      <c r="D562" s="190"/>
      <c r="E562" s="198"/>
      <c r="F562" s="198"/>
      <c r="G562" s="215"/>
      <c r="H562" s="200"/>
    </row>
    <row r="563" spans="1:8">
      <c r="A563" s="189"/>
      <c r="B563" s="210"/>
      <c r="C563" s="190"/>
      <c r="D563" s="190"/>
      <c r="E563" s="198"/>
      <c r="F563" s="198"/>
      <c r="G563" s="215"/>
      <c r="H563" s="200"/>
    </row>
    <row r="564" spans="1:8">
      <c r="A564" s="189"/>
      <c r="B564" s="210"/>
      <c r="C564" s="190"/>
      <c r="D564" s="190"/>
      <c r="E564" s="198"/>
      <c r="F564" s="198"/>
      <c r="G564" s="215"/>
      <c r="H564" s="200"/>
    </row>
    <row r="565" spans="1:8">
      <c r="A565" s="189"/>
      <c r="B565" s="210"/>
      <c r="C565" s="190"/>
      <c r="D565" s="190"/>
      <c r="E565" s="198"/>
      <c r="F565" s="198"/>
      <c r="G565" s="215"/>
      <c r="H565" s="200"/>
    </row>
    <row r="566" spans="1:8">
      <c r="A566" s="189"/>
      <c r="B566" s="210"/>
      <c r="C566" s="190"/>
      <c r="D566" s="190"/>
      <c r="E566" s="198"/>
      <c r="F566" s="198"/>
      <c r="G566" s="199"/>
      <c r="H566" s="190"/>
    </row>
    <row r="567" spans="1:8">
      <c r="A567" s="189"/>
      <c r="B567" s="210"/>
      <c r="C567" s="190"/>
      <c r="D567" s="190"/>
      <c r="E567" s="198"/>
      <c r="F567" s="198"/>
      <c r="G567" s="199"/>
      <c r="H567" s="190"/>
    </row>
    <row r="568" spans="1:8">
      <c r="A568" s="189"/>
      <c r="B568" s="210"/>
      <c r="C568" s="190"/>
      <c r="D568" s="190"/>
      <c r="E568" s="198"/>
      <c r="F568" s="198"/>
      <c r="G568" s="199"/>
      <c r="H568" s="190"/>
    </row>
    <row r="569" spans="1:8">
      <c r="A569" s="189"/>
      <c r="B569" s="210"/>
      <c r="C569" s="190"/>
      <c r="D569" s="190"/>
      <c r="E569" s="198"/>
      <c r="F569" s="198"/>
      <c r="G569" s="199"/>
      <c r="H569" s="190"/>
    </row>
    <row r="570" spans="1:8">
      <c r="A570" s="189"/>
      <c r="B570" s="210"/>
      <c r="C570" s="190"/>
      <c r="D570" s="190"/>
      <c r="E570" s="198"/>
      <c r="F570" s="198"/>
      <c r="G570" s="199"/>
      <c r="H570" s="190"/>
    </row>
    <row r="571" spans="1:8">
      <c r="A571" s="189"/>
      <c r="B571" s="210"/>
      <c r="C571" s="190"/>
      <c r="D571" s="190"/>
      <c r="E571" s="198"/>
      <c r="F571" s="198"/>
      <c r="G571" s="199"/>
      <c r="H571" s="190"/>
    </row>
    <row r="572" spans="1:8">
      <c r="A572" s="189"/>
      <c r="B572" s="210"/>
      <c r="C572" s="190"/>
      <c r="D572" s="190"/>
      <c r="E572" s="198"/>
      <c r="F572" s="198"/>
      <c r="G572" s="199"/>
      <c r="H572" s="190"/>
    </row>
    <row r="573" spans="1:8">
      <c r="A573" s="189"/>
      <c r="B573" s="210"/>
      <c r="C573" s="190"/>
      <c r="D573" s="190"/>
      <c r="E573" s="198"/>
      <c r="F573" s="198"/>
      <c r="G573" s="199"/>
      <c r="H573" s="190"/>
    </row>
    <row r="574" spans="1:8">
      <c r="A574" s="189"/>
      <c r="B574" s="210"/>
      <c r="C574" s="190"/>
      <c r="D574" s="190"/>
      <c r="E574" s="198"/>
      <c r="F574" s="198"/>
      <c r="G574" s="199"/>
      <c r="H574" s="190"/>
    </row>
    <row r="575" spans="1:8">
      <c r="A575" s="189"/>
      <c r="B575" s="210"/>
      <c r="C575" s="190"/>
      <c r="D575" s="190"/>
      <c r="E575" s="198"/>
      <c r="F575" s="198"/>
      <c r="G575" s="199"/>
      <c r="H575" s="190"/>
    </row>
    <row r="576" spans="1:8">
      <c r="A576" s="189"/>
      <c r="B576" s="210"/>
      <c r="C576" s="190"/>
      <c r="D576" s="190"/>
      <c r="E576" s="198"/>
      <c r="F576" s="198"/>
      <c r="G576" s="199"/>
      <c r="H576" s="190"/>
    </row>
    <row r="577" spans="1:8">
      <c r="A577" s="189"/>
      <c r="B577" s="210"/>
      <c r="C577" s="190"/>
      <c r="D577" s="190"/>
      <c r="E577" s="198"/>
      <c r="F577" s="198"/>
      <c r="G577" s="199"/>
      <c r="H577" s="190"/>
    </row>
    <row r="578" spans="1:8">
      <c r="A578" s="189"/>
      <c r="B578" s="210"/>
      <c r="C578" s="190"/>
      <c r="D578" s="190"/>
      <c r="E578" s="198"/>
      <c r="F578" s="198"/>
      <c r="G578" s="199"/>
      <c r="H578" s="190"/>
    </row>
    <row r="579" spans="1:8">
      <c r="A579" s="189"/>
      <c r="B579" s="210"/>
      <c r="C579" s="190"/>
      <c r="D579" s="190"/>
      <c r="E579" s="198"/>
      <c r="F579" s="198"/>
      <c r="G579" s="199"/>
      <c r="H579" s="190"/>
    </row>
    <row r="580" spans="1:8">
      <c r="A580" s="189"/>
      <c r="B580" s="210"/>
      <c r="C580" s="190"/>
      <c r="D580" s="190"/>
      <c r="E580" s="198"/>
      <c r="F580" s="198"/>
      <c r="G580" s="199"/>
      <c r="H580" s="190"/>
    </row>
    <row r="581" spans="1:8">
      <c r="A581" s="189"/>
      <c r="B581" s="210"/>
      <c r="C581" s="190"/>
      <c r="D581" s="190"/>
      <c r="E581" s="198"/>
      <c r="F581" s="198"/>
      <c r="G581" s="199"/>
      <c r="H581" s="190"/>
    </row>
    <row r="582" spans="1:8">
      <c r="A582" s="189"/>
      <c r="B582" s="210"/>
      <c r="C582" s="190"/>
      <c r="D582" s="190"/>
      <c r="E582" s="198"/>
      <c r="F582" s="198"/>
      <c r="G582" s="199"/>
      <c r="H582" s="190"/>
    </row>
    <row r="583" spans="1:8">
      <c r="A583" s="189"/>
      <c r="B583" s="210"/>
      <c r="C583" s="190"/>
      <c r="D583" s="190"/>
      <c r="E583" s="198"/>
      <c r="F583" s="198"/>
      <c r="G583" s="199"/>
      <c r="H583" s="190"/>
    </row>
    <row r="584" spans="1:8">
      <c r="A584" s="189"/>
      <c r="B584" s="210"/>
      <c r="C584" s="190"/>
      <c r="D584" s="190"/>
      <c r="E584" s="198"/>
      <c r="F584" s="198"/>
      <c r="G584" s="199"/>
      <c r="H584" s="190"/>
    </row>
    <row r="585" spans="1:8">
      <c r="A585" s="189"/>
      <c r="B585" s="210"/>
      <c r="C585" s="190"/>
      <c r="D585" s="190"/>
      <c r="E585" s="198"/>
      <c r="F585" s="198"/>
      <c r="G585" s="199"/>
      <c r="H585" s="190"/>
    </row>
    <row r="586" spans="1:8">
      <c r="A586" s="189"/>
      <c r="B586" s="210"/>
      <c r="C586" s="190"/>
      <c r="D586" s="190"/>
      <c r="E586" s="198"/>
      <c r="F586" s="198"/>
      <c r="G586" s="199"/>
      <c r="H586" s="190"/>
    </row>
    <row r="587" spans="1:8">
      <c r="A587" s="189"/>
      <c r="B587" s="210"/>
      <c r="C587" s="190"/>
      <c r="D587" s="190"/>
      <c r="E587" s="198"/>
      <c r="F587" s="198"/>
      <c r="G587" s="199"/>
      <c r="H587" s="190"/>
    </row>
    <row r="588" spans="1:8">
      <c r="A588" s="189"/>
      <c r="B588" s="210"/>
      <c r="C588" s="190"/>
      <c r="D588" s="190"/>
      <c r="E588" s="198"/>
      <c r="F588" s="198"/>
      <c r="G588" s="199"/>
      <c r="H588" s="190"/>
    </row>
    <row r="589" spans="1:8">
      <c r="A589" s="189"/>
      <c r="B589" s="210"/>
      <c r="C589" s="190"/>
      <c r="D589" s="190"/>
      <c r="E589" s="198"/>
      <c r="F589" s="198"/>
      <c r="G589" s="199"/>
      <c r="H589" s="190"/>
    </row>
    <row r="590" spans="1:8">
      <c r="A590" s="189"/>
      <c r="B590" s="210"/>
      <c r="C590" s="190"/>
      <c r="D590" s="190"/>
      <c r="E590" s="198"/>
      <c r="F590" s="198"/>
      <c r="G590" s="199"/>
      <c r="H590" s="190"/>
    </row>
    <row r="591" spans="1:8">
      <c r="A591" s="189"/>
      <c r="B591" s="210"/>
      <c r="C591" s="190"/>
      <c r="D591" s="190"/>
      <c r="E591" s="198"/>
      <c r="F591" s="198"/>
      <c r="G591" s="199"/>
      <c r="H591" s="190"/>
    </row>
    <row r="592" spans="1:8">
      <c r="A592" s="189"/>
      <c r="B592" s="210"/>
      <c r="C592" s="190"/>
      <c r="D592" s="190"/>
      <c r="E592" s="198"/>
      <c r="F592" s="198"/>
      <c r="G592" s="199"/>
      <c r="H592" s="190"/>
    </row>
    <row r="593" spans="1:8">
      <c r="A593" s="189"/>
      <c r="B593" s="210"/>
      <c r="C593" s="190"/>
      <c r="D593" s="190"/>
      <c r="E593" s="198"/>
      <c r="F593" s="198"/>
      <c r="G593" s="199"/>
      <c r="H593" s="190"/>
    </row>
    <row r="594" spans="1:8">
      <c r="A594" s="189"/>
      <c r="B594" s="210"/>
      <c r="C594" s="190"/>
      <c r="D594" s="190"/>
      <c r="E594" s="198"/>
      <c r="F594" s="198"/>
      <c r="G594" s="199"/>
      <c r="H594" s="190"/>
    </row>
    <row r="595" spans="1:8">
      <c r="A595" s="189"/>
      <c r="B595" s="210"/>
      <c r="C595" s="190"/>
      <c r="D595" s="190"/>
      <c r="E595" s="198"/>
      <c r="F595" s="198"/>
      <c r="G595" s="199"/>
      <c r="H595" s="190"/>
    </row>
    <row r="596" spans="1:8">
      <c r="A596" s="189"/>
      <c r="B596" s="210"/>
      <c r="C596" s="190"/>
      <c r="D596" s="190"/>
      <c r="E596" s="198"/>
      <c r="F596" s="198"/>
      <c r="G596" s="199"/>
      <c r="H596" s="190"/>
    </row>
    <row r="597" spans="1:8">
      <c r="A597" s="189"/>
      <c r="B597" s="210"/>
      <c r="C597" s="190"/>
      <c r="D597" s="190"/>
      <c r="E597" s="198"/>
      <c r="F597" s="198"/>
      <c r="G597" s="199"/>
      <c r="H597" s="190"/>
    </row>
    <row r="598" spans="1:8">
      <c r="A598" s="189"/>
      <c r="B598" s="210"/>
      <c r="C598" s="190"/>
      <c r="D598" s="190"/>
      <c r="E598" s="198"/>
      <c r="F598" s="198"/>
      <c r="G598" s="199"/>
      <c r="H598" s="190"/>
    </row>
    <row r="599" spans="1:8">
      <c r="A599" s="189"/>
      <c r="B599" s="210"/>
      <c r="C599" s="190"/>
      <c r="D599" s="190"/>
      <c r="E599" s="198"/>
      <c r="F599" s="198"/>
      <c r="G599" s="199"/>
      <c r="H599" s="190"/>
    </row>
    <row r="600" spans="1:8">
      <c r="A600" s="189"/>
      <c r="B600" s="210"/>
      <c r="C600" s="190"/>
      <c r="D600" s="190"/>
      <c r="E600" s="198"/>
      <c r="F600" s="198"/>
      <c r="G600" s="218"/>
      <c r="H600" s="190"/>
    </row>
    <row r="601" spans="1:8">
      <c r="A601" s="189"/>
      <c r="B601" s="210"/>
      <c r="C601" s="190"/>
      <c r="D601" s="190"/>
      <c r="E601" s="198"/>
      <c r="F601" s="198"/>
      <c r="G601" s="218"/>
      <c r="H601" s="190"/>
    </row>
    <row r="602" spans="1:8">
      <c r="A602" s="189"/>
      <c r="B602" s="210"/>
      <c r="C602" s="190"/>
      <c r="D602" s="190"/>
      <c r="E602" s="198"/>
      <c r="F602" s="198"/>
      <c r="G602" s="218"/>
      <c r="H602" s="190"/>
    </row>
    <row r="603" spans="1:8">
      <c r="A603" s="189"/>
      <c r="B603" s="210"/>
      <c r="C603" s="190"/>
      <c r="D603" s="190"/>
      <c r="E603" s="198"/>
      <c r="F603" s="198"/>
      <c r="G603" s="218"/>
      <c r="H603" s="190"/>
    </row>
    <row r="604" spans="1:8">
      <c r="A604" s="189"/>
      <c r="B604" s="210"/>
      <c r="C604" s="190"/>
      <c r="D604" s="190"/>
      <c r="E604" s="198"/>
      <c r="F604" s="198"/>
      <c r="G604" s="218"/>
      <c r="H604" s="190"/>
    </row>
    <row r="605" spans="1:8">
      <c r="A605" s="189"/>
      <c r="B605" s="210"/>
      <c r="C605" s="190"/>
      <c r="D605" s="190"/>
      <c r="E605" s="198"/>
      <c r="F605" s="198"/>
      <c r="G605" s="218"/>
      <c r="H605" s="190"/>
    </row>
    <row r="606" spans="1:8">
      <c r="A606" s="189"/>
      <c r="B606" s="210"/>
      <c r="C606" s="190"/>
      <c r="D606" s="190"/>
      <c r="E606" s="198"/>
      <c r="F606" s="198"/>
      <c r="G606" s="218"/>
      <c r="H606" s="190"/>
    </row>
    <row r="607" spans="1:8">
      <c r="A607" s="189"/>
      <c r="B607" s="210"/>
      <c r="C607" s="190"/>
      <c r="D607" s="190"/>
      <c r="E607" s="198"/>
      <c r="F607" s="198"/>
      <c r="G607" s="218"/>
      <c r="H607" s="190"/>
    </row>
    <row r="608" spans="1:8">
      <c r="A608" s="189"/>
      <c r="B608" s="210"/>
      <c r="C608" s="190"/>
      <c r="D608" s="190"/>
      <c r="E608" s="198"/>
      <c r="F608" s="198"/>
      <c r="G608" s="218"/>
      <c r="H608" s="190"/>
    </row>
    <row r="609" spans="1:8">
      <c r="A609" s="189"/>
      <c r="B609" s="210"/>
      <c r="C609" s="190"/>
      <c r="D609" s="190"/>
      <c r="E609" s="198"/>
      <c r="F609" s="198"/>
      <c r="G609" s="218"/>
      <c r="H609" s="190"/>
    </row>
    <row r="610" spans="1:8">
      <c r="A610" s="189"/>
      <c r="B610" s="210"/>
      <c r="C610" s="190"/>
      <c r="D610" s="190"/>
      <c r="E610" s="198"/>
      <c r="F610" s="198"/>
      <c r="G610" s="218"/>
      <c r="H610" s="190"/>
    </row>
    <row r="611" spans="1:8">
      <c r="A611" s="189"/>
      <c r="B611" s="210"/>
      <c r="C611" s="190"/>
      <c r="D611" s="190"/>
      <c r="E611" s="198"/>
      <c r="F611" s="198"/>
      <c r="G611" s="218"/>
      <c r="H611" s="190"/>
    </row>
    <row r="612" spans="1:8">
      <c r="A612" s="189"/>
      <c r="B612" s="210"/>
      <c r="C612" s="190"/>
      <c r="D612" s="190"/>
      <c r="E612" s="198"/>
      <c r="F612" s="198"/>
      <c r="G612" s="218"/>
      <c r="H612" s="190"/>
    </row>
    <row r="613" spans="1:8">
      <c r="A613" s="189"/>
      <c r="B613" s="210"/>
      <c r="C613" s="190"/>
      <c r="D613" s="190"/>
      <c r="E613" s="198"/>
      <c r="F613" s="198"/>
      <c r="G613" s="218"/>
      <c r="H613" s="190"/>
    </row>
    <row r="614" spans="1:8">
      <c r="A614" s="189"/>
      <c r="B614" s="210"/>
      <c r="C614" s="190"/>
      <c r="D614" s="190"/>
      <c r="E614" s="198"/>
      <c r="F614" s="198"/>
      <c r="G614" s="218"/>
      <c r="H614" s="190"/>
    </row>
    <row r="615" spans="1:8">
      <c r="A615" s="189"/>
      <c r="B615" s="210"/>
      <c r="C615" s="190"/>
      <c r="D615" s="190"/>
      <c r="E615" s="198"/>
      <c r="F615" s="198"/>
      <c r="G615" s="218"/>
      <c r="H615" s="190"/>
    </row>
    <row r="616" spans="1:8">
      <c r="A616" s="189"/>
      <c r="B616" s="210"/>
      <c r="C616" s="190"/>
      <c r="D616" s="190"/>
      <c r="E616" s="198"/>
      <c r="F616" s="198"/>
      <c r="G616" s="218"/>
      <c r="H616" s="190"/>
    </row>
    <row r="617" spans="1:8">
      <c r="A617" s="189"/>
      <c r="B617" s="210"/>
      <c r="C617" s="190"/>
      <c r="D617" s="190"/>
      <c r="E617" s="198"/>
      <c r="F617" s="198"/>
      <c r="G617" s="218"/>
      <c r="H617" s="190"/>
    </row>
    <row r="618" spans="1:8">
      <c r="A618" s="189"/>
      <c r="B618" s="210"/>
      <c r="C618" s="190"/>
      <c r="D618" s="190"/>
      <c r="E618" s="198"/>
      <c r="F618" s="198"/>
      <c r="G618" s="218"/>
      <c r="H618" s="190"/>
    </row>
    <row r="619" spans="1:8">
      <c r="A619" s="189"/>
      <c r="B619" s="210"/>
      <c r="C619" s="190"/>
      <c r="D619" s="190"/>
      <c r="E619" s="198"/>
      <c r="F619" s="198"/>
      <c r="G619" s="218"/>
      <c r="H619" s="190"/>
    </row>
    <row r="620" spans="1:8">
      <c r="A620" s="189"/>
      <c r="B620" s="210"/>
      <c r="C620" s="190"/>
      <c r="D620" s="190"/>
      <c r="E620" s="198"/>
      <c r="F620" s="198"/>
      <c r="G620" s="218"/>
      <c r="H620" s="190"/>
    </row>
    <row r="621" spans="1:8">
      <c r="A621" s="189"/>
      <c r="B621" s="210"/>
      <c r="C621" s="190"/>
      <c r="D621" s="190"/>
      <c r="E621" s="198"/>
      <c r="F621" s="198"/>
      <c r="G621" s="218"/>
      <c r="H621" s="190"/>
    </row>
    <row r="622" spans="1:8">
      <c r="A622" s="189"/>
      <c r="B622" s="210"/>
      <c r="C622" s="190"/>
      <c r="D622" s="190"/>
      <c r="E622" s="198"/>
      <c r="F622" s="198"/>
      <c r="G622" s="218"/>
      <c r="H622" s="190"/>
    </row>
    <row r="623" spans="1:8">
      <c r="A623" s="189"/>
      <c r="B623" s="210"/>
      <c r="C623" s="190"/>
      <c r="D623" s="190"/>
      <c r="E623" s="198"/>
      <c r="F623" s="198"/>
      <c r="G623" s="218"/>
      <c r="H623" s="190"/>
    </row>
    <row r="624" spans="1:8">
      <c r="A624" s="189"/>
      <c r="B624" s="210"/>
      <c r="C624" s="190"/>
      <c r="D624" s="190"/>
      <c r="E624" s="198"/>
      <c r="F624" s="198"/>
      <c r="G624" s="218"/>
      <c r="H624" s="190"/>
    </row>
    <row r="625" spans="1:8">
      <c r="A625" s="189"/>
      <c r="B625" s="210"/>
      <c r="C625" s="190"/>
      <c r="D625" s="190"/>
      <c r="E625" s="198"/>
      <c r="F625" s="198"/>
      <c r="G625" s="218"/>
      <c r="H625" s="190"/>
    </row>
    <row r="626" spans="1:8">
      <c r="A626" s="189"/>
      <c r="B626" s="210"/>
      <c r="C626" s="190"/>
      <c r="D626" s="190"/>
      <c r="E626" s="198"/>
      <c r="F626" s="198"/>
      <c r="G626" s="218"/>
      <c r="H626" s="190"/>
    </row>
    <row r="627" spans="1:8">
      <c r="A627" s="189"/>
      <c r="B627" s="210"/>
      <c r="C627" s="190"/>
      <c r="D627" s="190"/>
      <c r="E627" s="198"/>
      <c r="F627" s="198"/>
      <c r="G627" s="218"/>
      <c r="H627" s="190"/>
    </row>
    <row r="628" spans="1:8">
      <c r="A628" s="189"/>
      <c r="B628" s="210"/>
      <c r="C628" s="190"/>
      <c r="D628" s="190"/>
      <c r="E628" s="198"/>
      <c r="F628" s="198"/>
      <c r="G628" s="218"/>
      <c r="H628" s="190"/>
    </row>
    <row r="629" spans="1:8">
      <c r="A629" s="189"/>
      <c r="B629" s="210"/>
      <c r="C629" s="190"/>
      <c r="D629" s="190"/>
      <c r="E629" s="198"/>
      <c r="F629" s="198"/>
      <c r="G629" s="218"/>
      <c r="H629" s="190"/>
    </row>
    <row r="630" spans="1:8">
      <c r="A630" s="189"/>
      <c r="B630" s="210"/>
      <c r="C630" s="190"/>
      <c r="D630" s="190"/>
      <c r="E630" s="198"/>
      <c r="F630" s="198"/>
      <c r="G630" s="218"/>
      <c r="H630" s="190"/>
    </row>
    <row r="631" spans="1:8">
      <c r="A631" s="189"/>
      <c r="B631" s="210"/>
      <c r="C631" s="190"/>
      <c r="D631" s="190"/>
      <c r="E631" s="198"/>
      <c r="F631" s="198"/>
      <c r="G631" s="218"/>
      <c r="H631" s="190"/>
    </row>
    <row r="632" spans="1:8">
      <c r="A632" s="189"/>
      <c r="B632" s="210"/>
      <c r="C632" s="190"/>
      <c r="D632" s="190"/>
      <c r="E632" s="198"/>
      <c r="F632" s="198"/>
      <c r="G632" s="218"/>
      <c r="H632" s="190"/>
    </row>
    <row r="633" spans="1:8">
      <c r="A633" s="189"/>
      <c r="B633" s="210"/>
      <c r="C633" s="190"/>
      <c r="D633" s="190"/>
      <c r="E633" s="198"/>
      <c r="F633" s="198"/>
      <c r="G633" s="218"/>
      <c r="H633" s="190"/>
    </row>
    <row r="634" spans="1:8">
      <c r="A634" s="189"/>
      <c r="B634" s="210"/>
      <c r="C634" s="190"/>
      <c r="D634" s="190"/>
      <c r="E634" s="198"/>
      <c r="F634" s="198"/>
      <c r="G634" s="218"/>
      <c r="H634" s="190"/>
    </row>
    <row r="635" spans="1:8">
      <c r="A635" s="189"/>
      <c r="B635" s="210"/>
      <c r="C635" s="190"/>
      <c r="D635" s="190"/>
      <c r="E635" s="198"/>
      <c r="F635" s="198"/>
      <c r="G635" s="218"/>
      <c r="H635" s="190"/>
    </row>
    <row r="636" spans="1:8">
      <c r="A636" s="189"/>
      <c r="B636" s="210"/>
      <c r="C636" s="190"/>
      <c r="D636" s="190"/>
      <c r="E636" s="198"/>
      <c r="F636" s="198"/>
      <c r="G636" s="218"/>
      <c r="H636" s="190"/>
    </row>
    <row r="637" spans="1:8">
      <c r="A637" s="189"/>
      <c r="B637" s="210"/>
      <c r="C637" s="190"/>
      <c r="D637" s="190"/>
      <c r="E637" s="198"/>
      <c r="F637" s="198"/>
      <c r="G637" s="218"/>
      <c r="H637" s="190"/>
    </row>
    <row r="638" spans="1:8">
      <c r="A638" s="189"/>
      <c r="B638" s="210"/>
      <c r="C638" s="190"/>
      <c r="D638" s="190"/>
      <c r="E638" s="198"/>
      <c r="F638" s="198"/>
      <c r="G638" s="218"/>
      <c r="H638" s="190"/>
    </row>
    <row r="639" spans="1:8">
      <c r="A639" s="189"/>
      <c r="B639" s="210"/>
      <c r="C639" s="190"/>
      <c r="D639" s="190"/>
      <c r="E639" s="198"/>
      <c r="F639" s="198"/>
      <c r="G639" s="218"/>
      <c r="H639" s="190"/>
    </row>
    <row r="640" spans="1:8">
      <c r="A640" s="189"/>
      <c r="B640" s="210"/>
      <c r="C640" s="190"/>
      <c r="D640" s="190"/>
      <c r="E640" s="198"/>
      <c r="F640" s="198"/>
      <c r="G640" s="218"/>
      <c r="H640" s="190"/>
    </row>
    <row r="641" spans="1:8">
      <c r="A641" s="189"/>
      <c r="B641" s="210"/>
      <c r="C641" s="190"/>
      <c r="D641" s="190"/>
      <c r="E641" s="198"/>
      <c r="F641" s="198"/>
      <c r="G641" s="218"/>
      <c r="H641" s="190"/>
    </row>
    <row r="642" spans="1:8">
      <c r="A642" s="189"/>
      <c r="B642" s="210"/>
      <c r="C642" s="190"/>
      <c r="D642" s="190"/>
      <c r="E642" s="198"/>
      <c r="F642" s="198"/>
      <c r="G642" s="218"/>
      <c r="H642" s="190"/>
    </row>
    <row r="643" spans="1:8">
      <c r="A643" s="189"/>
      <c r="B643" s="210"/>
      <c r="C643" s="190"/>
      <c r="D643" s="190"/>
      <c r="E643" s="198"/>
      <c r="F643" s="198"/>
      <c r="G643" s="218"/>
      <c r="H643" s="190"/>
    </row>
    <row r="644" spans="1:8">
      <c r="A644" s="189"/>
      <c r="B644" s="210"/>
      <c r="C644" s="190"/>
      <c r="D644" s="190"/>
      <c r="E644" s="198"/>
      <c r="F644" s="198"/>
      <c r="G644" s="218"/>
      <c r="H644" s="190"/>
    </row>
    <row r="645" spans="1:8">
      <c r="A645" s="189"/>
      <c r="B645" s="210"/>
      <c r="C645" s="190"/>
      <c r="D645" s="190"/>
      <c r="E645" s="198"/>
      <c r="F645" s="198"/>
      <c r="G645" s="218"/>
      <c r="H645" s="190"/>
    </row>
    <row r="646" spans="1:8">
      <c r="A646" s="189"/>
      <c r="B646" s="210"/>
      <c r="C646" s="190"/>
      <c r="D646" s="190"/>
      <c r="E646" s="198"/>
      <c r="F646" s="198"/>
      <c r="G646" s="218"/>
      <c r="H646" s="190"/>
    </row>
    <row r="647" spans="1:8">
      <c r="A647" s="189"/>
      <c r="B647" s="210"/>
      <c r="C647" s="190"/>
      <c r="D647" s="190"/>
      <c r="E647" s="198"/>
      <c r="F647" s="198"/>
      <c r="G647" s="218"/>
      <c r="H647" s="190"/>
    </row>
    <row r="648" spans="1:8">
      <c r="A648" s="189"/>
      <c r="B648" s="210"/>
      <c r="C648" s="190"/>
      <c r="D648" s="190"/>
      <c r="E648" s="198"/>
      <c r="F648" s="198"/>
      <c r="G648" s="218"/>
      <c r="H648" s="190"/>
    </row>
    <row r="649" spans="1:8">
      <c r="A649" s="189"/>
      <c r="B649" s="210"/>
      <c r="C649" s="190"/>
      <c r="D649" s="190"/>
      <c r="E649" s="198"/>
      <c r="F649" s="198"/>
      <c r="G649" s="218"/>
      <c r="H649" s="190"/>
    </row>
    <row r="650" spans="1:8">
      <c r="A650" s="189"/>
      <c r="B650" s="210"/>
      <c r="C650" s="190"/>
      <c r="D650" s="190"/>
      <c r="E650" s="198"/>
      <c r="F650" s="198"/>
      <c r="G650" s="218"/>
      <c r="H650" s="190"/>
    </row>
    <row r="651" spans="1:8">
      <c r="A651" s="189"/>
      <c r="B651" s="210"/>
      <c r="C651" s="190"/>
      <c r="D651" s="190"/>
      <c r="E651" s="198"/>
      <c r="F651" s="198"/>
      <c r="G651" s="218"/>
      <c r="H651" s="190"/>
    </row>
    <row r="652" spans="1:8">
      <c r="A652" s="189"/>
      <c r="B652" s="210"/>
      <c r="C652" s="190"/>
      <c r="D652" s="190"/>
      <c r="E652" s="198"/>
      <c r="F652" s="198"/>
      <c r="G652" s="218"/>
      <c r="H652" s="190"/>
    </row>
    <row r="653" spans="1:8">
      <c r="A653" s="189"/>
      <c r="B653" s="210"/>
      <c r="C653" s="190"/>
      <c r="D653" s="190"/>
      <c r="E653" s="198"/>
      <c r="F653" s="198"/>
      <c r="G653" s="218"/>
      <c r="H653" s="190"/>
    </row>
    <row r="654" spans="1:8">
      <c r="A654" s="189"/>
      <c r="B654" s="210"/>
      <c r="C654" s="190"/>
      <c r="D654" s="190"/>
      <c r="E654" s="198"/>
      <c r="F654" s="198"/>
      <c r="G654" s="218"/>
      <c r="H654" s="190"/>
    </row>
    <row r="655" spans="1:8">
      <c r="A655" s="189"/>
      <c r="B655" s="210"/>
      <c r="C655" s="190"/>
      <c r="D655" s="190"/>
      <c r="E655" s="198"/>
      <c r="F655" s="198"/>
      <c r="G655" s="218"/>
      <c r="H655" s="190"/>
    </row>
    <row r="656" spans="1:8">
      <c r="A656" s="189"/>
      <c r="B656" s="210"/>
      <c r="C656" s="190"/>
      <c r="D656" s="190"/>
      <c r="E656" s="198"/>
      <c r="F656" s="198"/>
      <c r="G656" s="218"/>
      <c r="H656" s="190"/>
    </row>
    <row r="657" spans="1:8">
      <c r="A657" s="189"/>
      <c r="B657" s="210"/>
      <c r="C657" s="190"/>
      <c r="D657" s="190"/>
      <c r="E657" s="198"/>
      <c r="F657" s="198"/>
      <c r="G657" s="218"/>
      <c r="H657" s="190"/>
    </row>
    <row r="658" spans="1:8">
      <c r="A658" s="189"/>
      <c r="B658" s="210"/>
      <c r="C658" s="190"/>
      <c r="D658" s="190"/>
      <c r="E658" s="198"/>
      <c r="F658" s="198"/>
      <c r="G658" s="218"/>
      <c r="H658" s="190"/>
    </row>
    <row r="659" spans="1:8">
      <c r="A659" s="189"/>
      <c r="B659" s="210"/>
      <c r="C659" s="190"/>
      <c r="D659" s="190"/>
      <c r="E659" s="198"/>
      <c r="F659" s="198"/>
      <c r="G659" s="218"/>
      <c r="H659" s="190"/>
    </row>
    <row r="660" spans="1:8">
      <c r="A660" s="189"/>
      <c r="B660" s="210"/>
      <c r="C660" s="190"/>
      <c r="D660" s="190"/>
      <c r="E660" s="198"/>
      <c r="F660" s="198"/>
      <c r="G660" s="218"/>
      <c r="H660" s="190"/>
    </row>
    <row r="661" spans="1:8">
      <c r="A661" s="189"/>
      <c r="B661" s="210"/>
      <c r="C661" s="190"/>
      <c r="D661" s="190"/>
      <c r="E661" s="198"/>
      <c r="F661" s="198"/>
      <c r="G661" s="218"/>
      <c r="H661" s="190"/>
    </row>
    <row r="662" spans="1:8">
      <c r="A662" s="189"/>
      <c r="B662" s="210"/>
      <c r="C662" s="190"/>
      <c r="D662" s="190"/>
      <c r="E662" s="198"/>
      <c r="F662" s="198"/>
      <c r="G662" s="218"/>
      <c r="H662" s="190"/>
    </row>
    <row r="663" spans="1:8">
      <c r="A663" s="189"/>
      <c r="B663" s="210"/>
      <c r="C663" s="190"/>
      <c r="D663" s="190"/>
      <c r="E663" s="198"/>
      <c r="F663" s="198"/>
      <c r="G663" s="218"/>
      <c r="H663" s="190"/>
    </row>
    <row r="664" spans="1:8">
      <c r="A664" s="189"/>
      <c r="B664" s="210"/>
      <c r="C664" s="190"/>
      <c r="D664" s="190"/>
      <c r="E664" s="198"/>
      <c r="F664" s="198"/>
      <c r="G664" s="218"/>
      <c r="H664" s="190"/>
    </row>
    <row r="665" spans="1:8">
      <c r="A665" s="189"/>
      <c r="B665" s="210"/>
      <c r="C665" s="190"/>
      <c r="D665" s="190"/>
      <c r="E665" s="198"/>
      <c r="F665" s="198"/>
      <c r="G665" s="218"/>
      <c r="H665" s="190"/>
    </row>
    <row r="666" spans="1:8">
      <c r="A666" s="189"/>
      <c r="B666" s="210"/>
      <c r="C666" s="190"/>
      <c r="D666" s="190"/>
      <c r="E666" s="198"/>
      <c r="F666" s="198"/>
      <c r="G666" s="218"/>
      <c r="H666" s="190"/>
    </row>
    <row r="667" spans="1:8">
      <c r="A667" s="189"/>
      <c r="B667" s="210"/>
      <c r="C667" s="190"/>
      <c r="D667" s="190"/>
      <c r="E667" s="198"/>
      <c r="F667" s="198"/>
      <c r="G667" s="218"/>
      <c r="H667" s="190"/>
    </row>
    <row r="668" spans="1:8">
      <c r="A668" s="189"/>
      <c r="B668" s="210"/>
      <c r="C668" s="190"/>
      <c r="D668" s="190"/>
      <c r="E668" s="219"/>
      <c r="F668" s="198"/>
      <c r="G668" s="218"/>
      <c r="H668" s="190"/>
    </row>
    <row r="669" spans="1:8">
      <c r="A669" s="189"/>
      <c r="B669" s="210"/>
      <c r="C669" s="190"/>
      <c r="D669" s="190"/>
      <c r="E669" s="219"/>
      <c r="F669" s="198"/>
      <c r="G669" s="218"/>
      <c r="H669" s="190"/>
    </row>
    <row r="670" spans="1:8">
      <c r="A670" s="189"/>
      <c r="B670" s="210"/>
      <c r="C670" s="190"/>
      <c r="D670" s="190"/>
      <c r="E670" s="219"/>
      <c r="F670" s="198"/>
      <c r="G670" s="218"/>
      <c r="H670" s="190"/>
    </row>
    <row r="671" spans="1:8">
      <c r="A671" s="189"/>
      <c r="B671" s="210"/>
      <c r="C671" s="190"/>
      <c r="D671" s="190"/>
      <c r="E671" s="219"/>
      <c r="F671" s="198"/>
      <c r="G671" s="218"/>
      <c r="H671" s="190"/>
    </row>
    <row r="672" spans="1:8">
      <c r="A672" s="189"/>
      <c r="B672" s="210"/>
      <c r="C672" s="190"/>
      <c r="D672" s="190"/>
      <c r="E672" s="219"/>
      <c r="F672" s="198"/>
      <c r="G672" s="218"/>
      <c r="H672" s="190"/>
    </row>
    <row r="673" spans="1:8">
      <c r="A673" s="189"/>
      <c r="B673" s="210"/>
      <c r="C673" s="190"/>
      <c r="D673" s="190"/>
      <c r="E673" s="219"/>
      <c r="F673" s="198"/>
      <c r="G673" s="218"/>
      <c r="H673" s="190"/>
    </row>
    <row r="674" spans="1:8">
      <c r="A674" s="189"/>
      <c r="B674" s="210"/>
      <c r="C674" s="190"/>
      <c r="D674" s="190"/>
      <c r="E674" s="219"/>
      <c r="F674" s="198"/>
      <c r="G674" s="218"/>
      <c r="H674" s="190"/>
    </row>
    <row r="675" spans="1:8">
      <c r="A675" s="189"/>
      <c r="B675" s="210"/>
      <c r="C675" s="190"/>
      <c r="D675" s="190"/>
      <c r="E675" s="219"/>
      <c r="F675" s="198"/>
      <c r="G675" s="218"/>
      <c r="H675" s="190"/>
    </row>
    <row r="676" spans="1:8">
      <c r="A676" s="189"/>
      <c r="B676" s="210"/>
      <c r="C676" s="190"/>
      <c r="D676" s="190"/>
      <c r="E676" s="219"/>
      <c r="F676" s="198"/>
      <c r="G676" s="218"/>
      <c r="H676" s="190"/>
    </row>
    <row r="677" spans="1:8">
      <c r="A677" s="189"/>
      <c r="B677" s="210"/>
      <c r="C677" s="190"/>
      <c r="D677" s="190"/>
      <c r="E677" s="219"/>
      <c r="F677" s="198"/>
      <c r="G677" s="218"/>
      <c r="H677" s="190"/>
    </row>
    <row r="678" spans="1:8">
      <c r="A678" s="189"/>
      <c r="B678" s="210"/>
      <c r="C678" s="190"/>
      <c r="D678" s="190"/>
      <c r="E678" s="219"/>
      <c r="F678" s="198"/>
      <c r="G678" s="218"/>
      <c r="H678" s="190"/>
    </row>
    <row r="679" spans="1:8">
      <c r="A679" s="189"/>
      <c r="B679" s="210"/>
      <c r="C679" s="190"/>
      <c r="D679" s="190"/>
      <c r="E679" s="219"/>
      <c r="F679" s="198"/>
      <c r="G679" s="218"/>
      <c r="H679" s="190"/>
    </row>
    <row r="680" spans="1:8">
      <c r="A680" s="189"/>
      <c r="B680" s="210"/>
      <c r="C680" s="190"/>
      <c r="D680" s="190"/>
      <c r="E680" s="219"/>
      <c r="F680" s="198"/>
      <c r="G680" s="218"/>
      <c r="H680" s="190"/>
    </row>
    <row r="681" spans="1:8">
      <c r="A681" s="189"/>
      <c r="B681" s="210"/>
      <c r="C681" s="190"/>
      <c r="D681" s="190"/>
      <c r="E681" s="219"/>
      <c r="F681" s="198"/>
      <c r="G681" s="218"/>
      <c r="H681" s="190"/>
    </row>
    <row r="682" spans="1:8">
      <c r="A682" s="189"/>
      <c r="B682" s="210"/>
      <c r="C682" s="190"/>
      <c r="D682" s="190"/>
      <c r="E682" s="219"/>
      <c r="F682" s="198"/>
      <c r="G682" s="218"/>
      <c r="H682" s="190"/>
    </row>
    <row r="683" spans="1:8">
      <c r="A683" s="189"/>
      <c r="B683" s="210"/>
      <c r="C683" s="190"/>
      <c r="D683" s="190"/>
      <c r="E683" s="219"/>
      <c r="F683" s="198"/>
      <c r="G683" s="218"/>
      <c r="H683" s="190"/>
    </row>
    <row r="684" spans="1:8">
      <c r="A684" s="189"/>
      <c r="B684" s="210"/>
      <c r="C684" s="190"/>
      <c r="D684" s="190"/>
      <c r="E684" s="219"/>
      <c r="F684" s="198"/>
      <c r="G684" s="218"/>
      <c r="H684" s="190"/>
    </row>
    <row r="685" spans="1:8">
      <c r="A685" s="189"/>
      <c r="B685" s="210"/>
      <c r="C685" s="190"/>
      <c r="D685" s="190"/>
      <c r="E685" s="219"/>
      <c r="F685" s="198"/>
      <c r="G685" s="218"/>
      <c r="H685" s="190"/>
    </row>
    <row r="686" spans="1:8">
      <c r="A686" s="189"/>
      <c r="B686" s="210"/>
      <c r="C686" s="190"/>
      <c r="D686" s="190"/>
      <c r="E686" s="219"/>
      <c r="F686" s="198"/>
      <c r="G686" s="218"/>
      <c r="H686" s="190"/>
    </row>
    <row r="687" spans="1:8">
      <c r="A687" s="189"/>
      <c r="B687" s="210"/>
      <c r="C687" s="190"/>
      <c r="D687" s="190"/>
      <c r="E687" s="219"/>
      <c r="F687" s="198"/>
      <c r="G687" s="218"/>
      <c r="H687" s="190"/>
    </row>
    <row r="688" spans="1:8">
      <c r="A688" s="189"/>
      <c r="B688" s="210"/>
      <c r="C688" s="190"/>
      <c r="D688" s="190"/>
      <c r="E688" s="219"/>
      <c r="F688" s="198"/>
      <c r="G688" s="218"/>
      <c r="H688" s="190"/>
    </row>
    <row r="689" spans="1:8">
      <c r="A689" s="189"/>
      <c r="B689" s="210"/>
      <c r="C689" s="190"/>
      <c r="D689" s="190"/>
      <c r="E689" s="219"/>
      <c r="F689" s="198"/>
      <c r="G689" s="218"/>
      <c r="H689" s="190"/>
    </row>
    <row r="690" spans="1:8">
      <c r="A690" s="189"/>
      <c r="B690" s="210"/>
      <c r="C690" s="190"/>
      <c r="D690" s="190"/>
      <c r="E690" s="219"/>
      <c r="F690" s="198"/>
      <c r="G690" s="218"/>
      <c r="H690" s="190"/>
    </row>
    <row r="691" spans="1:8">
      <c r="A691" s="189"/>
      <c r="B691" s="210"/>
      <c r="C691" s="190"/>
      <c r="D691" s="190"/>
      <c r="E691" s="219"/>
      <c r="F691" s="198"/>
      <c r="G691" s="218"/>
      <c r="H691" s="190"/>
    </row>
    <row r="692" spans="1:8">
      <c r="A692" s="189"/>
      <c r="B692" s="210"/>
      <c r="C692" s="190"/>
      <c r="D692" s="190"/>
      <c r="E692" s="219"/>
      <c r="F692" s="198"/>
      <c r="G692" s="218"/>
      <c r="H692" s="190"/>
    </row>
    <row r="693" spans="1:8">
      <c r="A693" s="189"/>
      <c r="B693" s="210"/>
      <c r="C693" s="190"/>
      <c r="D693" s="190"/>
      <c r="E693" s="219"/>
      <c r="F693" s="198"/>
      <c r="G693" s="218"/>
      <c r="H693" s="190"/>
    </row>
    <row r="694" spans="1:8">
      <c r="A694" s="189"/>
      <c r="B694" s="210"/>
      <c r="C694" s="190"/>
      <c r="D694" s="190"/>
      <c r="E694" s="219"/>
      <c r="F694" s="198"/>
      <c r="G694" s="218"/>
      <c r="H694" s="190"/>
    </row>
    <row r="695" spans="1:8">
      <c r="A695" s="189"/>
      <c r="B695" s="210"/>
      <c r="C695" s="190"/>
      <c r="D695" s="190"/>
      <c r="E695" s="219"/>
      <c r="F695" s="198"/>
      <c r="G695" s="218"/>
      <c r="H695" s="190"/>
    </row>
    <row r="696" spans="1:8">
      <c r="A696" s="189"/>
      <c r="B696" s="210"/>
      <c r="C696" s="190"/>
      <c r="D696" s="190"/>
      <c r="E696" s="219"/>
      <c r="F696" s="198"/>
      <c r="G696" s="218"/>
      <c r="H696" s="190"/>
    </row>
    <row r="697" spans="1:8">
      <c r="A697" s="189"/>
      <c r="B697" s="210"/>
      <c r="C697" s="190"/>
      <c r="D697" s="190"/>
      <c r="E697" s="219"/>
      <c r="F697" s="198"/>
      <c r="G697" s="218"/>
      <c r="H697" s="190"/>
    </row>
    <row r="698" spans="1:8">
      <c r="A698" s="189"/>
      <c r="B698" s="210"/>
      <c r="C698" s="190"/>
      <c r="D698" s="190"/>
      <c r="E698" s="219"/>
      <c r="F698" s="198"/>
      <c r="G698" s="218"/>
      <c r="H698" s="190"/>
    </row>
    <row r="699" spans="1:8">
      <c r="A699" s="189"/>
      <c r="B699" s="210"/>
      <c r="C699" s="190"/>
      <c r="D699" s="190"/>
      <c r="E699" s="219"/>
      <c r="F699" s="198"/>
      <c r="G699" s="218"/>
      <c r="H699" s="190"/>
    </row>
    <row r="700" spans="1:8">
      <c r="A700" s="189"/>
      <c r="B700" s="210"/>
      <c r="C700" s="190"/>
      <c r="D700" s="190"/>
      <c r="E700" s="219"/>
      <c r="F700" s="198"/>
      <c r="G700" s="218"/>
      <c r="H700" s="190"/>
    </row>
    <row r="701" spans="1:8">
      <c r="A701" s="189"/>
      <c r="B701" s="210"/>
      <c r="C701" s="190"/>
      <c r="D701" s="190"/>
      <c r="E701" s="219"/>
      <c r="F701" s="198"/>
      <c r="G701" s="218"/>
      <c r="H701" s="190"/>
    </row>
    <row r="702" spans="1:8">
      <c r="A702" s="189"/>
      <c r="B702" s="210"/>
      <c r="C702" s="190"/>
      <c r="D702" s="190"/>
      <c r="E702" s="219"/>
      <c r="F702" s="198"/>
      <c r="G702" s="218"/>
      <c r="H702" s="190"/>
    </row>
    <row r="703" spans="1:8">
      <c r="A703" s="189"/>
      <c r="B703" s="210"/>
      <c r="C703" s="190"/>
      <c r="D703" s="190"/>
      <c r="E703" s="219"/>
      <c r="F703" s="198"/>
      <c r="G703" s="218"/>
      <c r="H703" s="190"/>
    </row>
    <row r="704" spans="1:8">
      <c r="A704" s="189"/>
      <c r="B704" s="210"/>
      <c r="C704" s="190"/>
      <c r="D704" s="190"/>
      <c r="E704" s="219"/>
      <c r="F704" s="198"/>
      <c r="G704" s="218"/>
      <c r="H704" s="190"/>
    </row>
    <row r="705" spans="1:8">
      <c r="A705" s="189"/>
      <c r="B705" s="210"/>
      <c r="C705" s="190"/>
      <c r="D705" s="190"/>
      <c r="E705" s="219"/>
      <c r="F705" s="198"/>
      <c r="G705" s="218"/>
      <c r="H705" s="190"/>
    </row>
    <row r="706" spans="1:8">
      <c r="A706" s="189"/>
      <c r="B706" s="210"/>
      <c r="C706" s="190"/>
      <c r="D706" s="190"/>
      <c r="E706" s="219"/>
      <c r="F706" s="198"/>
      <c r="G706" s="218"/>
      <c r="H706" s="190"/>
    </row>
    <row r="707" spans="1:8">
      <c r="A707" s="189"/>
      <c r="B707" s="210"/>
      <c r="C707" s="190"/>
      <c r="D707" s="190"/>
      <c r="E707" s="219"/>
      <c r="F707" s="198"/>
      <c r="G707" s="218"/>
      <c r="H707" s="190"/>
    </row>
    <row r="708" spans="1:8">
      <c r="A708" s="189"/>
      <c r="B708" s="210"/>
      <c r="C708" s="190"/>
      <c r="D708" s="190"/>
      <c r="E708" s="219"/>
      <c r="F708" s="198"/>
      <c r="G708" s="218"/>
      <c r="H708" s="190"/>
    </row>
    <row r="709" spans="1:8">
      <c r="A709" s="189"/>
      <c r="B709" s="210"/>
      <c r="C709" s="190"/>
      <c r="D709" s="190"/>
      <c r="E709" s="219"/>
      <c r="F709" s="198"/>
      <c r="G709" s="218"/>
      <c r="H709" s="190"/>
    </row>
    <row r="710" spans="1:8">
      <c r="A710" s="189"/>
      <c r="B710" s="210"/>
      <c r="C710" s="190"/>
      <c r="D710" s="190"/>
      <c r="E710" s="219"/>
      <c r="F710" s="198"/>
      <c r="G710" s="218"/>
      <c r="H710" s="190"/>
    </row>
    <row r="711" spans="1:8">
      <c r="A711" s="189"/>
      <c r="B711" s="210"/>
      <c r="C711" s="190"/>
      <c r="D711" s="190"/>
      <c r="E711" s="219"/>
      <c r="F711" s="198"/>
      <c r="G711" s="218"/>
      <c r="H711" s="190"/>
    </row>
    <row r="712" spans="1:8">
      <c r="A712" s="189"/>
      <c r="B712" s="210"/>
      <c r="C712" s="190"/>
      <c r="D712" s="190"/>
      <c r="E712" s="219"/>
      <c r="F712" s="198"/>
      <c r="G712" s="218"/>
      <c r="H712" s="190"/>
    </row>
    <row r="713" spans="1:8">
      <c r="A713" s="189"/>
      <c r="B713" s="210"/>
      <c r="C713" s="190"/>
      <c r="D713" s="190"/>
      <c r="E713" s="219"/>
      <c r="F713" s="198"/>
      <c r="G713" s="218"/>
      <c r="H713" s="190"/>
    </row>
    <row r="714" spans="1:8">
      <c r="A714" s="189"/>
      <c r="B714" s="210"/>
      <c r="C714" s="190"/>
      <c r="D714" s="190"/>
      <c r="E714" s="219"/>
      <c r="F714" s="198"/>
      <c r="G714" s="218"/>
      <c r="H714" s="190"/>
    </row>
    <row r="715" spans="1:8">
      <c r="A715" s="189"/>
      <c r="B715" s="210"/>
      <c r="C715" s="190"/>
      <c r="D715" s="190"/>
      <c r="E715" s="219"/>
      <c r="F715" s="198"/>
      <c r="G715" s="218"/>
      <c r="H715" s="190"/>
    </row>
    <row r="716" spans="1:8">
      <c r="A716" s="189"/>
      <c r="B716" s="210"/>
      <c r="C716" s="190"/>
      <c r="D716" s="190"/>
      <c r="E716" s="219"/>
      <c r="F716" s="198"/>
      <c r="G716" s="218"/>
      <c r="H716" s="190"/>
    </row>
    <row r="717" spans="1:8">
      <c r="A717" s="189"/>
      <c r="B717" s="210"/>
      <c r="C717" s="190"/>
      <c r="D717" s="190"/>
      <c r="E717" s="219"/>
      <c r="F717" s="198"/>
      <c r="G717" s="218"/>
      <c r="H717" s="190"/>
    </row>
    <row r="718" spans="1:8">
      <c r="A718" s="189"/>
      <c r="B718" s="210"/>
      <c r="C718" s="190"/>
      <c r="D718" s="190"/>
      <c r="E718" s="219"/>
      <c r="F718" s="198"/>
      <c r="G718" s="218"/>
      <c r="H718" s="190"/>
    </row>
    <row r="719" spans="1:8">
      <c r="A719" s="189"/>
      <c r="B719" s="210"/>
      <c r="C719" s="190"/>
      <c r="D719" s="190"/>
      <c r="E719" s="219"/>
      <c r="F719" s="198"/>
      <c r="G719" s="218"/>
      <c r="H719" s="190"/>
    </row>
    <row r="720" spans="1:8">
      <c r="A720" s="189"/>
      <c r="B720" s="210"/>
      <c r="C720" s="190"/>
      <c r="D720" s="190"/>
      <c r="E720" s="219"/>
      <c r="F720" s="198"/>
      <c r="G720" s="218"/>
      <c r="H720" s="190"/>
    </row>
    <row r="721" spans="1:8">
      <c r="A721" s="189"/>
      <c r="B721" s="210"/>
      <c r="C721" s="190"/>
      <c r="D721" s="190"/>
      <c r="E721" s="219"/>
      <c r="F721" s="198"/>
      <c r="G721" s="218"/>
      <c r="H721" s="190"/>
    </row>
    <row r="722" spans="1:8">
      <c r="A722" s="189"/>
      <c r="B722" s="210"/>
      <c r="C722" s="190"/>
      <c r="D722" s="190"/>
      <c r="E722" s="219"/>
      <c r="F722" s="198"/>
      <c r="G722" s="218"/>
      <c r="H722" s="190"/>
    </row>
    <row r="723" spans="1:8">
      <c r="A723" s="189"/>
      <c r="B723" s="210"/>
      <c r="C723" s="190"/>
      <c r="D723" s="190"/>
      <c r="E723" s="219"/>
      <c r="F723" s="198"/>
      <c r="G723" s="218"/>
      <c r="H723" s="190"/>
    </row>
    <row r="724" spans="1:8">
      <c r="A724" s="189"/>
      <c r="B724" s="210"/>
      <c r="C724" s="190"/>
      <c r="D724" s="190"/>
      <c r="E724" s="219"/>
      <c r="F724" s="198"/>
      <c r="G724" s="218"/>
      <c r="H724" s="190"/>
    </row>
    <row r="725" spans="1:8">
      <c r="A725" s="189"/>
      <c r="B725" s="210"/>
      <c r="C725" s="190"/>
      <c r="D725" s="190"/>
      <c r="E725" s="219"/>
      <c r="F725" s="198"/>
      <c r="G725" s="218"/>
      <c r="H725" s="190"/>
    </row>
    <row r="726" spans="1:8">
      <c r="A726" s="189"/>
      <c r="B726" s="210"/>
      <c r="C726" s="190"/>
      <c r="D726" s="190"/>
      <c r="E726" s="219"/>
      <c r="F726" s="198"/>
      <c r="G726" s="218"/>
      <c r="H726" s="190"/>
    </row>
    <row r="727" spans="1:8">
      <c r="A727" s="189"/>
      <c r="B727" s="210"/>
      <c r="C727" s="190"/>
      <c r="D727" s="190"/>
      <c r="E727" s="219"/>
      <c r="F727" s="198"/>
      <c r="G727" s="218"/>
      <c r="H727" s="190"/>
    </row>
    <row r="728" spans="1:8">
      <c r="A728" s="189"/>
      <c r="B728" s="210"/>
      <c r="C728" s="190"/>
      <c r="D728" s="190"/>
      <c r="E728" s="219"/>
      <c r="F728" s="198"/>
      <c r="G728" s="218"/>
      <c r="H728" s="190"/>
    </row>
    <row r="729" spans="1:8">
      <c r="A729" s="189"/>
      <c r="B729" s="210"/>
      <c r="C729" s="190"/>
      <c r="D729" s="190"/>
      <c r="E729" s="219"/>
      <c r="F729" s="198"/>
      <c r="G729" s="218"/>
      <c r="H729" s="190"/>
    </row>
    <row r="730" spans="1:8">
      <c r="A730" s="189"/>
      <c r="B730" s="210"/>
      <c r="C730" s="190"/>
      <c r="D730" s="190"/>
      <c r="E730" s="219"/>
      <c r="F730" s="198"/>
      <c r="G730" s="218"/>
      <c r="H730" s="190"/>
    </row>
    <row r="731" spans="1:8">
      <c r="A731" s="189"/>
      <c r="B731" s="210"/>
      <c r="C731" s="190"/>
      <c r="D731" s="190"/>
      <c r="E731" s="219"/>
      <c r="F731" s="198"/>
      <c r="G731" s="218"/>
      <c r="H731" s="190"/>
    </row>
    <row r="732" spans="1:8">
      <c r="A732" s="189"/>
      <c r="B732" s="210"/>
      <c r="C732" s="190"/>
      <c r="D732" s="190"/>
      <c r="E732" s="219"/>
      <c r="F732" s="198"/>
      <c r="G732" s="218"/>
      <c r="H732" s="190"/>
    </row>
    <row r="733" spans="1:8">
      <c r="A733" s="189"/>
      <c r="B733" s="210"/>
      <c r="C733" s="190"/>
      <c r="D733" s="190"/>
      <c r="E733" s="219"/>
      <c r="F733" s="198"/>
      <c r="G733" s="218"/>
      <c r="H733" s="190"/>
    </row>
    <row r="734" spans="1:8">
      <c r="A734" s="189"/>
      <c r="B734" s="210"/>
      <c r="C734" s="190"/>
      <c r="D734" s="190"/>
      <c r="E734" s="219"/>
      <c r="F734" s="198"/>
      <c r="G734" s="218"/>
      <c r="H734" s="190"/>
    </row>
    <row r="735" spans="1:8">
      <c r="A735" s="189"/>
      <c r="B735" s="210"/>
      <c r="C735" s="190"/>
      <c r="D735" s="190"/>
      <c r="E735" s="219"/>
      <c r="F735" s="198"/>
      <c r="G735" s="218"/>
      <c r="H735" s="190"/>
    </row>
    <row r="736" spans="1:8">
      <c r="A736" s="189"/>
      <c r="B736" s="210"/>
      <c r="C736" s="190"/>
      <c r="D736" s="190"/>
      <c r="E736" s="219"/>
      <c r="F736" s="198"/>
      <c r="G736" s="218"/>
      <c r="H736" s="190"/>
    </row>
    <row r="737" spans="1:8">
      <c r="A737" s="189"/>
      <c r="B737" s="210"/>
      <c r="C737" s="190"/>
      <c r="D737" s="190"/>
      <c r="E737" s="219"/>
      <c r="F737" s="198"/>
      <c r="G737" s="218"/>
      <c r="H737" s="190"/>
    </row>
    <row r="738" spans="1:8">
      <c r="A738" s="189"/>
      <c r="B738" s="210"/>
      <c r="C738" s="190"/>
      <c r="D738" s="190"/>
      <c r="E738" s="219"/>
      <c r="F738" s="198"/>
      <c r="G738" s="218"/>
      <c r="H738" s="190"/>
    </row>
    <row r="739" spans="1:8">
      <c r="A739" s="189"/>
      <c r="B739" s="210"/>
      <c r="C739" s="190"/>
      <c r="D739" s="190"/>
      <c r="E739" s="219"/>
      <c r="F739" s="198"/>
      <c r="G739" s="218"/>
      <c r="H739" s="190"/>
    </row>
    <row r="740" spans="1:8">
      <c r="A740" s="189"/>
      <c r="B740" s="210"/>
      <c r="C740" s="190"/>
      <c r="D740" s="190"/>
      <c r="E740" s="219"/>
      <c r="F740" s="198"/>
      <c r="G740" s="218"/>
      <c r="H740" s="190"/>
    </row>
    <row r="741" spans="1:8">
      <c r="A741" s="189"/>
      <c r="B741" s="210"/>
      <c r="C741" s="190"/>
      <c r="D741" s="190"/>
      <c r="E741" s="219"/>
      <c r="F741" s="198"/>
      <c r="G741" s="218"/>
      <c r="H741" s="190"/>
    </row>
    <row r="742" spans="1:8">
      <c r="A742" s="189"/>
      <c r="B742" s="210"/>
      <c r="C742" s="190"/>
      <c r="D742" s="190"/>
      <c r="E742" s="219"/>
      <c r="F742" s="198"/>
      <c r="G742" s="218"/>
      <c r="H742" s="190"/>
    </row>
    <row r="743" spans="1:8">
      <c r="A743" s="189"/>
      <c r="B743" s="210"/>
      <c r="C743" s="190"/>
      <c r="D743" s="190"/>
      <c r="E743" s="219"/>
      <c r="F743" s="198"/>
      <c r="G743" s="218"/>
      <c r="H743" s="190"/>
    </row>
    <row r="744" spans="1:8">
      <c r="A744" s="189"/>
      <c r="B744" s="210"/>
      <c r="C744" s="190"/>
      <c r="D744" s="190"/>
      <c r="E744" s="219"/>
      <c r="F744" s="198"/>
      <c r="G744" s="218"/>
      <c r="H744" s="190"/>
    </row>
    <row r="745" spans="1:8">
      <c r="A745" s="189"/>
      <c r="B745" s="210"/>
      <c r="C745" s="190"/>
      <c r="D745" s="190"/>
      <c r="E745" s="219"/>
      <c r="F745" s="198"/>
      <c r="G745" s="218"/>
      <c r="H745" s="190"/>
    </row>
    <row r="746" spans="1:8">
      <c r="A746" s="189"/>
      <c r="B746" s="210"/>
      <c r="C746" s="190"/>
      <c r="D746" s="190"/>
      <c r="E746" s="219"/>
      <c r="F746" s="198"/>
      <c r="G746" s="218"/>
      <c r="H746" s="190"/>
    </row>
    <row r="747" spans="1:8">
      <c r="A747" s="189"/>
      <c r="B747" s="210"/>
      <c r="C747" s="190"/>
      <c r="D747" s="190"/>
      <c r="E747" s="219"/>
      <c r="F747" s="198"/>
      <c r="G747" s="218"/>
      <c r="H747" s="190"/>
    </row>
    <row r="748" spans="1:8">
      <c r="A748" s="189"/>
      <c r="B748" s="210"/>
      <c r="C748" s="190"/>
      <c r="D748" s="190"/>
      <c r="E748" s="219"/>
      <c r="F748" s="198"/>
      <c r="G748" s="218"/>
      <c r="H748" s="190"/>
    </row>
    <row r="749" spans="1:8">
      <c r="A749" s="189"/>
      <c r="B749" s="210"/>
      <c r="C749" s="190"/>
      <c r="D749" s="190"/>
      <c r="E749" s="219"/>
      <c r="F749" s="198"/>
      <c r="G749" s="218"/>
      <c r="H749" s="190"/>
    </row>
    <row r="750" spans="1:8">
      <c r="A750" s="189"/>
      <c r="B750" s="210"/>
      <c r="C750" s="190"/>
      <c r="D750" s="190"/>
      <c r="E750" s="219"/>
      <c r="F750" s="198"/>
      <c r="G750" s="218"/>
      <c r="H750" s="190"/>
    </row>
    <row r="751" spans="1:8">
      <c r="A751" s="189"/>
      <c r="B751" s="210"/>
      <c r="C751" s="190"/>
      <c r="D751" s="190"/>
      <c r="E751" s="219"/>
      <c r="F751" s="198"/>
      <c r="G751" s="218"/>
      <c r="H751" s="190"/>
    </row>
    <row r="752" spans="1:8">
      <c r="A752" s="189"/>
      <c r="B752" s="210"/>
      <c r="C752" s="190"/>
      <c r="D752" s="190"/>
      <c r="E752" s="219"/>
      <c r="F752" s="198"/>
      <c r="G752" s="218"/>
      <c r="H752" s="190"/>
    </row>
    <row r="753" spans="1:8">
      <c r="A753" s="189"/>
      <c r="B753" s="210"/>
      <c r="C753" s="190"/>
      <c r="D753" s="190"/>
      <c r="E753" s="219"/>
      <c r="F753" s="198"/>
      <c r="G753" s="218"/>
      <c r="H753" s="190"/>
    </row>
    <row r="754" spans="1:8">
      <c r="A754" s="189"/>
      <c r="B754" s="210"/>
      <c r="C754" s="190"/>
      <c r="D754" s="190"/>
      <c r="E754" s="219"/>
      <c r="F754" s="198"/>
      <c r="G754" s="218"/>
      <c r="H754" s="190"/>
    </row>
    <row r="755" spans="1:8">
      <c r="A755" s="189"/>
      <c r="B755" s="210"/>
      <c r="C755" s="190"/>
      <c r="D755" s="190"/>
      <c r="E755" s="219"/>
      <c r="F755" s="198"/>
      <c r="G755" s="218"/>
      <c r="H755" s="190"/>
    </row>
    <row r="756" spans="1:8">
      <c r="A756" s="189"/>
      <c r="B756" s="210"/>
      <c r="C756" s="190"/>
      <c r="D756" s="190"/>
      <c r="E756" s="219"/>
      <c r="F756" s="198"/>
      <c r="G756" s="218"/>
      <c r="H756" s="190"/>
    </row>
    <row r="757" spans="1:8">
      <c r="A757" s="189"/>
      <c r="B757" s="210"/>
      <c r="C757" s="190"/>
      <c r="D757" s="190"/>
      <c r="E757" s="219"/>
      <c r="F757" s="198"/>
      <c r="G757" s="218"/>
      <c r="H757" s="190"/>
    </row>
    <row r="758" spans="1:8">
      <c r="A758" s="189"/>
      <c r="B758" s="210"/>
      <c r="C758" s="190"/>
      <c r="D758" s="190"/>
      <c r="E758" s="219"/>
      <c r="F758" s="198"/>
      <c r="G758" s="218"/>
      <c r="H758" s="190"/>
    </row>
    <row r="759" spans="1:8">
      <c r="A759" s="189"/>
      <c r="B759" s="210"/>
      <c r="C759" s="190"/>
      <c r="D759" s="190"/>
      <c r="E759" s="219"/>
      <c r="F759" s="198"/>
      <c r="G759" s="218"/>
      <c r="H759" s="190"/>
    </row>
    <row r="760" spans="1:8">
      <c r="A760" s="189"/>
      <c r="B760" s="210"/>
      <c r="C760" s="190"/>
      <c r="D760" s="190"/>
      <c r="E760" s="219"/>
      <c r="F760" s="198"/>
      <c r="G760" s="218"/>
      <c r="H760" s="190"/>
    </row>
    <row r="761" spans="1:8">
      <c r="A761" s="189"/>
      <c r="B761" s="210"/>
      <c r="C761" s="190"/>
      <c r="D761" s="190"/>
      <c r="E761" s="219"/>
      <c r="F761" s="198"/>
      <c r="G761" s="218"/>
      <c r="H761" s="190"/>
    </row>
    <row r="762" spans="1:8">
      <c r="A762" s="189"/>
      <c r="B762" s="210"/>
      <c r="C762" s="190"/>
      <c r="D762" s="190"/>
      <c r="E762" s="219"/>
      <c r="F762" s="198"/>
      <c r="G762" s="218"/>
      <c r="H762" s="190"/>
    </row>
    <row r="763" spans="1:8">
      <c r="A763" s="189"/>
      <c r="B763" s="210"/>
      <c r="C763" s="190"/>
      <c r="D763" s="190"/>
      <c r="E763" s="219"/>
      <c r="F763" s="198"/>
      <c r="G763" s="218"/>
      <c r="H763" s="190"/>
    </row>
    <row r="764" spans="1:8">
      <c r="A764" s="189"/>
      <c r="B764" s="210"/>
      <c r="C764" s="190"/>
      <c r="D764" s="190"/>
      <c r="E764" s="219"/>
      <c r="F764" s="198"/>
      <c r="G764" s="218"/>
      <c r="H764" s="190"/>
    </row>
    <row r="765" spans="1:8">
      <c r="A765" s="189"/>
      <c r="B765" s="210"/>
      <c r="C765" s="190"/>
      <c r="D765" s="190"/>
      <c r="E765" s="219"/>
      <c r="F765" s="198"/>
      <c r="G765" s="218"/>
      <c r="H765" s="190"/>
    </row>
    <row r="766" spans="1:8">
      <c r="A766" s="189"/>
      <c r="B766" s="210"/>
      <c r="C766" s="190"/>
      <c r="D766" s="190"/>
      <c r="E766" s="219"/>
      <c r="F766" s="198"/>
      <c r="G766" s="218"/>
      <c r="H766" s="190"/>
    </row>
    <row r="767" spans="1:8">
      <c r="A767" s="189"/>
      <c r="B767" s="210"/>
      <c r="C767" s="190"/>
      <c r="D767" s="190"/>
      <c r="E767" s="219"/>
      <c r="F767" s="198"/>
      <c r="G767" s="218"/>
      <c r="H767" s="190"/>
    </row>
    <row r="768" spans="1:8">
      <c r="A768" s="189"/>
      <c r="B768" s="210"/>
      <c r="C768" s="190"/>
      <c r="D768" s="190"/>
      <c r="E768" s="219"/>
      <c r="F768" s="198"/>
      <c r="G768" s="218"/>
      <c r="H768" s="190"/>
    </row>
    <row r="769" spans="1:8">
      <c r="A769" s="189"/>
      <c r="B769" s="210"/>
      <c r="C769" s="190"/>
      <c r="D769" s="190"/>
      <c r="E769" s="219"/>
      <c r="F769" s="198"/>
      <c r="G769" s="218"/>
      <c r="H769" s="190"/>
    </row>
    <row r="770" spans="1:8">
      <c r="A770" s="189"/>
      <c r="B770" s="210"/>
      <c r="C770" s="190"/>
      <c r="D770" s="190"/>
      <c r="E770" s="219"/>
      <c r="F770" s="198"/>
      <c r="G770" s="218"/>
      <c r="H770" s="190"/>
    </row>
    <row r="771" spans="1:8">
      <c r="A771" s="189"/>
      <c r="B771" s="210"/>
      <c r="C771" s="190"/>
      <c r="D771" s="190"/>
      <c r="E771" s="219"/>
      <c r="F771" s="198"/>
      <c r="G771" s="218"/>
      <c r="H771" s="190"/>
    </row>
    <row r="772" spans="1:8">
      <c r="A772" s="189"/>
      <c r="B772" s="210"/>
      <c r="C772" s="190"/>
      <c r="D772" s="190"/>
      <c r="E772" s="219"/>
      <c r="F772" s="198"/>
      <c r="G772" s="218"/>
      <c r="H772" s="190"/>
    </row>
    <row r="773" spans="1:8">
      <c r="A773" s="189"/>
      <c r="B773" s="210"/>
      <c r="C773" s="190"/>
      <c r="D773" s="190"/>
      <c r="E773" s="219"/>
      <c r="F773" s="198"/>
      <c r="G773" s="218"/>
      <c r="H773" s="190"/>
    </row>
    <row r="774" spans="1:8">
      <c r="A774" s="189"/>
      <c r="B774" s="210"/>
      <c r="C774" s="190"/>
      <c r="D774" s="190"/>
      <c r="E774" s="219"/>
      <c r="F774" s="198"/>
      <c r="G774" s="218"/>
      <c r="H774" s="190"/>
    </row>
    <row r="775" spans="1:8">
      <c r="A775" s="189"/>
      <c r="B775" s="210"/>
      <c r="C775" s="190"/>
      <c r="D775" s="190"/>
      <c r="E775" s="219"/>
      <c r="F775" s="198"/>
      <c r="G775" s="218"/>
      <c r="H775" s="190"/>
    </row>
    <row r="776" spans="1:8">
      <c r="A776" s="189"/>
      <c r="B776" s="210"/>
      <c r="C776" s="190"/>
      <c r="D776" s="190"/>
      <c r="E776" s="219"/>
      <c r="F776" s="198"/>
      <c r="G776" s="218"/>
      <c r="H776" s="190"/>
    </row>
    <row r="777" spans="1:8">
      <c r="A777" s="189"/>
      <c r="B777" s="210"/>
      <c r="C777" s="190"/>
      <c r="D777" s="190"/>
      <c r="E777" s="219"/>
      <c r="F777" s="198"/>
      <c r="G777" s="218"/>
      <c r="H777" s="190"/>
    </row>
    <row r="778" spans="1:8">
      <c r="A778" s="189"/>
      <c r="B778" s="210"/>
      <c r="C778" s="190"/>
      <c r="D778" s="190"/>
      <c r="E778" s="219"/>
      <c r="F778" s="198"/>
      <c r="G778" s="218"/>
      <c r="H778" s="190"/>
    </row>
    <row r="779" spans="1:8">
      <c r="A779" s="189"/>
      <c r="B779" s="210"/>
      <c r="C779" s="190"/>
      <c r="D779" s="190"/>
      <c r="E779" s="219"/>
      <c r="F779" s="198"/>
      <c r="G779" s="218"/>
      <c r="H779" s="190"/>
    </row>
    <row r="780" spans="1:8">
      <c r="A780" s="189"/>
      <c r="B780" s="210"/>
      <c r="C780" s="190"/>
      <c r="D780" s="190"/>
      <c r="E780" s="219"/>
      <c r="F780" s="198"/>
      <c r="G780" s="218"/>
      <c r="H780" s="190"/>
    </row>
    <row r="781" spans="1:8">
      <c r="A781" s="189"/>
      <c r="B781" s="210"/>
      <c r="C781" s="190"/>
      <c r="D781" s="190"/>
      <c r="E781" s="219"/>
      <c r="F781" s="198"/>
      <c r="G781" s="218"/>
      <c r="H781" s="190"/>
    </row>
    <row r="782" spans="1:8">
      <c r="A782" s="189"/>
      <c r="B782" s="210"/>
      <c r="C782" s="190"/>
      <c r="D782" s="190"/>
      <c r="E782" s="219"/>
      <c r="F782" s="198"/>
      <c r="G782" s="218"/>
      <c r="H782" s="190"/>
    </row>
    <row r="783" spans="1:8">
      <c r="A783" s="189"/>
      <c r="B783" s="210"/>
      <c r="C783" s="190"/>
      <c r="D783" s="190"/>
      <c r="E783" s="219"/>
      <c r="F783" s="198"/>
      <c r="G783" s="218"/>
      <c r="H783" s="190"/>
    </row>
    <row r="784" spans="1:8">
      <c r="A784" s="189"/>
      <c r="B784" s="210"/>
      <c r="C784" s="190"/>
      <c r="D784" s="190"/>
      <c r="E784" s="219"/>
      <c r="F784" s="198"/>
      <c r="G784" s="218"/>
      <c r="H784" s="190"/>
    </row>
    <row r="785" spans="1:8">
      <c r="A785" s="189"/>
      <c r="B785" s="210"/>
      <c r="C785" s="190"/>
      <c r="D785" s="190"/>
      <c r="E785" s="219"/>
      <c r="F785" s="198"/>
      <c r="G785" s="218"/>
      <c r="H785" s="190"/>
    </row>
    <row r="786" spans="1:8">
      <c r="A786" s="189"/>
      <c r="B786" s="210"/>
      <c r="C786" s="190"/>
      <c r="D786" s="190"/>
      <c r="E786" s="219"/>
      <c r="F786" s="198"/>
      <c r="G786" s="218"/>
      <c r="H786" s="190"/>
    </row>
    <row r="787" spans="1:8">
      <c r="A787" s="189"/>
      <c r="B787" s="210"/>
      <c r="C787" s="190"/>
      <c r="D787" s="190"/>
      <c r="E787" s="219"/>
      <c r="F787" s="198"/>
      <c r="G787" s="218"/>
      <c r="H787" s="190"/>
    </row>
    <row r="788" spans="1:8">
      <c r="A788" s="189"/>
      <c r="B788" s="210"/>
      <c r="C788" s="190"/>
      <c r="D788" s="190"/>
      <c r="E788" s="219"/>
      <c r="F788" s="198"/>
      <c r="G788" s="218"/>
      <c r="H788" s="190"/>
    </row>
    <row r="789" spans="1:8">
      <c r="A789" s="189"/>
      <c r="B789" s="210"/>
      <c r="C789" s="190"/>
      <c r="D789" s="190"/>
      <c r="E789" s="219"/>
      <c r="F789" s="198"/>
      <c r="G789" s="218"/>
      <c r="H789" s="190"/>
    </row>
    <row r="790" spans="1:8">
      <c r="A790" s="189"/>
      <c r="B790" s="210"/>
      <c r="C790" s="190"/>
      <c r="D790" s="190"/>
      <c r="E790" s="219"/>
      <c r="F790" s="198"/>
      <c r="G790" s="218"/>
      <c r="H790" s="190"/>
    </row>
    <row r="791" spans="1:8">
      <c r="A791" s="189"/>
      <c r="B791" s="210"/>
      <c r="C791" s="190"/>
      <c r="D791" s="190"/>
      <c r="E791" s="219"/>
      <c r="F791" s="198"/>
      <c r="G791" s="218"/>
      <c r="H791" s="190"/>
    </row>
    <row r="792" spans="1:8">
      <c r="A792" s="189"/>
      <c r="B792" s="210"/>
      <c r="C792" s="190"/>
      <c r="D792" s="190"/>
      <c r="E792" s="219"/>
      <c r="F792" s="198"/>
      <c r="G792" s="218"/>
      <c r="H792" s="190"/>
    </row>
    <row r="793" spans="1:8">
      <c r="A793" s="189"/>
      <c r="B793" s="210"/>
      <c r="C793" s="190"/>
      <c r="D793" s="190"/>
      <c r="E793" s="219"/>
      <c r="F793" s="198"/>
      <c r="G793" s="218"/>
      <c r="H793" s="190"/>
    </row>
    <row r="794" spans="1:8">
      <c r="A794" s="220"/>
      <c r="B794" s="221"/>
      <c r="C794" s="196"/>
      <c r="D794" s="191"/>
      <c r="E794" s="223"/>
      <c r="F794" s="224"/>
      <c r="G794" s="225"/>
      <c r="H794" s="226"/>
    </row>
    <row r="795" spans="1:8">
      <c r="A795" s="220"/>
      <c r="B795" s="221"/>
      <c r="C795" s="196"/>
      <c r="D795" s="191"/>
      <c r="E795" s="223"/>
      <c r="F795" s="224"/>
      <c r="G795" s="225"/>
      <c r="H795" s="226"/>
    </row>
    <row r="796" spans="1:8">
      <c r="A796" s="220"/>
      <c r="B796" s="221"/>
      <c r="C796" s="196"/>
      <c r="D796" s="191"/>
      <c r="E796" s="223"/>
      <c r="F796" s="224"/>
      <c r="G796" s="225"/>
      <c r="H796" s="226"/>
    </row>
    <row r="797" spans="1:8">
      <c r="A797" s="195"/>
      <c r="B797" s="222"/>
      <c r="C797" s="196"/>
      <c r="D797" s="191"/>
      <c r="E797" s="223"/>
      <c r="F797" s="224"/>
      <c r="G797" s="218"/>
      <c r="H797" s="204"/>
    </row>
    <row r="798" spans="1:8">
      <c r="A798" s="195"/>
      <c r="B798" s="222"/>
      <c r="C798" s="196"/>
      <c r="D798" s="191"/>
      <c r="E798" s="223"/>
      <c r="F798" s="224"/>
      <c r="G798" s="218"/>
      <c r="H798" s="204"/>
    </row>
    <row r="799" spans="1:8">
      <c r="A799" s="195"/>
      <c r="B799" s="222"/>
      <c r="C799" s="196"/>
      <c r="D799" s="191"/>
      <c r="E799" s="223"/>
      <c r="F799" s="224"/>
      <c r="G799" s="218"/>
      <c r="H799" s="204"/>
    </row>
    <row r="800" spans="1:8">
      <c r="A800" s="195"/>
      <c r="B800" s="222"/>
      <c r="C800" s="196"/>
      <c r="D800" s="191"/>
      <c r="E800" s="223"/>
      <c r="F800" s="224"/>
      <c r="G800" s="218"/>
      <c r="H800" s="204"/>
    </row>
    <row r="801" spans="1:9">
      <c r="A801" s="195" t="s">
        <v>8</v>
      </c>
      <c r="B801" s="195"/>
      <c r="C801" s="195"/>
      <c r="D801" s="195"/>
      <c r="E801" s="227">
        <f>SUM(G2:G800)</f>
        <v>0</v>
      </c>
      <c r="F801" s="228"/>
      <c r="G801" s="206">
        <f>SUM(G2:G800)</f>
        <v>0</v>
      </c>
      <c r="H801" s="206"/>
      <c r="I801" s="207"/>
    </row>
    <row r="802" spans="7:8">
      <c r="G802" s="184"/>
      <c r="H802" s="184"/>
    </row>
    <row r="804" spans="7:7">
      <c r="G804" s="207"/>
    </row>
  </sheetData>
  <mergeCells count="2">
    <mergeCell ref="A801:D801"/>
    <mergeCell ref="E801:F80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zoomScale="111" zoomScaleNormal="111" topLeftCell="C1" workbookViewId="0">
      <pane ySplit="1" topLeftCell="A2" activePane="bottomLeft" state="frozen"/>
      <selection/>
      <selection pane="bottomLeft" activeCell="A9" sqref="A9"/>
    </sheetView>
  </sheetViews>
  <sheetFormatPr defaultColWidth="9.140625" defaultRowHeight="17.6"/>
  <cols>
    <col min="1" max="1" width="12.6875" style="183" customWidth="1"/>
    <col min="2" max="2" width="16" style="184" customWidth="1"/>
    <col min="3" max="3" width="38.25" style="185" customWidth="1"/>
    <col min="4" max="4" width="9.140625" style="184"/>
    <col min="5" max="5" width="13.3828125" style="182" customWidth="1"/>
    <col min="6" max="6" width="13.625" style="182" customWidth="1"/>
    <col min="7" max="7" width="15.7109375" style="182" customWidth="1"/>
    <col min="8" max="8" width="29.25" style="182" customWidth="1"/>
    <col min="9" max="9" width="14.9375" style="182"/>
    <col min="10" max="16384" width="9.140625" style="182"/>
  </cols>
  <sheetData>
    <row r="1" s="12" customFormat="1" ht="20.4" spans="1:8">
      <c r="A1" s="186" t="s">
        <v>0</v>
      </c>
      <c r="B1" s="187" t="s">
        <v>9</v>
      </c>
      <c r="C1" s="187" t="s">
        <v>1</v>
      </c>
      <c r="D1" s="188" t="s">
        <v>2</v>
      </c>
      <c r="E1" s="197" t="s">
        <v>3</v>
      </c>
      <c r="F1" s="197" t="s">
        <v>4</v>
      </c>
      <c r="G1" s="197" t="s">
        <v>5</v>
      </c>
      <c r="H1" s="197" t="s">
        <v>10</v>
      </c>
    </row>
    <row r="2" s="182" customFormat="1" spans="1:8">
      <c r="A2" s="189"/>
      <c r="B2" s="190"/>
      <c r="C2" s="190"/>
      <c r="D2" s="190"/>
      <c r="E2" s="198"/>
      <c r="F2" s="198"/>
      <c r="G2" s="199"/>
      <c r="H2" s="200"/>
    </row>
    <row r="3" s="182" customFormat="1" spans="1:8">
      <c r="A3" s="189"/>
      <c r="B3" s="190"/>
      <c r="C3" s="190"/>
      <c r="D3" s="190"/>
      <c r="E3" s="198"/>
      <c r="F3" s="198"/>
      <c r="G3" s="199"/>
      <c r="H3" s="200"/>
    </row>
    <row r="4" s="182" customFormat="1" spans="1:8">
      <c r="A4" s="189"/>
      <c r="B4" s="190"/>
      <c r="C4" s="190"/>
      <c r="D4" s="190"/>
      <c r="E4" s="198"/>
      <c r="F4" s="198"/>
      <c r="G4" s="199"/>
      <c r="H4" s="200"/>
    </row>
    <row r="5" s="182" customFormat="1" spans="1:9">
      <c r="A5" s="189"/>
      <c r="B5" s="190"/>
      <c r="C5" s="190"/>
      <c r="D5" s="190"/>
      <c r="E5" s="198"/>
      <c r="F5" s="198"/>
      <c r="G5" s="199"/>
      <c r="H5" s="200"/>
      <c r="I5" s="207"/>
    </row>
    <row r="6" s="182" customFormat="1" spans="1:8">
      <c r="A6" s="189"/>
      <c r="B6" s="190"/>
      <c r="C6" s="190"/>
      <c r="D6" s="190"/>
      <c r="E6" s="198"/>
      <c r="F6" s="198"/>
      <c r="G6" s="199"/>
      <c r="H6" s="200"/>
    </row>
    <row r="7" s="182" customFormat="1" spans="1:8">
      <c r="A7" s="189"/>
      <c r="B7" s="190"/>
      <c r="C7" s="190"/>
      <c r="D7" s="190"/>
      <c r="E7" s="198"/>
      <c r="F7" s="198"/>
      <c r="G7" s="199"/>
      <c r="H7" s="200"/>
    </row>
    <row r="8" s="182" customFormat="1" spans="1:8">
      <c r="A8" s="189"/>
      <c r="B8" s="190"/>
      <c r="C8" s="190"/>
      <c r="D8" s="190"/>
      <c r="E8" s="198"/>
      <c r="F8" s="198"/>
      <c r="G8" s="199"/>
      <c r="H8" s="200"/>
    </row>
    <row r="9" s="182" customFormat="1" spans="1:8">
      <c r="A9" s="189"/>
      <c r="B9" s="190"/>
      <c r="C9" s="190"/>
      <c r="D9" s="190"/>
      <c r="E9" s="198"/>
      <c r="F9" s="198"/>
      <c r="G9" s="199"/>
      <c r="H9" s="200"/>
    </row>
    <row r="10" s="182" customFormat="1" spans="1:8">
      <c r="A10" s="189"/>
      <c r="B10" s="190"/>
      <c r="C10" s="190"/>
      <c r="D10" s="190"/>
      <c r="E10" s="198"/>
      <c r="F10" s="198"/>
      <c r="G10" s="199"/>
      <c r="H10" s="200"/>
    </row>
    <row r="11" s="182" customFormat="1" spans="1:8">
      <c r="A11" s="189"/>
      <c r="B11" s="190"/>
      <c r="C11" s="190"/>
      <c r="D11" s="190"/>
      <c r="E11" s="198"/>
      <c r="F11" s="198"/>
      <c r="G11" s="199"/>
      <c r="H11" s="200"/>
    </row>
    <row r="12" s="182" customFormat="1" spans="1:8">
      <c r="A12" s="189"/>
      <c r="B12" s="190"/>
      <c r="C12" s="190"/>
      <c r="D12" s="190"/>
      <c r="E12" s="198"/>
      <c r="F12" s="198"/>
      <c r="G12" s="199"/>
      <c r="H12" s="200"/>
    </row>
    <row r="13" s="182" customFormat="1" spans="1:8">
      <c r="A13" s="189"/>
      <c r="B13" s="190"/>
      <c r="C13" s="190"/>
      <c r="D13" s="190"/>
      <c r="E13" s="198"/>
      <c r="F13" s="198"/>
      <c r="G13" s="199"/>
      <c r="H13" s="200"/>
    </row>
    <row r="14" s="182" customFormat="1" spans="1:8">
      <c r="A14" s="189"/>
      <c r="B14" s="190"/>
      <c r="C14" s="190"/>
      <c r="D14" s="190"/>
      <c r="E14" s="198"/>
      <c r="F14" s="198"/>
      <c r="G14" s="199"/>
      <c r="H14" s="200"/>
    </row>
    <row r="15" s="182" customFormat="1" spans="1:8">
      <c r="A15" s="189"/>
      <c r="B15" s="190"/>
      <c r="C15" s="190"/>
      <c r="D15" s="190"/>
      <c r="E15" s="198"/>
      <c r="F15" s="198"/>
      <c r="G15" s="199"/>
      <c r="H15" s="200"/>
    </row>
    <row r="16" s="182" customFormat="1" spans="1:8">
      <c r="A16" s="189"/>
      <c r="B16" s="190"/>
      <c r="C16" s="190"/>
      <c r="D16" s="190"/>
      <c r="E16" s="198"/>
      <c r="F16" s="198"/>
      <c r="G16" s="199"/>
      <c r="H16" s="200"/>
    </row>
    <row r="17" s="182" customFormat="1" spans="1:8">
      <c r="A17" s="189"/>
      <c r="B17" s="191"/>
      <c r="C17" s="190"/>
      <c r="D17" s="191"/>
      <c r="E17" s="198"/>
      <c r="F17" s="198"/>
      <c r="G17" s="199"/>
      <c r="H17" s="200"/>
    </row>
    <row r="18" s="182" customFormat="1" spans="1:8">
      <c r="A18" s="189"/>
      <c r="B18" s="191"/>
      <c r="C18" s="190"/>
      <c r="D18" s="191"/>
      <c r="E18" s="198"/>
      <c r="F18" s="198"/>
      <c r="G18" s="199"/>
      <c r="H18" s="200"/>
    </row>
    <row r="19" s="182" customFormat="1" spans="1:8">
      <c r="A19" s="192"/>
      <c r="B19" s="193"/>
      <c r="C19" s="194"/>
      <c r="D19" s="193"/>
      <c r="E19" s="201"/>
      <c r="F19" s="201"/>
      <c r="G19" s="202"/>
      <c r="H19" s="203"/>
    </row>
    <row r="20" s="182" customFormat="1" spans="1:8">
      <c r="A20" s="192"/>
      <c r="B20" s="193"/>
      <c r="C20" s="194"/>
      <c r="D20" s="193"/>
      <c r="E20" s="201"/>
      <c r="F20" s="201"/>
      <c r="G20" s="202"/>
      <c r="H20" s="203"/>
    </row>
    <row r="21" s="182" customFormat="1" spans="1:9">
      <c r="A21" s="195"/>
      <c r="B21" s="191"/>
      <c r="C21" s="196"/>
      <c r="D21" s="191"/>
      <c r="E21" s="204"/>
      <c r="F21" s="204"/>
      <c r="G21" s="205">
        <f>SUM(G2:G20)</f>
        <v>0</v>
      </c>
      <c r="H21" s="206"/>
      <c r="I21" s="207"/>
    </row>
    <row r="22" s="182" customFormat="1" spans="1:8">
      <c r="A22" s="183"/>
      <c r="B22" s="184"/>
      <c r="C22" s="185"/>
      <c r="D22" s="184"/>
      <c r="G22" s="184"/>
      <c r="H22" s="184"/>
    </row>
    <row r="24" s="182" customFormat="1" spans="1:7">
      <c r="A24" s="183"/>
      <c r="B24" s="184"/>
      <c r="C24" s="185"/>
      <c r="D24" s="184"/>
      <c r="G24" s="20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zoomScale="61" zoomScaleNormal="61" workbookViewId="0">
      <pane xSplit="2" ySplit="1" topLeftCell="D33" activePane="bottomRight" state="frozen"/>
      <selection/>
      <selection pane="topRight"/>
      <selection pane="bottomLeft"/>
      <selection pane="bottomRight" activeCell="B12" sqref="B12"/>
    </sheetView>
  </sheetViews>
  <sheetFormatPr defaultColWidth="9.140625" defaultRowHeight="23.2" outlineLevelCol="7"/>
  <cols>
    <col min="1" max="1" width="18.859375" style="131" customWidth="1"/>
    <col min="2" max="2" width="35.5703125" style="133" customWidth="1"/>
    <col min="3" max="3" width="24.1875" style="134" customWidth="1"/>
    <col min="4" max="4" width="24.7109375" style="129" customWidth="1"/>
    <col min="5" max="5" width="36.9609375" style="129" customWidth="1"/>
    <col min="6" max="6" width="27.0078125" style="129" customWidth="1"/>
    <col min="7" max="7" width="22" style="129" customWidth="1"/>
    <col min="8" max="8" width="15.5703125" style="129"/>
    <col min="9" max="11" width="12.859375" style="129"/>
    <col min="12" max="16384" width="9.140625" style="129"/>
  </cols>
  <sheetData>
    <row r="1" s="129" customFormat="1" spans="1:7">
      <c r="A1" s="137" t="s">
        <v>0</v>
      </c>
      <c r="B1" s="140" t="s">
        <v>11</v>
      </c>
      <c r="C1" s="140" t="s">
        <v>12</v>
      </c>
      <c r="D1" s="140" t="s">
        <v>3</v>
      </c>
      <c r="E1" s="140" t="s">
        <v>10</v>
      </c>
      <c r="F1" s="140" t="s">
        <v>4</v>
      </c>
      <c r="G1" s="140" t="s">
        <v>5</v>
      </c>
    </row>
    <row r="2" s="129" customFormat="1" spans="1:7">
      <c r="A2" s="65"/>
      <c r="B2" s="142"/>
      <c r="C2" s="143"/>
      <c r="D2" s="163"/>
      <c r="E2" s="150"/>
      <c r="F2" s="166"/>
      <c r="G2" s="166"/>
    </row>
    <row r="3" s="129" customFormat="1" spans="1:7">
      <c r="A3" s="65"/>
      <c r="B3" s="142"/>
      <c r="C3" s="143"/>
      <c r="D3" s="163"/>
      <c r="E3" s="150"/>
      <c r="F3" s="166"/>
      <c r="G3" s="166"/>
    </row>
    <row r="4" s="129" customFormat="1" spans="1:7">
      <c r="A4" s="65"/>
      <c r="B4" s="142"/>
      <c r="C4" s="143"/>
      <c r="D4" s="163"/>
      <c r="E4" s="150"/>
      <c r="F4" s="166"/>
      <c r="G4" s="166"/>
    </row>
    <row r="5" s="129" customFormat="1" spans="1:7">
      <c r="A5" s="65"/>
      <c r="B5" s="142"/>
      <c r="C5" s="143"/>
      <c r="D5" s="163"/>
      <c r="E5" s="150"/>
      <c r="F5" s="166"/>
      <c r="G5" s="166"/>
    </row>
    <row r="6" s="129" customFormat="1" spans="1:7">
      <c r="A6" s="65"/>
      <c r="B6" s="142"/>
      <c r="C6" s="143"/>
      <c r="D6" s="163"/>
      <c r="E6" s="150"/>
      <c r="F6" s="166"/>
      <c r="G6" s="166"/>
    </row>
    <row r="7" s="129" customFormat="1" spans="1:7">
      <c r="A7" s="65"/>
      <c r="B7" s="141"/>
      <c r="C7" s="143"/>
      <c r="D7" s="163"/>
      <c r="E7" s="150"/>
      <c r="F7" s="166"/>
      <c r="G7" s="166"/>
    </row>
    <row r="8" s="129" customFormat="1" spans="1:7">
      <c r="A8" s="65"/>
      <c r="B8" s="142"/>
      <c r="C8" s="143"/>
      <c r="D8" s="163"/>
      <c r="E8" s="150"/>
      <c r="F8" s="166"/>
      <c r="G8" s="166"/>
    </row>
    <row r="9" s="129" customFormat="1" spans="1:7">
      <c r="A9" s="65"/>
      <c r="B9" s="142"/>
      <c r="C9" s="143"/>
      <c r="D9" s="163"/>
      <c r="E9" s="150"/>
      <c r="F9" s="166"/>
      <c r="G9" s="166"/>
    </row>
    <row r="10" s="129" customFormat="1" spans="1:7">
      <c r="A10" s="65"/>
      <c r="B10" s="142"/>
      <c r="C10" s="143"/>
      <c r="D10" s="163"/>
      <c r="E10" s="150"/>
      <c r="F10" s="166"/>
      <c r="G10" s="166"/>
    </row>
    <row r="11" s="129" customFormat="1" spans="1:7">
      <c r="A11" s="65"/>
      <c r="B11" s="142"/>
      <c r="C11" s="143"/>
      <c r="D11" s="163"/>
      <c r="E11" s="150"/>
      <c r="F11" s="166"/>
      <c r="G11" s="166"/>
    </row>
    <row r="12" s="129" customFormat="1" spans="1:7">
      <c r="A12" s="65"/>
      <c r="B12" s="180"/>
      <c r="C12" s="143"/>
      <c r="D12" s="163"/>
      <c r="E12" s="150"/>
      <c r="F12" s="166"/>
      <c r="G12" s="166"/>
    </row>
    <row r="13" s="129" customFormat="1" spans="1:7">
      <c r="A13" s="65"/>
      <c r="B13" s="142"/>
      <c r="C13" s="143"/>
      <c r="D13" s="163"/>
      <c r="E13" s="150"/>
      <c r="F13" s="166"/>
      <c r="G13" s="166"/>
    </row>
    <row r="14" s="129" customFormat="1" spans="1:7">
      <c r="A14" s="65"/>
      <c r="B14" s="142"/>
      <c r="C14" s="143"/>
      <c r="D14" s="163"/>
      <c r="E14" s="150"/>
      <c r="F14" s="166"/>
      <c r="G14" s="166"/>
    </row>
    <row r="15" s="129" customFormat="1" spans="1:7">
      <c r="A15" s="65"/>
      <c r="B15" s="142"/>
      <c r="C15" s="143"/>
      <c r="D15" s="163"/>
      <c r="E15" s="150"/>
      <c r="F15" s="166"/>
      <c r="G15" s="166"/>
    </row>
    <row r="16" s="129" customFormat="1" spans="1:7">
      <c r="A16" s="65"/>
      <c r="B16" s="142"/>
      <c r="C16" s="143"/>
      <c r="D16" s="163"/>
      <c r="E16" s="150"/>
      <c r="F16" s="166"/>
      <c r="G16" s="166"/>
    </row>
    <row r="17" s="129" customFormat="1" spans="1:7">
      <c r="A17" s="65"/>
      <c r="B17" s="142"/>
      <c r="C17" s="143"/>
      <c r="D17" s="163"/>
      <c r="E17" s="150"/>
      <c r="F17" s="166"/>
      <c r="G17" s="166"/>
    </row>
    <row r="18" s="129" customFormat="1" spans="1:7">
      <c r="A18" s="65"/>
      <c r="B18" s="141"/>
      <c r="C18" s="143"/>
      <c r="D18" s="163"/>
      <c r="E18" s="150"/>
      <c r="F18" s="166"/>
      <c r="G18" s="166"/>
    </row>
    <row r="19" s="129" customFormat="1" spans="1:7">
      <c r="A19" s="65"/>
      <c r="B19" s="180"/>
      <c r="C19" s="143"/>
      <c r="D19" s="163"/>
      <c r="E19" s="150"/>
      <c r="F19" s="166"/>
      <c r="G19" s="166"/>
    </row>
    <row r="20" s="129" customFormat="1" spans="1:7">
      <c r="A20" s="65"/>
      <c r="B20" s="180"/>
      <c r="C20" s="143"/>
      <c r="D20" s="163"/>
      <c r="E20" s="150"/>
      <c r="F20" s="166"/>
      <c r="G20" s="166"/>
    </row>
    <row r="21" s="129" customFormat="1" spans="1:7">
      <c r="A21" s="65"/>
      <c r="B21" s="180"/>
      <c r="C21" s="143"/>
      <c r="D21" s="163"/>
      <c r="E21" s="150"/>
      <c r="F21" s="166"/>
      <c r="G21" s="166"/>
    </row>
    <row r="22" s="129" customFormat="1" spans="1:7">
      <c r="A22" s="65"/>
      <c r="B22" s="180"/>
      <c r="C22" s="143"/>
      <c r="D22" s="163"/>
      <c r="E22" s="150"/>
      <c r="F22" s="166"/>
      <c r="G22" s="166"/>
    </row>
    <row r="23" s="129" customFormat="1" spans="1:7">
      <c r="A23" s="65"/>
      <c r="B23" s="180"/>
      <c r="C23" s="143"/>
      <c r="D23" s="163"/>
      <c r="E23" s="150"/>
      <c r="F23" s="166"/>
      <c r="G23" s="166"/>
    </row>
    <row r="24" s="129" customFormat="1" spans="1:7">
      <c r="A24" s="65"/>
      <c r="B24" s="180"/>
      <c r="C24" s="143"/>
      <c r="D24" s="163"/>
      <c r="E24" s="150"/>
      <c r="F24" s="166"/>
      <c r="G24" s="166"/>
    </row>
    <row r="25" s="129" customFormat="1" spans="1:7">
      <c r="A25" s="65"/>
      <c r="B25" s="180"/>
      <c r="C25" s="143"/>
      <c r="D25" s="163"/>
      <c r="E25" s="150"/>
      <c r="F25" s="166"/>
      <c r="G25" s="166"/>
    </row>
    <row r="26" s="129" customFormat="1" spans="1:7">
      <c r="A26" s="65"/>
      <c r="B26" s="180"/>
      <c r="C26" s="143"/>
      <c r="D26" s="163"/>
      <c r="E26" s="150"/>
      <c r="F26" s="166"/>
      <c r="G26" s="166"/>
    </row>
    <row r="27" s="129" customFormat="1" spans="1:7">
      <c r="A27" s="65"/>
      <c r="B27" s="180"/>
      <c r="C27" s="143"/>
      <c r="D27" s="163"/>
      <c r="E27" s="150"/>
      <c r="F27" s="166"/>
      <c r="G27" s="166"/>
    </row>
    <row r="28" s="129" customFormat="1" spans="1:7">
      <c r="A28" s="65"/>
      <c r="B28" s="142"/>
      <c r="C28" s="143"/>
      <c r="D28" s="163"/>
      <c r="E28" s="150"/>
      <c r="F28" s="166"/>
      <c r="G28" s="166"/>
    </row>
    <row r="29" s="129" customFormat="1" spans="1:7">
      <c r="A29" s="65"/>
      <c r="B29" s="142"/>
      <c r="C29" s="143"/>
      <c r="D29" s="163"/>
      <c r="E29" s="150"/>
      <c r="F29" s="166"/>
      <c r="G29" s="166"/>
    </row>
    <row r="30" s="129" customFormat="1" spans="1:7">
      <c r="A30" s="65"/>
      <c r="B30" s="142"/>
      <c r="C30" s="143"/>
      <c r="D30" s="163"/>
      <c r="E30" s="150"/>
      <c r="F30" s="166"/>
      <c r="G30" s="166"/>
    </row>
    <row r="31" s="129" customFormat="1" spans="1:7">
      <c r="A31" s="65"/>
      <c r="B31" s="142"/>
      <c r="C31" s="143"/>
      <c r="D31" s="163"/>
      <c r="E31" s="150"/>
      <c r="F31" s="166"/>
      <c r="G31" s="166"/>
    </row>
    <row r="32" s="129" customFormat="1" spans="1:7">
      <c r="A32" s="65"/>
      <c r="B32" s="142"/>
      <c r="C32" s="143"/>
      <c r="D32" s="163"/>
      <c r="E32" s="150"/>
      <c r="F32" s="166"/>
      <c r="G32" s="166"/>
    </row>
    <row r="33" s="129" customFormat="1" spans="1:7">
      <c r="A33" s="65"/>
      <c r="B33" s="142"/>
      <c r="C33" s="143"/>
      <c r="D33" s="163"/>
      <c r="E33" s="150"/>
      <c r="F33" s="166"/>
      <c r="G33" s="166"/>
    </row>
    <row r="34" s="129" customFormat="1" spans="1:7">
      <c r="A34" s="65"/>
      <c r="B34" s="142"/>
      <c r="C34" s="143"/>
      <c r="D34" s="163"/>
      <c r="E34" s="150"/>
      <c r="F34" s="166"/>
      <c r="G34" s="166"/>
    </row>
    <row r="35" s="129" customFormat="1" spans="1:7">
      <c r="A35" s="65"/>
      <c r="B35" s="142"/>
      <c r="C35" s="143"/>
      <c r="D35" s="142"/>
      <c r="E35" s="150"/>
      <c r="F35" s="166"/>
      <c r="G35" s="166"/>
    </row>
    <row r="36" s="129" customFormat="1" spans="1:7">
      <c r="A36" s="65"/>
      <c r="B36" s="142"/>
      <c r="C36" s="143"/>
      <c r="D36" s="142"/>
      <c r="E36" s="141"/>
      <c r="F36" s="166"/>
      <c r="G36" s="142"/>
    </row>
    <row r="37" s="129" customFormat="1" spans="1:7">
      <c r="A37" s="65"/>
      <c r="B37" s="142"/>
      <c r="C37" s="143"/>
      <c r="D37" s="142"/>
      <c r="E37" s="141"/>
      <c r="F37" s="166"/>
      <c r="G37" s="142"/>
    </row>
    <row r="38" s="129" customFormat="1" spans="1:7">
      <c r="A38" s="65"/>
      <c r="B38" s="142"/>
      <c r="C38" s="143"/>
      <c r="D38" s="142"/>
      <c r="E38" s="141"/>
      <c r="F38" s="166"/>
      <c r="G38" s="142"/>
    </row>
    <row r="39" s="129" customFormat="1" spans="1:7">
      <c r="A39" s="65"/>
      <c r="B39" s="142"/>
      <c r="C39" s="143"/>
      <c r="D39" s="142"/>
      <c r="E39" s="141"/>
      <c r="F39" s="166"/>
      <c r="G39" s="142"/>
    </row>
    <row r="40" s="129" customFormat="1" spans="1:7">
      <c r="A40" s="65"/>
      <c r="B40" s="142"/>
      <c r="C40" s="143"/>
      <c r="D40" s="142"/>
      <c r="E40" s="141"/>
      <c r="F40" s="142"/>
      <c r="G40" s="142"/>
    </row>
    <row r="41" s="129" customFormat="1" spans="1:7">
      <c r="A41" s="65"/>
      <c r="B41" s="142"/>
      <c r="C41" s="143"/>
      <c r="D41" s="142"/>
      <c r="E41" s="141"/>
      <c r="F41" s="142"/>
      <c r="G41" s="142"/>
    </row>
    <row r="42" s="129" customFormat="1" spans="1:7">
      <c r="A42" s="65"/>
      <c r="B42" s="142"/>
      <c r="C42" s="143"/>
      <c r="D42" s="142"/>
      <c r="E42" s="141"/>
      <c r="F42" s="142"/>
      <c r="G42" s="142"/>
    </row>
    <row r="43" s="129" customFormat="1" spans="1:7">
      <c r="A43" s="65"/>
      <c r="B43" s="142"/>
      <c r="C43" s="143"/>
      <c r="D43" s="142"/>
      <c r="E43" s="141"/>
      <c r="F43" s="142"/>
      <c r="G43" s="142"/>
    </row>
    <row r="44" s="129" customFormat="1" spans="1:7">
      <c r="A44" s="65"/>
      <c r="B44" s="142"/>
      <c r="C44" s="143"/>
      <c r="D44" s="142"/>
      <c r="E44" s="141"/>
      <c r="F44" s="142"/>
      <c r="G44" s="142"/>
    </row>
    <row r="45" s="129" customFormat="1" spans="1:7">
      <c r="A45" s="65"/>
      <c r="B45" s="142"/>
      <c r="C45" s="143"/>
      <c r="D45" s="163"/>
      <c r="E45" s="141"/>
      <c r="F45" s="142"/>
      <c r="G45" s="166"/>
    </row>
    <row r="46" s="129" customFormat="1" spans="1:7">
      <c r="A46" s="65"/>
      <c r="B46" s="142"/>
      <c r="C46" s="143"/>
      <c r="D46" s="163"/>
      <c r="E46" s="141"/>
      <c r="F46" s="142"/>
      <c r="G46" s="166"/>
    </row>
    <row r="47" s="129" customFormat="1" spans="1:7">
      <c r="A47" s="65"/>
      <c r="B47" s="142"/>
      <c r="C47" s="143"/>
      <c r="D47" s="163"/>
      <c r="E47" s="141"/>
      <c r="F47" s="142"/>
      <c r="G47" s="166"/>
    </row>
    <row r="48" s="129" customFormat="1" spans="1:7">
      <c r="A48" s="65"/>
      <c r="B48" s="142"/>
      <c r="C48" s="143"/>
      <c r="D48" s="163"/>
      <c r="E48" s="141"/>
      <c r="F48" s="142"/>
      <c r="G48" s="166"/>
    </row>
    <row r="49" s="129" customFormat="1" spans="1:7">
      <c r="A49" s="65"/>
      <c r="B49" s="142"/>
      <c r="C49" s="143"/>
      <c r="D49" s="163"/>
      <c r="E49" s="150"/>
      <c r="F49" s="142"/>
      <c r="G49" s="166"/>
    </row>
    <row r="50" s="129" customFormat="1" spans="1:8">
      <c r="A50" s="65"/>
      <c r="B50" s="142"/>
      <c r="C50" s="143"/>
      <c r="D50" s="163"/>
      <c r="E50" s="150"/>
      <c r="F50" s="142"/>
      <c r="G50" s="166"/>
      <c r="H50" s="170"/>
    </row>
    <row r="51" s="130" customFormat="1" spans="1:7">
      <c r="A51" s="65"/>
      <c r="B51" s="142"/>
      <c r="C51" s="143"/>
      <c r="D51" s="163"/>
      <c r="E51" s="150"/>
      <c r="F51" s="142"/>
      <c r="G51" s="166"/>
    </row>
    <row r="52" s="130" customFormat="1" spans="1:7">
      <c r="A52" s="65"/>
      <c r="B52" s="142"/>
      <c r="C52" s="143"/>
      <c r="D52" s="163"/>
      <c r="E52" s="150"/>
      <c r="F52" s="142"/>
      <c r="G52" s="166"/>
    </row>
    <row r="53" s="130" customFormat="1" spans="1:7">
      <c r="A53" s="65"/>
      <c r="B53" s="142"/>
      <c r="C53" s="143"/>
      <c r="D53" s="163"/>
      <c r="E53" s="22"/>
      <c r="F53" s="22"/>
      <c r="G53" s="166"/>
    </row>
    <row r="54" s="130" customFormat="1" spans="1:7">
      <c r="A54" s="65"/>
      <c r="B54" s="142"/>
      <c r="C54" s="143"/>
      <c r="D54" s="163"/>
      <c r="E54" s="22"/>
      <c r="F54" s="22"/>
      <c r="G54" s="166"/>
    </row>
    <row r="55" s="130" customFormat="1" spans="1:7">
      <c r="A55" s="65"/>
      <c r="B55" s="142"/>
      <c r="C55" s="143"/>
      <c r="D55" s="163"/>
      <c r="E55" s="22"/>
      <c r="F55" s="22"/>
      <c r="G55" s="166"/>
    </row>
    <row r="56" s="130" customFormat="1" spans="1:7">
      <c r="A56" s="65"/>
      <c r="B56" s="142"/>
      <c r="C56" s="143"/>
      <c r="D56" s="163"/>
      <c r="E56" s="22"/>
      <c r="F56" s="22"/>
      <c r="G56" s="166"/>
    </row>
    <row r="57" s="130" customFormat="1" spans="1:7">
      <c r="A57" s="65"/>
      <c r="B57" s="142"/>
      <c r="C57" s="143"/>
      <c r="D57" s="163"/>
      <c r="E57" s="22"/>
      <c r="F57" s="22"/>
      <c r="G57" s="166"/>
    </row>
    <row r="58" s="130" customFormat="1" spans="1:7">
      <c r="A58" s="65"/>
      <c r="B58" s="142"/>
      <c r="C58" s="143"/>
      <c r="D58" s="163"/>
      <c r="E58" s="22"/>
      <c r="F58" s="22"/>
      <c r="G58" s="166"/>
    </row>
    <row r="59" s="129" customFormat="1" spans="1:8">
      <c r="A59" s="145"/>
      <c r="B59" s="146"/>
      <c r="C59" s="147"/>
      <c r="D59" s="181">
        <f>SUM(G2:G58)</f>
        <v>0</v>
      </c>
      <c r="E59" s="181"/>
      <c r="F59" s="181"/>
      <c r="G59" s="181"/>
      <c r="H59" s="170"/>
    </row>
  </sheetData>
  <mergeCells count="1">
    <mergeCell ref="D59:G5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zoomScale="66" zoomScaleNormal="66" workbookViewId="0">
      <pane ySplit="1" topLeftCell="A35" activePane="bottomLeft" state="frozen"/>
      <selection/>
      <selection pane="bottomLeft" activeCell="A2" sqref="$A1:$XFD1048576"/>
    </sheetView>
  </sheetViews>
  <sheetFormatPr defaultColWidth="9.140625" defaultRowHeight="23.2" outlineLevelCol="7"/>
  <cols>
    <col min="1" max="1" width="18.859375" style="131" customWidth="1"/>
    <col min="2" max="2" width="35.5703125" style="133" customWidth="1"/>
    <col min="3" max="3" width="24.1875" style="134" customWidth="1"/>
    <col min="4" max="4" width="24.7109375" style="129" customWidth="1"/>
    <col min="5" max="5" width="36.9609375" style="129" customWidth="1"/>
    <col min="6" max="6" width="27.0078125" style="129" customWidth="1"/>
    <col min="7" max="7" width="22" style="129" customWidth="1"/>
    <col min="8" max="8" width="15.5703125" style="129"/>
    <col min="9" max="11" width="12.859375" style="129"/>
    <col min="12" max="16384" width="9.140625" style="129"/>
  </cols>
  <sheetData>
    <row r="1" spans="1:7">
      <c r="A1" s="137" t="s">
        <v>0</v>
      </c>
      <c r="B1" s="139" t="s">
        <v>11</v>
      </c>
      <c r="C1" s="140" t="s">
        <v>12</v>
      </c>
      <c r="D1" s="140" t="s">
        <v>3</v>
      </c>
      <c r="E1" s="140" t="s">
        <v>10</v>
      </c>
      <c r="F1" s="140" t="s">
        <v>4</v>
      </c>
      <c r="G1" s="140" t="s">
        <v>5</v>
      </c>
    </row>
    <row r="2" s="129" customFormat="1" spans="1:7">
      <c r="A2" s="15"/>
      <c r="B2" s="142"/>
      <c r="C2" s="162"/>
      <c r="D2" s="163"/>
      <c r="E2" s="150"/>
      <c r="F2" s="166"/>
      <c r="G2" s="166"/>
    </row>
    <row r="3" s="129" customFormat="1" spans="1:7">
      <c r="A3" s="15"/>
      <c r="B3" s="142"/>
      <c r="C3" s="162"/>
      <c r="D3" s="163"/>
      <c r="E3" s="150"/>
      <c r="F3" s="166"/>
      <c r="G3" s="166"/>
    </row>
    <row r="4" s="129" customFormat="1" spans="1:7">
      <c r="A4" s="15"/>
      <c r="B4" s="142"/>
      <c r="C4" s="162"/>
      <c r="D4" s="163"/>
      <c r="E4" s="150"/>
      <c r="F4" s="166"/>
      <c r="G4" s="166"/>
    </row>
    <row r="5" s="129" customFormat="1" spans="1:7">
      <c r="A5" s="15"/>
      <c r="B5" s="142"/>
      <c r="C5" s="162"/>
      <c r="D5" s="163"/>
      <c r="E5" s="150"/>
      <c r="F5" s="166"/>
      <c r="G5" s="166"/>
    </row>
    <row r="6" s="129" customFormat="1" spans="1:7">
      <c r="A6" s="15"/>
      <c r="B6" s="142"/>
      <c r="C6" s="162"/>
      <c r="D6" s="163"/>
      <c r="E6" s="150"/>
      <c r="F6" s="166"/>
      <c r="G6" s="166"/>
    </row>
    <row r="7" s="129" customFormat="1" spans="1:7">
      <c r="A7" s="15"/>
      <c r="B7" s="141"/>
      <c r="C7" s="162"/>
      <c r="D7" s="163"/>
      <c r="E7" s="150"/>
      <c r="F7" s="166"/>
      <c r="G7" s="166"/>
    </row>
    <row r="8" s="129" customFormat="1" spans="1:7">
      <c r="A8" s="15"/>
      <c r="B8" s="142"/>
      <c r="C8" s="162"/>
      <c r="D8" s="163"/>
      <c r="E8" s="150"/>
      <c r="F8" s="166"/>
      <c r="G8" s="166"/>
    </row>
    <row r="9" s="129" customFormat="1" spans="1:7">
      <c r="A9" s="15"/>
      <c r="B9" s="142"/>
      <c r="C9" s="162"/>
      <c r="D9" s="163"/>
      <c r="E9" s="150"/>
      <c r="F9" s="166"/>
      <c r="G9" s="166"/>
    </row>
    <row r="10" s="129" customFormat="1" spans="1:7">
      <c r="A10" s="15"/>
      <c r="B10" s="142"/>
      <c r="C10" s="162"/>
      <c r="D10" s="163"/>
      <c r="E10" s="150"/>
      <c r="F10" s="166"/>
      <c r="G10" s="166"/>
    </row>
    <row r="11" s="129" customFormat="1" spans="1:7">
      <c r="A11" s="15"/>
      <c r="B11" s="142"/>
      <c r="C11" s="162"/>
      <c r="D11" s="163"/>
      <c r="E11" s="150"/>
      <c r="F11" s="166"/>
      <c r="G11" s="166"/>
    </row>
    <row r="12" s="129" customFormat="1" spans="1:7">
      <c r="A12" s="15"/>
      <c r="B12" s="180"/>
      <c r="C12" s="162"/>
      <c r="D12" s="163"/>
      <c r="E12" s="150"/>
      <c r="F12" s="166"/>
      <c r="G12" s="166"/>
    </row>
    <row r="13" s="129" customFormat="1" spans="1:7">
      <c r="A13" s="15"/>
      <c r="B13" s="142"/>
      <c r="C13" s="162"/>
      <c r="D13" s="163"/>
      <c r="E13" s="150"/>
      <c r="F13" s="166"/>
      <c r="G13" s="166"/>
    </row>
    <row r="14" s="129" customFormat="1" spans="1:7">
      <c r="A14" s="15"/>
      <c r="B14" s="142"/>
      <c r="C14" s="162"/>
      <c r="D14" s="163"/>
      <c r="E14" s="150"/>
      <c r="F14" s="166"/>
      <c r="G14" s="166"/>
    </row>
    <row r="15" s="129" customFormat="1" spans="1:7">
      <c r="A15" s="15"/>
      <c r="B15" s="142"/>
      <c r="C15" s="162"/>
      <c r="D15" s="163"/>
      <c r="E15" s="150"/>
      <c r="F15" s="166"/>
      <c r="G15" s="166"/>
    </row>
    <row r="16" s="129" customFormat="1" spans="1:7">
      <c r="A16" s="15"/>
      <c r="B16" s="142"/>
      <c r="C16" s="162"/>
      <c r="D16" s="163"/>
      <c r="E16" s="150"/>
      <c r="F16" s="166"/>
      <c r="G16" s="166"/>
    </row>
    <row r="17" s="129" customFormat="1" spans="1:7">
      <c r="A17" s="15"/>
      <c r="B17" s="142"/>
      <c r="C17" s="162"/>
      <c r="D17" s="163"/>
      <c r="E17" s="150"/>
      <c r="F17" s="166"/>
      <c r="G17" s="166"/>
    </row>
    <row r="18" s="129" customFormat="1" spans="1:7">
      <c r="A18" s="15"/>
      <c r="B18" s="141"/>
      <c r="C18" s="162"/>
      <c r="D18" s="163"/>
      <c r="E18" s="150"/>
      <c r="F18" s="166"/>
      <c r="G18" s="166"/>
    </row>
    <row r="19" s="129" customFormat="1" spans="1:7">
      <c r="A19" s="15"/>
      <c r="B19" s="180"/>
      <c r="C19" s="162"/>
      <c r="D19" s="163"/>
      <c r="E19" s="150"/>
      <c r="F19" s="166"/>
      <c r="G19" s="166"/>
    </row>
    <row r="20" s="129" customFormat="1" spans="1:7">
      <c r="A20" s="15"/>
      <c r="B20" s="180"/>
      <c r="C20" s="162"/>
      <c r="D20" s="163"/>
      <c r="E20" s="150"/>
      <c r="F20" s="166"/>
      <c r="G20" s="166"/>
    </row>
    <row r="21" s="129" customFormat="1" spans="1:7">
      <c r="A21" s="15"/>
      <c r="B21" s="180"/>
      <c r="C21" s="162"/>
      <c r="D21" s="163"/>
      <c r="E21" s="150"/>
      <c r="F21" s="166"/>
      <c r="G21" s="166"/>
    </row>
    <row r="22" s="129" customFormat="1" spans="1:7">
      <c r="A22" s="15"/>
      <c r="B22" s="180"/>
      <c r="C22" s="162"/>
      <c r="D22" s="163"/>
      <c r="E22" s="150"/>
      <c r="F22" s="166"/>
      <c r="G22" s="166"/>
    </row>
    <row r="23" s="129" customFormat="1" spans="1:7">
      <c r="A23" s="15"/>
      <c r="B23" s="180"/>
      <c r="C23" s="162"/>
      <c r="D23" s="163"/>
      <c r="E23" s="150"/>
      <c r="F23" s="166"/>
      <c r="G23" s="166"/>
    </row>
    <row r="24" s="129" customFormat="1" spans="1:7">
      <c r="A24" s="15"/>
      <c r="B24" s="180"/>
      <c r="C24" s="162"/>
      <c r="D24" s="163"/>
      <c r="E24" s="150"/>
      <c r="F24" s="166"/>
      <c r="G24" s="166"/>
    </row>
    <row r="25" s="129" customFormat="1" spans="1:7">
      <c r="A25" s="15"/>
      <c r="B25" s="180"/>
      <c r="C25" s="162"/>
      <c r="D25" s="163"/>
      <c r="E25" s="150"/>
      <c r="F25" s="166"/>
      <c r="G25" s="166"/>
    </row>
    <row r="26" s="129" customFormat="1" spans="1:7">
      <c r="A26" s="15"/>
      <c r="B26" s="180"/>
      <c r="C26" s="162"/>
      <c r="D26" s="163"/>
      <c r="E26" s="150"/>
      <c r="F26" s="166"/>
      <c r="G26" s="166"/>
    </row>
    <row r="27" s="129" customFormat="1" spans="1:7">
      <c r="A27" s="15"/>
      <c r="B27" s="180"/>
      <c r="C27" s="162"/>
      <c r="D27" s="163"/>
      <c r="E27" s="150"/>
      <c r="F27" s="166"/>
      <c r="G27" s="166"/>
    </row>
    <row r="28" s="129" customFormat="1" spans="1:7">
      <c r="A28" s="15"/>
      <c r="B28" s="142"/>
      <c r="C28" s="162"/>
      <c r="D28" s="163"/>
      <c r="E28" s="150"/>
      <c r="F28" s="166"/>
      <c r="G28" s="166"/>
    </row>
    <row r="29" s="129" customFormat="1" spans="1:7">
      <c r="A29" s="15"/>
      <c r="B29" s="142"/>
      <c r="C29" s="162"/>
      <c r="D29" s="163"/>
      <c r="E29" s="150"/>
      <c r="F29" s="166"/>
      <c r="G29" s="166"/>
    </row>
    <row r="30" s="129" customFormat="1" spans="1:7">
      <c r="A30" s="15"/>
      <c r="B30" s="142"/>
      <c r="C30" s="162"/>
      <c r="D30" s="163"/>
      <c r="E30" s="150"/>
      <c r="F30" s="166"/>
      <c r="G30" s="166"/>
    </row>
    <row r="31" s="129" customFormat="1" spans="1:7">
      <c r="A31" s="15"/>
      <c r="B31" s="142"/>
      <c r="C31" s="162"/>
      <c r="D31" s="163"/>
      <c r="E31" s="150"/>
      <c r="F31" s="166"/>
      <c r="G31" s="166"/>
    </row>
    <row r="32" s="129" customFormat="1" spans="1:7">
      <c r="A32" s="15"/>
      <c r="B32" s="142"/>
      <c r="C32" s="162"/>
      <c r="D32" s="163"/>
      <c r="E32" s="150"/>
      <c r="F32" s="166"/>
      <c r="G32" s="166"/>
    </row>
    <row r="33" s="129" customFormat="1" spans="1:7">
      <c r="A33" s="15"/>
      <c r="B33" s="142"/>
      <c r="C33" s="162"/>
      <c r="D33" s="163"/>
      <c r="E33" s="150"/>
      <c r="F33" s="166"/>
      <c r="G33" s="166"/>
    </row>
    <row r="34" s="129" customFormat="1" spans="1:7">
      <c r="A34" s="15"/>
      <c r="B34" s="142"/>
      <c r="C34" s="162"/>
      <c r="D34" s="163"/>
      <c r="E34" s="150"/>
      <c r="F34" s="166"/>
      <c r="G34" s="166"/>
    </row>
    <row r="35" s="129" customFormat="1" spans="1:7">
      <c r="A35" s="15"/>
      <c r="B35" s="142"/>
      <c r="C35" s="162"/>
      <c r="D35" s="142"/>
      <c r="E35" s="150"/>
      <c r="F35" s="166"/>
      <c r="G35" s="166"/>
    </row>
    <row r="36" s="129" customFormat="1" spans="1:7">
      <c r="A36" s="15"/>
      <c r="B36" s="142"/>
      <c r="C36" s="162"/>
      <c r="D36" s="142"/>
      <c r="E36" s="150"/>
      <c r="F36" s="166"/>
      <c r="G36" s="166"/>
    </row>
    <row r="37" s="129" customFormat="1" spans="1:7">
      <c r="A37" s="15"/>
      <c r="B37" s="142"/>
      <c r="C37" s="162"/>
      <c r="D37" s="142"/>
      <c r="E37" s="150"/>
      <c r="F37" s="166"/>
      <c r="G37" s="166"/>
    </row>
    <row r="38" s="129" customFormat="1" spans="1:7">
      <c r="A38" s="15"/>
      <c r="B38" s="142"/>
      <c r="C38" s="162"/>
      <c r="D38" s="142"/>
      <c r="E38" s="150"/>
      <c r="F38" s="166"/>
      <c r="G38" s="166"/>
    </row>
    <row r="39" s="129" customFormat="1" spans="1:7">
      <c r="A39" s="15"/>
      <c r="B39" s="142"/>
      <c r="C39" s="162"/>
      <c r="D39" s="142"/>
      <c r="E39" s="141"/>
      <c r="F39" s="142"/>
      <c r="G39" s="142"/>
    </row>
    <row r="40" s="129" customFormat="1" spans="1:7">
      <c r="A40" s="15"/>
      <c r="B40" s="142"/>
      <c r="C40" s="162"/>
      <c r="D40" s="142"/>
      <c r="E40" s="141"/>
      <c r="F40" s="142"/>
      <c r="G40" s="142"/>
    </row>
    <row r="41" s="129" customFormat="1" spans="1:7">
      <c r="A41" s="15"/>
      <c r="B41" s="142"/>
      <c r="C41" s="162"/>
      <c r="D41" s="142"/>
      <c r="E41" s="141"/>
      <c r="F41" s="142"/>
      <c r="G41" s="142"/>
    </row>
    <row r="42" s="129" customFormat="1" spans="1:7">
      <c r="A42" s="15"/>
      <c r="B42" s="142"/>
      <c r="C42" s="162"/>
      <c r="D42" s="142"/>
      <c r="E42" s="141"/>
      <c r="F42" s="142"/>
      <c r="G42" s="142"/>
    </row>
    <row r="43" s="129" customFormat="1" spans="1:7">
      <c r="A43" s="15"/>
      <c r="B43" s="142"/>
      <c r="C43" s="162"/>
      <c r="D43" s="142"/>
      <c r="E43" s="141"/>
      <c r="F43" s="142"/>
      <c r="G43" s="142"/>
    </row>
    <row r="44" s="129" customFormat="1" spans="1:7">
      <c r="A44" s="15"/>
      <c r="B44" s="142"/>
      <c r="C44" s="162"/>
      <c r="D44" s="163"/>
      <c r="E44" s="141"/>
      <c r="F44" s="142"/>
      <c r="G44" s="166"/>
    </row>
    <row r="45" s="129" customFormat="1" spans="1:7">
      <c r="A45" s="15"/>
      <c r="B45" s="142"/>
      <c r="C45" s="162"/>
      <c r="D45" s="163"/>
      <c r="E45" s="141"/>
      <c r="F45" s="142"/>
      <c r="G45" s="166"/>
    </row>
    <row r="46" s="129" customFormat="1" spans="1:7">
      <c r="A46" s="15"/>
      <c r="B46" s="142"/>
      <c r="C46" s="162"/>
      <c r="D46" s="163"/>
      <c r="E46" s="141"/>
      <c r="F46" s="142"/>
      <c r="G46" s="166"/>
    </row>
    <row r="47" s="129" customFormat="1" spans="1:7">
      <c r="A47" s="15"/>
      <c r="B47" s="142"/>
      <c r="C47" s="162"/>
      <c r="D47" s="163"/>
      <c r="E47" s="141"/>
      <c r="F47" s="142"/>
      <c r="G47" s="166"/>
    </row>
    <row r="48" s="129" customFormat="1" spans="1:7">
      <c r="A48" s="15"/>
      <c r="B48" s="142"/>
      <c r="C48" s="162"/>
      <c r="D48" s="163"/>
      <c r="E48" s="150"/>
      <c r="F48" s="142"/>
      <c r="G48" s="166"/>
    </row>
    <row r="49" s="129" customFormat="1" spans="1:8">
      <c r="A49" s="15"/>
      <c r="B49" s="142"/>
      <c r="C49" s="162"/>
      <c r="D49" s="163"/>
      <c r="E49" s="150"/>
      <c r="F49" s="142"/>
      <c r="G49" s="166"/>
      <c r="H49" s="170"/>
    </row>
    <row r="50" s="130" customFormat="1" spans="1:7">
      <c r="A50" s="15"/>
      <c r="B50" s="142"/>
      <c r="C50" s="162"/>
      <c r="D50" s="163"/>
      <c r="E50" s="150"/>
      <c r="F50" s="142"/>
      <c r="G50" s="166"/>
    </row>
    <row r="51" s="130" customFormat="1" spans="1:7">
      <c r="A51" s="15"/>
      <c r="B51" s="142"/>
      <c r="C51" s="162"/>
      <c r="D51" s="163"/>
      <c r="E51" s="150"/>
      <c r="F51" s="142"/>
      <c r="G51" s="166"/>
    </row>
    <row r="52" s="130" customFormat="1" spans="1:7">
      <c r="A52" s="15"/>
      <c r="B52" s="142"/>
      <c r="C52" s="162"/>
      <c r="D52" s="163"/>
      <c r="E52" s="22"/>
      <c r="F52" s="22"/>
      <c r="G52" s="166"/>
    </row>
    <row r="53" s="130" customFormat="1" spans="1:7">
      <c r="A53" s="15"/>
      <c r="B53" s="142"/>
      <c r="C53" s="162"/>
      <c r="D53" s="163"/>
      <c r="E53" s="22"/>
      <c r="F53" s="22"/>
      <c r="G53" s="166"/>
    </row>
    <row r="54" s="130" customFormat="1" spans="1:7">
      <c r="A54" s="15"/>
      <c r="B54" s="142"/>
      <c r="C54" s="162"/>
      <c r="D54" s="163"/>
      <c r="E54" s="22"/>
      <c r="F54" s="22"/>
      <c r="G54" s="166"/>
    </row>
    <row r="55" s="130" customFormat="1" spans="1:7">
      <c r="A55" s="15"/>
      <c r="B55" s="142"/>
      <c r="C55" s="162"/>
      <c r="D55" s="163"/>
      <c r="E55" s="22"/>
      <c r="F55" s="22"/>
      <c r="G55" s="166"/>
    </row>
    <row r="56" s="130" customFormat="1" spans="1:7">
      <c r="A56" s="65"/>
      <c r="B56" s="142"/>
      <c r="C56" s="143"/>
      <c r="D56" s="163"/>
      <c r="E56" s="22"/>
      <c r="F56" s="22"/>
      <c r="G56" s="166"/>
    </row>
    <row r="57" s="130" customFormat="1" spans="1:7">
      <c r="A57" s="65"/>
      <c r="B57" s="142"/>
      <c r="C57" s="143"/>
      <c r="D57" s="163"/>
      <c r="E57" s="22"/>
      <c r="F57" s="22"/>
      <c r="G57" s="166"/>
    </row>
    <row r="58" s="129" customFormat="1" spans="1:8">
      <c r="A58" s="145"/>
      <c r="B58" s="146"/>
      <c r="C58" s="147"/>
      <c r="D58" s="181">
        <f>SUM(G2:G57)</f>
        <v>0</v>
      </c>
      <c r="E58" s="181"/>
      <c r="F58" s="181"/>
      <c r="G58" s="181"/>
      <c r="H58" s="170"/>
    </row>
  </sheetData>
  <mergeCells count="1">
    <mergeCell ref="D58:G58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workbookViewId="0">
      <pane xSplit="1" ySplit="1" topLeftCell="B2" activePane="bottomRight" state="frozen"/>
      <selection/>
      <selection pane="topRight"/>
      <selection pane="bottomLeft"/>
      <selection pane="bottomRight" activeCell="C13" sqref="C13"/>
    </sheetView>
  </sheetViews>
  <sheetFormatPr defaultColWidth="9.140625" defaultRowHeight="23.2"/>
  <cols>
    <col min="1" max="1" width="15.390625" style="131" customWidth="1"/>
    <col min="2" max="2" width="10.6875" style="132" customWidth="1"/>
    <col min="3" max="3" width="35.5703125" style="133" customWidth="1"/>
    <col min="4" max="4" width="24.1875" style="134" customWidth="1"/>
    <col min="5" max="5" width="24.7109375" style="129" customWidth="1"/>
    <col min="6" max="6" width="36.9609375" style="129" customWidth="1"/>
    <col min="7" max="7" width="27.0078125" style="129" customWidth="1"/>
    <col min="8" max="8" width="22" style="129" customWidth="1"/>
    <col min="9" max="9" width="22.25" style="171" customWidth="1"/>
    <col min="10" max="10" width="25.125" style="134" customWidth="1"/>
    <col min="11" max="12" width="12.859375" style="129"/>
    <col min="13" max="16384" width="9.140625" style="129"/>
  </cols>
  <sheetData>
    <row r="1" s="129" customFormat="1" spans="1:10">
      <c r="A1" s="137" t="s">
        <v>0</v>
      </c>
      <c r="B1" s="138" t="s">
        <v>6</v>
      </c>
      <c r="C1" s="139" t="s">
        <v>11</v>
      </c>
      <c r="D1" s="140" t="s">
        <v>12</v>
      </c>
      <c r="E1" s="140" t="s">
        <v>3</v>
      </c>
      <c r="F1" s="140" t="s">
        <v>10</v>
      </c>
      <c r="G1" s="140" t="s">
        <v>4</v>
      </c>
      <c r="H1" s="140" t="s">
        <v>5</v>
      </c>
      <c r="I1" s="173" t="s">
        <v>13</v>
      </c>
      <c r="J1" s="140" t="s">
        <v>14</v>
      </c>
    </row>
    <row r="2" s="129" customFormat="1" spans="1:10">
      <c r="A2" s="15"/>
      <c r="B2" s="141"/>
      <c r="C2" s="142"/>
      <c r="D2" s="162"/>
      <c r="E2" s="163"/>
      <c r="F2" s="150"/>
      <c r="G2" s="166"/>
      <c r="H2" s="166"/>
      <c r="I2" s="174"/>
      <c r="J2" s="175"/>
    </row>
    <row r="3" s="129" customFormat="1" spans="1:10">
      <c r="A3" s="15"/>
      <c r="B3" s="141"/>
      <c r="C3" s="142"/>
      <c r="D3" s="162"/>
      <c r="E3" s="163"/>
      <c r="F3" s="150"/>
      <c r="G3" s="166"/>
      <c r="H3" s="166"/>
      <c r="I3" s="176"/>
      <c r="J3" s="177"/>
    </row>
    <row r="4" s="129" customFormat="1" spans="1:10">
      <c r="A4" s="15"/>
      <c r="B4" s="141"/>
      <c r="C4" s="142"/>
      <c r="D4" s="162"/>
      <c r="E4" s="163"/>
      <c r="F4" s="150"/>
      <c r="G4" s="166"/>
      <c r="H4" s="166"/>
      <c r="I4" s="178"/>
      <c r="J4" s="157"/>
    </row>
    <row r="5" s="129" customFormat="1" spans="1:10">
      <c r="A5" s="15"/>
      <c r="B5" s="141"/>
      <c r="C5" s="142"/>
      <c r="D5" s="162"/>
      <c r="E5" s="163"/>
      <c r="F5" s="150"/>
      <c r="G5" s="166"/>
      <c r="H5" s="166"/>
      <c r="I5" s="178"/>
      <c r="J5" s="157"/>
    </row>
    <row r="6" s="129" customFormat="1" spans="1:10">
      <c r="A6" s="15"/>
      <c r="B6" s="141"/>
      <c r="C6" s="142"/>
      <c r="D6" s="162"/>
      <c r="E6" s="163"/>
      <c r="F6" s="150"/>
      <c r="G6" s="166"/>
      <c r="H6" s="166"/>
      <c r="I6" s="178"/>
      <c r="J6" s="67"/>
    </row>
    <row r="7" s="129" customFormat="1" spans="1:10">
      <c r="A7" s="15"/>
      <c r="B7" s="141"/>
      <c r="C7" s="142"/>
      <c r="D7" s="162"/>
      <c r="E7" s="142"/>
      <c r="F7" s="141"/>
      <c r="G7" s="166"/>
      <c r="H7" s="166"/>
      <c r="I7" s="178"/>
      <c r="J7" s="67"/>
    </row>
    <row r="8" s="129" customFormat="1" spans="1:10">
      <c r="A8" s="15"/>
      <c r="B8" s="141"/>
      <c r="C8" s="142"/>
      <c r="D8" s="162"/>
      <c r="E8" s="142"/>
      <c r="F8" s="141"/>
      <c r="G8" s="166"/>
      <c r="H8" s="166"/>
      <c r="I8" s="178"/>
      <c r="J8" s="67"/>
    </row>
    <row r="9" s="129" customFormat="1" spans="1:10">
      <c r="A9" s="15"/>
      <c r="B9" s="141"/>
      <c r="C9" s="142"/>
      <c r="D9" s="162"/>
      <c r="E9" s="142"/>
      <c r="F9" s="141"/>
      <c r="G9" s="166"/>
      <c r="H9" s="166"/>
      <c r="I9" s="178"/>
      <c r="J9" s="67"/>
    </row>
    <row r="10" s="129" customFormat="1" spans="1:10">
      <c r="A10" s="15"/>
      <c r="B10" s="141"/>
      <c r="C10" s="142"/>
      <c r="D10" s="162"/>
      <c r="E10" s="142"/>
      <c r="F10" s="141"/>
      <c r="G10" s="166"/>
      <c r="H10" s="166"/>
      <c r="I10" s="178"/>
      <c r="J10" s="67"/>
    </row>
    <row r="11" s="129" customFormat="1" spans="1:10">
      <c r="A11" s="15"/>
      <c r="B11" s="141"/>
      <c r="C11" s="142"/>
      <c r="D11" s="162"/>
      <c r="E11" s="163"/>
      <c r="F11" s="141"/>
      <c r="G11" s="166"/>
      <c r="H11" s="166"/>
      <c r="I11" s="178"/>
      <c r="J11" s="67"/>
    </row>
    <row r="12" s="129" customFormat="1" spans="1:10">
      <c r="A12" s="15"/>
      <c r="B12" s="141"/>
      <c r="C12" s="142"/>
      <c r="D12" s="162"/>
      <c r="E12" s="163"/>
      <c r="F12" s="141"/>
      <c r="G12" s="166"/>
      <c r="H12" s="166"/>
      <c r="I12" s="178"/>
      <c r="J12" s="67"/>
    </row>
    <row r="13" s="129" customFormat="1" spans="1:10">
      <c r="A13" s="15"/>
      <c r="B13" s="141"/>
      <c r="C13" s="142"/>
      <c r="D13" s="162"/>
      <c r="E13" s="163"/>
      <c r="F13" s="141"/>
      <c r="G13" s="166"/>
      <c r="H13" s="166"/>
      <c r="I13" s="178"/>
      <c r="J13" s="67"/>
    </row>
    <row r="14" s="129" customFormat="1" spans="1:10">
      <c r="A14" s="15"/>
      <c r="B14" s="141"/>
      <c r="C14" s="142"/>
      <c r="D14" s="162"/>
      <c r="E14" s="163"/>
      <c r="F14" s="141"/>
      <c r="G14" s="166"/>
      <c r="H14" s="166"/>
      <c r="I14" s="178"/>
      <c r="J14" s="67"/>
    </row>
    <row r="15" s="129" customFormat="1" spans="1:10">
      <c r="A15" s="15"/>
      <c r="B15" s="141"/>
      <c r="C15" s="142"/>
      <c r="D15" s="162"/>
      <c r="E15" s="163"/>
      <c r="F15" s="141"/>
      <c r="G15" s="166"/>
      <c r="H15" s="166"/>
      <c r="I15" s="178"/>
      <c r="J15" s="67"/>
    </row>
    <row r="16" s="130" customFormat="1" spans="1:10">
      <c r="A16" s="15"/>
      <c r="B16" s="141"/>
      <c r="C16" s="142"/>
      <c r="D16" s="162"/>
      <c r="E16" s="163"/>
      <c r="F16" s="150"/>
      <c r="G16" s="166"/>
      <c r="H16" s="166"/>
      <c r="I16" s="178"/>
      <c r="J16" s="67"/>
    </row>
    <row r="17" s="130" customFormat="1" spans="1:10">
      <c r="A17" s="15"/>
      <c r="B17" s="141"/>
      <c r="C17" s="142"/>
      <c r="D17" s="162"/>
      <c r="E17" s="163"/>
      <c r="F17" s="150"/>
      <c r="G17" s="166"/>
      <c r="H17" s="166"/>
      <c r="I17" s="178"/>
      <c r="J17" s="67"/>
    </row>
    <row r="18" s="130" customFormat="1" spans="1:10">
      <c r="A18" s="15"/>
      <c r="B18" s="141"/>
      <c r="C18" s="142"/>
      <c r="D18" s="162"/>
      <c r="E18" s="163"/>
      <c r="F18" s="150"/>
      <c r="G18" s="166"/>
      <c r="H18" s="166"/>
      <c r="I18" s="178"/>
      <c r="J18" s="67"/>
    </row>
    <row r="19" s="130" customFormat="1" spans="1:10">
      <c r="A19" s="15"/>
      <c r="B19" s="141"/>
      <c r="C19" s="142"/>
      <c r="D19" s="162"/>
      <c r="E19" s="163"/>
      <c r="F19" s="22"/>
      <c r="G19" s="166"/>
      <c r="H19" s="166"/>
      <c r="I19" s="178"/>
      <c r="J19" s="67"/>
    </row>
    <row r="20" s="130" customFormat="1" spans="1:10">
      <c r="A20" s="15"/>
      <c r="B20" s="141"/>
      <c r="C20" s="142"/>
      <c r="D20" s="162"/>
      <c r="E20" s="163"/>
      <c r="F20" s="22"/>
      <c r="G20" s="166"/>
      <c r="H20" s="166"/>
      <c r="I20" s="178"/>
      <c r="J20" s="67"/>
    </row>
    <row r="21" s="130" customFormat="1" spans="1:10">
      <c r="A21" s="15"/>
      <c r="B21" s="141"/>
      <c r="C21" s="142"/>
      <c r="D21" s="162"/>
      <c r="E21" s="163"/>
      <c r="F21" s="22"/>
      <c r="G21" s="166"/>
      <c r="H21" s="166"/>
      <c r="I21" s="178"/>
      <c r="J21" s="67"/>
    </row>
    <row r="22" s="130" customFormat="1" spans="1:10">
      <c r="A22" s="15"/>
      <c r="B22" s="141"/>
      <c r="C22" s="142"/>
      <c r="D22" s="162"/>
      <c r="E22" s="163"/>
      <c r="F22" s="22"/>
      <c r="G22" s="166"/>
      <c r="H22" s="166"/>
      <c r="I22" s="178"/>
      <c r="J22" s="67"/>
    </row>
    <row r="23" s="130" customFormat="1" spans="1:10">
      <c r="A23" s="15"/>
      <c r="B23" s="141"/>
      <c r="C23" s="142"/>
      <c r="D23" s="162"/>
      <c r="E23" s="163"/>
      <c r="F23" s="22"/>
      <c r="G23" s="166"/>
      <c r="H23" s="166"/>
      <c r="I23" s="179"/>
      <c r="J23" s="67"/>
    </row>
    <row r="24" s="129" customFormat="1" spans="1:10">
      <c r="A24" s="145"/>
      <c r="B24" s="145"/>
      <c r="C24" s="146"/>
      <c r="D24" s="147"/>
      <c r="E24" s="172">
        <f>SUM(H2:H23)-SUMIF(J:J,"PAID*",H:H)</f>
        <v>0</v>
      </c>
      <c r="F24" s="172"/>
      <c r="G24" s="172"/>
      <c r="H24" s="172"/>
      <c r="I24" s="172"/>
      <c r="J24" s="67"/>
    </row>
    <row r="26" spans="7:7">
      <c r="G26" s="170"/>
    </row>
  </sheetData>
  <mergeCells count="3">
    <mergeCell ref="E24:I24"/>
    <mergeCell ref="I2:I3"/>
    <mergeCell ref="J2:J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zoomScale="61" zoomScaleNormal="61" workbookViewId="0">
      <pane xSplit="1" ySplit="1" topLeftCell="C2" activePane="bottomRight" state="frozen"/>
      <selection/>
      <selection pane="topRight"/>
      <selection pane="bottomLeft"/>
      <selection pane="bottomRight" activeCell="F9" sqref="F9:G23"/>
    </sheetView>
  </sheetViews>
  <sheetFormatPr defaultColWidth="9.140625" defaultRowHeight="23.2" outlineLevelCol="6"/>
  <cols>
    <col min="1" max="1" width="18.859375" style="131" customWidth="1"/>
    <col min="2" max="2" width="35.5703125" style="133" customWidth="1"/>
    <col min="3" max="3" width="24.1875" style="134" customWidth="1"/>
    <col min="4" max="4" width="24.7109375" style="129" customWidth="1"/>
    <col min="5" max="5" width="36.9609375" style="129" customWidth="1"/>
    <col min="6" max="6" width="27.0078125" style="129" customWidth="1"/>
    <col min="7" max="7" width="22" style="129" customWidth="1"/>
    <col min="8" max="9" width="12.859375" style="129"/>
    <col min="10" max="16384" width="9.140625" style="129"/>
  </cols>
  <sheetData>
    <row r="1" s="129" customFormat="1" spans="1:7">
      <c r="A1" s="137" t="s">
        <v>0</v>
      </c>
      <c r="B1" s="139" t="s">
        <v>11</v>
      </c>
      <c r="C1" s="140" t="s">
        <v>12</v>
      </c>
      <c r="D1" s="140" t="s">
        <v>3</v>
      </c>
      <c r="E1" s="140" t="s">
        <v>10</v>
      </c>
      <c r="F1" s="140" t="s">
        <v>4</v>
      </c>
      <c r="G1" s="140" t="s">
        <v>5</v>
      </c>
    </row>
    <row r="2" s="129" customFormat="1" spans="1:7">
      <c r="A2" s="15"/>
      <c r="B2" s="142"/>
      <c r="C2" s="162"/>
      <c r="D2" s="163"/>
      <c r="E2" s="150"/>
      <c r="F2" s="166"/>
      <c r="G2" s="166"/>
    </row>
    <row r="3" s="129" customFormat="1" spans="1:7">
      <c r="A3" s="15"/>
      <c r="B3" s="142"/>
      <c r="C3" s="162"/>
      <c r="D3" s="163"/>
      <c r="E3" s="150"/>
      <c r="F3" s="166"/>
      <c r="G3" s="166"/>
    </row>
    <row r="4" s="129" customFormat="1" spans="1:7">
      <c r="A4" s="15"/>
      <c r="B4" s="142"/>
      <c r="C4" s="162"/>
      <c r="D4" s="163"/>
      <c r="E4" s="150"/>
      <c r="F4" s="166"/>
      <c r="G4" s="166"/>
    </row>
    <row r="5" s="129" customFormat="1" spans="1:7">
      <c r="A5" s="15"/>
      <c r="B5" s="142"/>
      <c r="C5" s="162"/>
      <c r="D5" s="163"/>
      <c r="E5" s="150"/>
      <c r="F5" s="166"/>
      <c r="G5" s="166"/>
    </row>
    <row r="6" s="129" customFormat="1" spans="1:7">
      <c r="A6" s="15"/>
      <c r="B6" s="142"/>
      <c r="C6" s="162"/>
      <c r="D6" s="163"/>
      <c r="E6" s="150"/>
      <c r="F6" s="166"/>
      <c r="G6" s="166"/>
    </row>
    <row r="7" s="129" customFormat="1" spans="1:7">
      <c r="A7" s="15"/>
      <c r="B7" s="142"/>
      <c r="C7" s="162"/>
      <c r="D7" s="142"/>
      <c r="E7" s="141"/>
      <c r="F7" s="166"/>
      <c r="G7" s="166"/>
    </row>
    <row r="8" s="129" customFormat="1" spans="1:7">
      <c r="A8" s="15"/>
      <c r="B8" s="142"/>
      <c r="C8" s="162"/>
      <c r="D8" s="142"/>
      <c r="E8" s="141"/>
      <c r="F8" s="166"/>
      <c r="G8" s="166"/>
    </row>
    <row r="9" s="129" customFormat="1" spans="1:7">
      <c r="A9" s="65"/>
      <c r="B9" s="142"/>
      <c r="C9" s="143"/>
      <c r="D9" s="142"/>
      <c r="E9" s="141"/>
      <c r="F9" s="166"/>
      <c r="G9" s="166"/>
    </row>
    <row r="10" s="129" customFormat="1" spans="1:7">
      <c r="A10" s="65"/>
      <c r="B10" s="142"/>
      <c r="C10" s="143"/>
      <c r="D10" s="142"/>
      <c r="E10" s="141"/>
      <c r="F10" s="166"/>
      <c r="G10" s="166"/>
    </row>
    <row r="11" s="129" customFormat="1" spans="1:7">
      <c r="A11" s="65"/>
      <c r="B11" s="142"/>
      <c r="C11" s="143"/>
      <c r="D11" s="163"/>
      <c r="E11" s="141"/>
      <c r="F11" s="166"/>
      <c r="G11" s="166"/>
    </row>
    <row r="12" s="129" customFormat="1" spans="1:7">
      <c r="A12" s="65"/>
      <c r="B12" s="142"/>
      <c r="C12" s="143"/>
      <c r="D12" s="163"/>
      <c r="E12" s="141"/>
      <c r="F12" s="166"/>
      <c r="G12" s="166"/>
    </row>
    <row r="13" s="129" customFormat="1" spans="1:7">
      <c r="A13" s="65"/>
      <c r="B13" s="142"/>
      <c r="C13" s="143"/>
      <c r="D13" s="163"/>
      <c r="E13" s="141"/>
      <c r="F13" s="166"/>
      <c r="G13" s="166"/>
    </row>
    <row r="14" s="129" customFormat="1" spans="1:7">
      <c r="A14" s="65"/>
      <c r="B14" s="142"/>
      <c r="C14" s="143"/>
      <c r="D14" s="163"/>
      <c r="E14" s="141"/>
      <c r="F14" s="166"/>
      <c r="G14" s="166"/>
    </row>
    <row r="15" s="129" customFormat="1" spans="1:7">
      <c r="A15" s="65"/>
      <c r="B15" s="142"/>
      <c r="C15" s="143"/>
      <c r="D15" s="163"/>
      <c r="E15" s="141"/>
      <c r="F15" s="166"/>
      <c r="G15" s="166"/>
    </row>
    <row r="16" s="130" customFormat="1" spans="1:7">
      <c r="A16" s="65"/>
      <c r="B16" s="142"/>
      <c r="C16" s="143"/>
      <c r="D16" s="163"/>
      <c r="E16" s="150"/>
      <c r="F16" s="166"/>
      <c r="G16" s="166"/>
    </row>
    <row r="17" s="130" customFormat="1" spans="1:7">
      <c r="A17" s="65"/>
      <c r="B17" s="142"/>
      <c r="C17" s="143"/>
      <c r="D17" s="163"/>
      <c r="E17" s="150"/>
      <c r="F17" s="166"/>
      <c r="G17" s="166"/>
    </row>
    <row r="18" s="130" customFormat="1" spans="1:7">
      <c r="A18" s="65"/>
      <c r="B18" s="142"/>
      <c r="C18" s="143"/>
      <c r="D18" s="163"/>
      <c r="E18" s="150"/>
      <c r="F18" s="166"/>
      <c r="G18" s="166"/>
    </row>
    <row r="19" s="130" customFormat="1" spans="1:7">
      <c r="A19" s="65"/>
      <c r="B19" s="142"/>
      <c r="C19" s="143"/>
      <c r="D19" s="163"/>
      <c r="E19" s="22"/>
      <c r="F19" s="166"/>
      <c r="G19" s="166"/>
    </row>
    <row r="20" s="130" customFormat="1" spans="1:7">
      <c r="A20" s="65"/>
      <c r="B20" s="142"/>
      <c r="C20" s="143"/>
      <c r="D20" s="163"/>
      <c r="E20" s="22"/>
      <c r="F20" s="166"/>
      <c r="G20" s="166"/>
    </row>
    <row r="21" s="130" customFormat="1" spans="1:7">
      <c r="A21" s="65"/>
      <c r="B21" s="142"/>
      <c r="C21" s="143"/>
      <c r="D21" s="163"/>
      <c r="E21" s="22"/>
      <c r="F21" s="166"/>
      <c r="G21" s="166"/>
    </row>
    <row r="22" s="130" customFormat="1" spans="1:7">
      <c r="A22" s="65"/>
      <c r="B22" s="142"/>
      <c r="C22" s="143"/>
      <c r="D22" s="163"/>
      <c r="E22" s="22"/>
      <c r="F22" s="166"/>
      <c r="G22" s="166"/>
    </row>
    <row r="23" s="130" customFormat="1" spans="1:7">
      <c r="A23" s="65"/>
      <c r="B23" s="142"/>
      <c r="C23" s="143"/>
      <c r="D23" s="164"/>
      <c r="E23" s="154"/>
      <c r="F23" s="167"/>
      <c r="G23" s="167"/>
    </row>
    <row r="24" s="129" customFormat="1" spans="1:7">
      <c r="A24" s="145"/>
      <c r="B24" s="146"/>
      <c r="C24" s="147"/>
      <c r="D24" s="165">
        <f>SUM(G:G)</f>
        <v>0</v>
      </c>
      <c r="E24" s="168"/>
      <c r="F24" s="168"/>
      <c r="G24" s="169"/>
    </row>
    <row r="26" s="129" customFormat="1" spans="1:6">
      <c r="A26" s="131"/>
      <c r="B26" s="133"/>
      <c r="C26" s="134"/>
      <c r="F26" s="170"/>
    </row>
  </sheetData>
  <mergeCells count="1">
    <mergeCell ref="D24:G2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L2" sqref="L2"/>
    </sheetView>
  </sheetViews>
  <sheetFormatPr defaultColWidth="9.140625" defaultRowHeight="23.2"/>
  <cols>
    <col min="1" max="1" width="18.859375" style="131" customWidth="1"/>
    <col min="2" max="2" width="21.7421875" style="132" customWidth="1"/>
    <col min="3" max="3" width="35.5703125" style="133" customWidth="1"/>
    <col min="4" max="4" width="24.1875" style="134" customWidth="1"/>
    <col min="5" max="5" width="24.7109375" style="135" customWidth="1"/>
    <col min="6" max="6" width="36.9609375" style="129" customWidth="1"/>
    <col min="7" max="7" width="27.0078125" style="135" customWidth="1"/>
    <col min="8" max="8" width="22" style="135" customWidth="1"/>
    <col min="9" max="11" width="22.25" style="136" customWidth="1"/>
    <col min="12" max="12" width="25.125" style="134" customWidth="1"/>
    <col min="13" max="14" width="12.859375" style="129"/>
    <col min="15" max="16382" width="9.140625" style="129"/>
    <col min="16384" max="16384" width="9.140625" style="129"/>
  </cols>
  <sheetData>
    <row r="1" s="129" customFormat="1" spans="1:12">
      <c r="A1" s="137" t="s">
        <v>0</v>
      </c>
      <c r="B1" s="138" t="s">
        <v>6</v>
      </c>
      <c r="C1" s="139" t="s">
        <v>11</v>
      </c>
      <c r="D1" s="140" t="s">
        <v>12</v>
      </c>
      <c r="E1" s="148" t="s">
        <v>3</v>
      </c>
      <c r="F1" s="140" t="s">
        <v>10</v>
      </c>
      <c r="G1" s="148" t="s">
        <v>4</v>
      </c>
      <c r="H1" s="148" t="s">
        <v>5</v>
      </c>
      <c r="I1" s="148" t="s">
        <v>15</v>
      </c>
      <c r="J1" s="148" t="s">
        <v>16</v>
      </c>
      <c r="K1" s="148" t="s">
        <v>5</v>
      </c>
      <c r="L1" s="140" t="s">
        <v>14</v>
      </c>
    </row>
    <row r="2" s="129" customFormat="1" ht="154.4" customHeight="1" spans="1:12">
      <c r="A2" s="15"/>
      <c r="B2" s="141"/>
      <c r="C2" s="142"/>
      <c r="D2" s="143"/>
      <c r="E2" s="149"/>
      <c r="F2" s="150"/>
      <c r="G2" s="151"/>
      <c r="H2" s="151"/>
      <c r="I2" s="151"/>
      <c r="J2" s="151">
        <f>H2*11%</f>
        <v>0</v>
      </c>
      <c r="K2" s="151">
        <f>SUM(H2)-I2+J2</f>
        <v>0</v>
      </c>
      <c r="L2" s="28"/>
    </row>
    <row r="3" s="129" customFormat="1" spans="1:12">
      <c r="A3" s="15"/>
      <c r="B3" s="141"/>
      <c r="C3" s="142"/>
      <c r="D3" s="143"/>
      <c r="E3" s="149"/>
      <c r="F3" s="150"/>
      <c r="G3" s="151"/>
      <c r="H3" s="151"/>
      <c r="I3" s="151"/>
      <c r="J3" s="151"/>
      <c r="K3" s="151"/>
      <c r="L3" s="157"/>
    </row>
    <row r="4" s="129" customFormat="1" spans="1:12">
      <c r="A4" s="15"/>
      <c r="B4" s="144"/>
      <c r="C4" s="142"/>
      <c r="D4" s="143"/>
      <c r="E4" s="149"/>
      <c r="F4" s="150"/>
      <c r="G4" s="151"/>
      <c r="H4" s="151"/>
      <c r="I4" s="158"/>
      <c r="J4" s="158"/>
      <c r="K4" s="158"/>
      <c r="L4" s="157"/>
    </row>
    <row r="5" s="129" customFormat="1" spans="1:12">
      <c r="A5" s="15"/>
      <c r="B5" s="144"/>
      <c r="C5" s="142"/>
      <c r="D5" s="143"/>
      <c r="E5" s="149"/>
      <c r="F5" s="150"/>
      <c r="G5" s="151"/>
      <c r="H5" s="151"/>
      <c r="I5" s="158"/>
      <c r="J5" s="158"/>
      <c r="K5" s="158"/>
      <c r="L5" s="157"/>
    </row>
    <row r="6" s="129" customFormat="1" spans="1:12">
      <c r="A6" s="15"/>
      <c r="B6" s="144"/>
      <c r="C6" s="142"/>
      <c r="D6" s="143"/>
      <c r="E6" s="149"/>
      <c r="F6" s="150"/>
      <c r="G6" s="151"/>
      <c r="H6" s="151"/>
      <c r="I6" s="158"/>
      <c r="J6" s="158"/>
      <c r="K6" s="158"/>
      <c r="L6" s="67"/>
    </row>
    <row r="7" s="129" customFormat="1" spans="1:12">
      <c r="A7" s="15"/>
      <c r="B7" s="144"/>
      <c r="C7" s="142"/>
      <c r="D7" s="143"/>
      <c r="E7" s="152"/>
      <c r="F7" s="141"/>
      <c r="G7" s="151"/>
      <c r="H7" s="151"/>
      <c r="I7" s="158"/>
      <c r="J7" s="158"/>
      <c r="K7" s="158"/>
      <c r="L7" s="67"/>
    </row>
    <row r="8" s="129" customFormat="1" spans="1:12">
      <c r="A8" s="15"/>
      <c r="B8" s="144"/>
      <c r="C8" s="142"/>
      <c r="D8" s="143"/>
      <c r="E8" s="152"/>
      <c r="F8" s="141"/>
      <c r="G8" s="151"/>
      <c r="H8" s="151"/>
      <c r="I8" s="158"/>
      <c r="J8" s="158"/>
      <c r="K8" s="158"/>
      <c r="L8" s="67"/>
    </row>
    <row r="9" s="129" customFormat="1" spans="1:12">
      <c r="A9" s="15"/>
      <c r="B9" s="144"/>
      <c r="C9" s="142"/>
      <c r="D9" s="143"/>
      <c r="E9" s="152"/>
      <c r="F9" s="141"/>
      <c r="G9" s="151"/>
      <c r="H9" s="151"/>
      <c r="I9" s="158"/>
      <c r="J9" s="158"/>
      <c r="K9" s="158"/>
      <c r="L9" s="67"/>
    </row>
    <row r="10" s="129" customFormat="1" spans="1:12">
      <c r="A10" s="15"/>
      <c r="B10" s="144"/>
      <c r="C10" s="142"/>
      <c r="D10" s="143"/>
      <c r="E10" s="152"/>
      <c r="F10" s="141"/>
      <c r="G10" s="151"/>
      <c r="H10" s="151"/>
      <c r="I10" s="158"/>
      <c r="J10" s="158"/>
      <c r="K10" s="158"/>
      <c r="L10" s="67"/>
    </row>
    <row r="11" s="129" customFormat="1" spans="1:12">
      <c r="A11" s="15"/>
      <c r="B11" s="144"/>
      <c r="C11" s="142"/>
      <c r="D11" s="143"/>
      <c r="E11" s="149"/>
      <c r="F11" s="141"/>
      <c r="G11" s="151"/>
      <c r="H11" s="151"/>
      <c r="I11" s="158"/>
      <c r="J11" s="158"/>
      <c r="K11" s="158"/>
      <c r="L11" s="67"/>
    </row>
    <row r="12" s="129" customFormat="1" spans="1:12">
      <c r="A12" s="15"/>
      <c r="B12" s="144"/>
      <c r="C12" s="142"/>
      <c r="D12" s="143"/>
      <c r="E12" s="149"/>
      <c r="F12" s="141"/>
      <c r="G12" s="151"/>
      <c r="H12" s="151"/>
      <c r="I12" s="158"/>
      <c r="J12" s="158"/>
      <c r="K12" s="158"/>
      <c r="L12" s="67"/>
    </row>
    <row r="13" s="129" customFormat="1" spans="1:12">
      <c r="A13" s="15"/>
      <c r="B13" s="144"/>
      <c r="C13" s="142"/>
      <c r="D13" s="143"/>
      <c r="E13" s="149"/>
      <c r="F13" s="141"/>
      <c r="G13" s="151"/>
      <c r="H13" s="151"/>
      <c r="I13" s="158"/>
      <c r="J13" s="158"/>
      <c r="K13" s="158"/>
      <c r="L13" s="67"/>
    </row>
    <row r="14" s="129" customFormat="1" spans="1:12">
      <c r="A14" s="15"/>
      <c r="B14" s="144"/>
      <c r="C14" s="142"/>
      <c r="D14" s="143"/>
      <c r="E14" s="149"/>
      <c r="F14" s="141"/>
      <c r="G14" s="151"/>
      <c r="H14" s="151"/>
      <c r="I14" s="158"/>
      <c r="J14" s="158"/>
      <c r="K14" s="158"/>
      <c r="L14" s="67"/>
    </row>
    <row r="15" s="129" customFormat="1" spans="1:12">
      <c r="A15" s="15"/>
      <c r="B15" s="144"/>
      <c r="C15" s="142"/>
      <c r="D15" s="143"/>
      <c r="E15" s="149"/>
      <c r="F15" s="141"/>
      <c r="G15" s="151"/>
      <c r="H15" s="151"/>
      <c r="I15" s="158"/>
      <c r="J15" s="158"/>
      <c r="K15" s="158"/>
      <c r="L15" s="67"/>
    </row>
    <row r="16" s="130" customFormat="1" spans="1:12">
      <c r="A16" s="15"/>
      <c r="B16" s="144"/>
      <c r="C16" s="142"/>
      <c r="D16" s="143"/>
      <c r="E16" s="149"/>
      <c r="F16" s="150"/>
      <c r="G16" s="151"/>
      <c r="H16" s="151"/>
      <c r="I16" s="158"/>
      <c r="J16" s="158"/>
      <c r="K16" s="158"/>
      <c r="L16" s="67"/>
    </row>
    <row r="17" s="130" customFormat="1" spans="1:12">
      <c r="A17" s="15"/>
      <c r="B17" s="144"/>
      <c r="C17" s="142"/>
      <c r="D17" s="143"/>
      <c r="E17" s="149"/>
      <c r="F17" s="150"/>
      <c r="G17" s="151"/>
      <c r="H17" s="151"/>
      <c r="I17" s="158"/>
      <c r="J17" s="158"/>
      <c r="K17" s="158"/>
      <c r="L17" s="67"/>
    </row>
    <row r="18" s="130" customFormat="1" spans="1:12">
      <c r="A18" s="15"/>
      <c r="B18" s="144"/>
      <c r="C18" s="142"/>
      <c r="D18" s="143"/>
      <c r="E18" s="149"/>
      <c r="F18" s="150"/>
      <c r="G18" s="151"/>
      <c r="H18" s="151"/>
      <c r="I18" s="158"/>
      <c r="J18" s="158"/>
      <c r="K18" s="158"/>
      <c r="L18" s="67"/>
    </row>
    <row r="19" s="130" customFormat="1" spans="1:12">
      <c r="A19" s="15"/>
      <c r="B19" s="144"/>
      <c r="C19" s="142"/>
      <c r="D19" s="143"/>
      <c r="E19" s="149"/>
      <c r="F19" s="22"/>
      <c r="G19" s="151"/>
      <c r="H19" s="151"/>
      <c r="I19" s="158"/>
      <c r="J19" s="158"/>
      <c r="K19" s="158"/>
      <c r="L19" s="67"/>
    </row>
    <row r="20" s="130" customFormat="1" spans="1:12">
      <c r="A20" s="15"/>
      <c r="B20" s="144"/>
      <c r="C20" s="142"/>
      <c r="D20" s="143"/>
      <c r="E20" s="149"/>
      <c r="F20" s="22"/>
      <c r="G20" s="151"/>
      <c r="H20" s="151"/>
      <c r="I20" s="158"/>
      <c r="J20" s="158"/>
      <c r="K20" s="158"/>
      <c r="L20" s="67"/>
    </row>
    <row r="21" s="130" customFormat="1" spans="1:12">
      <c r="A21" s="15"/>
      <c r="B21" s="144"/>
      <c r="C21" s="142"/>
      <c r="D21" s="143"/>
      <c r="E21" s="149"/>
      <c r="F21" s="22"/>
      <c r="G21" s="151"/>
      <c r="H21" s="151"/>
      <c r="I21" s="158"/>
      <c r="J21" s="158"/>
      <c r="K21" s="158"/>
      <c r="L21" s="67"/>
    </row>
    <row r="22" s="130" customFormat="1" spans="1:12">
      <c r="A22" s="15"/>
      <c r="B22" s="144"/>
      <c r="C22" s="142"/>
      <c r="D22" s="143"/>
      <c r="E22" s="149"/>
      <c r="F22" s="22"/>
      <c r="G22" s="151"/>
      <c r="H22" s="151"/>
      <c r="I22" s="158"/>
      <c r="J22" s="158"/>
      <c r="K22" s="158"/>
      <c r="L22" s="67"/>
    </row>
    <row r="23" s="130" customFormat="1" spans="1:12">
      <c r="A23" s="15"/>
      <c r="B23" s="144"/>
      <c r="C23" s="142"/>
      <c r="D23" s="143"/>
      <c r="E23" s="153"/>
      <c r="F23" s="154"/>
      <c r="G23" s="155"/>
      <c r="H23" s="155"/>
      <c r="I23" s="159"/>
      <c r="J23" s="159"/>
      <c r="K23" s="159"/>
      <c r="L23" s="67"/>
    </row>
    <row r="24" s="129" customFormat="1" spans="1:12">
      <c r="A24" s="145"/>
      <c r="B24" s="145"/>
      <c r="C24" s="146"/>
      <c r="D24" s="147"/>
      <c r="E24" s="156"/>
      <c r="F24" s="156"/>
      <c r="G24" s="156"/>
      <c r="H24" s="156"/>
      <c r="I24" s="156"/>
      <c r="J24" s="160">
        <f>SUM(K:K)-SUMIF(L:L,"PAID*",K:K)</f>
        <v>0</v>
      </c>
      <c r="K24" s="161"/>
      <c r="L24" s="67"/>
    </row>
    <row r="26" s="129" customFormat="1" spans="1:12">
      <c r="A26" s="131"/>
      <c r="B26" s="132"/>
      <c r="C26" s="133"/>
      <c r="D26" s="134"/>
      <c r="E26" s="135"/>
      <c r="G26" s="135"/>
      <c r="H26" s="135"/>
      <c r="I26" s="136"/>
      <c r="J26" s="136"/>
      <c r="K26" s="136"/>
      <c r="L26" s="134"/>
    </row>
  </sheetData>
  <mergeCells count="1">
    <mergeCell ref="J24:K2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E1" workbookViewId="0">
      <pane ySplit="1" topLeftCell="A2" activePane="bottomLeft" state="frozen"/>
      <selection/>
      <selection pane="bottomLeft" activeCell="H2" sqref="G2:H8"/>
    </sheetView>
  </sheetViews>
  <sheetFormatPr defaultColWidth="9.140625" defaultRowHeight="23.2" outlineLevelCol="7"/>
  <cols>
    <col min="1" max="1" width="19.140625" style="113" customWidth="1"/>
    <col min="2" max="2" width="26.7109375" style="112" customWidth="1"/>
    <col min="3" max="3" width="33.921875" style="114" customWidth="1"/>
    <col min="4" max="4" width="29.703125" style="114" customWidth="1"/>
    <col min="5" max="5" width="48.046875" style="112" customWidth="1"/>
    <col min="6" max="6" width="23.359375" style="112" customWidth="1"/>
    <col min="7" max="8" width="19.2890625" style="112" customWidth="1"/>
    <col min="9" max="9" width="12.859375" style="112"/>
    <col min="10" max="16384" width="9.140625" style="112"/>
  </cols>
  <sheetData>
    <row r="1" ht="35" customHeight="1" spans="1:8">
      <c r="A1" s="115" t="s">
        <v>0</v>
      </c>
      <c r="B1" s="116" t="s">
        <v>6</v>
      </c>
      <c r="C1" s="116" t="s">
        <v>17</v>
      </c>
      <c r="D1" s="116" t="s">
        <v>18</v>
      </c>
      <c r="E1" s="116" t="s">
        <v>19</v>
      </c>
      <c r="F1" s="116" t="s">
        <v>3</v>
      </c>
      <c r="G1" s="116" t="s">
        <v>4</v>
      </c>
      <c r="H1" s="125" t="s">
        <v>5</v>
      </c>
    </row>
    <row r="2" s="112" customFormat="1" spans="1:8">
      <c r="A2" s="117"/>
      <c r="B2" s="118"/>
      <c r="C2" s="119"/>
      <c r="D2" s="120"/>
      <c r="E2" s="126"/>
      <c r="F2" s="127"/>
      <c r="G2" s="127"/>
      <c r="H2" s="127"/>
    </row>
    <row r="3" s="112" customFormat="1" spans="1:8">
      <c r="A3" s="117"/>
      <c r="B3" s="118"/>
      <c r="C3" s="119"/>
      <c r="D3" s="120"/>
      <c r="E3" s="126"/>
      <c r="F3" s="127"/>
      <c r="G3" s="127"/>
      <c r="H3" s="126"/>
    </row>
    <row r="4" s="112" customFormat="1" spans="1:8">
      <c r="A4" s="117"/>
      <c r="B4" s="118"/>
      <c r="C4" s="119"/>
      <c r="D4" s="120"/>
      <c r="E4" s="126"/>
      <c r="F4" s="127"/>
      <c r="G4" s="127"/>
      <c r="H4" s="126"/>
    </row>
    <row r="5" s="112" customFormat="1" spans="1:8">
      <c r="A5" s="117"/>
      <c r="B5" s="118"/>
      <c r="C5" s="121"/>
      <c r="D5" s="122"/>
      <c r="E5" s="126"/>
      <c r="F5" s="127"/>
      <c r="G5" s="127"/>
      <c r="H5" s="126"/>
    </row>
    <row r="6" s="112" customFormat="1" spans="1:8">
      <c r="A6" s="117"/>
      <c r="B6" s="118"/>
      <c r="C6" s="121"/>
      <c r="D6" s="122"/>
      <c r="E6" s="126"/>
      <c r="F6" s="127"/>
      <c r="G6" s="127"/>
      <c r="H6" s="126"/>
    </row>
    <row r="7" s="112" customFormat="1" spans="1:8">
      <c r="A7" s="117"/>
      <c r="B7" s="118"/>
      <c r="C7" s="121"/>
      <c r="D7" s="122"/>
      <c r="E7" s="126"/>
      <c r="F7" s="127"/>
      <c r="G7" s="127"/>
      <c r="H7" s="126"/>
    </row>
    <row r="8" s="112" customFormat="1" spans="1:8">
      <c r="A8" s="117"/>
      <c r="B8" s="118"/>
      <c r="C8" s="121"/>
      <c r="D8" s="122"/>
      <c r="E8" s="126"/>
      <c r="F8" s="127"/>
      <c r="G8" s="127"/>
      <c r="H8" s="126"/>
    </row>
    <row r="9" s="112" customFormat="1" spans="1:8">
      <c r="A9" s="117"/>
      <c r="B9" s="118"/>
      <c r="C9" s="121"/>
      <c r="D9" s="122"/>
      <c r="E9" s="126"/>
      <c r="F9" s="127"/>
      <c r="G9" s="127"/>
      <c r="H9" s="126"/>
    </row>
    <row r="10" s="112" customFormat="1" spans="1:8">
      <c r="A10" s="117"/>
      <c r="B10" s="118"/>
      <c r="C10" s="121"/>
      <c r="D10" s="122"/>
      <c r="E10" s="126"/>
      <c r="F10" s="127"/>
      <c r="G10" s="127"/>
      <c r="H10" s="126"/>
    </row>
    <row r="11" s="112" customFormat="1" spans="1:8">
      <c r="A11" s="117"/>
      <c r="B11" s="118"/>
      <c r="C11" s="121"/>
      <c r="D11" s="122"/>
      <c r="E11" s="126"/>
      <c r="F11" s="127"/>
      <c r="G11" s="127"/>
      <c r="H11" s="126"/>
    </row>
    <row r="12" s="112" customFormat="1" ht="21" customHeight="1" spans="1:8">
      <c r="A12" s="123"/>
      <c r="B12" s="124"/>
      <c r="C12" s="124"/>
      <c r="D12" s="124"/>
      <c r="E12" s="123" t="s">
        <v>20</v>
      </c>
      <c r="F12" s="124"/>
      <c r="G12" s="124"/>
      <c r="H12" s="128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0625" defaultRowHeight="16.8"/>
  <cols>
    <col min="1" max="1" width="12.0625" style="11" customWidth="1"/>
    <col min="2" max="2" width="20.140625" customWidth="1"/>
    <col min="3" max="3" width="25.140625" style="7" customWidth="1"/>
    <col min="4" max="4" width="14.7265625" style="98" customWidth="1"/>
    <col min="5" max="5" width="35.125" customWidth="1"/>
    <col min="6" max="8" width="20.9921875" customWidth="1"/>
    <col min="9" max="9" width="12.859375"/>
  </cols>
  <sheetData>
    <row r="1" ht="20.4" spans="1:8">
      <c r="A1" s="99" t="s">
        <v>0</v>
      </c>
      <c r="B1" s="100" t="s">
        <v>6</v>
      </c>
      <c r="C1" s="101" t="s">
        <v>17</v>
      </c>
      <c r="D1" s="101" t="s">
        <v>18</v>
      </c>
      <c r="E1" s="100" t="s">
        <v>10</v>
      </c>
      <c r="F1" s="100" t="s">
        <v>3</v>
      </c>
      <c r="G1" s="100" t="s">
        <v>21</v>
      </c>
      <c r="H1" s="100" t="s">
        <v>5</v>
      </c>
    </row>
    <row r="2" spans="1:12">
      <c r="A2" s="78"/>
      <c r="B2" s="102"/>
      <c r="C2" s="103"/>
      <c r="D2" s="104"/>
      <c r="E2" s="107"/>
      <c r="F2" s="108"/>
      <c r="G2" s="108"/>
      <c r="H2" s="108"/>
      <c r="L2" s="61"/>
    </row>
    <row r="3" spans="1:11">
      <c r="A3" s="78"/>
      <c r="B3" s="102"/>
      <c r="C3" s="80"/>
      <c r="D3" s="81"/>
      <c r="E3" s="107"/>
      <c r="F3" s="108"/>
      <c r="G3" s="108"/>
      <c r="H3" s="108"/>
      <c r="K3" s="61"/>
    </row>
    <row r="4" spans="1:11">
      <c r="A4" s="78"/>
      <c r="B4" s="102"/>
      <c r="C4" s="80"/>
      <c r="D4" s="81"/>
      <c r="E4" s="107"/>
      <c r="F4" s="108"/>
      <c r="G4" s="108"/>
      <c r="H4" s="108"/>
      <c r="K4" s="61"/>
    </row>
    <row r="5" spans="1:11">
      <c r="A5" s="78"/>
      <c r="B5" s="102"/>
      <c r="C5" s="80"/>
      <c r="D5" s="81"/>
      <c r="E5" s="107"/>
      <c r="F5" s="108"/>
      <c r="G5" s="108"/>
      <c r="H5" s="108"/>
      <c r="K5" s="61"/>
    </row>
    <row r="6" spans="1:8">
      <c r="A6" s="78"/>
      <c r="B6" s="102"/>
      <c r="C6" s="80"/>
      <c r="D6" s="81"/>
      <c r="E6" s="107"/>
      <c r="F6" s="109"/>
      <c r="G6" s="108"/>
      <c r="H6" s="108"/>
    </row>
    <row r="7" spans="1:8">
      <c r="A7" s="78"/>
      <c r="B7" s="102"/>
      <c r="C7" s="89"/>
      <c r="D7" s="81"/>
      <c r="E7" s="107"/>
      <c r="F7" s="109"/>
      <c r="G7" s="108"/>
      <c r="H7" s="108"/>
    </row>
    <row r="8" spans="1:8">
      <c r="A8" s="78"/>
      <c r="B8" s="102"/>
      <c r="C8" s="89"/>
      <c r="D8" s="81"/>
      <c r="E8" s="107"/>
      <c r="F8" s="109"/>
      <c r="G8" s="108"/>
      <c r="H8" s="108"/>
    </row>
    <row r="9" spans="1:11">
      <c r="A9" s="78"/>
      <c r="B9" s="102"/>
      <c r="C9" s="80"/>
      <c r="D9" s="81"/>
      <c r="E9" s="107"/>
      <c r="F9" s="109"/>
      <c r="G9" s="109"/>
      <c r="H9" s="109"/>
      <c r="K9" s="61"/>
    </row>
    <row r="10" spans="1:11">
      <c r="A10" s="78"/>
      <c r="B10" s="102"/>
      <c r="C10" s="80"/>
      <c r="D10" s="81"/>
      <c r="E10" s="107"/>
      <c r="F10" s="109"/>
      <c r="G10" s="109"/>
      <c r="H10" s="109"/>
      <c r="K10" s="61"/>
    </row>
    <row r="11" spans="1:11">
      <c r="A11" s="78"/>
      <c r="B11" s="102"/>
      <c r="C11" s="80"/>
      <c r="D11" s="81"/>
      <c r="E11" s="107"/>
      <c r="F11" s="109"/>
      <c r="G11" s="109"/>
      <c r="H11" s="109"/>
      <c r="K11" s="61"/>
    </row>
    <row r="12" spans="1:11">
      <c r="A12" s="78"/>
      <c r="B12" s="102"/>
      <c r="C12" s="80"/>
      <c r="D12" s="81"/>
      <c r="E12" s="107"/>
      <c r="F12" s="109"/>
      <c r="G12" s="109"/>
      <c r="H12" s="109"/>
      <c r="K12" s="61"/>
    </row>
    <row r="13" spans="1:11">
      <c r="A13" s="78"/>
      <c r="B13" s="102"/>
      <c r="C13" s="80"/>
      <c r="D13" s="81"/>
      <c r="E13" s="107"/>
      <c r="F13" s="109"/>
      <c r="G13" s="109"/>
      <c r="H13" s="109"/>
      <c r="K13" s="61"/>
    </row>
    <row r="14" spans="1:11">
      <c r="A14" s="78"/>
      <c r="B14" s="102"/>
      <c r="C14" s="80"/>
      <c r="D14" s="81"/>
      <c r="E14" s="107"/>
      <c r="F14" s="109"/>
      <c r="G14" s="109"/>
      <c r="H14" s="109"/>
      <c r="K14" s="61"/>
    </row>
    <row r="15" spans="1:11">
      <c r="A15" s="78"/>
      <c r="B15" s="102"/>
      <c r="C15" s="80"/>
      <c r="D15" s="81"/>
      <c r="E15" s="107"/>
      <c r="F15" s="109"/>
      <c r="G15" s="109"/>
      <c r="H15" s="109"/>
      <c r="K15" s="61"/>
    </row>
    <row r="16" spans="1:11">
      <c r="A16" s="78"/>
      <c r="B16" s="102"/>
      <c r="C16" s="80"/>
      <c r="D16" s="81"/>
      <c r="E16" s="107"/>
      <c r="F16" s="109"/>
      <c r="G16" s="109"/>
      <c r="H16" s="109"/>
      <c r="K16" s="61"/>
    </row>
    <row r="17" spans="1:11">
      <c r="A17" s="78"/>
      <c r="B17" s="102"/>
      <c r="C17" s="80"/>
      <c r="D17" s="81"/>
      <c r="E17" s="107"/>
      <c r="F17" s="109"/>
      <c r="G17" s="109"/>
      <c r="H17" s="109"/>
      <c r="K17" s="61"/>
    </row>
    <row r="18" spans="1:11">
      <c r="A18" s="78"/>
      <c r="B18" s="102"/>
      <c r="C18" s="80"/>
      <c r="D18" s="81"/>
      <c r="E18" s="107"/>
      <c r="F18" s="109"/>
      <c r="G18" s="109"/>
      <c r="H18" s="109"/>
      <c r="K18" s="61"/>
    </row>
    <row r="19" spans="1:11">
      <c r="A19" s="78"/>
      <c r="B19" s="102"/>
      <c r="C19" s="80"/>
      <c r="D19" s="81"/>
      <c r="E19" s="107"/>
      <c r="F19" s="109"/>
      <c r="G19" s="109"/>
      <c r="H19" s="109"/>
      <c r="K19" s="61"/>
    </row>
    <row r="20" spans="1:11">
      <c r="A20" s="78"/>
      <c r="B20" s="102"/>
      <c r="C20" s="80"/>
      <c r="D20" s="81"/>
      <c r="E20" s="107"/>
      <c r="F20" s="109"/>
      <c r="G20" s="109"/>
      <c r="H20" s="109"/>
      <c r="K20" s="61"/>
    </row>
    <row r="21" spans="1:11">
      <c r="A21" s="78"/>
      <c r="B21" s="102"/>
      <c r="C21" s="80"/>
      <c r="D21" s="81"/>
      <c r="E21" s="107"/>
      <c r="F21" s="109"/>
      <c r="G21" s="109"/>
      <c r="H21" s="109"/>
      <c r="K21" s="61"/>
    </row>
    <row r="22" spans="1:11">
      <c r="A22" s="78"/>
      <c r="B22" s="102"/>
      <c r="C22" s="80"/>
      <c r="D22" s="81"/>
      <c r="E22" s="107"/>
      <c r="F22" s="109"/>
      <c r="G22" s="109"/>
      <c r="H22" s="109"/>
      <c r="K22" s="61"/>
    </row>
    <row r="23" spans="1:11">
      <c r="A23" s="78"/>
      <c r="B23" s="102"/>
      <c r="C23" s="80"/>
      <c r="D23" s="81"/>
      <c r="E23" s="107"/>
      <c r="F23" s="109"/>
      <c r="G23" s="109"/>
      <c r="H23" s="109"/>
      <c r="K23" s="61"/>
    </row>
    <row r="24" spans="1:11">
      <c r="A24" s="78"/>
      <c r="B24" s="102"/>
      <c r="C24" s="80"/>
      <c r="D24" s="81"/>
      <c r="E24" s="107"/>
      <c r="F24" s="109"/>
      <c r="G24" s="109"/>
      <c r="H24" s="109"/>
      <c r="K24" s="61"/>
    </row>
    <row r="25" spans="1:11">
      <c r="A25" s="78"/>
      <c r="B25" s="102"/>
      <c r="C25" s="80"/>
      <c r="D25" s="81"/>
      <c r="E25" s="107"/>
      <c r="F25" s="109"/>
      <c r="G25" s="109"/>
      <c r="H25" s="109"/>
      <c r="K25" s="61"/>
    </row>
    <row r="26" spans="1:8">
      <c r="A26" s="105" t="s">
        <v>8</v>
      </c>
      <c r="B26" s="106"/>
      <c r="C26" s="106"/>
      <c r="D26" s="106"/>
      <c r="E26" s="110"/>
      <c r="F26" s="111"/>
      <c r="G26" s="109"/>
      <c r="H26" s="111">
        <f>SUM(H2:H25)</f>
        <v>0</v>
      </c>
    </row>
  </sheetData>
  <mergeCells count="1">
    <mergeCell ref="A26:E2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zoomScale="85" zoomScaleNormal="85" workbookViewId="0">
      <pane ySplit="1" topLeftCell="A2" activePane="bottomLeft" state="frozen"/>
      <selection/>
      <selection pane="bottomLeft" activeCell="B18" sqref="B18"/>
    </sheetView>
  </sheetViews>
  <sheetFormatPr defaultColWidth="9.140625" defaultRowHeight="16.8"/>
  <cols>
    <col min="1" max="1" width="19" style="74" customWidth="1"/>
    <col min="2" max="2" width="13.7109375" style="61" customWidth="1"/>
    <col min="3" max="3" width="28.859375" customWidth="1"/>
    <col min="4" max="4" width="25.4296875" style="12" customWidth="1"/>
    <col min="5" max="5" width="36.5546875" customWidth="1"/>
    <col min="6" max="7" width="18.7109375" customWidth="1"/>
    <col min="8" max="8" width="22.859375" customWidth="1"/>
    <col min="9" max="9" width="15.4296875" customWidth="1"/>
    <col min="10" max="10" width="11.875" style="12" customWidth="1"/>
  </cols>
  <sheetData>
    <row r="1" ht="26" spans="1:10">
      <c r="A1" s="75" t="s">
        <v>0</v>
      </c>
      <c r="B1" s="76" t="s">
        <v>6</v>
      </c>
      <c r="C1" s="77" t="s">
        <v>17</v>
      </c>
      <c r="D1" s="77" t="s">
        <v>18</v>
      </c>
      <c r="E1" s="77" t="s">
        <v>10</v>
      </c>
      <c r="F1" s="77" t="s">
        <v>3</v>
      </c>
      <c r="G1" s="77" t="s">
        <v>4</v>
      </c>
      <c r="H1" s="77" t="s">
        <v>5</v>
      </c>
      <c r="I1" s="77" t="s">
        <v>13</v>
      </c>
      <c r="J1" s="77" t="s">
        <v>22</v>
      </c>
    </row>
    <row r="2" ht="26" spans="1:10">
      <c r="A2" s="78"/>
      <c r="B2" s="79"/>
      <c r="C2" s="80"/>
      <c r="D2" s="81"/>
      <c r="E2" s="88"/>
      <c r="F2" s="89"/>
      <c r="G2" s="89"/>
      <c r="H2" s="89"/>
      <c r="I2" s="93"/>
      <c r="J2" s="94"/>
    </row>
    <row r="3" ht="26" spans="1:10">
      <c r="A3" s="78"/>
      <c r="B3" s="79"/>
      <c r="C3" s="80"/>
      <c r="D3" s="81"/>
      <c r="E3" s="88"/>
      <c r="F3" s="89"/>
      <c r="G3" s="89"/>
      <c r="H3" s="89"/>
      <c r="I3" s="93"/>
      <c r="J3" s="94"/>
    </row>
    <row r="4" ht="26" spans="1:10">
      <c r="A4" s="78"/>
      <c r="B4" s="79"/>
      <c r="C4" s="80"/>
      <c r="D4" s="81"/>
      <c r="E4" s="88"/>
      <c r="F4" s="89"/>
      <c r="G4" s="89"/>
      <c r="H4" s="89"/>
      <c r="I4" s="93"/>
      <c r="J4" s="94"/>
    </row>
    <row r="5" spans="1:10">
      <c r="A5" s="82"/>
      <c r="B5" s="83"/>
      <c r="C5" s="83"/>
      <c r="D5" s="83"/>
      <c r="E5" s="83"/>
      <c r="F5" s="90"/>
      <c r="G5" s="89"/>
      <c r="H5" s="90"/>
      <c r="I5" s="93"/>
      <c r="J5" s="95"/>
    </row>
    <row r="6" spans="1:10">
      <c r="A6" s="82"/>
      <c r="B6" s="83"/>
      <c r="C6" s="84"/>
      <c r="D6" s="83"/>
      <c r="E6" s="83"/>
      <c r="F6" s="90"/>
      <c r="G6" s="89"/>
      <c r="H6" s="90"/>
      <c r="I6" s="93"/>
      <c r="J6" s="95"/>
    </row>
    <row r="7" spans="1:10">
      <c r="A7" s="82"/>
      <c r="B7" s="83"/>
      <c r="C7" s="84"/>
      <c r="D7" s="83"/>
      <c r="E7" s="83"/>
      <c r="F7" s="90"/>
      <c r="G7" s="89"/>
      <c r="H7" s="90"/>
      <c r="I7" s="93"/>
      <c r="J7" s="95"/>
    </row>
    <row r="8" spans="1:10">
      <c r="A8" s="82"/>
      <c r="B8" s="83"/>
      <c r="C8" s="84"/>
      <c r="D8" s="83"/>
      <c r="E8" s="83"/>
      <c r="F8" s="90"/>
      <c r="G8" s="89"/>
      <c r="H8" s="90"/>
      <c r="I8" s="93"/>
      <c r="J8" s="95"/>
    </row>
    <row r="9" spans="1:10">
      <c r="A9" s="82"/>
      <c r="B9" s="83"/>
      <c r="C9" s="83"/>
      <c r="D9" s="83"/>
      <c r="E9" s="90"/>
      <c r="F9" s="90"/>
      <c r="G9" s="89"/>
      <c r="H9" s="90"/>
      <c r="I9" s="93"/>
      <c r="J9" s="95"/>
    </row>
    <row r="10" spans="1:10">
      <c r="A10" s="85"/>
      <c r="B10" s="83"/>
      <c r="C10" s="83"/>
      <c r="D10" s="86"/>
      <c r="E10" s="90"/>
      <c r="F10" s="90"/>
      <c r="G10" s="89"/>
      <c r="H10" s="90"/>
      <c r="I10" s="93"/>
      <c r="J10" s="96"/>
    </row>
    <row r="11" spans="1:10">
      <c r="A11" s="85"/>
      <c r="B11" s="83"/>
      <c r="C11" s="83"/>
      <c r="D11" s="86"/>
      <c r="E11" s="90"/>
      <c r="F11" s="90"/>
      <c r="G11" s="89"/>
      <c r="H11" s="90"/>
      <c r="I11" s="93"/>
      <c r="J11" s="96"/>
    </row>
    <row r="12" spans="1:10">
      <c r="A12" s="85"/>
      <c r="B12" s="83"/>
      <c r="C12" s="83"/>
      <c r="D12" s="86"/>
      <c r="E12" s="90"/>
      <c r="F12" s="90"/>
      <c r="G12" s="89"/>
      <c r="H12" s="90"/>
      <c r="I12" s="93"/>
      <c r="J12" s="96"/>
    </row>
    <row r="13" spans="1:10">
      <c r="A13" s="85"/>
      <c r="B13" s="83"/>
      <c r="C13" s="83"/>
      <c r="D13" s="86"/>
      <c r="E13" s="90"/>
      <c r="F13" s="90"/>
      <c r="G13" s="89"/>
      <c r="H13" s="90"/>
      <c r="I13" s="93"/>
      <c r="J13" s="96"/>
    </row>
    <row r="14" ht="26" spans="1:10">
      <c r="A14" s="87" t="s">
        <v>5</v>
      </c>
      <c r="B14" s="68"/>
      <c r="C14" s="68"/>
      <c r="D14" s="68"/>
      <c r="E14" s="68"/>
      <c r="F14" s="68"/>
      <c r="G14" s="91">
        <f>SUM(H:H)-SUMIF(J:J,"PAID*",H:H)</f>
        <v>0</v>
      </c>
      <c r="H14" s="92"/>
      <c r="I14" s="92"/>
      <c r="J14" s="97"/>
    </row>
  </sheetData>
  <mergeCells count="2">
    <mergeCell ref="A14:F14"/>
    <mergeCell ref="G14:J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zoomScale="82" zoomScaleNormal="82" workbookViewId="0">
      <selection activeCell="B15" sqref="B15"/>
    </sheetView>
  </sheetViews>
  <sheetFormatPr defaultColWidth="9.140625" defaultRowHeight="16.8" outlineLevelRow="4" outlineLevelCol="6"/>
  <cols>
    <col min="1" max="1" width="16.75" style="11"/>
    <col min="2" max="2" width="17.140625" style="61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60" customFormat="1" ht="26" spans="1:7">
      <c r="A1" s="62" t="s">
        <v>0</v>
      </c>
      <c r="B1" s="63" t="s">
        <v>6</v>
      </c>
      <c r="C1" s="64" t="s">
        <v>17</v>
      </c>
      <c r="D1" s="64" t="s">
        <v>18</v>
      </c>
      <c r="E1" s="64" t="s">
        <v>10</v>
      </c>
      <c r="F1" s="64" t="s">
        <v>3</v>
      </c>
      <c r="G1" s="64" t="s">
        <v>5</v>
      </c>
    </row>
    <row r="2" ht="23.2" spans="1:7">
      <c r="A2" s="65"/>
      <c r="B2" s="16"/>
      <c r="C2" s="66"/>
      <c r="D2" s="67"/>
      <c r="E2" s="66"/>
      <c r="F2" s="71"/>
      <c r="G2" s="71"/>
    </row>
    <row r="3" ht="23.2" spans="1:7">
      <c r="A3" s="65"/>
      <c r="B3" s="16"/>
      <c r="C3" s="66"/>
      <c r="D3" s="67"/>
      <c r="E3" s="72"/>
      <c r="F3" s="71"/>
      <c r="G3" s="71"/>
    </row>
    <row r="4" ht="23.2" spans="1:7">
      <c r="A4" s="65"/>
      <c r="B4" s="16"/>
      <c r="C4" s="66"/>
      <c r="D4" s="67"/>
      <c r="E4" s="72"/>
      <c r="F4" s="71"/>
      <c r="G4" s="71">
        <f>D4*F4</f>
        <v>0</v>
      </c>
    </row>
    <row r="5" ht="26" spans="1:7">
      <c r="A5" s="68" t="s">
        <v>5</v>
      </c>
      <c r="B5" s="69"/>
      <c r="C5" s="70"/>
      <c r="D5" s="70"/>
      <c r="E5" s="73">
        <f>SUM(G2:G4)</f>
        <v>0</v>
      </c>
      <c r="F5" s="73"/>
      <c r="G5" s="73"/>
    </row>
  </sheetData>
  <mergeCells count="2">
    <mergeCell ref="A5:C5"/>
    <mergeCell ref="E5:G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2" customFormat="1" ht="44" customHeight="1" spans="1:5">
      <c r="A1" s="51" t="s">
        <v>23</v>
      </c>
      <c r="B1" s="52" t="s">
        <v>0</v>
      </c>
      <c r="C1" s="52" t="s">
        <v>5</v>
      </c>
      <c r="D1" s="52" t="s">
        <v>24</v>
      </c>
      <c r="E1" s="52" t="s">
        <v>22</v>
      </c>
    </row>
    <row r="2" ht="246" customHeight="1" spans="1:5">
      <c r="A2" s="53"/>
      <c r="B2" s="54"/>
      <c r="C2" s="4"/>
      <c r="D2" s="55"/>
      <c r="E2" s="55"/>
    </row>
    <row r="3" spans="1:5">
      <c r="A3" s="56" t="s">
        <v>25</v>
      </c>
      <c r="B3" s="57"/>
      <c r="C3" s="58"/>
      <c r="D3" s="59">
        <f>SUM(C2:C2)</f>
        <v>0</v>
      </c>
      <c r="E3" s="58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A11" sqref="A11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28.8" spans="1:8">
      <c r="A1" s="14" t="s">
        <v>0</v>
      </c>
      <c r="B1" s="14" t="s">
        <v>26</v>
      </c>
      <c r="C1" s="14" t="s">
        <v>11</v>
      </c>
      <c r="D1" s="14" t="s">
        <v>18</v>
      </c>
      <c r="E1" s="14" t="s">
        <v>10</v>
      </c>
      <c r="F1" s="14" t="s">
        <v>3</v>
      </c>
      <c r="G1" s="14" t="s">
        <v>4</v>
      </c>
      <c r="H1" s="14" t="s">
        <v>5</v>
      </c>
    </row>
    <row r="2" customFormat="1" ht="23.2" spans="1:8">
      <c r="A2" s="44"/>
      <c r="B2" s="44"/>
      <c r="C2" s="34"/>
      <c r="D2" s="35"/>
      <c r="E2" s="22"/>
      <c r="F2" s="25"/>
      <c r="G2" s="25"/>
      <c r="H2" s="25"/>
    </row>
    <row r="3" customFormat="1" ht="23.2" spans="1:8">
      <c r="A3" s="44"/>
      <c r="B3" s="44"/>
      <c r="C3" s="34"/>
      <c r="D3" s="35"/>
      <c r="E3" s="22"/>
      <c r="F3" s="25"/>
      <c r="G3" s="25"/>
      <c r="H3" s="25"/>
    </row>
    <row r="4" customFormat="1" ht="23.2" spans="1:8">
      <c r="A4" s="44"/>
      <c r="B4" s="44"/>
      <c r="C4" s="34"/>
      <c r="D4" s="35"/>
      <c r="E4" s="22"/>
      <c r="F4" s="25"/>
      <c r="G4" s="25"/>
      <c r="H4" s="25"/>
    </row>
    <row r="5" customFormat="1" ht="26" spans="1:8">
      <c r="A5" s="45" t="s">
        <v>5</v>
      </c>
      <c r="B5" s="46"/>
      <c r="C5" s="47"/>
      <c r="D5" s="46"/>
      <c r="E5" s="48">
        <f>SUM(H2:H4)</f>
        <v>0</v>
      </c>
      <c r="F5" s="49"/>
      <c r="G5" s="49"/>
      <c r="H5" s="50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topLeftCell="E1" workbookViewId="0">
      <pane ySplit="1" topLeftCell="A2" activePane="bottomLeft" state="frozen"/>
      <selection/>
      <selection pane="bottomLeft" activeCell="H2" sqref="G2:H9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31" customWidth="1"/>
    <col min="10" max="10" width="12.859375"/>
  </cols>
  <sheetData>
    <row r="1" s="30" customFormat="1" ht="28.8" spans="1:8">
      <c r="A1" s="32" t="s">
        <v>0</v>
      </c>
      <c r="B1" s="33" t="s">
        <v>26</v>
      </c>
      <c r="C1" s="33" t="s">
        <v>11</v>
      </c>
      <c r="D1" s="33" t="s">
        <v>18</v>
      </c>
      <c r="E1" s="33" t="s">
        <v>10</v>
      </c>
      <c r="F1" s="33" t="s">
        <v>3</v>
      </c>
      <c r="G1" s="33" t="s">
        <v>4</v>
      </c>
      <c r="H1" s="33" t="s">
        <v>5</v>
      </c>
    </row>
    <row r="2" customFormat="1" ht="23.2" spans="1:8">
      <c r="A2" s="15"/>
      <c r="B2" s="22"/>
      <c r="C2" s="34"/>
      <c r="D2" s="35"/>
      <c r="E2" s="22"/>
      <c r="F2" s="25"/>
      <c r="G2" s="25"/>
      <c r="H2" s="25"/>
    </row>
    <row r="3" customFormat="1" ht="26" spans="1:8">
      <c r="A3" s="15"/>
      <c r="B3" s="22"/>
      <c r="C3" s="36"/>
      <c r="D3" s="36"/>
      <c r="E3" s="22"/>
      <c r="F3" s="39"/>
      <c r="G3" s="25"/>
      <c r="H3" s="25"/>
    </row>
    <row r="4" customFormat="1" ht="26" spans="1:8">
      <c r="A4" s="15"/>
      <c r="B4" s="22"/>
      <c r="C4" s="36"/>
      <c r="D4" s="36"/>
      <c r="E4" s="22"/>
      <c r="F4" s="39"/>
      <c r="G4" s="25"/>
      <c r="H4" s="25"/>
    </row>
    <row r="5" customFormat="1" ht="26" spans="1:8">
      <c r="A5" s="15"/>
      <c r="B5" s="22"/>
      <c r="C5" s="36"/>
      <c r="D5" s="36"/>
      <c r="E5" s="22"/>
      <c r="F5" s="39"/>
      <c r="G5" s="25"/>
      <c r="H5" s="25"/>
    </row>
    <row r="6" customFormat="1" ht="26" spans="1:8">
      <c r="A6" s="37"/>
      <c r="B6" s="36"/>
      <c r="C6" s="36"/>
      <c r="D6" s="36"/>
      <c r="E6" s="40"/>
      <c r="F6" s="39"/>
      <c r="G6" s="25"/>
      <c r="H6" s="39"/>
    </row>
    <row r="7" customFormat="1" ht="26" spans="1:8">
      <c r="A7" s="37"/>
      <c r="B7" s="36"/>
      <c r="C7" s="36"/>
      <c r="D7" s="36"/>
      <c r="E7" s="40"/>
      <c r="F7" s="39"/>
      <c r="G7" s="25"/>
      <c r="H7" s="39"/>
    </row>
    <row r="8" customFormat="1" ht="26" spans="1:8">
      <c r="A8" s="37"/>
      <c r="B8" s="36"/>
      <c r="C8" s="36"/>
      <c r="D8" s="36"/>
      <c r="E8" s="40"/>
      <c r="F8" s="39"/>
      <c r="G8" s="25"/>
      <c r="H8" s="39"/>
    </row>
    <row r="9" customFormat="1" ht="26" spans="1:8">
      <c r="A9" s="37"/>
      <c r="B9" s="36"/>
      <c r="C9" s="36"/>
      <c r="D9" s="36"/>
      <c r="E9" s="40"/>
      <c r="F9" s="39"/>
      <c r="G9" s="25"/>
      <c r="H9" s="39"/>
    </row>
    <row r="10" customFormat="1" ht="26" spans="1:8">
      <c r="A10" s="20" t="s">
        <v>5</v>
      </c>
      <c r="B10" s="21"/>
      <c r="C10" s="21"/>
      <c r="D10" s="38"/>
      <c r="E10" s="3"/>
      <c r="F10" s="41"/>
      <c r="G10" s="42"/>
      <c r="H10" s="43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"/>
  <sheetViews>
    <sheetView tabSelected="1" zoomScale="97" zoomScaleNormal="97" topLeftCell="G1" workbookViewId="0">
      <pane ySplit="1" topLeftCell="A2" activePane="bottomLeft" state="frozen"/>
      <selection/>
      <selection pane="bottomLeft" activeCell="H15" sqref="H15"/>
    </sheetView>
  </sheetViews>
  <sheetFormatPr defaultColWidth="9.140625" defaultRowHeight="16.8" outlineLevelRow="6"/>
  <cols>
    <col min="1" max="1" width="16.75" style="11" customWidth="1"/>
    <col min="2" max="2" width="19.0390625" style="12" customWidth="1"/>
    <col min="3" max="4" width="30.75" customWidth="1"/>
    <col min="5" max="5" width="37.1328125" customWidth="1"/>
    <col min="6" max="11" width="32.3359375" customWidth="1"/>
    <col min="12" max="12" width="42.9375" customWidth="1"/>
    <col min="13" max="13" width="15.5" style="12" customWidth="1"/>
  </cols>
  <sheetData>
    <row r="1" s="10" customFormat="1" ht="28.8" spans="1:13">
      <c r="A1" s="13" t="s">
        <v>0</v>
      </c>
      <c r="B1" s="14" t="s">
        <v>26</v>
      </c>
      <c r="C1" s="14" t="s">
        <v>11</v>
      </c>
      <c r="D1" s="14" t="s">
        <v>18</v>
      </c>
      <c r="E1" s="14" t="s">
        <v>10</v>
      </c>
      <c r="F1" s="14" t="s">
        <v>3</v>
      </c>
      <c r="G1" s="14" t="s">
        <v>4</v>
      </c>
      <c r="H1" s="14" t="s">
        <v>5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22</v>
      </c>
    </row>
    <row r="2" customFormat="1" ht="23.2" spans="1:13">
      <c r="A2" s="15"/>
      <c r="B2" s="16"/>
      <c r="C2" s="17"/>
      <c r="D2" s="18"/>
      <c r="E2" s="22"/>
      <c r="F2" s="23"/>
      <c r="G2" s="24">
        <f>D2*F2</f>
        <v>0</v>
      </c>
      <c r="H2" s="25">
        <f>SUM(G2:G4)</f>
        <v>0</v>
      </c>
      <c r="I2" s="25">
        <f>H2*10%</f>
        <v>0</v>
      </c>
      <c r="J2" s="25">
        <f>H2-I2</f>
        <v>0</v>
      </c>
      <c r="K2" s="25">
        <f>J2*10%</f>
        <v>0</v>
      </c>
      <c r="L2" s="25">
        <f>J2+K2</f>
        <v>0</v>
      </c>
      <c r="M2" s="28"/>
    </row>
    <row r="3" customFormat="1" ht="23.2" spans="1:13">
      <c r="A3" s="15"/>
      <c r="B3" s="16"/>
      <c r="C3" s="17"/>
      <c r="D3" s="19"/>
      <c r="E3" s="22"/>
      <c r="F3" s="23"/>
      <c r="G3" s="24">
        <f>D3*F3</f>
        <v>0</v>
      </c>
      <c r="H3" s="25"/>
      <c r="I3" s="25"/>
      <c r="J3" s="25"/>
      <c r="K3" s="25"/>
      <c r="L3" s="25"/>
      <c r="M3" s="29"/>
    </row>
    <row r="4" customFormat="1" ht="23.2" spans="1:13">
      <c r="A4" s="15"/>
      <c r="B4" s="16"/>
      <c r="C4" s="17"/>
      <c r="D4" s="19"/>
      <c r="E4" s="22"/>
      <c r="F4" s="23"/>
      <c r="G4" s="24">
        <f>D4*F4</f>
        <v>0</v>
      </c>
      <c r="H4" s="25"/>
      <c r="I4" s="25"/>
      <c r="J4" s="25"/>
      <c r="K4" s="25"/>
      <c r="L4" s="25"/>
      <c r="M4" s="29"/>
    </row>
    <row r="5" customFormat="1" ht="26" spans="1:13">
      <c r="A5" s="20" t="s">
        <v>20</v>
      </c>
      <c r="B5" s="21"/>
      <c r="C5" s="21"/>
      <c r="D5" s="21"/>
      <c r="E5" s="21"/>
      <c r="F5" s="21"/>
      <c r="G5" s="21"/>
      <c r="H5" s="21"/>
      <c r="I5" s="26">
        <f>SUM(L:L)-SUMIF(M:M,"PAID*",L:L)</f>
        <v>0</v>
      </c>
      <c r="J5" s="26"/>
      <c r="K5" s="26"/>
      <c r="L5" s="27"/>
      <c r="M5" s="29"/>
    </row>
    <row r="6" customFormat="1" spans="1:13">
      <c r="A6" s="11"/>
      <c r="B6" s="12"/>
      <c r="M6" s="12"/>
    </row>
    <row r="7" customFormat="1" spans="1:13">
      <c r="A7" s="11"/>
      <c r="B7" s="12"/>
      <c r="M7" s="12"/>
    </row>
  </sheetData>
  <mergeCells count="2">
    <mergeCell ref="A5:H5"/>
    <mergeCell ref="I5:L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B29" sqref="B29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31</v>
      </c>
      <c r="B1" s="2" t="s">
        <v>32</v>
      </c>
    </row>
    <row r="2" spans="1:2">
      <c r="A2" s="3" t="s">
        <v>33</v>
      </c>
      <c r="B2" s="4">
        <f>'BUK BUNGA (Groceries)'!E556</f>
        <v>0</v>
      </c>
    </row>
    <row r="3" spans="1:2">
      <c r="A3" s="3" t="s">
        <v>34</v>
      </c>
      <c r="B3" s="4">
        <f>'SEDANA JAYA (Groceries)'!G801</f>
        <v>0</v>
      </c>
    </row>
    <row r="4" spans="1:2">
      <c r="A4" s="3" t="s">
        <v>35</v>
      </c>
      <c r="B4" s="4">
        <f>'AD supplier (Groceries)'!G21</f>
        <v>0</v>
      </c>
    </row>
    <row r="5" spans="1:2">
      <c r="A5" s="3" t="s">
        <v>36</v>
      </c>
      <c r="B5" s="4">
        <f>'AGUS SEAFOOD'!D59</f>
        <v>0</v>
      </c>
    </row>
    <row r="6" spans="1:2">
      <c r="A6" s="3" t="s">
        <v>37</v>
      </c>
      <c r="B6" s="4">
        <f>'RAFI SEAFOOD (Seafood)'!D58</f>
        <v>0</v>
      </c>
    </row>
    <row r="7" spans="1:2">
      <c r="A7" s="3" t="s">
        <v>38</v>
      </c>
      <c r="B7" s="4">
        <f>'ABISEKA (FRESH MILK)'!E24</f>
        <v>0</v>
      </c>
    </row>
    <row r="8" spans="1:2">
      <c r="A8" s="3" t="s">
        <v>39</v>
      </c>
      <c r="B8" s="4">
        <f>'FORNO (Burger&amp;Croissant)'!D24</f>
        <v>0</v>
      </c>
    </row>
    <row r="9" spans="1:2">
      <c r="A9" s="3" t="s">
        <v>40</v>
      </c>
      <c r="B9" s="4">
        <f>'Kemang Food (Salami)'!J24</f>
        <v>0</v>
      </c>
    </row>
    <row r="10" spans="1:2">
      <c r="A10" s="3" t="s">
        <v>41</v>
      </c>
      <c r="B10" s="4">
        <f>'MAMA RADA PRODUCTION (Dumpling)'!H12</f>
        <v>0</v>
      </c>
    </row>
    <row r="11" spans="1:2">
      <c r="A11" s="3" t="s">
        <v>42</v>
      </c>
      <c r="B11" s="5">
        <f>'KSP (Chicken)'!H26</f>
        <v>0</v>
      </c>
    </row>
    <row r="12" spans="1:2">
      <c r="A12" s="3" t="s">
        <v>43</v>
      </c>
      <c r="B12" s="4">
        <f>'SURYA CIPTA NIAGA BALI (Beef)'!G14</f>
        <v>0</v>
      </c>
    </row>
    <row r="13" spans="1:2">
      <c r="A13" s="3" t="s">
        <v>44</v>
      </c>
      <c r="B13" s="4">
        <f>'BAYU AGNI MERTA (Gas)'!E5</f>
        <v>0</v>
      </c>
    </row>
    <row r="14" spans="1:2">
      <c r="A14" s="6" t="s">
        <v>45</v>
      </c>
      <c r="B14" s="5">
        <f>'Joy Green (Mix Berry)'!D3</f>
        <v>0</v>
      </c>
    </row>
    <row r="15" spans="1:3">
      <c r="A15" s="6" t="s">
        <v>46</v>
      </c>
      <c r="B15" s="5">
        <f>'CELEBRITY BAKERY (Bakery)'!E5</f>
        <v>0</v>
      </c>
      <c r="C15" s="7"/>
    </row>
    <row r="16" spans="1:2">
      <c r="A16" s="6" t="s">
        <v>47</v>
      </c>
      <c r="B16" s="5">
        <f>'Krop (Edible flower)'!H10</f>
        <v>0</v>
      </c>
    </row>
    <row r="17" spans="1:3">
      <c r="A17" s="6" t="s">
        <v>48</v>
      </c>
      <c r="B17" s="5">
        <f>'Boiler (Dumplings&amp;Syrniki)'!E5</f>
        <v>0</v>
      </c>
      <c r="C17" s="7"/>
    </row>
    <row r="18" spans="1:2">
      <c r="A18" s="8" t="s">
        <v>5</v>
      </c>
      <c r="B18" s="9">
        <f>SUM(B2:B17)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BUK BUNGA (Groceries)</vt:lpstr>
      <vt:lpstr>SEDANA JAYA (Groceries)</vt:lpstr>
      <vt:lpstr>AD supplier (Groceries)</vt:lpstr>
      <vt:lpstr>AGUS SEAFOOD</vt:lpstr>
      <vt:lpstr>RAFI SEAFOOD (Seafood)</vt:lpstr>
      <vt:lpstr>ABISEKA (FRESH MILK)</vt:lpstr>
      <vt:lpstr>FORNO (Burger&amp;Croissant)</vt:lpstr>
      <vt:lpstr>Kemang Food (Salami)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2025-01-27T16:20:00Z</dcterms:created>
  <dcterms:modified xsi:type="dcterms:W3CDTF">2026-03-01T02:24:40Z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C91949E621BE116C42268269BA81609D_43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