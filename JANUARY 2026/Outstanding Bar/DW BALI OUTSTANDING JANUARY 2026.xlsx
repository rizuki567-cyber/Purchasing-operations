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DW BALI (Alcohol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<sst xmlns="http://schemas.openxmlformats.org/spreadsheetml/2006/main" count="15" uniqueCount="14">
  <si>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DATE</t>
  </si>
  <si>
    <t>INV NO.</t>
  </si>
  <si>
    <t>DESCRIPTIONS</t>
  </si>
  <si>
    <t>AMOUNT</t>
  </si>
  <si>
    <t>BILLS</t>
  </si>
  <si>
    <t>PRICE</t>
  </si>
  <si>
    <t>TOTAL</t>
  </si>
  <si>
    <t>STATUS</t>
  </si>
  <si>
    <t>DW/70/071</t>
  </si>
  <si>
    <t>APEROL 700ML</t>
  </si>
  <si>
    <t>DW/70/548</t>
  </si>
  <si>
    <t>DW/71/315</t>
  </si>
  <si>
    <t>JIM BEAM BLACK 700ML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</si>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</sst>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809]dd\ mmmm\ yyyy;@"/>
    <numFmt numFmtId="177" formatCode="[$-409]d\-mmm\-yyyy;@"/>
    <numFmt numFmtId="178" formatCode="_-&quot;Rp&quot;* #,##0_-;\-&quot;Rp&quot;* #,##0_-;_-&quot;Rp&quot;* &quot;-&quot;??_-;_-@_-"/>
    <numFmt numFmtId="179" formatCode="dd\-mmm"/>
  </numFmts>
  <fonts count="22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 wrapText="1"/>
    </xf>
    <xf numFmtId="179" fontId="0" fillId="3" borderId="1" xfId="0" applyNumberFormat="1" applyFill="1" applyBorder="1" applyAlignment="1">
      <alignment horizontal="center" vertical="center"/>
    </xf>
    <xf numFmtId="17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1" xfId="0" applyNumberFormat="1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3" borderId="1" xfId="0" applyFill="1" applyBorder="1">
      <alignment vertical="center"/>
    </xf>
    <xf numFmtId="178" fontId="0" fillId="3" borderId="1" xfId="0" applyNumberFormat="1" applyFill="1" applyBorder="1" applyAlignment="1">
      <alignment horizontal="center" vertical="center"/>
    </xf>
    <xf numFmtId="178" fontId="0" fillId="4" borderId="2" xfId="0" applyNumberFormat="1" applyFill="1" applyBorder="1" applyAlignment="1">
      <alignment horizontal="center" vertical="center"/>
    </xf>
    <xf numFmtId="178" fontId="0" fillId="4" borderId="3" xfId="0" applyNumberFormat="1" applyFill="1" applyBorder="1" applyAlignment="1">
      <alignment horizontal="center" vertical="center"/>
    </xf>
    <xf numFmtId="178" fontId="0" fillId="4" borderId="4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32702</xdr:colOff>
      <xdr:row>1</xdr:row>
      <xdr:rowOff>23177</xdr:rowOff>
    </xdr:from>
    <xdr:to>
      <xdr:col>4</xdr:col>
      <xdr:colOff>3768407</xdr:colOff>
      <xdr:row>1</xdr:row>
      <xdr:rowOff>2488882</xdr:rowOff>
    </xdr:to>
    <xdr:pic>
      <xdr:nvPicPr>
        <xdr:cNvPr id="2" name="ID_24103F509E3745DC83C31D1116DD1D8C" descr="PHOTO-2026-01-06-19-03-57"/>
        <xdr:cNvPicPr>
          <a:picLocks noChangeAspect="1"/>
        </xdr:cNvPicPr>
      </xdr:nvPicPr>
      <xdr:blipFill>
        <a:blip r:embed="rId1"/>
        <a:srcRect l="3177" t="14419" r="3065" b="4451"/>
        <a:stretch>
          <a:fillRect/>
        </a:stretch>
      </xdr:blipFill>
      <xdr:spPr>
        <a:xfrm rot="16200000">
          <a:off x="5682615" y="-408305"/>
          <a:ext cx="2465705" cy="373507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2</xdr:row>
      <xdr:rowOff>23495</xdr:rowOff>
    </xdr:from>
    <xdr:to>
      <xdr:col>4</xdr:col>
      <xdr:colOff>3771900</xdr:colOff>
      <xdr:row>2</xdr:row>
      <xdr:rowOff>2393315</xdr:rowOff>
    </xdr:to>
    <xdr:pic>
      <xdr:nvPicPr>
        <xdr:cNvPr id="3" name="ID_207DA353159C4F0DB00226DAA1B2F514" descr="PHOTO-2026-01-12-17-40-04"/>
        <xdr:cNvPicPr>
          <a:picLocks noChangeAspect="1"/>
        </xdr:cNvPicPr>
      </xdr:nvPicPr>
      <xdr:blipFill>
        <a:blip r:embed="rId2"/>
        <a:srcRect t="5790" r="1876" b="1907"/>
        <a:stretch>
          <a:fillRect/>
        </a:stretch>
      </xdr:blipFill>
      <xdr:spPr>
        <a:xfrm rot="16200000">
          <a:off x="5731510" y="2043430"/>
          <a:ext cx="2369820" cy="3741420"/>
        </a:xfrm>
        <a:prstGeom prst="rect">
          <a:avLst/>
        </a:prstGeom>
      </xdr:spPr>
    </xdr:pic>
    <xdr:clientData/>
  </xdr:twoCellAnchor>
  <xdr:twoCellAnchor editAs="oneCell">
    <xdr:from>
      <xdr:col>4</xdr:col>
      <xdr:colOff>49847</xdr:colOff>
      <xdr:row>3</xdr:row>
      <xdr:rowOff>22542</xdr:rowOff>
    </xdr:from>
    <xdr:to>
      <xdr:col>4</xdr:col>
      <xdr:colOff>3752532</xdr:colOff>
      <xdr:row>3</xdr:row>
      <xdr:rowOff>2233612</xdr:rowOff>
    </xdr:to>
    <xdr:pic>
      <xdr:nvPicPr>
        <xdr:cNvPr id="4" name="ID_63A8BCBA933E48EEAA331ED8BC2299BC" descr="PHOTO-2026-01-28-15-26-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rot="16200000">
          <a:off x="5810250" y="4384675"/>
          <a:ext cx="2211070" cy="3702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zoomScale="83" zoomScaleNormal="83" topLeftCell="E1" workbookViewId="0">
      <pane ySplit="1" topLeftCell="A2" activePane="bottomLeft" state="frozen"/>
      <selection/>
      <selection pane="bottomLeft" activeCell="E7" sqref="E7:G7"/>
    </sheetView>
  </sheetViews>
  <sheetFormatPr defaultColWidth="9.140625" defaultRowHeight="16.8" outlineLevelRow="7" outlineLevelCol="7"/>
  <cols>
    <col min="1" max="1" width="13.3984375" customWidth="1"/>
    <col min="2" max="2" width="11.1640625" customWidth="1"/>
    <col min="3" max="3" width="18.5703125" customWidth="1"/>
    <col min="4" max="4" width="18.5703125" style="1" customWidth="1"/>
    <col min="5" max="5" width="46.5625" customWidth="1"/>
    <col min="6" max="7" width="17.9609375" customWidth="1"/>
    <col min="8" max="8" width="16" style="2"/>
  </cols>
  <sheetData>
    <row r="1" ht="16" customHeight="1" spans="1:8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15" t="s">
        <v>7</v>
      </c>
    </row>
    <row r="2" ht="197.05" customHeight="1" spans="1:8">
      <c r="A2" s="5">
        <v>46027</v>
      </c>
      <c r="B2" s="6" t="s">
        <v>8</v>
      </c>
      <c r="C2" s="7" t="s">
        <v>9</v>
      </c>
      <c r="D2" s="6">
        <v>2</v>
      </c>
      <c r="E2" s="16"/>
      <c r="F2" s="17">
        <v>380000</v>
      </c>
      <c r="G2" s="17">
        <f t="shared" ref="G2:G6" si="0">F2*D2</f>
        <v>760000</v>
      </c>
      <c r="H2" s="2">
        <v>46041</v>
      </c>
    </row>
    <row r="3" ht="189.2" customHeight="1" spans="1:8">
      <c r="A3" s="5">
        <v>46034</v>
      </c>
      <c r="B3" s="8" t="s">
        <v>10</v>
      </c>
      <c r="C3" s="7" t="s">
        <v>9</v>
      </c>
      <c r="D3" s="6">
        <v>3</v>
      </c>
      <c r="E3" s="16"/>
      <c r="F3" s="17">
        <v>380000</v>
      </c>
      <c r="G3" s="17">
        <f t="shared" si="0"/>
        <v>1140000</v>
      </c>
      <c r="H3" s="2">
        <v>46048</v>
      </c>
    </row>
    <row r="4" ht="177" customHeight="1" spans="1:8">
      <c r="A4" s="5">
        <v>46048</v>
      </c>
      <c r="B4" s="8" t="s">
        <v>11</v>
      </c>
      <c r="C4" s="7" t="s">
        <v>12</v>
      </c>
      <c r="D4" s="6">
        <v>5</v>
      </c>
      <c r="E4" s="16"/>
      <c r="F4" s="17">
        <v>450000</v>
      </c>
      <c r="G4" s="17">
        <f t="shared" si="0"/>
        <v>2250000</v>
      </c>
      <c r="H4" s="2">
        <v>46062</v>
      </c>
    </row>
    <row r="5" ht="199.75" customHeight="1" spans="1:7">
      <c r="A5" s="9"/>
      <c r="B5" s="10"/>
      <c r="C5" s="10"/>
      <c r="D5" s="11"/>
      <c r="E5" s="10"/>
      <c r="F5" s="10"/>
      <c r="G5" s="17"/>
    </row>
    <row r="6" spans="1:7">
      <c r="A6" s="10"/>
      <c r="B6" s="10"/>
      <c r="C6" s="10"/>
      <c r="D6" s="11"/>
      <c r="E6" s="10"/>
      <c r="F6" s="10"/>
      <c r="G6" s="17">
        <f t="shared" si="0"/>
        <v>0</v>
      </c>
    </row>
    <row r="7" ht="26" spans="1:7">
      <c r="A7" s="12" t="s">
        <v>13</v>
      </c>
      <c r="B7" s="13"/>
      <c r="C7" s="13"/>
      <c r="D7" s="14"/>
      <c r="E7" s="18">
        <f>SUM(G2:G6)</f>
        <v>4150000</v>
      </c>
      <c r="F7" s="19"/>
      <c r="G7" s="20"/>
    </row>
    <row r="8" ht="22" customHeight="1"/>
  </sheetData>
  <mergeCells count="2">
    <mergeCell ref="A7:D7"/>
    <mergeCell ref="E7:G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 BALI (Alcohol)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2026-02-03T11:59:08Z</dcterms:created>
  <dcterms:modified xsi:type="dcterms:W3CDTF">2026-02-03T20:44:28Z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3DB45CBE4632C3D88C728169AB116751_41</vt:lpwstr>
  </property>
  <property fmtid="{D5CDD505-2E9C-101B-9397-08002B2CF9AE}" pid="3" name="KSOProductBuildVer">
    <vt:lpwstr>1033-12.1.23155.23155</vt:lpwstr>
  </property>
</Properties>
</file>