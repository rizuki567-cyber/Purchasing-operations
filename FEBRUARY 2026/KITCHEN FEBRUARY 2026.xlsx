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BUK BUNGA (Groceries)" sheetId="15" r:id="rId1"/>
    <sheet name="SEDANA JAYA (Groceries)" sheetId="17" r:id="rId2"/>
    <sheet name="AD supplier (Groceries)" sheetId="29" r:id="rId3"/>
    <sheet name="RAFI SEAFOOD (Seafood)" sheetId="4" r:id="rId4"/>
    <sheet name="MAMA RADA PRODUCTION (Dumpling)" sheetId="6" r:id="rId5"/>
    <sheet name="KSP (Chicken)" sheetId="18" r:id="rId6"/>
    <sheet name="SURYA CIPTA NIAGA BALI (Beef)" sheetId="7" r:id="rId7"/>
    <sheet name="BAYU AGNI MERTA (Gas)" sheetId="11" r:id="rId8"/>
    <sheet name="Joy Green (Mix Berry)" sheetId="24" r:id="rId9"/>
    <sheet name="CELEBRITY BAKERY (Bakery)" sheetId="23" r:id="rId10"/>
    <sheet name="Krop (Edible flower)" sheetId="25" r:id="rId11"/>
    <sheet name="Boiler (Dumplings&amp;Syrniki)" sheetId="26" r:id="rId12"/>
    <sheet name="Abdi Jaya (TKW, Vacuum Bag)" sheetId="27" r:id="rId13"/>
    <sheet name="Dishy Soap (Chemicals)" sheetId="28" r:id="rId14"/>
    <sheet name="TOTAL" sheetId="16" r:id="rId15"/>
  </sheets>
  <definedNames>
    <definedName name="_xlnm._FilterDatabase" localSheetId="0" hidden="1">'BUK BUNGA (Groceries)'!$A$1:$F$493</definedName>
    <definedName name="_xlnm._FilterDatabase" localSheetId="1" hidden="1">'SEDANA JAYA (Groceries)'!$A$1:$G$673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2EBB1BBD77A04910995658200A91ED32" descr="PHOTO-2026-02-06-18-12-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7785100" y="284480"/>
          <a:ext cx="6053455" cy="100679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<sst xmlns="http://schemas.openxmlformats.org/spreadsheetml/2006/main" count="453" uniqueCount="187">
  <si>
    <t>DATE</t>
  </si>
  <si>
    <t>ITEM</t>
  </si>
  <si>
    <t>QYT</t>
  </si>
  <si>
    <t>PRICE</t>
  </si>
  <si>
    <t>SUBTOTAL</t>
  </si>
  <si>
    <t>TOTAL</t>
  </si>
  <si>
    <t>MILAC WHIPPING CREAM</t>
  </si>
  <si>
    <t>FRESH MILK (DIAMOND)</t>
  </si>
  <si>
    <t>CREAM CHEESE</t>
  </si>
  <si>
    <t>PARMESAN GRATED</t>
  </si>
  <si>
    <t>BBQ SAUCE</t>
  </si>
  <si>
    <t>LOLLO ROSSO</t>
  </si>
  <si>
    <t>FOOD COLORING</t>
  </si>
  <si>
    <t>BABY CUCUMBER</t>
  </si>
  <si>
    <t>MUSHROOM BUTTON</t>
  </si>
  <si>
    <t>DILL</t>
  </si>
  <si>
    <t>SUNKIST</t>
  </si>
  <si>
    <t>AVOCADO</t>
  </si>
  <si>
    <t>SALAD OIL</t>
  </si>
  <si>
    <t>OREGANO</t>
  </si>
  <si>
    <t>IMPORTED LEMON</t>
  </si>
  <si>
    <t>DRAGON FRUIT</t>
  </si>
  <si>
    <t>YEAST</t>
  </si>
  <si>
    <t>HONEY BLOSSOM</t>
  </si>
  <si>
    <t>ONION</t>
  </si>
  <si>
    <t>LIME</t>
  </si>
  <si>
    <t>AMANDA BUTTER</t>
  </si>
  <si>
    <t>QUAIL EGG</t>
  </si>
  <si>
    <t>CANNED PEELED TOMATO</t>
  </si>
  <si>
    <t>KARA (200)</t>
  </si>
  <si>
    <t>BACON (1KG)</t>
  </si>
  <si>
    <t>KEWPIE MAYONNAISE</t>
  </si>
  <si>
    <t>PARMESAN BLOCK</t>
  </si>
  <si>
    <t>SEMOLINA</t>
  </si>
  <si>
    <t>EDAMAME</t>
  </si>
  <si>
    <t>WATERMELON</t>
  </si>
  <si>
    <t>OIL (18 L)</t>
  </si>
  <si>
    <t>CASHEW NUT</t>
  </si>
  <si>
    <t>SESAME DRESSING</t>
  </si>
  <si>
    <t>DOUBLE ZERO</t>
  </si>
  <si>
    <t>JALAPENO</t>
  </si>
  <si>
    <t>GORGONZOLA CHEESE</t>
  </si>
  <si>
    <t>FRENCH FRIES</t>
  </si>
  <si>
    <t>KG PLASTIC</t>
  </si>
  <si>
    <t>SOUR CREAM</t>
  </si>
  <si>
    <t>GREEN BEAN</t>
  </si>
  <si>
    <t>LADY FINGER</t>
  </si>
  <si>
    <t>MANGO</t>
  </si>
  <si>
    <t>TOMATO</t>
  </si>
  <si>
    <t>FETA CHEESE</t>
  </si>
  <si>
    <t>MAESTRO MAYONNAISE</t>
  </si>
  <si>
    <t>VANILLA ESSENCE (KOEPOE2)</t>
  </si>
  <si>
    <t>PINEAPPLE</t>
  </si>
  <si>
    <t>KINTAMANI ORANGE</t>
  </si>
  <si>
    <t>GREEN APPLE</t>
  </si>
  <si>
    <t>GREEN MUSTARD</t>
  </si>
  <si>
    <t>OAT MILK</t>
  </si>
  <si>
    <t>INVOICE NO.</t>
  </si>
  <si>
    <t>OUTSTANDING STATUS CHECK</t>
  </si>
  <si>
    <t>029695</t>
  </si>
  <si>
    <t>LEMON</t>
  </si>
  <si>
    <t>SUGAR</t>
  </si>
  <si>
    <t>BANANA</t>
  </si>
  <si>
    <t>EGG</t>
  </si>
  <si>
    <t>POTATO</t>
  </si>
  <si>
    <t>BASMATI RICE SHUKRIYA</t>
  </si>
  <si>
    <t>LEEK</t>
  </si>
  <si>
    <t>PARSLEY</t>
  </si>
  <si>
    <t>CORIANDER</t>
  </si>
  <si>
    <t>ENGLISH SPINACH</t>
  </si>
  <si>
    <t>CHILI</t>
  </si>
  <si>
    <t>GARLIC</t>
  </si>
  <si>
    <t>SHALLOT</t>
  </si>
  <si>
    <t>ZUCCHINI</t>
  </si>
  <si>
    <t>PUMPKIN</t>
  </si>
  <si>
    <t>BABY ROMAINE</t>
  </si>
  <si>
    <t>029696</t>
  </si>
  <si>
    <t>ICEBERG</t>
  </si>
  <si>
    <t>GREEN LETTUCE</t>
  </si>
  <si>
    <t>ROCKET LETTUCE</t>
  </si>
  <si>
    <t>CHERRY RED TOMATO</t>
  </si>
  <si>
    <t>CHERRY YELLOW TOMATO</t>
  </si>
  <si>
    <t>BROWN SUGAR</t>
  </si>
  <si>
    <t>STRAWBERRY</t>
  </si>
  <si>
    <t>029701</t>
  </si>
  <si>
    <t>BABY KYURI</t>
  </si>
  <si>
    <t>SPAGHETTI</t>
  </si>
  <si>
    <t>TOMATO KETCHUP</t>
  </si>
  <si>
    <t>PORTABLE GAS</t>
  </si>
  <si>
    <t>SWEET POTATO</t>
  </si>
  <si>
    <t>MAYONNAISE</t>
  </si>
  <si>
    <t>BIG RED CHILI</t>
  </si>
  <si>
    <t>RED PEPPER</t>
  </si>
  <si>
    <t>YELLOW PEPPER</t>
  </si>
  <si>
    <t>GREEN PEPPER</t>
  </si>
  <si>
    <t>CAKRA FLOUR</t>
  </si>
  <si>
    <t>MINT LEAVES</t>
  </si>
  <si>
    <t>BASIL LEAVES</t>
  </si>
  <si>
    <t>WHITE PEAR</t>
  </si>
  <si>
    <t>029702</t>
  </si>
  <si>
    <t>BEANS</t>
  </si>
  <si>
    <t>CARROT</t>
  </si>
  <si>
    <t>EGGPLANT</t>
  </si>
  <si>
    <t>029725</t>
  </si>
  <si>
    <t>DOLPIN SALT</t>
  </si>
  <si>
    <t>TOTOLE</t>
  </si>
  <si>
    <t>ASPARAGUS</t>
  </si>
  <si>
    <t>CUCUMBER</t>
  </si>
  <si>
    <t>THYME</t>
  </si>
  <si>
    <t>CELERY</t>
  </si>
  <si>
    <t>029726</t>
  </si>
  <si>
    <t>SPRING ONION</t>
  </si>
  <si>
    <t>SEGITIGA BIRU FLOUR</t>
  </si>
  <si>
    <t>029739</t>
  </si>
  <si>
    <t>GREEN PEAS</t>
  </si>
  <si>
    <t>WILD ROCKET</t>
  </si>
  <si>
    <t>029740</t>
  </si>
  <si>
    <t>029751</t>
  </si>
  <si>
    <t>COCONUT CREAM KARA (200)</t>
  </si>
  <si>
    <t>VINEGAR (DIXI)</t>
  </si>
  <si>
    <t>MILAC</t>
  </si>
  <si>
    <t>MUSHROOM SHIMEJI</t>
  </si>
  <si>
    <t>ROMAINE</t>
  </si>
  <si>
    <t>RED LOLLO ROSSA</t>
  </si>
  <si>
    <t>029752</t>
  </si>
  <si>
    <t>029776</t>
  </si>
  <si>
    <t>PEANUT</t>
  </si>
  <si>
    <t>FETTUCINNE</t>
  </si>
  <si>
    <t>MAIZENA FLOUR</t>
  </si>
  <si>
    <t>029777</t>
  </si>
  <si>
    <t>TORTILLA WRAP</t>
  </si>
  <si>
    <t>029793</t>
  </si>
  <si>
    <t>PUMPKIN SEED</t>
  </si>
  <si>
    <t>029794</t>
  </si>
  <si>
    <t>BABY KYURI (TIMUN JEPANG)</t>
  </si>
  <si>
    <t>BILLS</t>
  </si>
  <si>
    <t>MOZARELLA CHEESE</t>
  </si>
  <si>
    <t>CANNED PEELED TOMATOES (MERKO)</t>
  </si>
  <si>
    <t>PARMESAN CHEESE GRATED</t>
  </si>
  <si>
    <t>BORGES EXTRA VIRGIN OIL 5L</t>
  </si>
  <si>
    <t>DESCRIPTION</t>
  </si>
  <si>
    <t>QUANTITY</t>
  </si>
  <si>
    <t>SALMON</t>
  </si>
  <si>
    <t>MAHI-MAHI</t>
  </si>
  <si>
    <t>CHICKEN BREAST</t>
  </si>
  <si>
    <t>PRAWN</t>
  </si>
  <si>
    <t>SQUID</t>
  </si>
  <si>
    <t>MINCED BEEF</t>
  </si>
  <si>
    <t>TUNA</t>
  </si>
  <si>
    <t>SQUID TUBE</t>
  </si>
  <si>
    <t>INV NO.</t>
  </si>
  <si>
    <t>DESCRIPTIONS</t>
  </si>
  <si>
    <t>QTY</t>
  </si>
  <si>
    <t>BIILS</t>
  </si>
  <si>
    <t xml:space="preserve"> GRAND TOTAL</t>
  </si>
  <si>
    <t>SUB TOTAL</t>
  </si>
  <si>
    <t>BO0365/PRN-R/2026</t>
  </si>
  <si>
    <t>BONELESS BREAST TK SP</t>
  </si>
  <si>
    <t>BONELESS LEG TK SP</t>
  </si>
  <si>
    <t>BO0412/PRN-R/2026</t>
  </si>
  <si>
    <t>DUE DATE</t>
  </si>
  <si>
    <t>2602/FK-0599</t>
  </si>
  <si>
    <t>COW MEAT</t>
  </si>
  <si>
    <t>STRIPLOIN ICHI BROWN</t>
  </si>
  <si>
    <t>TOP SIDE BLACK ANGUS GF ONYX</t>
  </si>
  <si>
    <t>NO</t>
  </si>
  <si>
    <t>PC</t>
  </si>
  <si>
    <t>STATUS</t>
  </si>
  <si>
    <t xml:space="preserve">Total </t>
  </si>
  <si>
    <t>INV.NO</t>
  </si>
  <si>
    <t>TOTAL AFTER TAX</t>
  </si>
  <si>
    <t>GRAND TOTAL</t>
  </si>
  <si>
    <t>SUPPLIER</t>
  </si>
  <si>
    <t>Total</t>
  </si>
  <si>
    <t>BU BUNGA</t>
  </si>
  <si>
    <t>SEDANA JAYA</t>
  </si>
  <si>
    <t>RAFI SEAFOOD</t>
  </si>
  <si>
    <t>MAMA RADA PRODUCTION</t>
  </si>
  <si>
    <t>KSP</t>
  </si>
  <si>
    <t>SURYA CIPTA NIAGA BALI</t>
  </si>
  <si>
    <t>BAYU AGNI MERTA</t>
  </si>
  <si>
    <t>JOY GREEN</t>
  </si>
  <si>
    <t>CELEBRITY BAKERY</t>
  </si>
  <si>
    <t>KROP NATIION</t>
  </si>
  <si>
    <t>BOILER</t>
  </si>
  <si>
    <t>ABDI JAYA</t>
  </si>
  <si>
    <t>DISHY SOAP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</si>
</sst>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&quot;Rp&quot;* #,##0_-;\-&quot;Rp&quot;* #,##0_-;_-&quot;Rp&quot;* &quot;-&quot;??_-;_-@_-"/>
    <numFmt numFmtId="181" formatCode="[$-409]d\-mmm\-yyyy;@"/>
    <numFmt numFmtId="182" formatCode="dd\-mmm"/>
    <numFmt numFmtId="183" formatCode="_ [$IDR]\ * #,##0_ ;_ [$IDR]\ * \-#,##0_ ;_ [$IDR]\ * &quot;-&quot;_ ;_ @_ "/>
    <numFmt numFmtId="184" formatCode="[$-809]dd\ mmmm\ yyyy;@"/>
  </numFmts>
  <fonts count="43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8"/>
      <color theme="1"/>
      <name val="Garamond"/>
      <charset val="134"/>
    </font>
    <font>
      <sz val="14"/>
      <color theme="1"/>
      <name val="Garamond"/>
      <charset val="134"/>
    </font>
    <font>
      <sz val="11"/>
      <color theme="1"/>
      <name val="Calibri Light"/>
      <charset val="134"/>
    </font>
    <font>
      <sz val="16"/>
      <color theme="1"/>
      <name val="Calibri"/>
      <charset val="134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 Light"/>
      <charset val="134"/>
    </font>
    <font>
      <b/>
      <i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u/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3" fillId="9" borderId="14" applyNumberFormat="0" applyAlignment="0" applyProtection="0">
      <alignment vertical="center"/>
    </xf>
    <xf numFmtId="0" fontId="34" fillId="9" borderId="13" applyNumberFormat="0" applyAlignment="0" applyProtection="0">
      <alignment vertical="center"/>
    </xf>
    <xf numFmtId="0" fontId="35" fillId="10" borderId="15" applyNumberFormat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</cellStyleXfs>
  <cellXfs count="30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80" fontId="0" fillId="4" borderId="1" xfId="0" applyNumberFormat="1" applyFill="1" applyBorder="1" applyAlignment="1">
      <alignment horizontal="center" vertical="center"/>
    </xf>
    <xf numFmtId="180" fontId="0" fillId="4" borderId="1" xfId="0" applyNumberFormat="1" applyFill="1" applyBorder="1">
      <alignment vertical="center"/>
    </xf>
    <xf numFmtId="0" fontId="0" fillId="4" borderId="2" xfId="0" applyFill="1" applyBorder="1">
      <alignment vertical="center"/>
    </xf>
    <xf numFmtId="180" fontId="0" fillId="0" borderId="0" xfId="0" applyNumberFormat="1">
      <alignment vertical="center"/>
    </xf>
    <xf numFmtId="0" fontId="0" fillId="2" borderId="2" xfId="0" applyFill="1" applyBorder="1">
      <alignment vertical="center"/>
    </xf>
    <xf numFmtId="180" fontId="0" fillId="2" borderId="1" xfId="0" applyNumberFormat="1" applyFill="1" applyBorder="1">
      <alignment vertical="center"/>
    </xf>
    <xf numFmtId="0" fontId="1" fillId="0" borderId="0" xfId="0" applyFont="1">
      <alignment vertical="center"/>
    </xf>
    <xf numFmtId="181" fontId="0" fillId="0" borderId="0" xfId="0" applyNumberFormat="1">
      <alignment vertical="center"/>
    </xf>
    <xf numFmtId="0" fontId="0" fillId="0" borderId="0" xfId="0" applyAlignment="1">
      <alignment vertical="center"/>
    </xf>
    <xf numFmtId="181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181" fontId="2" fillId="4" borderId="1" xfId="0" applyNumberFormat="1" applyFont="1" applyFill="1" applyBorder="1" applyAlignment="1">
      <alignment vertical="center"/>
    </xf>
    <xf numFmtId="180" fontId="2" fillId="4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vertical="center"/>
    </xf>
    <xf numFmtId="181" fontId="3" fillId="4" borderId="1" xfId="0" applyNumberFormat="1" applyFont="1" applyFill="1" applyBorder="1" applyAlignment="1">
      <alignment vertical="center"/>
    </xf>
    <xf numFmtId="0" fontId="3" fillId="4" borderId="1" xfId="0" applyNumberFormat="1" applyFont="1" applyFill="1" applyBorder="1" applyAlignment="1">
      <alignment vertical="center"/>
    </xf>
    <xf numFmtId="181" fontId="3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vertical="center"/>
    </xf>
    <xf numFmtId="180" fontId="3" fillId="4" borderId="1" xfId="0" applyNumberFormat="1" applyFont="1" applyFill="1" applyBorder="1" applyAlignment="1">
      <alignment vertical="center"/>
    </xf>
    <xf numFmtId="180" fontId="2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2" fontId="2" fillId="4" borderId="1" xfId="0" applyNumberFormat="1" applyFont="1" applyFill="1" applyBorder="1" applyAlignment="1">
      <alignment vertical="center"/>
    </xf>
    <xf numFmtId="0" fontId="3" fillId="5" borderId="4" xfId="0" applyNumberFormat="1" applyFont="1" applyFill="1" applyBorder="1" applyAlignment="1">
      <alignment horizontal="center" vertical="center"/>
    </xf>
    <xf numFmtId="0" fontId="3" fillId="5" borderId="5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vertical="center"/>
    </xf>
    <xf numFmtId="180" fontId="3" fillId="0" borderId="4" xfId="0" applyNumberFormat="1" applyFont="1" applyFill="1" applyBorder="1" applyAlignment="1">
      <alignment horizontal="center" vertical="center"/>
    </xf>
    <xf numFmtId="180" fontId="3" fillId="0" borderId="5" xfId="0" applyNumberFormat="1" applyFont="1" applyFill="1" applyBorder="1" applyAlignment="1">
      <alignment horizontal="center" vertical="center"/>
    </xf>
    <xf numFmtId="180" fontId="3" fillId="0" borderId="2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180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left" vertical="center"/>
    </xf>
    <xf numFmtId="180" fontId="2" fillId="4" borderId="4" xfId="0" applyNumberFormat="1" applyFont="1" applyFill="1" applyBorder="1" applyAlignment="1">
      <alignment horizontal="center" vertical="center"/>
    </xf>
    <xf numFmtId="180" fontId="4" fillId="4" borderId="4" xfId="0" applyNumberFormat="1" applyFont="1" applyFill="1" applyBorder="1" applyAlignment="1">
      <alignment horizontal="center" vertical="center"/>
    </xf>
    <xf numFmtId="180" fontId="4" fillId="4" borderId="5" xfId="0" applyNumberFormat="1" applyFont="1" applyFill="1" applyBorder="1" applyAlignment="1">
      <alignment horizontal="left" vertical="center"/>
    </xf>
    <xf numFmtId="180" fontId="4" fillId="4" borderId="2" xfId="0" applyNumberFormat="1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81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81" fontId="6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180" fontId="3" fillId="4" borderId="1" xfId="0" applyNumberFormat="1" applyFont="1" applyFill="1" applyBorder="1" applyAlignment="1">
      <alignment horizontal="left" vertical="center"/>
    </xf>
    <xf numFmtId="180" fontId="2" fillId="4" borderId="1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82" fontId="0" fillId="4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82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83" fontId="2" fillId="0" borderId="1" xfId="0" applyNumberFormat="1" applyFont="1" applyBorder="1">
      <alignment vertical="center"/>
    </xf>
    <xf numFmtId="0" fontId="0" fillId="0" borderId="2" xfId="0" applyBorder="1">
      <alignment vertical="center"/>
    </xf>
    <xf numFmtId="180" fontId="4" fillId="6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81" fontId="9" fillId="5" borderId="1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4" borderId="6" xfId="0" applyNumberFormat="1" applyFill="1" applyBorder="1" applyAlignment="1">
      <alignment horizontal="center" vertical="center"/>
    </xf>
    <xf numFmtId="0" fontId="0" fillId="4" borderId="6" xfId="0" applyNumberFormat="1" applyFill="1" applyBorder="1" applyAlignment="1">
      <alignment horizontal="center" vertical="center"/>
    </xf>
    <xf numFmtId="180" fontId="0" fillId="4" borderId="1" xfId="0" applyNumberFormat="1" applyFill="1" applyBorder="1" applyAlignment="1">
      <alignment vertical="center" wrapText="1"/>
    </xf>
    <xf numFmtId="0" fontId="0" fillId="4" borderId="1" xfId="0" applyNumberFormat="1" applyFill="1" applyBorder="1" applyAlignment="1">
      <alignment horizontal="center" vertical="center" wrapText="1"/>
    </xf>
    <xf numFmtId="181" fontId="0" fillId="4" borderId="7" xfId="0" applyNumberFormat="1" applyFill="1" applyBorder="1" applyAlignment="1">
      <alignment horizontal="center" vertical="center"/>
    </xf>
    <xf numFmtId="0" fontId="0" fillId="4" borderId="7" xfId="0" applyNumberFormat="1" applyFill="1" applyBorder="1" applyAlignment="1">
      <alignment horizontal="center" vertical="center"/>
    </xf>
    <xf numFmtId="181" fontId="0" fillId="4" borderId="8" xfId="0" applyNumberFormat="1" applyFill="1" applyBorder="1" applyAlignment="1">
      <alignment horizontal="center" vertical="center"/>
    </xf>
    <xf numFmtId="0" fontId="0" fillId="4" borderId="8" xfId="0" applyNumberFormat="1" applyFill="1" applyBorder="1" applyAlignment="1">
      <alignment horizontal="center" vertical="center"/>
    </xf>
    <xf numFmtId="181" fontId="0" fillId="4" borderId="1" xfId="0" applyNumberFormat="1" applyFont="1" applyFill="1" applyBorder="1" applyAlignment="1">
      <alignment vertical="center"/>
    </xf>
    <xf numFmtId="0" fontId="0" fillId="4" borderId="1" xfId="0" applyNumberFormat="1" applyFont="1" applyFill="1" applyBorder="1" applyAlignment="1">
      <alignment vertical="center"/>
    </xf>
    <xf numFmtId="0" fontId="0" fillId="4" borderId="1" xfId="0" applyNumberFormat="1" applyFont="1" applyFill="1" applyBorder="1" applyAlignment="1">
      <alignment horizontal="center" vertical="center"/>
    </xf>
    <xf numFmtId="181" fontId="3" fillId="6" borderId="4" xfId="0" applyNumberFormat="1" applyFont="1" applyFill="1" applyBorder="1" applyAlignment="1">
      <alignment horizontal="center" vertical="center"/>
    </xf>
    <xf numFmtId="181" fontId="3" fillId="6" borderId="5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180" fontId="0" fillId="4" borderId="1" xfId="0" applyNumberFormat="1" applyFill="1" applyBorder="1" applyAlignment="1">
      <alignment vertical="center"/>
    </xf>
    <xf numFmtId="180" fontId="0" fillId="4" borderId="6" xfId="0" applyNumberForma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/>
    </xf>
    <xf numFmtId="180" fontId="0" fillId="4" borderId="7" xfId="0" applyNumberForma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180" fontId="0" fillId="4" borderId="8" xfId="0" applyNumberFormat="1" applyFill="1" applyBorder="1" applyAlignment="1">
      <alignment horizontal="center" vertical="center"/>
    </xf>
    <xf numFmtId="180" fontId="0" fillId="4" borderId="1" xfId="0" applyNumberFormat="1" applyFont="1" applyFill="1" applyBorder="1" applyAlignment="1">
      <alignment vertical="center"/>
    </xf>
    <xf numFmtId="180" fontId="4" fillId="6" borderId="4" xfId="0" applyNumberFormat="1" applyFont="1" applyFill="1" applyBorder="1" applyAlignment="1">
      <alignment horizontal="center" vertical="center"/>
    </xf>
    <xf numFmtId="180" fontId="4" fillId="6" borderId="5" xfId="0" applyNumberFormat="1" applyFont="1" applyFill="1" applyBorder="1" applyAlignment="1">
      <alignment horizontal="center" vertical="center"/>
    </xf>
    <xf numFmtId="184" fontId="0" fillId="0" borderId="6" xfId="0" applyNumberFormat="1" applyFill="1" applyBorder="1" applyAlignment="1">
      <alignment horizontal="center" vertical="center"/>
    </xf>
    <xf numFmtId="184" fontId="0" fillId="0" borderId="7" xfId="0" applyNumberFormat="1" applyFill="1" applyBorder="1" applyAlignment="1">
      <alignment horizontal="center" vertical="center"/>
    </xf>
    <xf numFmtId="184" fontId="0" fillId="0" borderId="8" xfId="0" applyNumberFormat="1" applyFill="1" applyBorder="1" applyAlignment="1">
      <alignment horizontal="center" vertical="center"/>
    </xf>
    <xf numFmtId="184" fontId="0" fillId="0" borderId="1" xfId="0" applyNumberFormat="1" applyFill="1" applyBorder="1" applyAlignment="1">
      <alignment vertical="center"/>
    </xf>
    <xf numFmtId="180" fontId="4" fillId="6" borderId="2" xfId="0" applyNumberFormat="1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80" fontId="10" fillId="5" borderId="1" xfId="0" applyNumberFormat="1" applyFont="1" applyFill="1" applyBorder="1" applyAlignment="1">
      <alignment horizontal="center" vertical="center"/>
    </xf>
    <xf numFmtId="181" fontId="0" fillId="4" borderId="6" xfId="0" applyNumberFormat="1" applyFill="1" applyBorder="1" applyAlignment="1">
      <alignment horizontal="center" vertical="center"/>
    </xf>
    <xf numFmtId="182" fontId="0" fillId="4" borderId="6" xfId="0" applyNumberFormat="1" applyFill="1" applyBorder="1" applyAlignment="1">
      <alignment horizontal="center" vertical="center"/>
    </xf>
    <xf numFmtId="180" fontId="11" fillId="4" borderId="1" xfId="0" applyNumberFormat="1" applyFont="1" applyFill="1" applyBorder="1" applyAlignment="1">
      <alignment vertical="center" wrapText="1"/>
    </xf>
    <xf numFmtId="0" fontId="11" fillId="4" borderId="1" xfId="0" applyNumberFormat="1" applyFont="1" applyFill="1" applyBorder="1" applyAlignment="1">
      <alignment horizontal="center" vertical="center" wrapText="1"/>
    </xf>
    <xf numFmtId="181" fontId="0" fillId="4" borderId="8" xfId="0" applyNumberFormat="1" applyFill="1" applyBorder="1" applyAlignment="1">
      <alignment horizontal="center" vertical="center"/>
    </xf>
    <xf numFmtId="182" fontId="0" fillId="4" borderId="8" xfId="0" applyNumberFormat="1" applyFill="1" applyBorder="1" applyAlignment="1">
      <alignment horizontal="center" vertical="center"/>
    </xf>
    <xf numFmtId="182" fontId="0" fillId="4" borderId="6" xfId="0" applyNumberFormat="1" applyFill="1" applyBorder="1" applyAlignment="1">
      <alignment horizontal="center" vertical="center"/>
    </xf>
    <xf numFmtId="182" fontId="0" fillId="4" borderId="8" xfId="0" applyNumberFormat="1" applyFill="1" applyBorder="1" applyAlignment="1">
      <alignment horizontal="center" vertical="center"/>
    </xf>
    <xf numFmtId="181" fontId="0" fillId="4" borderId="1" xfId="0" applyNumberFormat="1" applyFill="1" applyBorder="1" applyAlignment="1">
      <alignment vertical="center"/>
    </xf>
    <xf numFmtId="182" fontId="0" fillId="4" borderId="1" xfId="0" applyNumberFormat="1" applyFill="1" applyBorder="1" applyAlignment="1">
      <alignment vertical="center"/>
    </xf>
    <xf numFmtId="181" fontId="0" fillId="4" borderId="8" xfId="0" applyNumberFormat="1" applyFill="1" applyBorder="1" applyAlignment="1">
      <alignment vertical="center"/>
    </xf>
    <xf numFmtId="182" fontId="0" fillId="4" borderId="8" xfId="0" applyNumberFormat="1" applyFill="1" applyBorder="1" applyAlignment="1">
      <alignment vertical="center"/>
    </xf>
    <xf numFmtId="180" fontId="0" fillId="4" borderId="8" xfId="0" applyNumberFormat="1" applyFill="1" applyBorder="1" applyAlignment="1">
      <alignment horizontal="center" vertical="center" wrapText="1"/>
    </xf>
    <xf numFmtId="0" fontId="0" fillId="4" borderId="8" xfId="0" applyNumberFormat="1" applyFill="1" applyBorder="1" applyAlignment="1">
      <alignment horizontal="center" vertical="center" wrapText="1"/>
    </xf>
    <xf numFmtId="181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183" fontId="0" fillId="0" borderId="1" xfId="0" applyNumberFormat="1" applyBorder="1" applyAlignment="1">
      <alignment vertical="center"/>
    </xf>
    <xf numFmtId="183" fontId="0" fillId="0" borderId="6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183" fontId="0" fillId="0" borderId="8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183" fontId="0" fillId="0" borderId="6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183" fontId="0" fillId="0" borderId="8" xfId="0" applyNumberFormat="1" applyBorder="1" applyAlignment="1">
      <alignment horizontal="center" vertical="center"/>
    </xf>
    <xf numFmtId="0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0" fontId="0" fillId="0" borderId="8" xfId="0" applyNumberFormat="1" applyBorder="1" applyAlignment="1">
      <alignment vertical="center"/>
    </xf>
    <xf numFmtId="180" fontId="0" fillId="0" borderId="8" xfId="0" applyNumberFormat="1" applyBorder="1" applyAlignment="1">
      <alignment vertical="center"/>
    </xf>
    <xf numFmtId="180" fontId="0" fillId="0" borderId="1" xfId="0" applyNumberFormat="1" applyBorder="1">
      <alignment vertical="center"/>
    </xf>
    <xf numFmtId="0" fontId="12" fillId="0" borderId="0" xfId="0" applyFont="1">
      <alignment vertical="center"/>
    </xf>
    <xf numFmtId="181" fontId="12" fillId="0" borderId="0" xfId="0" applyNumberFormat="1" applyFont="1">
      <alignment vertical="center"/>
    </xf>
    <xf numFmtId="0" fontId="12" fillId="0" borderId="0" xfId="0" applyFont="1" applyAlignment="1">
      <alignment horizontal="center" vertical="top"/>
    </xf>
    <xf numFmtId="181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81" fontId="12" fillId="4" borderId="1" xfId="0" applyNumberFormat="1" applyFont="1" applyFill="1" applyBorder="1" applyAlignment="1">
      <alignment vertical="center"/>
    </xf>
    <xf numFmtId="182" fontId="12" fillId="4" borderId="1" xfId="0" applyNumberFormat="1" applyFont="1" applyFill="1" applyBorder="1" applyAlignment="1">
      <alignment vertical="center"/>
    </xf>
    <xf numFmtId="180" fontId="12" fillId="4" borderId="1" xfId="0" applyNumberFormat="1" applyFont="1" applyFill="1" applyBorder="1" applyAlignment="1">
      <alignment vertical="center" wrapText="1"/>
    </xf>
    <xf numFmtId="0" fontId="12" fillId="4" borderId="1" xfId="0" applyNumberFormat="1" applyFont="1" applyFill="1" applyBorder="1" applyAlignment="1">
      <alignment vertical="center" wrapText="1"/>
    </xf>
    <xf numFmtId="180" fontId="12" fillId="4" borderId="1" xfId="0" applyNumberFormat="1" applyFont="1" applyFill="1" applyBorder="1" applyAlignment="1">
      <alignment vertical="center"/>
    </xf>
    <xf numFmtId="0" fontId="12" fillId="4" borderId="1" xfId="0" applyNumberFormat="1" applyFont="1" applyFill="1" applyBorder="1" applyAlignment="1">
      <alignment vertical="center"/>
    </xf>
    <xf numFmtId="181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5" borderId="1" xfId="0" applyFont="1" applyFill="1" applyBorder="1">
      <alignment vertical="center"/>
    </xf>
    <xf numFmtId="0" fontId="12" fillId="4" borderId="1" xfId="0" applyFont="1" applyFill="1" applyBorder="1" applyAlignment="1">
      <alignment vertical="center"/>
    </xf>
    <xf numFmtId="183" fontId="12" fillId="4" borderId="1" xfId="0" applyNumberFormat="1" applyFont="1" applyFill="1" applyBorder="1" applyAlignment="1">
      <alignment vertical="center"/>
    </xf>
    <xf numFmtId="183" fontId="12" fillId="6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8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81" fontId="2" fillId="4" borderId="6" xfId="0" applyNumberFormat="1" applyFont="1" applyFill="1" applyBorder="1" applyAlignment="1">
      <alignment horizontal="center" vertical="center"/>
    </xf>
    <xf numFmtId="180" fontId="13" fillId="4" borderId="1" xfId="0" applyNumberFormat="1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/>
    </xf>
    <xf numFmtId="183" fontId="15" fillId="4" borderId="1" xfId="0" applyNumberFormat="1" applyFont="1" applyFill="1" applyBorder="1" applyAlignment="1">
      <alignment vertical="center"/>
    </xf>
    <xf numFmtId="181" fontId="2" fillId="4" borderId="7" xfId="0" applyNumberFormat="1" applyFont="1" applyFill="1" applyBorder="1" applyAlignment="1">
      <alignment horizontal="center" vertical="center"/>
    </xf>
    <xf numFmtId="181" fontId="2" fillId="4" borderId="8" xfId="0" applyNumberFormat="1" applyFont="1" applyFill="1" applyBorder="1" applyAlignment="1">
      <alignment horizontal="center" vertical="center"/>
    </xf>
    <xf numFmtId="0" fontId="13" fillId="4" borderId="1" xfId="0" applyNumberFormat="1" applyFont="1" applyFill="1" applyBorder="1" applyAlignment="1">
      <alignment vertical="center" wrapText="1"/>
    </xf>
    <xf numFmtId="181" fontId="2" fillId="4" borderId="6" xfId="0" applyNumberFormat="1" applyFont="1" applyFill="1" applyBorder="1" applyAlignment="1">
      <alignment horizontal="center" vertical="center"/>
    </xf>
    <xf numFmtId="181" fontId="2" fillId="4" borderId="7" xfId="0" applyNumberFormat="1" applyFont="1" applyFill="1" applyBorder="1" applyAlignment="1">
      <alignment horizontal="center" vertical="center"/>
    </xf>
    <xf numFmtId="180" fontId="13" fillId="4" borderId="1" xfId="0" applyNumberFormat="1" applyFont="1" applyFill="1" applyBorder="1" applyAlignment="1">
      <alignment vertical="center"/>
    </xf>
    <xf numFmtId="181" fontId="2" fillId="4" borderId="8" xfId="0" applyNumberFormat="1" applyFont="1" applyFill="1" applyBorder="1" applyAlignment="1">
      <alignment horizontal="center" vertical="center"/>
    </xf>
    <xf numFmtId="181" fontId="2" fillId="4" borderId="1" xfId="0" applyNumberFormat="1" applyFont="1" applyFill="1" applyBorder="1" applyAlignment="1">
      <alignment horizontal="center" vertical="center"/>
    </xf>
    <xf numFmtId="0" fontId="2" fillId="6" borderId="9" xfId="0" applyNumberFormat="1" applyFont="1" applyFill="1" applyBorder="1" applyAlignment="1">
      <alignment horizontal="center" vertical="center"/>
    </xf>
    <xf numFmtId="0" fontId="2" fillId="6" borderId="9" xfId="0" applyNumberFormat="1" applyFont="1" applyFill="1" applyBorder="1" applyAlignment="1">
      <alignment vertical="center"/>
    </xf>
    <xf numFmtId="180" fontId="16" fillId="6" borderId="9" xfId="0" applyNumberFormat="1" applyFont="1" applyFill="1" applyBorder="1" applyAlignment="1">
      <alignment horizontal="center" vertical="center"/>
    </xf>
    <xf numFmtId="180" fontId="16" fillId="6" borderId="8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83" fontId="2" fillId="4" borderId="1" xfId="0" applyNumberFormat="1" applyFont="1" applyFill="1" applyBorder="1" applyAlignment="1">
      <alignment vertical="center"/>
    </xf>
    <xf numFmtId="183" fontId="2" fillId="4" borderId="6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83" fontId="2" fillId="4" borderId="7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83" fontId="2" fillId="4" borderId="8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83" fontId="2" fillId="4" borderId="6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83" fontId="2" fillId="4" borderId="7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83" fontId="2" fillId="4" borderId="8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83" fontId="2" fillId="0" borderId="0" xfId="0" applyNumberFormat="1" applyFont="1">
      <alignment vertical="center"/>
    </xf>
    <xf numFmtId="0" fontId="17" fillId="0" borderId="0" xfId="0" applyFont="1">
      <alignment vertical="center"/>
    </xf>
    <xf numFmtId="18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81" fontId="18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8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81" fontId="17" fillId="0" borderId="6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180" fontId="17" fillId="4" borderId="1" xfId="0" applyNumberFormat="1" applyFont="1" applyFill="1" applyBorder="1" applyAlignment="1">
      <alignment vertical="center"/>
    </xf>
    <xf numFmtId="181" fontId="17" fillId="0" borderId="7" xfId="0" applyNumberFormat="1" applyFont="1" applyBorder="1" applyAlignment="1">
      <alignment horizontal="center" vertical="center"/>
    </xf>
    <xf numFmtId="181" fontId="17" fillId="0" borderId="8" xfId="0" applyNumberFormat="1" applyFont="1" applyBorder="1" applyAlignment="1">
      <alignment horizontal="center" vertical="center"/>
    </xf>
    <xf numFmtId="181" fontId="17" fillId="0" borderId="1" xfId="0" applyNumberFormat="1" applyFont="1" applyBorder="1" applyAlignment="1">
      <alignment vertical="center"/>
    </xf>
    <xf numFmtId="181" fontId="20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80" fontId="20" fillId="4" borderId="1" xfId="0" applyNumberFormat="1" applyFont="1" applyFill="1" applyBorder="1" applyAlignment="1">
      <alignment vertical="center"/>
    </xf>
    <xf numFmtId="181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>
      <alignment vertical="center"/>
    </xf>
    <xf numFmtId="180" fontId="17" fillId="0" borderId="6" xfId="0" applyNumberFormat="1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180" fontId="17" fillId="0" borderId="7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180" fontId="17" fillId="0" borderId="8" xfId="0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180" fontId="17" fillId="0" borderId="1" xfId="0" applyNumberFormat="1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180" fontId="17" fillId="0" borderId="0" xfId="0" applyNumberFormat="1" applyFont="1">
      <alignment vertical="center"/>
    </xf>
    <xf numFmtId="180" fontId="20" fillId="0" borderId="1" xfId="0" applyNumberFormat="1" applyFont="1" applyFill="1" applyBorder="1" applyAlignment="1">
      <alignment vertical="center"/>
    </xf>
    <xf numFmtId="0" fontId="20" fillId="0" borderId="1" xfId="0" applyFont="1" applyFill="1" applyBorder="1" applyAlignment="1">
      <alignment vertical="center"/>
    </xf>
    <xf numFmtId="180" fontId="17" fillId="0" borderId="1" xfId="0" applyNumberFormat="1" applyFont="1" applyBorder="1">
      <alignment vertical="center"/>
    </xf>
    <xf numFmtId="0" fontId="17" fillId="0" borderId="0" xfId="0" applyNumberFormat="1" applyFont="1" applyAlignment="1">
      <alignment horizontal="center" vertical="center"/>
    </xf>
    <xf numFmtId="0" fontId="19" fillId="5" borderId="1" xfId="0" applyNumberFormat="1" applyFont="1" applyFill="1" applyBorder="1" applyAlignment="1">
      <alignment horizontal="center" vertical="center"/>
    </xf>
    <xf numFmtId="0" fontId="17" fillId="0" borderId="6" xfId="0" applyNumberFormat="1" applyFont="1" applyBorder="1" applyAlignment="1">
      <alignment horizontal="center" vertical="center"/>
    </xf>
    <xf numFmtId="0" fontId="17" fillId="0" borderId="7" xfId="0" applyNumberFormat="1" applyFont="1" applyBorder="1" applyAlignment="1">
      <alignment horizontal="center" vertical="center"/>
    </xf>
    <xf numFmtId="0" fontId="17" fillId="0" borderId="8" xfId="0" applyNumberFormat="1" applyFont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181" fontId="17" fillId="0" borderId="6" xfId="0" applyNumberFormat="1" applyFont="1" applyFill="1" applyBorder="1" applyAlignment="1">
      <alignment horizontal="center" vertical="center"/>
    </xf>
    <xf numFmtId="0" fontId="17" fillId="0" borderId="6" xfId="0" applyNumberFormat="1" applyFont="1" applyFill="1" applyBorder="1" applyAlignment="1">
      <alignment horizontal="center" vertical="center"/>
    </xf>
    <xf numFmtId="181" fontId="17" fillId="0" borderId="7" xfId="0" applyNumberFormat="1" applyFont="1" applyFill="1" applyBorder="1" applyAlignment="1">
      <alignment horizontal="center" vertical="center"/>
    </xf>
    <xf numFmtId="0" fontId="17" fillId="0" borderId="7" xfId="0" applyNumberFormat="1" applyFont="1" applyFill="1" applyBorder="1" applyAlignment="1">
      <alignment horizontal="center" vertical="center"/>
    </xf>
    <xf numFmtId="181" fontId="17" fillId="0" borderId="8" xfId="0" applyNumberFormat="1" applyFont="1" applyFill="1" applyBorder="1" applyAlignment="1">
      <alignment horizontal="center" vertical="center"/>
    </xf>
    <xf numFmtId="0" fontId="17" fillId="0" borderId="8" xfId="0" applyNumberFormat="1" applyFont="1" applyFill="1" applyBorder="1" applyAlignment="1">
      <alignment horizontal="center" vertical="center"/>
    </xf>
    <xf numFmtId="180" fontId="0" fillId="0" borderId="6" xfId="0" applyNumberFormat="1" applyFill="1" applyBorder="1" applyAlignment="1">
      <alignment horizontal="center" vertical="center"/>
    </xf>
    <xf numFmtId="180" fontId="0" fillId="0" borderId="7" xfId="0" applyNumberFormat="1" applyFill="1" applyBorder="1" applyAlignment="1">
      <alignment horizontal="center" vertical="center"/>
    </xf>
    <xf numFmtId="180" fontId="0" fillId="0" borderId="8" xfId="0" applyNumberFormat="1" applyFill="1" applyBorder="1" applyAlignment="1">
      <alignment horizontal="center" vertical="center"/>
    </xf>
    <xf numFmtId="181" fontId="17" fillId="0" borderId="6" xfId="0" applyNumberFormat="1" applyFont="1" applyBorder="1" applyAlignment="1">
      <alignment horizontal="center" vertical="center"/>
    </xf>
    <xf numFmtId="0" fontId="17" fillId="0" borderId="6" xfId="0" applyNumberFormat="1" applyFont="1" applyBorder="1" applyAlignment="1">
      <alignment horizontal="center" vertical="center"/>
    </xf>
    <xf numFmtId="181" fontId="17" fillId="0" borderId="7" xfId="0" applyNumberFormat="1" applyFont="1" applyBorder="1" applyAlignment="1">
      <alignment horizontal="center" vertical="center"/>
    </xf>
    <xf numFmtId="0" fontId="17" fillId="0" borderId="7" xfId="0" applyNumberFormat="1" applyFont="1" applyBorder="1" applyAlignment="1">
      <alignment horizontal="center" vertical="center"/>
    </xf>
    <xf numFmtId="181" fontId="17" fillId="0" borderId="8" xfId="0" applyNumberFormat="1" applyFont="1" applyBorder="1" applyAlignment="1">
      <alignment horizontal="center" vertical="center"/>
    </xf>
    <xf numFmtId="0" fontId="17" fillId="0" borderId="8" xfId="0" applyNumberFormat="1" applyFont="1" applyBorder="1" applyAlignment="1">
      <alignment horizontal="center" vertical="center"/>
    </xf>
    <xf numFmtId="180" fontId="17" fillId="0" borderId="6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80" fontId="17" fillId="0" borderId="7" xfId="0" applyNumberFormat="1" applyFont="1" applyFill="1" applyBorder="1" applyAlignment="1">
      <alignment horizontal="center" vertical="center"/>
    </xf>
    <xf numFmtId="180" fontId="17" fillId="0" borderId="8" xfId="0" applyNumberFormat="1" applyFont="1" applyFill="1" applyBorder="1" applyAlignment="1">
      <alignment horizontal="center" vertical="center"/>
    </xf>
    <xf numFmtId="0" fontId="17" fillId="0" borderId="0" xfId="0" applyFont="1" applyFill="1">
      <alignment vertical="center"/>
    </xf>
    <xf numFmtId="0" fontId="17" fillId="0" borderId="1" xfId="0" applyNumberFormat="1" applyFont="1" applyBorder="1" applyAlignment="1">
      <alignment horizontal="center" vertical="center"/>
    </xf>
    <xf numFmtId="180" fontId="17" fillId="0" borderId="0" xfId="0" applyNumberFormat="1" applyFont="1" applyFill="1">
      <alignment vertical="center"/>
    </xf>
    <xf numFmtId="181" fontId="21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180" fontId="0" fillId="0" borderId="1" xfId="0" applyNumberFormat="1" applyFill="1" applyBorder="1" applyAlignment="1">
      <alignment vertical="center"/>
    </xf>
    <xf numFmtId="180" fontId="17" fillId="0" borderId="1" xfId="0" applyNumberFormat="1" applyFont="1" applyBorder="1" applyAlignment="1">
      <alignment vertical="center"/>
    </xf>
    <xf numFmtId="180" fontId="17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>
      <alignment vertical="center"/>
    </xf>
    <xf numFmtId="0" fontId="0" fillId="0" borderId="0" xfId="0" applyFill="1" applyAlignment="1">
      <alignment vertical="center"/>
    </xf>
    <xf numFmtId="181" fontId="2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81" fontId="22" fillId="5" borderId="1" xfId="0" applyNumberFormat="1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  <xf numFmtId="0" fontId="23" fillId="5" borderId="1" xfId="0" applyNumberFormat="1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181" fontId="21" fillId="0" borderId="6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180" fontId="0" fillId="4" borderId="2" xfId="0" applyNumberFormat="1" applyFill="1" applyBorder="1" applyAlignment="1">
      <alignment vertical="center"/>
    </xf>
    <xf numFmtId="181" fontId="21" fillId="0" borderId="7" xfId="0" applyNumberFormat="1" applyFont="1" applyFill="1" applyBorder="1" applyAlignment="1">
      <alignment horizontal="center" vertical="center"/>
    </xf>
    <xf numFmtId="181" fontId="21" fillId="0" borderId="8" xfId="0" applyNumberFormat="1" applyFont="1" applyFill="1" applyBorder="1" applyAlignment="1">
      <alignment horizontal="center" vertical="center"/>
    </xf>
    <xf numFmtId="181" fontId="21" fillId="0" borderId="6" xfId="0" applyNumberFormat="1" applyFont="1" applyFill="1" applyBorder="1" applyAlignment="1">
      <alignment horizontal="center" vertical="center"/>
    </xf>
    <xf numFmtId="181" fontId="21" fillId="0" borderId="7" xfId="0" applyNumberFormat="1" applyFont="1" applyFill="1" applyBorder="1" applyAlignment="1">
      <alignment horizontal="center" vertical="center"/>
    </xf>
    <xf numFmtId="181" fontId="21" fillId="0" borderId="8" xfId="0" applyNumberFormat="1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180" fontId="0" fillId="0" borderId="0" xfId="0" applyNumberFormat="1" applyFill="1" applyAlignment="1">
      <alignment vertical="center"/>
    </xf>
    <xf numFmtId="180" fontId="0" fillId="0" borderId="6" xfId="0" applyNumberFormat="1" applyFill="1" applyBorder="1" applyAlignment="1">
      <alignment horizontal="center" vertical="center"/>
    </xf>
    <xf numFmtId="180" fontId="0" fillId="0" borderId="7" xfId="0" applyNumberFormat="1" applyFill="1" applyBorder="1" applyAlignment="1">
      <alignment horizontal="center" vertical="center"/>
    </xf>
    <xf numFmtId="180" fontId="0" fillId="0" borderId="8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180" fontId="0" fillId="4" borderId="2" xfId="0" applyNumberFormat="1" applyFill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180" fontId="17" fillId="4" borderId="2" xfId="0" applyNumberFormat="1" applyFont="1" applyFill="1" applyBorder="1" applyAlignment="1">
      <alignment vertical="center"/>
    </xf>
    <xf numFmtId="180" fontId="0" fillId="0" borderId="4" xfId="0" applyNumberForma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" xfId="0" applyFill="1" applyBorder="1" applyAlignment="1">
      <alignment horizontal="left" vertical="center"/>
    </xf>
    <xf numFmtId="0" fontId="17" fillId="0" borderId="6" xfId="0" applyNumberFormat="1" applyFont="1" applyBorder="1" applyAlignment="1" quotePrefix="1">
      <alignment horizontal="center" vertical="center"/>
    </xf>
    <xf numFmtId="0" fontId="17" fillId="0" borderId="7" xfId="0" applyNumberFormat="1" applyFont="1" applyBorder="1" applyAlignment="1" quotePrefix="1">
      <alignment horizontal="center" vertical="center"/>
    </xf>
    <xf numFmtId="0" fontId="17" fillId="0" borderId="6" xfId="0" applyNumberFormat="1" applyFont="1" applyFill="1" applyBorder="1" applyAlignment="1" quotePrefix="1">
      <alignment horizontal="center" vertical="center"/>
    </xf>
    <xf numFmtId="0" fontId="17" fillId="0" borderId="6" xfId="0" applyNumberFormat="1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8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www.wps.cn/officeDocument/2020/cellImage" Target="cellimag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19367</xdr:colOff>
      <xdr:row>1</xdr:row>
      <xdr:rowOff>26352</xdr:rowOff>
    </xdr:from>
    <xdr:to>
      <xdr:col>6</xdr:col>
      <xdr:colOff>2374582</xdr:colOff>
      <xdr:row>3</xdr:row>
      <xdr:rowOff>484822</xdr:rowOff>
    </xdr:to>
    <xdr:pic>
      <xdr:nvPicPr>
        <xdr:cNvPr id="4" name="ID_636AC24CC7954B4FADE29D289651AFD4" descr="PHOTO-2026-02-03-23-58-07"/>
        <xdr:cNvPicPr>
          <a:picLocks noChangeAspect="1"/>
        </xdr:cNvPicPr>
      </xdr:nvPicPr>
      <xdr:blipFill>
        <a:blip r:embed="rId1"/>
        <a:srcRect t="6357" r="2988"/>
        <a:stretch>
          <a:fillRect/>
        </a:stretch>
      </xdr:blipFill>
      <xdr:spPr>
        <a:xfrm rot="16200000">
          <a:off x="8667750" y="-167640"/>
          <a:ext cx="1449070" cy="2354580"/>
        </a:xfrm>
        <a:prstGeom prst="rect">
          <a:avLst/>
        </a:prstGeom>
      </xdr:spPr>
    </xdr:pic>
    <xdr:clientData/>
  </xdr:twoCellAnchor>
  <xdr:twoCellAnchor editAs="oneCell">
    <xdr:from>
      <xdr:col>6</xdr:col>
      <xdr:colOff>28257</xdr:colOff>
      <xdr:row>4</xdr:row>
      <xdr:rowOff>18732</xdr:rowOff>
    </xdr:from>
    <xdr:to>
      <xdr:col>6</xdr:col>
      <xdr:colOff>2365692</xdr:colOff>
      <xdr:row>4</xdr:row>
      <xdr:rowOff>1408112</xdr:rowOff>
    </xdr:to>
    <xdr:pic>
      <xdr:nvPicPr>
        <xdr:cNvPr id="5" name="ID_4CDFAB597ABE46C7BAED4C1965C98541" descr="PHOTO-2026-02-03-23-58-4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8697595" y="1289050"/>
          <a:ext cx="1389380" cy="23374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72390</xdr:colOff>
      <xdr:row>1</xdr:row>
      <xdr:rowOff>26670</xdr:rowOff>
    </xdr:from>
    <xdr:to>
      <xdr:col>4</xdr:col>
      <xdr:colOff>2942590</xdr:colOff>
      <xdr:row>3</xdr:row>
      <xdr:rowOff>1183640</xdr:rowOff>
    </xdr:to>
    <xdr:pic>
      <xdr:nvPicPr>
        <xdr:cNvPr id="4" name="ID_0145CB14E3774CDAA8DCB5A0D8A84BA6" descr="PHOTO-2026-02-01-17-17-05"/>
        <xdr:cNvPicPr>
          <a:picLocks noChangeAspect="1"/>
        </xdr:cNvPicPr>
      </xdr:nvPicPr>
      <xdr:blipFill>
        <a:blip r:embed="rId1"/>
        <a:srcRect t="11510" b="18057"/>
        <a:stretch>
          <a:fillRect/>
        </a:stretch>
      </xdr:blipFill>
      <xdr:spPr>
        <a:xfrm>
          <a:off x="8470900" y="321310"/>
          <a:ext cx="2870200" cy="356997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4</xdr:row>
      <xdr:rowOff>26670</xdr:rowOff>
    </xdr:from>
    <xdr:to>
      <xdr:col>4</xdr:col>
      <xdr:colOff>2967990</xdr:colOff>
      <xdr:row>7</xdr:row>
      <xdr:rowOff>943610</xdr:rowOff>
    </xdr:to>
    <xdr:pic>
      <xdr:nvPicPr>
        <xdr:cNvPr id="3" name="ID_A4E36A679E804F2783D4CCA60E13F634" descr="PHOTO-2026-02-04-01-46-17"/>
        <xdr:cNvPicPr>
          <a:picLocks noChangeAspect="1"/>
        </xdr:cNvPicPr>
      </xdr:nvPicPr>
      <xdr:blipFill>
        <a:blip r:embed="rId2"/>
        <a:srcRect b="27010"/>
        <a:stretch>
          <a:fillRect/>
        </a:stretch>
      </xdr:blipFill>
      <xdr:spPr>
        <a:xfrm>
          <a:off x="8446135" y="3940810"/>
          <a:ext cx="2920365" cy="3774440"/>
        </a:xfrm>
        <a:prstGeom prst="rect">
          <a:avLst/>
        </a:prstGeom>
      </xdr:spPr>
    </xdr:pic>
    <xdr:clientData/>
  </xdr:twoCellAnchor>
  <xdr:twoCellAnchor editAs="oneCell">
    <xdr:from>
      <xdr:col>4</xdr:col>
      <xdr:colOff>60325</xdr:colOff>
      <xdr:row>8</xdr:row>
      <xdr:rowOff>29210</xdr:rowOff>
    </xdr:from>
    <xdr:to>
      <xdr:col>4</xdr:col>
      <xdr:colOff>2947035</xdr:colOff>
      <xdr:row>12</xdr:row>
      <xdr:rowOff>706120</xdr:rowOff>
    </xdr:to>
    <xdr:pic>
      <xdr:nvPicPr>
        <xdr:cNvPr id="7" name="ID_B8FF8E3628AA496481EB690F0A0FC9FA" descr="PHOTO-2026-02-07-13-41-25"/>
        <xdr:cNvPicPr>
          <a:picLocks noChangeAspect="1"/>
        </xdr:cNvPicPr>
      </xdr:nvPicPr>
      <xdr:blipFill>
        <a:blip r:embed="rId3"/>
        <a:srcRect b="30477"/>
        <a:stretch>
          <a:fillRect/>
        </a:stretch>
      </xdr:blipFill>
      <xdr:spPr>
        <a:xfrm>
          <a:off x="8458835" y="7753350"/>
          <a:ext cx="2886710" cy="35725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47942</xdr:colOff>
      <xdr:row>1</xdr:row>
      <xdr:rowOff>25082</xdr:rowOff>
    </xdr:from>
    <xdr:to>
      <xdr:col>4</xdr:col>
      <xdr:colOff>2815907</xdr:colOff>
      <xdr:row>2</xdr:row>
      <xdr:rowOff>1008062</xdr:rowOff>
    </xdr:to>
    <xdr:pic>
      <xdr:nvPicPr>
        <xdr:cNvPr id="4" name="ID_4B5C3A118E93457890BE43FDD3621726" descr="PHOTO-2026-02-03-23-56-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6203315" y="-156210"/>
          <a:ext cx="1998980" cy="27673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24447</xdr:colOff>
      <xdr:row>2</xdr:row>
      <xdr:rowOff>26352</xdr:rowOff>
    </xdr:from>
    <xdr:to>
      <xdr:col>4</xdr:col>
      <xdr:colOff>2961957</xdr:colOff>
      <xdr:row>4</xdr:row>
      <xdr:rowOff>682307</xdr:rowOff>
    </xdr:to>
    <xdr:pic>
      <xdr:nvPicPr>
        <xdr:cNvPr id="5" name="ID_F27715BF6DBA4DF5B3C9B3FB31698DF8" descr="PHOTO-2026-02-06-18-12-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7537450" y="0"/>
          <a:ext cx="2052955" cy="2937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0"/>
  <sheetViews>
    <sheetView tabSelected="1" zoomScale="90" zoomScaleNormal="90" workbookViewId="0">
      <pane ySplit="1" topLeftCell="A33" activePane="bottomLeft" state="frozen"/>
      <selection/>
      <selection pane="bottomLeft" activeCell="G65" sqref="G65"/>
    </sheetView>
  </sheetViews>
  <sheetFormatPr defaultColWidth="9.140625" defaultRowHeight="17.6" outlineLevelCol="7"/>
  <cols>
    <col min="1" max="1" width="24.765625" style="272" customWidth="1"/>
    <col min="2" max="2" width="28.5703125" style="273" customWidth="1"/>
    <col min="3" max="3" width="10.7890625" style="274" customWidth="1"/>
    <col min="4" max="4" width="12.140625" style="271" customWidth="1"/>
    <col min="5" max="5" width="15.5703125" style="271" customWidth="1"/>
    <col min="6" max="6" width="15.796875" style="275" customWidth="1"/>
    <col min="7" max="7" width="14.2890625" style="271"/>
    <col min="8" max="8" width="22.59375" style="271" customWidth="1"/>
    <col min="9" max="9" width="12.6875" style="271"/>
    <col min="10" max="16384" width="9.140625" style="271"/>
  </cols>
  <sheetData>
    <row r="1" s="271" customFormat="1" ht="22" customHeight="1" spans="1:6">
      <c r="A1" s="276" t="s">
        <v>0</v>
      </c>
      <c r="B1" s="277" t="s">
        <v>1</v>
      </c>
      <c r="C1" s="278" t="s">
        <v>2</v>
      </c>
      <c r="D1" s="279" t="s">
        <v>3</v>
      </c>
      <c r="E1" s="288" t="s">
        <v>4</v>
      </c>
      <c r="F1" s="289" t="s">
        <v>5</v>
      </c>
    </row>
    <row r="2" s="271" customFormat="1" ht="16.8" spans="1:6">
      <c r="A2" s="280">
        <v>46054</v>
      </c>
      <c r="B2" s="281" t="s">
        <v>6</v>
      </c>
      <c r="C2" s="240">
        <v>6</v>
      </c>
      <c r="D2" s="282">
        <v>95000</v>
      </c>
      <c r="E2" s="95">
        <f>D2*C2</f>
        <v>570000</v>
      </c>
      <c r="F2" s="247">
        <f>SUM(E2:E8)</f>
        <v>1257000</v>
      </c>
    </row>
    <row r="3" s="271" customFormat="1" ht="16.8" spans="1:6">
      <c r="A3" s="283"/>
      <c r="B3" s="281" t="s">
        <v>7</v>
      </c>
      <c r="C3" s="240">
        <v>4</v>
      </c>
      <c r="D3" s="282">
        <v>22000</v>
      </c>
      <c r="E3" s="95">
        <f t="shared" ref="E3:E8" si="0">D3*C3</f>
        <v>88000</v>
      </c>
      <c r="F3" s="248"/>
    </row>
    <row r="4" s="271" customFormat="1" ht="16.8" spans="1:6">
      <c r="A4" s="283"/>
      <c r="B4" s="281" t="s">
        <v>8</v>
      </c>
      <c r="C4" s="240">
        <v>1</v>
      </c>
      <c r="D4" s="282">
        <v>170000</v>
      </c>
      <c r="E4" s="95">
        <f t="shared" si="0"/>
        <v>170000</v>
      </c>
      <c r="F4" s="248"/>
    </row>
    <row r="5" s="271" customFormat="1" ht="16.8" spans="1:6">
      <c r="A5" s="283"/>
      <c r="B5" s="281" t="s">
        <v>9</v>
      </c>
      <c r="C5" s="240">
        <v>1</v>
      </c>
      <c r="D5" s="282">
        <v>270000</v>
      </c>
      <c r="E5" s="95">
        <f t="shared" si="0"/>
        <v>270000</v>
      </c>
      <c r="F5" s="248"/>
    </row>
    <row r="6" s="271" customFormat="1" ht="16.8" spans="1:6">
      <c r="A6" s="283"/>
      <c r="B6" s="281" t="s">
        <v>10</v>
      </c>
      <c r="C6" s="240">
        <v>3</v>
      </c>
      <c r="D6" s="282">
        <v>40000</v>
      </c>
      <c r="E6" s="95">
        <f t="shared" si="0"/>
        <v>120000</v>
      </c>
      <c r="F6" s="248"/>
    </row>
    <row r="7" s="271" customFormat="1" ht="16.8" spans="1:6">
      <c r="A7" s="283"/>
      <c r="B7" s="281" t="s">
        <v>11</v>
      </c>
      <c r="C7" s="240">
        <v>0.3</v>
      </c>
      <c r="D7" s="282">
        <v>80000</v>
      </c>
      <c r="E7" s="95">
        <f t="shared" si="0"/>
        <v>24000</v>
      </c>
      <c r="F7" s="248"/>
    </row>
    <row r="8" s="271" customFormat="1" ht="16.8" spans="1:6">
      <c r="A8" s="284"/>
      <c r="B8" s="281" t="s">
        <v>12</v>
      </c>
      <c r="C8" s="240">
        <v>1</v>
      </c>
      <c r="D8" s="282">
        <v>15000</v>
      </c>
      <c r="E8" s="95">
        <f t="shared" si="0"/>
        <v>15000</v>
      </c>
      <c r="F8" s="249"/>
    </row>
    <row r="9" s="271" customFormat="1" ht="16.8" spans="1:6">
      <c r="A9" s="280">
        <v>46055</v>
      </c>
      <c r="B9" s="281" t="s">
        <v>13</v>
      </c>
      <c r="C9" s="240">
        <v>0.5</v>
      </c>
      <c r="D9" s="282">
        <v>90000</v>
      </c>
      <c r="E9" s="95">
        <f t="shared" ref="E9:E32" si="1">D9*C9</f>
        <v>45000</v>
      </c>
      <c r="F9" s="247">
        <f>SUM(E9:E32)</f>
        <v>2575000</v>
      </c>
    </row>
    <row r="10" s="271" customFormat="1" ht="16.8" spans="1:6">
      <c r="A10" s="283"/>
      <c r="B10" s="281" t="s">
        <v>14</v>
      </c>
      <c r="C10" s="240">
        <v>2</v>
      </c>
      <c r="D10" s="282">
        <v>48000</v>
      </c>
      <c r="E10" s="95">
        <f t="shared" si="1"/>
        <v>96000</v>
      </c>
      <c r="F10" s="248"/>
    </row>
    <row r="11" s="271" customFormat="1" ht="16.8" spans="1:8">
      <c r="A11" s="283"/>
      <c r="B11" s="281" t="s">
        <v>15</v>
      </c>
      <c r="C11" s="240">
        <v>1</v>
      </c>
      <c r="D11" s="282">
        <v>110000</v>
      </c>
      <c r="E11" s="95">
        <f t="shared" si="1"/>
        <v>110000</v>
      </c>
      <c r="F11" s="248"/>
      <c r="H11" s="290"/>
    </row>
    <row r="12" s="271" customFormat="1" ht="16.8" spans="1:6">
      <c r="A12" s="283"/>
      <c r="B12" s="281" t="s">
        <v>16</v>
      </c>
      <c r="C12" s="240">
        <v>1</v>
      </c>
      <c r="D12" s="282">
        <v>38000</v>
      </c>
      <c r="E12" s="95">
        <f t="shared" si="1"/>
        <v>38000</v>
      </c>
      <c r="F12" s="248"/>
    </row>
    <row r="13" s="271" customFormat="1" ht="16.8" spans="1:6">
      <c r="A13" s="283"/>
      <c r="B13" s="281" t="s">
        <v>17</v>
      </c>
      <c r="C13" s="240">
        <v>1</v>
      </c>
      <c r="D13" s="282">
        <v>40000</v>
      </c>
      <c r="E13" s="95">
        <f t="shared" si="1"/>
        <v>40000</v>
      </c>
      <c r="F13" s="248"/>
    </row>
    <row r="14" s="271" customFormat="1" ht="16.8" spans="1:6">
      <c r="A14" s="283"/>
      <c r="B14" s="281" t="s">
        <v>18</v>
      </c>
      <c r="C14" s="240">
        <v>1</v>
      </c>
      <c r="D14" s="282">
        <v>210000</v>
      </c>
      <c r="E14" s="95">
        <f t="shared" si="1"/>
        <v>210000</v>
      </c>
      <c r="F14" s="248"/>
    </row>
    <row r="15" s="271" customFormat="1" ht="16.8" spans="1:6">
      <c r="A15" s="283"/>
      <c r="B15" s="281" t="s">
        <v>19</v>
      </c>
      <c r="C15" s="240">
        <v>2</v>
      </c>
      <c r="D15" s="282">
        <v>30000</v>
      </c>
      <c r="E15" s="95">
        <f t="shared" si="1"/>
        <v>60000</v>
      </c>
      <c r="F15" s="248"/>
    </row>
    <row r="16" s="271" customFormat="1" ht="16.8" spans="1:6">
      <c r="A16" s="283"/>
      <c r="B16" s="281" t="s">
        <v>20</v>
      </c>
      <c r="C16" s="240">
        <v>1</v>
      </c>
      <c r="D16" s="282">
        <v>70000</v>
      </c>
      <c r="E16" s="95">
        <f t="shared" si="1"/>
        <v>70000</v>
      </c>
      <c r="F16" s="248"/>
    </row>
    <row r="17" s="271" customFormat="1" ht="16.8" spans="1:6">
      <c r="A17" s="283"/>
      <c r="B17" s="281" t="s">
        <v>21</v>
      </c>
      <c r="C17" s="240">
        <v>2.18</v>
      </c>
      <c r="D17" s="282">
        <v>25000</v>
      </c>
      <c r="E17" s="95">
        <v>55000</v>
      </c>
      <c r="F17" s="248"/>
    </row>
    <row r="18" s="271" customFormat="1" ht="16.8" spans="1:6">
      <c r="A18" s="283"/>
      <c r="B18" s="281" t="s">
        <v>22</v>
      </c>
      <c r="C18" s="240">
        <v>1</v>
      </c>
      <c r="D18" s="282">
        <v>70000</v>
      </c>
      <c r="E18" s="95">
        <f t="shared" si="1"/>
        <v>70000</v>
      </c>
      <c r="F18" s="248"/>
    </row>
    <row r="19" s="271" customFormat="1" ht="16.8" spans="1:6">
      <c r="A19" s="283"/>
      <c r="B19" s="281" t="s">
        <v>23</v>
      </c>
      <c r="C19" s="240">
        <v>1</v>
      </c>
      <c r="D19" s="282">
        <v>35000</v>
      </c>
      <c r="E19" s="95">
        <f t="shared" si="1"/>
        <v>35000</v>
      </c>
      <c r="F19" s="248"/>
    </row>
    <row r="20" s="271" customFormat="1" ht="16.8" spans="1:6">
      <c r="A20" s="283"/>
      <c r="B20" s="281" t="s">
        <v>24</v>
      </c>
      <c r="C20" s="240">
        <v>1</v>
      </c>
      <c r="D20" s="282">
        <v>40000</v>
      </c>
      <c r="E20" s="95">
        <f t="shared" si="1"/>
        <v>40000</v>
      </c>
      <c r="F20" s="248"/>
    </row>
    <row r="21" s="271" customFormat="1" ht="16.8" spans="1:6">
      <c r="A21" s="283"/>
      <c r="B21" s="281" t="s">
        <v>25</v>
      </c>
      <c r="C21" s="240">
        <v>0.2</v>
      </c>
      <c r="D21" s="282">
        <v>30000</v>
      </c>
      <c r="E21" s="95">
        <f t="shared" si="1"/>
        <v>6000</v>
      </c>
      <c r="F21" s="248"/>
    </row>
    <row r="22" s="271" customFormat="1" ht="16.8" spans="1:6">
      <c r="A22" s="283"/>
      <c r="B22" s="281" t="s">
        <v>26</v>
      </c>
      <c r="C22" s="240">
        <v>2</v>
      </c>
      <c r="D22" s="282">
        <v>25000</v>
      </c>
      <c r="E22" s="95">
        <f t="shared" si="1"/>
        <v>50000</v>
      </c>
      <c r="F22" s="248"/>
    </row>
    <row r="23" s="271" customFormat="1" ht="16.8" spans="1:6">
      <c r="A23" s="283"/>
      <c r="B23" s="281" t="s">
        <v>27</v>
      </c>
      <c r="C23" s="240">
        <v>30</v>
      </c>
      <c r="D23" s="282">
        <v>1000</v>
      </c>
      <c r="E23" s="95">
        <f t="shared" si="1"/>
        <v>30000</v>
      </c>
      <c r="F23" s="248"/>
    </row>
    <row r="24" s="271" customFormat="1" ht="16.8" spans="1:6">
      <c r="A24" s="283"/>
      <c r="B24" s="281" t="s">
        <v>28</v>
      </c>
      <c r="C24" s="240">
        <v>1</v>
      </c>
      <c r="D24" s="282">
        <v>120000</v>
      </c>
      <c r="E24" s="95">
        <f t="shared" si="1"/>
        <v>120000</v>
      </c>
      <c r="F24" s="248"/>
    </row>
    <row r="25" s="271" customFormat="1" ht="16.8" spans="1:6">
      <c r="A25" s="283"/>
      <c r="B25" s="281" t="s">
        <v>29</v>
      </c>
      <c r="C25" s="240">
        <v>1</v>
      </c>
      <c r="D25" s="282">
        <v>230000</v>
      </c>
      <c r="E25" s="95">
        <f t="shared" si="1"/>
        <v>230000</v>
      </c>
      <c r="F25" s="248"/>
    </row>
    <row r="26" s="271" customFormat="1" ht="16.8" spans="1:6">
      <c r="A26" s="283"/>
      <c r="B26" s="281" t="s">
        <v>30</v>
      </c>
      <c r="C26" s="240">
        <v>3</v>
      </c>
      <c r="D26" s="282">
        <v>170000</v>
      </c>
      <c r="E26" s="95">
        <f t="shared" si="1"/>
        <v>510000</v>
      </c>
      <c r="F26" s="248"/>
    </row>
    <row r="27" s="271" customFormat="1" ht="16.8" spans="1:6">
      <c r="A27" s="283"/>
      <c r="B27" s="281" t="s">
        <v>31</v>
      </c>
      <c r="C27" s="240">
        <v>1</v>
      </c>
      <c r="D27" s="282">
        <v>100000</v>
      </c>
      <c r="E27" s="95">
        <f t="shared" si="1"/>
        <v>100000</v>
      </c>
      <c r="F27" s="248"/>
    </row>
    <row r="28" s="271" customFormat="1" ht="16.8" spans="1:6">
      <c r="A28" s="283"/>
      <c r="B28" s="281" t="s">
        <v>6</v>
      </c>
      <c r="C28" s="240">
        <v>2</v>
      </c>
      <c r="D28" s="282">
        <v>95000</v>
      </c>
      <c r="E28" s="95">
        <f t="shared" si="1"/>
        <v>190000</v>
      </c>
      <c r="F28" s="248"/>
    </row>
    <row r="29" s="271" customFormat="1" ht="16.8" spans="1:6">
      <c r="A29" s="283"/>
      <c r="B29" s="281" t="s">
        <v>32</v>
      </c>
      <c r="C29" s="240">
        <v>1</v>
      </c>
      <c r="D29" s="282">
        <v>275000</v>
      </c>
      <c r="E29" s="95">
        <f t="shared" si="1"/>
        <v>275000</v>
      </c>
      <c r="F29" s="248"/>
    </row>
    <row r="30" s="271" customFormat="1" ht="16.8" spans="1:6">
      <c r="A30" s="283"/>
      <c r="B30" s="281" t="s">
        <v>33</v>
      </c>
      <c r="C30" s="240">
        <v>2</v>
      </c>
      <c r="D30" s="282">
        <v>55000</v>
      </c>
      <c r="E30" s="95">
        <f t="shared" si="1"/>
        <v>110000</v>
      </c>
      <c r="F30" s="248"/>
    </row>
    <row r="31" s="271" customFormat="1" ht="16.8" spans="1:6">
      <c r="A31" s="283"/>
      <c r="B31" s="281" t="s">
        <v>34</v>
      </c>
      <c r="C31" s="240">
        <v>1</v>
      </c>
      <c r="D31" s="282">
        <v>30000</v>
      </c>
      <c r="E31" s="95">
        <f t="shared" si="1"/>
        <v>30000</v>
      </c>
      <c r="F31" s="248"/>
    </row>
    <row r="32" s="271" customFormat="1" ht="16.8" spans="1:6">
      <c r="A32" s="284"/>
      <c r="B32" s="281" t="s">
        <v>35</v>
      </c>
      <c r="C32" s="240">
        <v>3.65</v>
      </c>
      <c r="D32" s="282">
        <v>15000</v>
      </c>
      <c r="E32" s="95">
        <v>55000</v>
      </c>
      <c r="F32" s="249"/>
    </row>
    <row r="33" s="271" customFormat="1" ht="16.8" spans="1:6">
      <c r="A33" s="283">
        <v>46056</v>
      </c>
      <c r="B33" s="281" t="s">
        <v>36</v>
      </c>
      <c r="C33" s="240">
        <v>1</v>
      </c>
      <c r="D33" s="282">
        <v>395000</v>
      </c>
      <c r="E33" s="95">
        <f t="shared" ref="E33:E52" si="2">D33*C33</f>
        <v>395000</v>
      </c>
      <c r="F33" s="248">
        <f>SUM(E33:E41)</f>
        <v>1915000</v>
      </c>
    </row>
    <row r="34" s="271" customFormat="1" ht="16.8" spans="1:6">
      <c r="A34" s="283"/>
      <c r="B34" s="281" t="s">
        <v>37</v>
      </c>
      <c r="C34" s="240">
        <v>1</v>
      </c>
      <c r="D34" s="282">
        <v>160000</v>
      </c>
      <c r="E34" s="95">
        <f t="shared" si="2"/>
        <v>160000</v>
      </c>
      <c r="F34" s="248"/>
    </row>
    <row r="35" s="271" customFormat="1" ht="16.8" spans="1:6">
      <c r="A35" s="283"/>
      <c r="B35" s="281" t="s">
        <v>10</v>
      </c>
      <c r="C35" s="240">
        <v>3</v>
      </c>
      <c r="D35" s="282">
        <v>40000</v>
      </c>
      <c r="E35" s="95">
        <f t="shared" si="2"/>
        <v>120000</v>
      </c>
      <c r="F35" s="248"/>
    </row>
    <row r="36" s="271" customFormat="1" ht="16.8" spans="1:6">
      <c r="A36" s="283"/>
      <c r="B36" s="281" t="s">
        <v>38</v>
      </c>
      <c r="C36" s="240">
        <v>2</v>
      </c>
      <c r="D36" s="282">
        <v>120000</v>
      </c>
      <c r="E36" s="95">
        <f t="shared" si="2"/>
        <v>240000</v>
      </c>
      <c r="F36" s="248"/>
    </row>
    <row r="37" s="271" customFormat="1" ht="16.8" spans="1:6">
      <c r="A37" s="283"/>
      <c r="B37" s="281" t="s">
        <v>39</v>
      </c>
      <c r="C37" s="240">
        <v>1</v>
      </c>
      <c r="D37" s="282">
        <v>220000</v>
      </c>
      <c r="E37" s="95">
        <f t="shared" si="2"/>
        <v>220000</v>
      </c>
      <c r="F37" s="248"/>
    </row>
    <row r="38" s="271" customFormat="1" ht="16.8" spans="1:6">
      <c r="A38" s="283"/>
      <c r="B38" s="281" t="s">
        <v>6</v>
      </c>
      <c r="C38" s="240">
        <v>3</v>
      </c>
      <c r="D38" s="282">
        <v>95000</v>
      </c>
      <c r="E38" s="95">
        <f t="shared" si="2"/>
        <v>285000</v>
      </c>
      <c r="F38" s="248"/>
    </row>
    <row r="39" s="271" customFormat="1" ht="16.8" spans="1:6">
      <c r="A39" s="283"/>
      <c r="B39" s="281" t="s">
        <v>40</v>
      </c>
      <c r="C39" s="240">
        <v>1</v>
      </c>
      <c r="D39" s="282">
        <v>120000</v>
      </c>
      <c r="E39" s="95">
        <f t="shared" si="2"/>
        <v>120000</v>
      </c>
      <c r="F39" s="248"/>
    </row>
    <row r="40" s="271" customFormat="1" ht="16.8" spans="1:6">
      <c r="A40" s="283"/>
      <c r="B40" s="281" t="s">
        <v>41</v>
      </c>
      <c r="C40" s="240">
        <v>1</v>
      </c>
      <c r="D40" s="282">
        <v>195000</v>
      </c>
      <c r="E40" s="95">
        <f t="shared" si="2"/>
        <v>195000</v>
      </c>
      <c r="F40" s="248"/>
    </row>
    <row r="41" s="271" customFormat="1" ht="16.8" spans="1:6">
      <c r="A41" s="284"/>
      <c r="B41" s="281" t="s">
        <v>42</v>
      </c>
      <c r="C41" s="240">
        <v>4</v>
      </c>
      <c r="D41" s="282">
        <v>45000</v>
      </c>
      <c r="E41" s="95">
        <f t="shared" si="2"/>
        <v>180000</v>
      </c>
      <c r="F41" s="249"/>
    </row>
    <row r="42" s="271" customFormat="1" spans="1:6">
      <c r="A42" s="263">
        <v>46056</v>
      </c>
      <c r="B42" s="281" t="s">
        <v>17</v>
      </c>
      <c r="C42" s="240">
        <v>2</v>
      </c>
      <c r="D42" s="282">
        <v>40000</v>
      </c>
      <c r="E42" s="95">
        <f t="shared" si="2"/>
        <v>80000</v>
      </c>
      <c r="F42" s="267">
        <f>SUM(E42)</f>
        <v>80000</v>
      </c>
    </row>
    <row r="43" s="271" customFormat="1" spans="1:6">
      <c r="A43" s="263">
        <v>46057</v>
      </c>
      <c r="B43" s="281" t="s">
        <v>43</v>
      </c>
      <c r="C43" s="240">
        <v>2</v>
      </c>
      <c r="D43" s="282">
        <v>30000</v>
      </c>
      <c r="E43" s="95">
        <f t="shared" si="2"/>
        <v>60000</v>
      </c>
      <c r="F43" s="267">
        <f>SUM(E43)</f>
        <v>60000</v>
      </c>
    </row>
    <row r="44" s="271" customFormat="1" ht="16.8" spans="1:6">
      <c r="A44" s="280">
        <v>46057</v>
      </c>
      <c r="B44" s="281" t="s">
        <v>44</v>
      </c>
      <c r="C44" s="240">
        <v>1</v>
      </c>
      <c r="D44" s="282">
        <v>170000</v>
      </c>
      <c r="E44" s="95">
        <f t="shared" si="2"/>
        <v>170000</v>
      </c>
      <c r="F44" s="247">
        <f>SUM(E44:E47)</f>
        <v>423000</v>
      </c>
    </row>
    <row r="45" s="271" customFormat="1" ht="16.8" spans="1:6">
      <c r="A45" s="283"/>
      <c r="B45" s="281" t="s">
        <v>6</v>
      </c>
      <c r="C45" s="240">
        <v>2</v>
      </c>
      <c r="D45" s="282">
        <v>95000</v>
      </c>
      <c r="E45" s="95">
        <f t="shared" si="2"/>
        <v>190000</v>
      </c>
      <c r="F45" s="248"/>
    </row>
    <row r="46" s="271" customFormat="1" ht="16.8" spans="1:6">
      <c r="A46" s="283"/>
      <c r="B46" s="281" t="s">
        <v>45</v>
      </c>
      <c r="C46" s="240">
        <v>0.4</v>
      </c>
      <c r="D46" s="282">
        <v>20000</v>
      </c>
      <c r="E46" s="95">
        <f t="shared" si="2"/>
        <v>8000</v>
      </c>
      <c r="F46" s="248"/>
    </row>
    <row r="47" s="271" customFormat="1" ht="16.8" spans="1:6">
      <c r="A47" s="284"/>
      <c r="B47" s="281" t="s">
        <v>46</v>
      </c>
      <c r="C47" s="240">
        <v>1</v>
      </c>
      <c r="D47" s="282">
        <v>55000</v>
      </c>
      <c r="E47" s="95">
        <f t="shared" si="2"/>
        <v>55000</v>
      </c>
      <c r="F47" s="249"/>
    </row>
    <row r="48" s="271" customFormat="1" ht="16.8" spans="1:6">
      <c r="A48" s="280">
        <v>46057</v>
      </c>
      <c r="B48" s="281" t="s">
        <v>20</v>
      </c>
      <c r="C48" s="240">
        <v>1</v>
      </c>
      <c r="D48" s="282">
        <v>70000</v>
      </c>
      <c r="E48" s="95">
        <f t="shared" si="2"/>
        <v>70000</v>
      </c>
      <c r="F48" s="247">
        <f>SUM(E48:E49)</f>
        <v>144600</v>
      </c>
    </row>
    <row r="49" s="271" customFormat="1" ht="16.8" spans="1:6">
      <c r="A49" s="284"/>
      <c r="B49" s="281" t="s">
        <v>47</v>
      </c>
      <c r="C49" s="240">
        <v>1.865</v>
      </c>
      <c r="D49" s="282">
        <v>40000</v>
      </c>
      <c r="E49" s="95">
        <f t="shared" si="2"/>
        <v>74600</v>
      </c>
      <c r="F49" s="249"/>
    </row>
    <row r="50" s="271" customFormat="1" ht="16.8" spans="1:6">
      <c r="A50" s="280">
        <v>46058</v>
      </c>
      <c r="B50" s="281" t="s">
        <v>41</v>
      </c>
      <c r="C50" s="240">
        <v>2</v>
      </c>
      <c r="D50" s="282">
        <v>195000</v>
      </c>
      <c r="E50" s="95">
        <f t="shared" si="2"/>
        <v>390000</v>
      </c>
      <c r="F50" s="247">
        <f>SUM(E50:E52)</f>
        <v>760000</v>
      </c>
    </row>
    <row r="51" s="271" customFormat="1" ht="16.8" spans="1:6">
      <c r="A51" s="283"/>
      <c r="B51" s="281" t="s">
        <v>44</v>
      </c>
      <c r="C51" s="240">
        <v>2</v>
      </c>
      <c r="D51" s="282">
        <v>170000</v>
      </c>
      <c r="E51" s="95">
        <f t="shared" si="2"/>
        <v>340000</v>
      </c>
      <c r="F51" s="248"/>
    </row>
    <row r="52" s="271" customFormat="1" ht="16.8" spans="1:6">
      <c r="A52" s="284"/>
      <c r="B52" s="281" t="s">
        <v>48</v>
      </c>
      <c r="C52" s="240">
        <v>2</v>
      </c>
      <c r="D52" s="282">
        <v>15000</v>
      </c>
      <c r="E52" s="95">
        <f t="shared" si="2"/>
        <v>30000</v>
      </c>
      <c r="F52" s="249"/>
    </row>
    <row r="53" s="271" customFormat="1" spans="1:6">
      <c r="A53" s="285">
        <v>46059</v>
      </c>
      <c r="B53" s="281" t="s">
        <v>10</v>
      </c>
      <c r="C53" s="240">
        <v>3</v>
      </c>
      <c r="D53" s="282">
        <v>40000</v>
      </c>
      <c r="E53" s="95">
        <f t="shared" ref="E53:E59" si="3">D53*C53</f>
        <v>120000</v>
      </c>
      <c r="F53" s="291">
        <f>SUM(E53:E59)</f>
        <v>965000</v>
      </c>
    </row>
    <row r="54" s="271" customFormat="1" spans="1:6">
      <c r="A54" s="286"/>
      <c r="B54" s="281" t="s">
        <v>49</v>
      </c>
      <c r="C54" s="240">
        <v>1</v>
      </c>
      <c r="D54" s="282">
        <v>90000</v>
      </c>
      <c r="E54" s="95">
        <f t="shared" si="3"/>
        <v>90000</v>
      </c>
      <c r="F54" s="292"/>
    </row>
    <row r="55" s="271" customFormat="1" spans="1:6">
      <c r="A55" s="286"/>
      <c r="B55" s="281" t="s">
        <v>32</v>
      </c>
      <c r="C55" s="240">
        <v>1</v>
      </c>
      <c r="D55" s="282">
        <v>275000</v>
      </c>
      <c r="E55" s="95">
        <f t="shared" si="3"/>
        <v>275000</v>
      </c>
      <c r="F55" s="292"/>
    </row>
    <row r="56" s="271" customFormat="1" spans="1:6">
      <c r="A56" s="286"/>
      <c r="B56" s="281" t="s">
        <v>6</v>
      </c>
      <c r="C56" s="240">
        <v>3</v>
      </c>
      <c r="D56" s="282">
        <v>95000</v>
      </c>
      <c r="E56" s="95">
        <f t="shared" si="3"/>
        <v>285000</v>
      </c>
      <c r="F56" s="292"/>
    </row>
    <row r="57" s="271" customFormat="1" spans="1:6">
      <c r="A57" s="286"/>
      <c r="B57" s="281" t="s">
        <v>50</v>
      </c>
      <c r="C57" s="240">
        <v>1</v>
      </c>
      <c r="D57" s="282">
        <v>35000</v>
      </c>
      <c r="E57" s="95">
        <f t="shared" si="3"/>
        <v>35000</v>
      </c>
      <c r="F57" s="292"/>
    </row>
    <row r="58" s="271" customFormat="1" spans="1:6">
      <c r="A58" s="286"/>
      <c r="B58" s="281" t="s">
        <v>31</v>
      </c>
      <c r="C58" s="240">
        <v>1</v>
      </c>
      <c r="D58" s="282">
        <v>100000</v>
      </c>
      <c r="E58" s="95">
        <f t="shared" si="3"/>
        <v>100000</v>
      </c>
      <c r="F58" s="292"/>
    </row>
    <row r="59" s="271" customFormat="1" ht="16.8" spans="1:6">
      <c r="A59" s="287"/>
      <c r="B59" s="281" t="s">
        <v>51</v>
      </c>
      <c r="C59" s="240">
        <v>4</v>
      </c>
      <c r="D59" s="282">
        <v>15000</v>
      </c>
      <c r="E59" s="95">
        <f t="shared" si="3"/>
        <v>60000</v>
      </c>
      <c r="F59" s="293"/>
    </row>
    <row r="60" s="271" customFormat="1" spans="1:6">
      <c r="A60" s="285">
        <v>46060</v>
      </c>
      <c r="B60" s="281" t="s">
        <v>52</v>
      </c>
      <c r="C60" s="240">
        <v>10</v>
      </c>
      <c r="D60" s="282">
        <v>10000</v>
      </c>
      <c r="E60" s="95">
        <f t="shared" ref="E60:E66" si="4">D60*C60</f>
        <v>100000</v>
      </c>
      <c r="F60" s="291">
        <f>SUM(E60:E66)</f>
        <v>618000</v>
      </c>
    </row>
    <row r="61" s="271" customFormat="1" spans="1:6">
      <c r="A61" s="286"/>
      <c r="B61" s="281" t="s">
        <v>53</v>
      </c>
      <c r="C61" s="240">
        <v>4</v>
      </c>
      <c r="D61" s="282">
        <v>25000</v>
      </c>
      <c r="E61" s="95">
        <f t="shared" si="4"/>
        <v>100000</v>
      </c>
      <c r="F61" s="292"/>
    </row>
    <row r="62" s="271" customFormat="1" spans="1:6">
      <c r="A62" s="286"/>
      <c r="B62" s="281" t="s">
        <v>20</v>
      </c>
      <c r="C62" s="240">
        <v>2</v>
      </c>
      <c r="D62" s="282">
        <v>70000</v>
      </c>
      <c r="E62" s="95">
        <f t="shared" si="4"/>
        <v>140000</v>
      </c>
      <c r="F62" s="292"/>
    </row>
    <row r="63" s="271" customFormat="1" spans="1:6">
      <c r="A63" s="286"/>
      <c r="B63" s="281" t="s">
        <v>54</v>
      </c>
      <c r="C63" s="240">
        <v>1</v>
      </c>
      <c r="D63" s="282">
        <v>48000</v>
      </c>
      <c r="E63" s="95">
        <f t="shared" si="4"/>
        <v>48000</v>
      </c>
      <c r="F63" s="292"/>
    </row>
    <row r="64" s="271" customFormat="1" spans="1:6">
      <c r="A64" s="286"/>
      <c r="B64" s="281" t="s">
        <v>55</v>
      </c>
      <c r="C64" s="240">
        <v>0.3</v>
      </c>
      <c r="D64" s="282">
        <v>20000</v>
      </c>
      <c r="E64" s="95">
        <f t="shared" si="4"/>
        <v>6000</v>
      </c>
      <c r="F64" s="292"/>
    </row>
    <row r="65" s="271" customFormat="1" spans="1:6">
      <c r="A65" s="286"/>
      <c r="B65" s="281" t="s">
        <v>7</v>
      </c>
      <c r="C65" s="240">
        <v>6</v>
      </c>
      <c r="D65" s="282">
        <v>24000</v>
      </c>
      <c r="E65" s="95">
        <f t="shared" si="4"/>
        <v>144000</v>
      </c>
      <c r="F65" s="292"/>
    </row>
    <row r="66" s="271" customFormat="1" spans="1:6">
      <c r="A66" s="287"/>
      <c r="B66" s="281" t="s">
        <v>56</v>
      </c>
      <c r="C66" s="240">
        <v>2</v>
      </c>
      <c r="D66" s="282">
        <v>40000</v>
      </c>
      <c r="E66" s="95">
        <f t="shared" si="4"/>
        <v>80000</v>
      </c>
      <c r="F66" s="293"/>
    </row>
    <row r="67" s="271" customFormat="1" spans="1:6">
      <c r="A67" s="263"/>
      <c r="B67" s="281"/>
      <c r="C67" s="240"/>
      <c r="D67" s="282"/>
      <c r="E67" s="95"/>
      <c r="F67" s="267"/>
    </row>
    <row r="68" s="271" customFormat="1" spans="1:6">
      <c r="A68" s="263"/>
      <c r="B68" s="281"/>
      <c r="C68" s="240"/>
      <c r="D68" s="282"/>
      <c r="E68" s="95"/>
      <c r="F68" s="267"/>
    </row>
    <row r="69" s="271" customFormat="1" spans="1:6">
      <c r="A69" s="263"/>
      <c r="B69" s="281"/>
      <c r="C69" s="240"/>
      <c r="D69" s="282"/>
      <c r="E69" s="95"/>
      <c r="F69" s="267"/>
    </row>
    <row r="70" s="271" customFormat="1" spans="1:6">
      <c r="A70" s="263"/>
      <c r="B70" s="281"/>
      <c r="C70" s="240"/>
      <c r="D70" s="282"/>
      <c r="E70" s="95"/>
      <c r="F70" s="267"/>
    </row>
    <row r="71" s="271" customFormat="1" spans="1:6">
      <c r="A71" s="263"/>
      <c r="B71" s="281"/>
      <c r="C71" s="240"/>
      <c r="D71" s="282"/>
      <c r="E71" s="95"/>
      <c r="F71" s="267"/>
    </row>
    <row r="72" s="271" customFormat="1" spans="1:6">
      <c r="A72" s="263"/>
      <c r="B72" s="281"/>
      <c r="C72" s="240"/>
      <c r="D72" s="282"/>
      <c r="E72" s="95"/>
      <c r="F72" s="267"/>
    </row>
    <row r="73" s="271" customFormat="1" spans="1:6">
      <c r="A73" s="263"/>
      <c r="B73" s="281"/>
      <c r="C73" s="240"/>
      <c r="D73" s="282"/>
      <c r="E73" s="95"/>
      <c r="F73" s="267"/>
    </row>
    <row r="74" s="271" customFormat="1" spans="1:6">
      <c r="A74" s="263"/>
      <c r="B74" s="281"/>
      <c r="C74" s="240"/>
      <c r="D74" s="282"/>
      <c r="E74" s="95"/>
      <c r="F74" s="267"/>
    </row>
    <row r="75" s="271" customFormat="1" spans="1:6">
      <c r="A75" s="263"/>
      <c r="B75" s="281"/>
      <c r="C75" s="240"/>
      <c r="D75" s="282"/>
      <c r="E75" s="95"/>
      <c r="F75" s="267"/>
    </row>
    <row r="76" s="271" customFormat="1" spans="1:6">
      <c r="A76" s="263"/>
      <c r="B76" s="281"/>
      <c r="C76" s="240"/>
      <c r="D76" s="282"/>
      <c r="E76" s="95"/>
      <c r="F76" s="267"/>
    </row>
    <row r="77" s="271" customFormat="1" spans="1:6">
      <c r="A77" s="263"/>
      <c r="B77" s="281"/>
      <c r="C77" s="240"/>
      <c r="D77" s="282"/>
      <c r="E77" s="95"/>
      <c r="F77" s="267"/>
    </row>
    <row r="78" s="271" customFormat="1" spans="1:6">
      <c r="A78" s="263"/>
      <c r="B78" s="281"/>
      <c r="C78" s="240"/>
      <c r="D78" s="282"/>
      <c r="E78" s="95"/>
      <c r="F78" s="267"/>
    </row>
    <row r="79" s="271" customFormat="1" spans="1:6">
      <c r="A79" s="263"/>
      <c r="B79" s="281"/>
      <c r="C79" s="240"/>
      <c r="D79" s="282"/>
      <c r="E79" s="95"/>
      <c r="F79" s="267"/>
    </row>
    <row r="80" s="271" customFormat="1" spans="1:6">
      <c r="A80" s="263"/>
      <c r="B80" s="281"/>
      <c r="C80" s="240"/>
      <c r="D80" s="282"/>
      <c r="E80" s="95"/>
      <c r="F80" s="267"/>
    </row>
    <row r="81" s="271" customFormat="1" spans="1:6">
      <c r="A81" s="263"/>
      <c r="B81" s="281"/>
      <c r="C81" s="240"/>
      <c r="D81" s="282"/>
      <c r="E81" s="95"/>
      <c r="F81" s="267"/>
    </row>
    <row r="82" s="271" customFormat="1" spans="1:6">
      <c r="A82" s="263"/>
      <c r="B82" s="281"/>
      <c r="C82" s="240"/>
      <c r="D82" s="282"/>
      <c r="E82" s="95"/>
      <c r="F82" s="267"/>
    </row>
    <row r="83" s="271" customFormat="1" spans="1:6">
      <c r="A83" s="263"/>
      <c r="B83" s="281"/>
      <c r="C83" s="240"/>
      <c r="D83" s="282"/>
      <c r="E83" s="95"/>
      <c r="F83" s="267"/>
    </row>
    <row r="84" s="271" customFormat="1" spans="1:6">
      <c r="A84" s="263"/>
      <c r="B84" s="281"/>
      <c r="C84" s="240"/>
      <c r="D84" s="282"/>
      <c r="E84" s="95"/>
      <c r="F84" s="267"/>
    </row>
    <row r="85" s="271" customFormat="1" spans="1:6">
      <c r="A85" s="263"/>
      <c r="B85" s="281"/>
      <c r="C85" s="240"/>
      <c r="D85" s="282"/>
      <c r="E85" s="95"/>
      <c r="F85" s="267"/>
    </row>
    <row r="86" s="271" customFormat="1" spans="1:6">
      <c r="A86" s="263"/>
      <c r="B86" s="281"/>
      <c r="C86" s="240"/>
      <c r="D86" s="282"/>
      <c r="E86" s="95"/>
      <c r="F86" s="267"/>
    </row>
    <row r="87" s="271" customFormat="1" spans="1:6">
      <c r="A87" s="263"/>
      <c r="B87" s="281"/>
      <c r="C87" s="240"/>
      <c r="D87" s="282"/>
      <c r="E87" s="95"/>
      <c r="F87" s="267"/>
    </row>
    <row r="88" s="271" customFormat="1" spans="1:6">
      <c r="A88" s="263"/>
      <c r="B88" s="281"/>
      <c r="C88" s="240"/>
      <c r="D88" s="282"/>
      <c r="E88" s="95"/>
      <c r="F88" s="267"/>
    </row>
    <row r="89" s="271" customFormat="1" spans="1:6">
      <c r="A89" s="263"/>
      <c r="B89" s="281"/>
      <c r="C89" s="240"/>
      <c r="D89" s="282"/>
      <c r="E89" s="95"/>
      <c r="F89" s="267"/>
    </row>
    <row r="90" s="271" customFormat="1" spans="1:6">
      <c r="A90" s="263"/>
      <c r="B90" s="281"/>
      <c r="C90" s="240"/>
      <c r="D90" s="282"/>
      <c r="E90" s="95"/>
      <c r="F90" s="267"/>
    </row>
    <row r="91" s="271" customFormat="1" spans="1:6">
      <c r="A91" s="263"/>
      <c r="B91" s="281"/>
      <c r="C91" s="240"/>
      <c r="D91" s="282"/>
      <c r="E91" s="95"/>
      <c r="F91" s="267"/>
    </row>
    <row r="92" s="271" customFormat="1" spans="1:6">
      <c r="A92" s="263"/>
      <c r="B92" s="281"/>
      <c r="C92" s="240"/>
      <c r="D92" s="282"/>
      <c r="E92" s="95"/>
      <c r="F92" s="267"/>
    </row>
    <row r="93" s="271" customFormat="1" spans="1:6">
      <c r="A93" s="263"/>
      <c r="B93" s="281"/>
      <c r="C93" s="240"/>
      <c r="D93" s="282"/>
      <c r="E93" s="95"/>
      <c r="F93" s="267"/>
    </row>
    <row r="94" s="271" customFormat="1" spans="1:6">
      <c r="A94" s="263"/>
      <c r="B94" s="281"/>
      <c r="C94" s="240"/>
      <c r="D94" s="282"/>
      <c r="E94" s="95"/>
      <c r="F94" s="267"/>
    </row>
    <row r="95" s="271" customFormat="1" spans="1:6">
      <c r="A95" s="263"/>
      <c r="B95" s="281"/>
      <c r="C95" s="240"/>
      <c r="D95" s="282"/>
      <c r="E95" s="95"/>
      <c r="F95" s="267"/>
    </row>
    <row r="96" s="271" customFormat="1" spans="1:6">
      <c r="A96" s="263"/>
      <c r="B96" s="281"/>
      <c r="C96" s="240"/>
      <c r="D96" s="282"/>
      <c r="E96" s="95"/>
      <c r="F96" s="267"/>
    </row>
    <row r="97" s="271" customFormat="1" spans="1:6">
      <c r="A97" s="263"/>
      <c r="B97" s="281"/>
      <c r="C97" s="240"/>
      <c r="D97" s="282"/>
      <c r="E97" s="95"/>
      <c r="F97" s="267"/>
    </row>
    <row r="98" s="271" customFormat="1" spans="1:6">
      <c r="A98" s="263"/>
      <c r="B98" s="281"/>
      <c r="C98" s="240"/>
      <c r="D98" s="282"/>
      <c r="E98" s="95"/>
      <c r="F98" s="267"/>
    </row>
    <row r="99" s="271" customFormat="1" spans="1:6">
      <c r="A99" s="263"/>
      <c r="B99" s="281"/>
      <c r="C99" s="240"/>
      <c r="D99" s="282"/>
      <c r="E99" s="95"/>
      <c r="F99" s="267"/>
    </row>
    <row r="100" s="271" customFormat="1" spans="1:6">
      <c r="A100" s="263"/>
      <c r="B100" s="281"/>
      <c r="C100" s="240"/>
      <c r="D100" s="282"/>
      <c r="E100" s="95"/>
      <c r="F100" s="267"/>
    </row>
    <row r="101" s="271" customFormat="1" spans="1:6">
      <c r="A101" s="263"/>
      <c r="B101" s="281"/>
      <c r="C101" s="240"/>
      <c r="D101" s="282"/>
      <c r="E101" s="95"/>
      <c r="F101" s="267"/>
    </row>
    <row r="102" s="271" customFormat="1" spans="1:6">
      <c r="A102" s="263"/>
      <c r="B102" s="281"/>
      <c r="C102" s="240"/>
      <c r="D102" s="282"/>
      <c r="E102" s="95"/>
      <c r="F102" s="267"/>
    </row>
    <row r="103" s="271" customFormat="1" spans="1:6">
      <c r="A103" s="263"/>
      <c r="B103" s="281"/>
      <c r="C103" s="240"/>
      <c r="D103" s="282"/>
      <c r="E103" s="95"/>
      <c r="F103" s="267"/>
    </row>
    <row r="104" s="271" customFormat="1" spans="1:6">
      <c r="A104" s="263"/>
      <c r="B104" s="281"/>
      <c r="C104" s="240"/>
      <c r="D104" s="282"/>
      <c r="E104" s="95"/>
      <c r="F104" s="267"/>
    </row>
    <row r="105" s="271" customFormat="1" spans="1:6">
      <c r="A105" s="263"/>
      <c r="B105" s="281"/>
      <c r="C105" s="240"/>
      <c r="D105" s="282"/>
      <c r="E105" s="95"/>
      <c r="F105" s="267"/>
    </row>
    <row r="106" s="271" customFormat="1" spans="1:6">
      <c r="A106" s="263"/>
      <c r="B106" s="281"/>
      <c r="C106" s="240"/>
      <c r="D106" s="282"/>
      <c r="E106" s="95"/>
      <c r="F106" s="267"/>
    </row>
    <row r="107" s="271" customFormat="1" spans="1:6">
      <c r="A107" s="263"/>
      <c r="B107" s="281"/>
      <c r="C107" s="240"/>
      <c r="D107" s="282"/>
      <c r="E107" s="95"/>
      <c r="F107" s="267"/>
    </row>
    <row r="108" s="271" customFormat="1" spans="1:6">
      <c r="A108" s="263"/>
      <c r="B108" s="281"/>
      <c r="C108" s="240"/>
      <c r="D108" s="282"/>
      <c r="E108" s="95"/>
      <c r="F108" s="267"/>
    </row>
    <row r="109" s="271" customFormat="1" spans="1:6">
      <c r="A109" s="263"/>
      <c r="B109" s="281"/>
      <c r="C109" s="240"/>
      <c r="D109" s="282"/>
      <c r="E109" s="95"/>
      <c r="F109" s="267"/>
    </row>
    <row r="110" s="271" customFormat="1" spans="1:6">
      <c r="A110" s="263"/>
      <c r="B110" s="281"/>
      <c r="C110" s="240"/>
      <c r="D110" s="282"/>
      <c r="E110" s="95"/>
      <c r="F110" s="267"/>
    </row>
    <row r="111" s="271" customFormat="1" spans="1:6">
      <c r="A111" s="263"/>
      <c r="B111" s="281"/>
      <c r="C111" s="240"/>
      <c r="D111" s="282"/>
      <c r="E111" s="95"/>
      <c r="F111" s="267"/>
    </row>
    <row r="112" s="271" customFormat="1" spans="1:6">
      <c r="A112" s="263"/>
      <c r="B112" s="281"/>
      <c r="C112" s="240"/>
      <c r="D112" s="282"/>
      <c r="E112" s="95"/>
      <c r="F112" s="267"/>
    </row>
    <row r="113" s="271" customFormat="1" spans="1:6">
      <c r="A113" s="263"/>
      <c r="B113" s="281"/>
      <c r="C113" s="240"/>
      <c r="D113" s="282"/>
      <c r="E113" s="95"/>
      <c r="F113" s="267"/>
    </row>
    <row r="114" s="271" customFormat="1" spans="1:6">
      <c r="A114" s="263"/>
      <c r="B114" s="281"/>
      <c r="C114" s="240"/>
      <c r="D114" s="282"/>
      <c r="E114" s="95"/>
      <c r="F114" s="267"/>
    </row>
    <row r="115" s="271" customFormat="1" spans="1:6">
      <c r="A115" s="263"/>
      <c r="B115" s="281"/>
      <c r="C115" s="240"/>
      <c r="D115" s="282"/>
      <c r="E115" s="95"/>
      <c r="F115" s="267"/>
    </row>
    <row r="116" s="271" customFormat="1" spans="1:6">
      <c r="A116" s="263"/>
      <c r="B116" s="281"/>
      <c r="C116" s="240"/>
      <c r="D116" s="282"/>
      <c r="E116" s="95"/>
      <c r="F116" s="267"/>
    </row>
    <row r="117" s="271" customFormat="1" spans="1:6">
      <c r="A117" s="263"/>
      <c r="B117" s="281"/>
      <c r="C117" s="240"/>
      <c r="D117" s="282"/>
      <c r="E117" s="95"/>
      <c r="F117" s="267"/>
    </row>
    <row r="118" s="271" customFormat="1" spans="1:6">
      <c r="A118" s="263"/>
      <c r="B118" s="281"/>
      <c r="C118" s="240"/>
      <c r="D118" s="282"/>
      <c r="E118" s="95"/>
      <c r="F118" s="267"/>
    </row>
    <row r="119" s="271" customFormat="1" spans="1:6">
      <c r="A119" s="263"/>
      <c r="B119" s="281"/>
      <c r="C119" s="240"/>
      <c r="D119" s="282"/>
      <c r="E119" s="95"/>
      <c r="F119" s="267"/>
    </row>
    <row r="120" s="271" customFormat="1" spans="1:6">
      <c r="A120" s="263"/>
      <c r="B120" s="281"/>
      <c r="C120" s="240"/>
      <c r="D120" s="282"/>
      <c r="E120" s="95"/>
      <c r="F120" s="267"/>
    </row>
    <row r="121" s="271" customFormat="1" spans="1:6">
      <c r="A121" s="263"/>
      <c r="B121" s="281"/>
      <c r="C121" s="240"/>
      <c r="D121" s="282"/>
      <c r="E121" s="95"/>
      <c r="F121" s="267"/>
    </row>
    <row r="122" s="271" customFormat="1" spans="1:6">
      <c r="A122" s="263"/>
      <c r="B122" s="281"/>
      <c r="C122" s="240"/>
      <c r="D122" s="282"/>
      <c r="E122" s="95"/>
      <c r="F122" s="267"/>
    </row>
    <row r="123" s="271" customFormat="1" spans="1:6">
      <c r="A123" s="263"/>
      <c r="B123" s="281"/>
      <c r="C123" s="240"/>
      <c r="D123" s="282"/>
      <c r="E123" s="95"/>
      <c r="F123" s="267"/>
    </row>
    <row r="124" s="271" customFormat="1" spans="1:6">
      <c r="A124" s="263"/>
      <c r="B124" s="281"/>
      <c r="C124" s="240"/>
      <c r="D124" s="282"/>
      <c r="E124" s="95"/>
      <c r="F124" s="267"/>
    </row>
    <row r="125" s="271" customFormat="1" spans="1:6">
      <c r="A125" s="263"/>
      <c r="B125" s="281"/>
      <c r="C125" s="240"/>
      <c r="D125" s="282"/>
      <c r="E125" s="95"/>
      <c r="F125" s="267"/>
    </row>
    <row r="126" s="271" customFormat="1" spans="1:6">
      <c r="A126" s="263"/>
      <c r="B126" s="281"/>
      <c r="C126" s="240"/>
      <c r="D126" s="282"/>
      <c r="E126" s="95"/>
      <c r="F126" s="267"/>
    </row>
    <row r="127" s="271" customFormat="1" spans="1:6">
      <c r="A127" s="263"/>
      <c r="B127" s="281"/>
      <c r="C127" s="240"/>
      <c r="D127" s="282"/>
      <c r="E127" s="95"/>
      <c r="F127" s="267"/>
    </row>
    <row r="128" s="271" customFormat="1" spans="1:6">
      <c r="A128" s="263"/>
      <c r="B128" s="281"/>
      <c r="C128" s="240"/>
      <c r="D128" s="282"/>
      <c r="E128" s="95"/>
      <c r="F128" s="267"/>
    </row>
    <row r="129" s="271" customFormat="1" spans="1:6">
      <c r="A129" s="263"/>
      <c r="B129" s="281"/>
      <c r="C129" s="240"/>
      <c r="D129" s="282"/>
      <c r="E129" s="95"/>
      <c r="F129" s="267"/>
    </row>
    <row r="130" s="271" customFormat="1" spans="1:6">
      <c r="A130" s="263"/>
      <c r="B130" s="281"/>
      <c r="C130" s="240"/>
      <c r="D130" s="282"/>
      <c r="E130" s="95"/>
      <c r="F130" s="267"/>
    </row>
    <row r="131" s="271" customFormat="1" spans="1:6">
      <c r="A131" s="263"/>
      <c r="B131" s="281"/>
      <c r="C131" s="240"/>
      <c r="D131" s="282"/>
      <c r="E131" s="95"/>
      <c r="F131" s="267"/>
    </row>
    <row r="132" s="271" customFormat="1" spans="1:7">
      <c r="A132" s="263"/>
      <c r="B132" s="281"/>
      <c r="C132" s="240"/>
      <c r="D132" s="282"/>
      <c r="E132" s="95"/>
      <c r="F132" s="267"/>
      <c r="G132" s="290"/>
    </row>
    <row r="133" s="271" customFormat="1" spans="1:7">
      <c r="A133" s="263"/>
      <c r="B133" s="281"/>
      <c r="C133" s="240"/>
      <c r="D133" s="282"/>
      <c r="E133" s="95"/>
      <c r="F133" s="267"/>
      <c r="G133" s="290"/>
    </row>
    <row r="134" s="271" customFormat="1" spans="1:7">
      <c r="A134" s="263"/>
      <c r="B134" s="281"/>
      <c r="C134" s="240"/>
      <c r="D134" s="282"/>
      <c r="E134" s="95"/>
      <c r="F134" s="267"/>
      <c r="G134" s="290"/>
    </row>
    <row r="135" s="271" customFormat="1" spans="1:7">
      <c r="A135" s="263"/>
      <c r="B135" s="281"/>
      <c r="C135" s="240"/>
      <c r="D135" s="282"/>
      <c r="E135" s="95"/>
      <c r="F135" s="267"/>
      <c r="G135" s="290"/>
    </row>
    <row r="136" s="271" customFormat="1" spans="1:7">
      <c r="A136" s="263"/>
      <c r="B136" s="281"/>
      <c r="C136" s="240"/>
      <c r="D136" s="282"/>
      <c r="E136" s="95"/>
      <c r="F136" s="267"/>
      <c r="G136" s="290"/>
    </row>
    <row r="137" s="271" customFormat="1" spans="1:7">
      <c r="A137" s="263"/>
      <c r="B137" s="281"/>
      <c r="C137" s="240"/>
      <c r="D137" s="282"/>
      <c r="E137" s="95"/>
      <c r="F137" s="267"/>
      <c r="G137" s="290"/>
    </row>
    <row r="138" s="271" customFormat="1" spans="1:7">
      <c r="A138" s="263"/>
      <c r="B138" s="281"/>
      <c r="C138" s="240"/>
      <c r="D138" s="282"/>
      <c r="E138" s="95"/>
      <c r="F138" s="267"/>
      <c r="G138" s="290"/>
    </row>
    <row r="139" s="271" customFormat="1" spans="1:7">
      <c r="A139" s="263"/>
      <c r="B139" s="281"/>
      <c r="C139" s="240"/>
      <c r="D139" s="282"/>
      <c r="E139" s="95"/>
      <c r="F139" s="267"/>
      <c r="G139" s="290"/>
    </row>
    <row r="140" s="271" customFormat="1" spans="1:7">
      <c r="A140" s="263"/>
      <c r="B140" s="281"/>
      <c r="C140" s="240"/>
      <c r="D140" s="282"/>
      <c r="E140" s="95"/>
      <c r="F140" s="267"/>
      <c r="G140" s="290"/>
    </row>
    <row r="141" s="271" customFormat="1" spans="1:7">
      <c r="A141" s="263"/>
      <c r="B141" s="281"/>
      <c r="C141" s="240"/>
      <c r="D141" s="282"/>
      <c r="E141" s="95"/>
      <c r="F141" s="267"/>
      <c r="G141" s="290"/>
    </row>
    <row r="142" s="271" customFormat="1" spans="1:7">
      <c r="A142" s="263"/>
      <c r="B142" s="281"/>
      <c r="C142" s="240"/>
      <c r="D142" s="282"/>
      <c r="E142" s="95"/>
      <c r="F142" s="267"/>
      <c r="G142" s="290"/>
    </row>
    <row r="143" s="271" customFormat="1" spans="1:7">
      <c r="A143" s="263"/>
      <c r="B143" s="281"/>
      <c r="C143" s="240"/>
      <c r="D143" s="282"/>
      <c r="E143" s="95"/>
      <c r="F143" s="267"/>
      <c r="G143" s="290"/>
    </row>
    <row r="144" s="271" customFormat="1" spans="1:7">
      <c r="A144" s="263"/>
      <c r="B144" s="281"/>
      <c r="C144" s="240"/>
      <c r="D144" s="282"/>
      <c r="E144" s="95"/>
      <c r="F144" s="267"/>
      <c r="G144" s="290"/>
    </row>
    <row r="145" s="271" customFormat="1" spans="1:7">
      <c r="A145" s="263"/>
      <c r="B145" s="281"/>
      <c r="C145" s="240"/>
      <c r="D145" s="282"/>
      <c r="E145" s="95"/>
      <c r="F145" s="267"/>
      <c r="G145" s="290"/>
    </row>
    <row r="146" s="271" customFormat="1" spans="1:7">
      <c r="A146" s="263"/>
      <c r="B146" s="281"/>
      <c r="C146" s="240"/>
      <c r="D146" s="282"/>
      <c r="E146" s="95"/>
      <c r="F146" s="267"/>
      <c r="G146" s="290"/>
    </row>
    <row r="147" s="271" customFormat="1" spans="1:7">
      <c r="A147" s="263"/>
      <c r="B147" s="281"/>
      <c r="C147" s="240"/>
      <c r="D147" s="282"/>
      <c r="E147" s="95"/>
      <c r="F147" s="267"/>
      <c r="G147" s="290"/>
    </row>
    <row r="148" s="271" customFormat="1" spans="1:7">
      <c r="A148" s="263"/>
      <c r="B148" s="281"/>
      <c r="C148" s="240"/>
      <c r="D148" s="282"/>
      <c r="E148" s="95"/>
      <c r="F148" s="267"/>
      <c r="G148" s="290"/>
    </row>
    <row r="149" s="271" customFormat="1" spans="1:7">
      <c r="A149" s="263"/>
      <c r="B149" s="281"/>
      <c r="C149" s="240"/>
      <c r="D149" s="282"/>
      <c r="E149" s="95"/>
      <c r="F149" s="267"/>
      <c r="G149" s="290"/>
    </row>
    <row r="150" s="271" customFormat="1" spans="1:7">
      <c r="A150" s="263"/>
      <c r="B150" s="281"/>
      <c r="C150" s="240"/>
      <c r="D150" s="282"/>
      <c r="E150" s="95"/>
      <c r="F150" s="267"/>
      <c r="G150" s="290"/>
    </row>
    <row r="151" s="271" customFormat="1" spans="1:7">
      <c r="A151" s="263"/>
      <c r="B151" s="281"/>
      <c r="C151" s="240"/>
      <c r="D151" s="282"/>
      <c r="E151" s="95"/>
      <c r="F151" s="267"/>
      <c r="G151" s="290"/>
    </row>
    <row r="152" s="271" customFormat="1" spans="1:7">
      <c r="A152" s="263"/>
      <c r="B152" s="281"/>
      <c r="C152" s="240"/>
      <c r="D152" s="282"/>
      <c r="E152" s="95"/>
      <c r="F152" s="267"/>
      <c r="G152" s="290"/>
    </row>
    <row r="153" s="271" customFormat="1" spans="1:7">
      <c r="A153" s="263"/>
      <c r="B153" s="281"/>
      <c r="C153" s="240"/>
      <c r="D153" s="282"/>
      <c r="E153" s="95"/>
      <c r="F153" s="267"/>
      <c r="G153" s="290"/>
    </row>
    <row r="154" s="271" customFormat="1" spans="1:7">
      <c r="A154" s="263"/>
      <c r="B154" s="281"/>
      <c r="C154" s="240"/>
      <c r="D154" s="282"/>
      <c r="E154" s="95"/>
      <c r="F154" s="267"/>
      <c r="G154" s="290"/>
    </row>
    <row r="155" s="271" customFormat="1" spans="1:7">
      <c r="A155" s="263"/>
      <c r="B155" s="281"/>
      <c r="C155" s="240"/>
      <c r="D155" s="282"/>
      <c r="E155" s="95"/>
      <c r="F155" s="267"/>
      <c r="G155" s="290"/>
    </row>
    <row r="156" s="271" customFormat="1" spans="1:7">
      <c r="A156" s="263"/>
      <c r="B156" s="281"/>
      <c r="C156" s="240"/>
      <c r="D156" s="282"/>
      <c r="E156" s="95"/>
      <c r="F156" s="267"/>
      <c r="G156" s="290"/>
    </row>
    <row r="157" s="271" customFormat="1" spans="1:7">
      <c r="A157" s="263"/>
      <c r="B157" s="281"/>
      <c r="C157" s="240"/>
      <c r="D157" s="282"/>
      <c r="E157" s="95"/>
      <c r="F157" s="267"/>
      <c r="G157" s="290"/>
    </row>
    <row r="158" s="271" customFormat="1" spans="1:6">
      <c r="A158" s="263"/>
      <c r="B158" s="281"/>
      <c r="C158" s="240"/>
      <c r="D158" s="282"/>
      <c r="E158" s="95"/>
      <c r="F158" s="267"/>
    </row>
    <row r="159" s="271" customFormat="1" spans="1:6">
      <c r="A159" s="263"/>
      <c r="B159" s="281"/>
      <c r="C159" s="240"/>
      <c r="D159" s="282"/>
      <c r="E159" s="95"/>
      <c r="F159" s="267"/>
    </row>
    <row r="160" s="271" customFormat="1" spans="1:6">
      <c r="A160" s="263"/>
      <c r="B160" s="281"/>
      <c r="C160" s="240"/>
      <c r="D160" s="282"/>
      <c r="E160" s="95"/>
      <c r="F160" s="267"/>
    </row>
    <row r="161" s="271" customFormat="1" spans="1:6">
      <c r="A161" s="263"/>
      <c r="B161" s="281"/>
      <c r="C161" s="240"/>
      <c r="D161" s="282"/>
      <c r="E161" s="95"/>
      <c r="F161" s="267"/>
    </row>
    <row r="162" s="271" customFormat="1" spans="1:6">
      <c r="A162" s="263"/>
      <c r="B162" s="281"/>
      <c r="C162" s="240"/>
      <c r="D162" s="282"/>
      <c r="E162" s="95"/>
      <c r="F162" s="267"/>
    </row>
    <row r="163" s="271" customFormat="1" spans="1:6">
      <c r="A163" s="263"/>
      <c r="B163" s="281"/>
      <c r="C163" s="240"/>
      <c r="D163" s="282"/>
      <c r="E163" s="95"/>
      <c r="F163" s="267"/>
    </row>
    <row r="164" s="271" customFormat="1" spans="1:6">
      <c r="A164" s="263"/>
      <c r="B164" s="281"/>
      <c r="C164" s="240"/>
      <c r="D164" s="282"/>
      <c r="E164" s="95"/>
      <c r="F164" s="267"/>
    </row>
    <row r="165" s="271" customFormat="1" spans="1:6">
      <c r="A165" s="263"/>
      <c r="B165" s="281"/>
      <c r="C165" s="240"/>
      <c r="D165" s="282"/>
      <c r="E165" s="95"/>
      <c r="F165" s="267"/>
    </row>
    <row r="166" s="271" customFormat="1" spans="1:6">
      <c r="A166" s="263"/>
      <c r="B166" s="281"/>
      <c r="C166" s="240"/>
      <c r="D166" s="282"/>
      <c r="E166" s="95"/>
      <c r="F166" s="267"/>
    </row>
    <row r="167" s="271" customFormat="1" spans="1:6">
      <c r="A167" s="263"/>
      <c r="B167" s="281"/>
      <c r="C167" s="240"/>
      <c r="D167" s="282"/>
      <c r="E167" s="95"/>
      <c r="F167" s="267"/>
    </row>
    <row r="168" s="271" customFormat="1" spans="1:6">
      <c r="A168" s="263"/>
      <c r="B168" s="281"/>
      <c r="C168" s="240"/>
      <c r="D168" s="282"/>
      <c r="E168" s="95"/>
      <c r="F168" s="267"/>
    </row>
    <row r="169" s="271" customFormat="1" spans="1:6">
      <c r="A169" s="263"/>
      <c r="B169" s="281"/>
      <c r="C169" s="240"/>
      <c r="D169" s="282"/>
      <c r="E169" s="95"/>
      <c r="F169" s="267"/>
    </row>
    <row r="170" s="271" customFormat="1" spans="1:6">
      <c r="A170" s="263"/>
      <c r="B170" s="281"/>
      <c r="C170" s="240"/>
      <c r="D170" s="282"/>
      <c r="E170" s="95"/>
      <c r="F170" s="267"/>
    </row>
    <row r="171" s="271" customFormat="1" spans="1:6">
      <c r="A171" s="263"/>
      <c r="B171" s="281"/>
      <c r="C171" s="240"/>
      <c r="D171" s="282"/>
      <c r="E171" s="95"/>
      <c r="F171" s="267"/>
    </row>
    <row r="172" s="271" customFormat="1" spans="1:6">
      <c r="A172" s="263"/>
      <c r="B172" s="281"/>
      <c r="C172" s="240"/>
      <c r="D172" s="282"/>
      <c r="E172" s="95"/>
      <c r="F172" s="267"/>
    </row>
    <row r="173" s="271" customFormat="1" spans="1:6">
      <c r="A173" s="263"/>
      <c r="B173" s="281"/>
      <c r="C173" s="240"/>
      <c r="D173" s="282"/>
      <c r="E173" s="95"/>
      <c r="F173" s="267"/>
    </row>
    <row r="174" s="271" customFormat="1" spans="1:6">
      <c r="A174" s="263"/>
      <c r="B174" s="281"/>
      <c r="C174" s="240"/>
      <c r="D174" s="282"/>
      <c r="E174" s="95"/>
      <c r="F174" s="267"/>
    </row>
    <row r="175" s="271" customFormat="1" spans="1:6">
      <c r="A175" s="263"/>
      <c r="B175" s="281"/>
      <c r="C175" s="240"/>
      <c r="D175" s="282"/>
      <c r="E175" s="95"/>
      <c r="F175" s="267"/>
    </row>
    <row r="176" s="271" customFormat="1" spans="1:6">
      <c r="A176" s="263"/>
      <c r="B176" s="281"/>
      <c r="C176" s="240"/>
      <c r="D176" s="282"/>
      <c r="E176" s="95"/>
      <c r="F176" s="267"/>
    </row>
    <row r="177" s="271" customFormat="1" spans="1:6">
      <c r="A177" s="263"/>
      <c r="B177" s="281"/>
      <c r="C177" s="240"/>
      <c r="D177" s="282"/>
      <c r="E177" s="95"/>
      <c r="F177" s="267"/>
    </row>
    <row r="178" s="271" customFormat="1" spans="1:6">
      <c r="A178" s="263"/>
      <c r="B178" s="281"/>
      <c r="C178" s="240"/>
      <c r="D178" s="282"/>
      <c r="E178" s="95"/>
      <c r="F178" s="267"/>
    </row>
    <row r="179" s="271" customFormat="1" spans="1:6">
      <c r="A179" s="263"/>
      <c r="B179" s="281"/>
      <c r="C179" s="240"/>
      <c r="D179" s="282"/>
      <c r="E179" s="95"/>
      <c r="F179" s="267"/>
    </row>
    <row r="180" s="271" customFormat="1" spans="1:6">
      <c r="A180" s="263"/>
      <c r="B180" s="281"/>
      <c r="C180" s="240"/>
      <c r="D180" s="282"/>
      <c r="E180" s="95"/>
      <c r="F180" s="267"/>
    </row>
    <row r="181" s="271" customFormat="1" spans="1:6">
      <c r="A181" s="263"/>
      <c r="B181" s="281"/>
      <c r="C181" s="240"/>
      <c r="D181" s="282"/>
      <c r="E181" s="95"/>
      <c r="F181" s="267"/>
    </row>
    <row r="182" s="271" customFormat="1" spans="1:6">
      <c r="A182" s="263"/>
      <c r="B182" s="281"/>
      <c r="C182" s="240"/>
      <c r="D182" s="282"/>
      <c r="E182" s="95"/>
      <c r="F182" s="267"/>
    </row>
    <row r="183" s="271" customFormat="1" spans="1:6">
      <c r="A183" s="263"/>
      <c r="B183" s="281"/>
      <c r="C183" s="240"/>
      <c r="D183" s="282"/>
      <c r="E183" s="95"/>
      <c r="F183" s="267"/>
    </row>
    <row r="184" s="271" customFormat="1" spans="1:6">
      <c r="A184" s="263"/>
      <c r="B184" s="281"/>
      <c r="C184" s="240"/>
      <c r="D184" s="282"/>
      <c r="E184" s="95"/>
      <c r="F184" s="267"/>
    </row>
    <row r="185" s="271" customFormat="1" spans="1:6">
      <c r="A185" s="263"/>
      <c r="B185" s="281"/>
      <c r="C185" s="240"/>
      <c r="D185" s="282"/>
      <c r="E185" s="95"/>
      <c r="F185" s="267"/>
    </row>
    <row r="186" s="271" customFormat="1" spans="1:6">
      <c r="A186" s="263"/>
      <c r="B186" s="281"/>
      <c r="C186" s="240"/>
      <c r="D186" s="282"/>
      <c r="E186" s="95"/>
      <c r="F186" s="267"/>
    </row>
    <row r="187" s="271" customFormat="1" spans="1:6">
      <c r="A187" s="263"/>
      <c r="B187" s="281"/>
      <c r="C187" s="240"/>
      <c r="D187" s="282"/>
      <c r="E187" s="95"/>
      <c r="F187" s="267"/>
    </row>
    <row r="188" s="271" customFormat="1" spans="1:6">
      <c r="A188" s="263"/>
      <c r="B188" s="281"/>
      <c r="C188" s="240"/>
      <c r="D188" s="282"/>
      <c r="E188" s="95"/>
      <c r="F188" s="267"/>
    </row>
    <row r="189" s="271" customFormat="1" spans="1:6">
      <c r="A189" s="263"/>
      <c r="B189" s="281"/>
      <c r="C189" s="240"/>
      <c r="D189" s="282"/>
      <c r="E189" s="95"/>
      <c r="F189" s="267"/>
    </row>
    <row r="190" s="271" customFormat="1" spans="1:6">
      <c r="A190" s="263"/>
      <c r="B190" s="281"/>
      <c r="C190" s="240"/>
      <c r="D190" s="282"/>
      <c r="E190" s="95"/>
      <c r="F190" s="267"/>
    </row>
    <row r="191" s="271" customFormat="1" spans="1:6">
      <c r="A191" s="263"/>
      <c r="B191" s="281"/>
      <c r="C191" s="240"/>
      <c r="D191" s="282"/>
      <c r="E191" s="95"/>
      <c r="F191" s="267"/>
    </row>
    <row r="192" s="271" customFormat="1" spans="1:6">
      <c r="A192" s="263"/>
      <c r="B192" s="281"/>
      <c r="C192" s="240"/>
      <c r="D192" s="282"/>
      <c r="E192" s="95"/>
      <c r="F192" s="267"/>
    </row>
    <row r="193" s="271" customFormat="1" spans="1:6">
      <c r="A193" s="263"/>
      <c r="B193" s="281"/>
      <c r="C193" s="240"/>
      <c r="D193" s="282"/>
      <c r="E193" s="95"/>
      <c r="F193" s="267"/>
    </row>
    <row r="194" s="271" customFormat="1" spans="1:6">
      <c r="A194" s="263"/>
      <c r="B194" s="281"/>
      <c r="C194" s="240"/>
      <c r="D194" s="282"/>
      <c r="E194" s="95"/>
      <c r="F194" s="267"/>
    </row>
    <row r="195" s="271" customFormat="1" spans="1:6">
      <c r="A195" s="263"/>
      <c r="B195" s="281"/>
      <c r="C195" s="240"/>
      <c r="D195" s="282"/>
      <c r="E195" s="95"/>
      <c r="F195" s="267"/>
    </row>
    <row r="196" s="271" customFormat="1" spans="1:6">
      <c r="A196" s="263"/>
      <c r="B196" s="281"/>
      <c r="C196" s="240"/>
      <c r="D196" s="282"/>
      <c r="E196" s="95"/>
      <c r="F196" s="267"/>
    </row>
    <row r="197" s="271" customFormat="1" spans="1:6">
      <c r="A197" s="263"/>
      <c r="B197" s="281"/>
      <c r="C197" s="240"/>
      <c r="D197" s="282"/>
      <c r="E197" s="95"/>
      <c r="F197" s="267"/>
    </row>
    <row r="198" s="271" customFormat="1" spans="1:6">
      <c r="A198" s="263"/>
      <c r="B198" s="281"/>
      <c r="C198" s="240"/>
      <c r="D198" s="282"/>
      <c r="E198" s="95"/>
      <c r="F198" s="267"/>
    </row>
    <row r="199" s="271" customFormat="1" spans="1:6">
      <c r="A199" s="263"/>
      <c r="B199" s="281"/>
      <c r="C199" s="240"/>
      <c r="D199" s="282"/>
      <c r="E199" s="95"/>
      <c r="F199" s="267"/>
    </row>
    <row r="200" s="271" customFormat="1" spans="1:6">
      <c r="A200" s="263"/>
      <c r="B200" s="281"/>
      <c r="C200" s="240"/>
      <c r="D200" s="282"/>
      <c r="E200" s="95"/>
      <c r="F200" s="267"/>
    </row>
    <row r="201" s="271" customFormat="1" spans="1:6">
      <c r="A201" s="263"/>
      <c r="B201" s="281"/>
      <c r="C201" s="240"/>
      <c r="D201" s="282"/>
      <c r="E201" s="95"/>
      <c r="F201" s="267"/>
    </row>
    <row r="202" s="271" customFormat="1" spans="1:6">
      <c r="A202" s="263"/>
      <c r="B202" s="281"/>
      <c r="C202" s="240"/>
      <c r="D202" s="282"/>
      <c r="E202" s="95"/>
      <c r="F202" s="267"/>
    </row>
    <row r="203" s="271" customFormat="1" spans="1:6">
      <c r="A203" s="263"/>
      <c r="B203" s="281"/>
      <c r="C203" s="240"/>
      <c r="D203" s="282"/>
      <c r="E203" s="95"/>
      <c r="F203" s="267"/>
    </row>
    <row r="204" s="271" customFormat="1" spans="1:6">
      <c r="A204" s="263"/>
      <c r="B204" s="281"/>
      <c r="C204" s="240"/>
      <c r="D204" s="282"/>
      <c r="E204" s="95"/>
      <c r="F204" s="267"/>
    </row>
    <row r="205" s="271" customFormat="1" spans="1:6">
      <c r="A205" s="263"/>
      <c r="B205" s="281"/>
      <c r="C205" s="240"/>
      <c r="D205" s="282"/>
      <c r="E205" s="95"/>
      <c r="F205" s="267"/>
    </row>
    <row r="206" s="271" customFormat="1" spans="1:6">
      <c r="A206" s="263"/>
      <c r="B206" s="281"/>
      <c r="C206" s="240"/>
      <c r="D206" s="282"/>
      <c r="E206" s="95"/>
      <c r="F206" s="267"/>
    </row>
    <row r="207" s="271" customFormat="1" spans="1:6">
      <c r="A207" s="263"/>
      <c r="B207" s="281"/>
      <c r="C207" s="240"/>
      <c r="D207" s="282"/>
      <c r="E207" s="95"/>
      <c r="F207" s="267"/>
    </row>
    <row r="208" s="271" customFormat="1" spans="1:6">
      <c r="A208" s="263"/>
      <c r="B208" s="281"/>
      <c r="C208" s="240"/>
      <c r="D208" s="282"/>
      <c r="E208" s="95"/>
      <c r="F208" s="267"/>
    </row>
    <row r="209" s="271" customFormat="1" spans="1:6">
      <c r="A209" s="263"/>
      <c r="B209" s="281"/>
      <c r="C209" s="240"/>
      <c r="D209" s="282"/>
      <c r="E209" s="95"/>
      <c r="F209" s="267"/>
    </row>
    <row r="210" s="271" customFormat="1" spans="1:6">
      <c r="A210" s="263"/>
      <c r="B210" s="281"/>
      <c r="C210" s="240"/>
      <c r="D210" s="282"/>
      <c r="E210" s="95"/>
      <c r="F210" s="267"/>
    </row>
    <row r="211" s="271" customFormat="1" spans="1:6">
      <c r="A211" s="263"/>
      <c r="B211" s="281"/>
      <c r="C211" s="240"/>
      <c r="D211" s="282"/>
      <c r="E211" s="95"/>
      <c r="F211" s="267"/>
    </row>
    <row r="212" s="271" customFormat="1" spans="1:6">
      <c r="A212" s="263"/>
      <c r="B212" s="281"/>
      <c r="C212" s="240"/>
      <c r="D212" s="282"/>
      <c r="E212" s="95"/>
      <c r="F212" s="267"/>
    </row>
    <row r="213" s="271" customFormat="1" spans="1:6">
      <c r="A213" s="263"/>
      <c r="B213" s="281"/>
      <c r="C213" s="240"/>
      <c r="D213" s="282"/>
      <c r="E213" s="95"/>
      <c r="F213" s="267"/>
    </row>
    <row r="214" s="271" customFormat="1" spans="1:6">
      <c r="A214" s="263"/>
      <c r="B214" s="281"/>
      <c r="C214" s="240"/>
      <c r="D214" s="282"/>
      <c r="E214" s="95"/>
      <c r="F214" s="267"/>
    </row>
    <row r="215" s="271" customFormat="1" spans="1:6">
      <c r="A215" s="263"/>
      <c r="B215" s="281"/>
      <c r="C215" s="240"/>
      <c r="D215" s="282"/>
      <c r="E215" s="95"/>
      <c r="F215" s="267"/>
    </row>
    <row r="216" s="271" customFormat="1" spans="1:6">
      <c r="A216" s="263"/>
      <c r="B216" s="281"/>
      <c r="C216" s="240"/>
      <c r="D216" s="282"/>
      <c r="E216" s="95"/>
      <c r="F216" s="267"/>
    </row>
    <row r="217" s="271" customFormat="1" spans="1:6">
      <c r="A217" s="263"/>
      <c r="B217" s="281"/>
      <c r="C217" s="240"/>
      <c r="D217" s="282"/>
      <c r="E217" s="95"/>
      <c r="F217" s="267"/>
    </row>
    <row r="218" s="271" customFormat="1" spans="1:6">
      <c r="A218" s="263"/>
      <c r="B218" s="281"/>
      <c r="C218" s="240"/>
      <c r="D218" s="282"/>
      <c r="E218" s="95"/>
      <c r="F218" s="267"/>
    </row>
    <row r="219" s="271" customFormat="1" spans="1:6">
      <c r="A219" s="263"/>
      <c r="B219" s="281"/>
      <c r="C219" s="240"/>
      <c r="D219" s="282"/>
      <c r="E219" s="95"/>
      <c r="F219" s="267"/>
    </row>
    <row r="220" s="271" customFormat="1" spans="1:6">
      <c r="A220" s="263"/>
      <c r="B220" s="281"/>
      <c r="C220" s="240"/>
      <c r="D220" s="282"/>
      <c r="E220" s="95"/>
      <c r="F220" s="267"/>
    </row>
    <row r="221" s="271" customFormat="1" spans="1:6">
      <c r="A221" s="263"/>
      <c r="B221" s="281"/>
      <c r="C221" s="240"/>
      <c r="D221" s="282"/>
      <c r="E221" s="95"/>
      <c r="F221" s="267"/>
    </row>
    <row r="222" s="271" customFormat="1" spans="1:6">
      <c r="A222" s="263"/>
      <c r="B222" s="281"/>
      <c r="C222" s="240"/>
      <c r="D222" s="282"/>
      <c r="E222" s="95"/>
      <c r="F222" s="267"/>
    </row>
    <row r="223" s="271" customFormat="1" spans="1:6">
      <c r="A223" s="263"/>
      <c r="B223" s="281"/>
      <c r="C223" s="240"/>
      <c r="D223" s="282"/>
      <c r="E223" s="95"/>
      <c r="F223" s="267"/>
    </row>
    <row r="224" s="271" customFormat="1" spans="1:6">
      <c r="A224" s="263"/>
      <c r="B224" s="281"/>
      <c r="C224" s="240"/>
      <c r="D224" s="282"/>
      <c r="E224" s="95"/>
      <c r="F224" s="267"/>
    </row>
    <row r="225" s="271" customFormat="1" spans="1:6">
      <c r="A225" s="263"/>
      <c r="B225" s="281"/>
      <c r="C225" s="240"/>
      <c r="D225" s="282"/>
      <c r="E225" s="95"/>
      <c r="F225" s="267"/>
    </row>
    <row r="226" s="271" customFormat="1" spans="1:6">
      <c r="A226" s="263"/>
      <c r="B226" s="281"/>
      <c r="C226" s="240"/>
      <c r="D226" s="282"/>
      <c r="E226" s="95"/>
      <c r="F226" s="267"/>
    </row>
    <row r="227" s="271" customFormat="1" spans="1:6">
      <c r="A227" s="263"/>
      <c r="B227" s="281"/>
      <c r="C227" s="240"/>
      <c r="D227" s="282"/>
      <c r="E227" s="95"/>
      <c r="F227" s="267"/>
    </row>
    <row r="228" s="271" customFormat="1" spans="1:6">
      <c r="A228" s="263"/>
      <c r="B228" s="281"/>
      <c r="C228" s="240"/>
      <c r="D228" s="282"/>
      <c r="E228" s="95"/>
      <c r="F228" s="267"/>
    </row>
    <row r="229" s="271" customFormat="1" spans="1:6">
      <c r="A229" s="263"/>
      <c r="B229" s="281"/>
      <c r="C229" s="240"/>
      <c r="D229" s="282"/>
      <c r="E229" s="95"/>
      <c r="F229" s="267"/>
    </row>
    <row r="230" s="271" customFormat="1" spans="1:6">
      <c r="A230" s="263"/>
      <c r="B230" s="281"/>
      <c r="C230" s="240"/>
      <c r="D230" s="282"/>
      <c r="E230" s="95"/>
      <c r="F230" s="267"/>
    </row>
    <row r="231" s="271" customFormat="1" spans="1:6">
      <c r="A231" s="263"/>
      <c r="B231" s="281"/>
      <c r="C231" s="240"/>
      <c r="D231" s="282"/>
      <c r="E231" s="95"/>
      <c r="F231" s="267"/>
    </row>
    <row r="232" s="271" customFormat="1" spans="1:6">
      <c r="A232" s="263"/>
      <c r="B232" s="281"/>
      <c r="C232" s="240"/>
      <c r="D232" s="282"/>
      <c r="E232" s="95"/>
      <c r="F232" s="267"/>
    </row>
    <row r="233" s="271" customFormat="1" spans="1:7">
      <c r="A233" s="263"/>
      <c r="B233" s="281"/>
      <c r="C233" s="240"/>
      <c r="D233" s="282"/>
      <c r="E233" s="95"/>
      <c r="F233" s="267"/>
      <c r="G233" s="290"/>
    </row>
    <row r="234" s="271" customFormat="1" spans="1:6">
      <c r="A234" s="263"/>
      <c r="B234" s="281"/>
      <c r="C234" s="240"/>
      <c r="D234" s="282"/>
      <c r="E234" s="95"/>
      <c r="F234" s="267"/>
    </row>
    <row r="235" s="271" customFormat="1" spans="1:6">
      <c r="A235" s="263"/>
      <c r="B235" s="281"/>
      <c r="C235" s="240"/>
      <c r="D235" s="282"/>
      <c r="E235" s="95"/>
      <c r="F235" s="267"/>
    </row>
    <row r="236" s="271" customFormat="1" spans="1:6">
      <c r="A236" s="263"/>
      <c r="B236" s="281"/>
      <c r="C236" s="240"/>
      <c r="D236" s="282"/>
      <c r="E236" s="95"/>
      <c r="F236" s="267"/>
    </row>
    <row r="237" s="271" customFormat="1" spans="1:6">
      <c r="A237" s="263"/>
      <c r="B237" s="281"/>
      <c r="C237" s="240"/>
      <c r="D237" s="282"/>
      <c r="E237" s="95"/>
      <c r="F237" s="267"/>
    </row>
    <row r="238" s="271" customFormat="1" spans="1:6">
      <c r="A238" s="263"/>
      <c r="B238" s="281"/>
      <c r="C238" s="240"/>
      <c r="D238" s="282"/>
      <c r="E238" s="95"/>
      <c r="F238" s="267"/>
    </row>
    <row r="239" s="271" customFormat="1" spans="1:6">
      <c r="A239" s="263"/>
      <c r="B239" s="281"/>
      <c r="C239" s="240"/>
      <c r="D239" s="282"/>
      <c r="E239" s="95"/>
      <c r="F239" s="267"/>
    </row>
    <row r="240" s="271" customFormat="1" spans="1:6">
      <c r="A240" s="263"/>
      <c r="B240" s="281"/>
      <c r="C240" s="240"/>
      <c r="D240" s="282"/>
      <c r="E240" s="95"/>
      <c r="F240" s="267"/>
    </row>
    <row r="241" s="271" customFormat="1" spans="1:6">
      <c r="A241" s="263"/>
      <c r="B241" s="281"/>
      <c r="C241" s="240"/>
      <c r="D241" s="282"/>
      <c r="E241" s="95"/>
      <c r="F241" s="267"/>
    </row>
    <row r="242" s="271" customFormat="1" spans="1:6">
      <c r="A242" s="263"/>
      <c r="B242" s="281"/>
      <c r="C242" s="240"/>
      <c r="D242" s="282"/>
      <c r="E242" s="95"/>
      <c r="F242" s="267"/>
    </row>
    <row r="243" s="271" customFormat="1" spans="1:6">
      <c r="A243" s="263"/>
      <c r="B243" s="281"/>
      <c r="C243" s="240"/>
      <c r="D243" s="282"/>
      <c r="E243" s="95"/>
      <c r="F243" s="267"/>
    </row>
    <row r="244" s="271" customFormat="1" spans="1:6">
      <c r="A244" s="263"/>
      <c r="B244" s="281"/>
      <c r="C244" s="240"/>
      <c r="D244" s="282"/>
      <c r="E244" s="95"/>
      <c r="F244" s="267"/>
    </row>
    <row r="245" s="271" customFormat="1" spans="1:6">
      <c r="A245" s="263"/>
      <c r="B245" s="281"/>
      <c r="C245" s="240"/>
      <c r="D245" s="282"/>
      <c r="E245" s="95"/>
      <c r="F245" s="267"/>
    </row>
    <row r="246" s="271" customFormat="1" spans="1:6">
      <c r="A246" s="263"/>
      <c r="B246" s="281"/>
      <c r="C246" s="240"/>
      <c r="D246" s="282"/>
      <c r="E246" s="95"/>
      <c r="F246" s="267"/>
    </row>
    <row r="247" s="271" customFormat="1" spans="1:6">
      <c r="A247" s="263"/>
      <c r="B247" s="281"/>
      <c r="C247" s="240"/>
      <c r="D247" s="282"/>
      <c r="E247" s="95"/>
      <c r="F247" s="267"/>
    </row>
    <row r="248" s="271" customFormat="1" spans="1:6">
      <c r="A248" s="263"/>
      <c r="B248" s="281"/>
      <c r="C248" s="240"/>
      <c r="D248" s="282"/>
      <c r="E248" s="95"/>
      <c r="F248" s="267"/>
    </row>
    <row r="249" s="271" customFormat="1" spans="1:6">
      <c r="A249" s="263"/>
      <c r="B249" s="281"/>
      <c r="C249" s="240"/>
      <c r="D249" s="282"/>
      <c r="E249" s="95"/>
      <c r="F249" s="267"/>
    </row>
    <row r="250" s="271" customFormat="1" spans="1:6">
      <c r="A250" s="263"/>
      <c r="B250" s="281"/>
      <c r="C250" s="240"/>
      <c r="D250" s="282"/>
      <c r="E250" s="95"/>
      <c r="F250" s="267"/>
    </row>
    <row r="251" s="271" customFormat="1" spans="1:6">
      <c r="A251" s="263"/>
      <c r="B251" s="281"/>
      <c r="C251" s="240"/>
      <c r="D251" s="282"/>
      <c r="E251" s="95"/>
      <c r="F251" s="267"/>
    </row>
    <row r="252" s="271" customFormat="1" spans="1:6">
      <c r="A252" s="263"/>
      <c r="B252" s="281"/>
      <c r="C252" s="240"/>
      <c r="D252" s="282"/>
      <c r="E252" s="95"/>
      <c r="F252" s="267"/>
    </row>
    <row r="253" s="271" customFormat="1" spans="1:6">
      <c r="A253" s="263"/>
      <c r="B253" s="281"/>
      <c r="C253" s="240"/>
      <c r="D253" s="282"/>
      <c r="E253" s="95"/>
      <c r="F253" s="267"/>
    </row>
    <row r="254" s="271" customFormat="1" spans="1:6">
      <c r="A254" s="263"/>
      <c r="B254" s="281"/>
      <c r="C254" s="240"/>
      <c r="D254" s="282"/>
      <c r="E254" s="95"/>
      <c r="F254" s="267"/>
    </row>
    <row r="255" s="271" customFormat="1" spans="1:6">
      <c r="A255" s="263"/>
      <c r="B255" s="281"/>
      <c r="C255" s="240"/>
      <c r="D255" s="282"/>
      <c r="E255" s="95"/>
      <c r="F255" s="267"/>
    </row>
    <row r="256" s="271" customFormat="1" spans="1:6">
      <c r="A256" s="263"/>
      <c r="B256" s="281"/>
      <c r="C256" s="240"/>
      <c r="D256" s="282"/>
      <c r="E256" s="95"/>
      <c r="F256" s="267"/>
    </row>
    <row r="257" s="271" customFormat="1" spans="1:6">
      <c r="A257" s="263"/>
      <c r="B257" s="281"/>
      <c r="C257" s="240"/>
      <c r="D257" s="282"/>
      <c r="E257" s="95"/>
      <c r="F257" s="267"/>
    </row>
    <row r="258" s="271" customFormat="1" spans="1:6">
      <c r="A258" s="263"/>
      <c r="B258" s="281"/>
      <c r="C258" s="240"/>
      <c r="D258" s="282"/>
      <c r="E258" s="95"/>
      <c r="F258" s="267"/>
    </row>
    <row r="259" s="271" customFormat="1" spans="1:6">
      <c r="A259" s="263"/>
      <c r="B259" s="281"/>
      <c r="C259" s="240"/>
      <c r="D259" s="282"/>
      <c r="E259" s="95"/>
      <c r="F259" s="267"/>
    </row>
    <row r="260" s="271" customFormat="1" spans="1:6">
      <c r="A260" s="263"/>
      <c r="B260" s="281"/>
      <c r="C260" s="240"/>
      <c r="D260" s="282"/>
      <c r="E260" s="95"/>
      <c r="F260" s="267"/>
    </row>
    <row r="261" s="271" customFormat="1" spans="1:6">
      <c r="A261" s="263"/>
      <c r="B261" s="281"/>
      <c r="C261" s="240"/>
      <c r="D261" s="282"/>
      <c r="E261" s="95"/>
      <c r="F261" s="267"/>
    </row>
    <row r="262" s="271" customFormat="1" spans="1:6">
      <c r="A262" s="263"/>
      <c r="B262" s="281"/>
      <c r="C262" s="240"/>
      <c r="D262" s="282"/>
      <c r="E262" s="95"/>
      <c r="F262" s="267"/>
    </row>
    <row r="263" s="271" customFormat="1" spans="1:6">
      <c r="A263" s="263"/>
      <c r="B263" s="281"/>
      <c r="C263" s="240"/>
      <c r="D263" s="282"/>
      <c r="E263" s="95"/>
      <c r="F263" s="267"/>
    </row>
    <row r="264" s="271" customFormat="1" spans="1:6">
      <c r="A264" s="263"/>
      <c r="B264" s="281"/>
      <c r="C264" s="240"/>
      <c r="D264" s="282"/>
      <c r="E264" s="95"/>
      <c r="F264" s="267"/>
    </row>
    <row r="265" s="271" customFormat="1" spans="1:6">
      <c r="A265" s="263"/>
      <c r="B265" s="281"/>
      <c r="C265" s="240"/>
      <c r="D265" s="282"/>
      <c r="E265" s="95"/>
      <c r="F265" s="267"/>
    </row>
    <row r="266" s="271" customFormat="1" spans="1:6">
      <c r="A266" s="263"/>
      <c r="B266" s="281"/>
      <c r="C266" s="240"/>
      <c r="D266" s="282"/>
      <c r="E266" s="95"/>
      <c r="F266" s="267"/>
    </row>
    <row r="267" s="271" customFormat="1" spans="1:6">
      <c r="A267" s="263"/>
      <c r="B267" s="281"/>
      <c r="C267" s="240"/>
      <c r="D267" s="282"/>
      <c r="E267" s="95"/>
      <c r="F267" s="267"/>
    </row>
    <row r="268" s="271" customFormat="1" spans="1:6">
      <c r="A268" s="263"/>
      <c r="B268" s="281"/>
      <c r="C268" s="240"/>
      <c r="D268" s="282"/>
      <c r="E268" s="95"/>
      <c r="F268" s="267"/>
    </row>
    <row r="269" s="271" customFormat="1" spans="1:6">
      <c r="A269" s="263"/>
      <c r="B269" s="281"/>
      <c r="C269" s="240"/>
      <c r="D269" s="282"/>
      <c r="E269" s="95"/>
      <c r="F269" s="267"/>
    </row>
    <row r="270" s="271" customFormat="1" spans="1:6">
      <c r="A270" s="263"/>
      <c r="B270" s="281"/>
      <c r="C270" s="240"/>
      <c r="D270" s="282"/>
      <c r="E270" s="95"/>
      <c r="F270" s="267"/>
    </row>
    <row r="271" s="271" customFormat="1" spans="1:6">
      <c r="A271" s="263"/>
      <c r="B271" s="281"/>
      <c r="C271" s="240"/>
      <c r="D271" s="282"/>
      <c r="E271" s="95"/>
      <c r="F271" s="267"/>
    </row>
    <row r="272" s="271" customFormat="1" spans="1:6">
      <c r="A272" s="263"/>
      <c r="B272" s="281"/>
      <c r="C272" s="240"/>
      <c r="D272" s="282"/>
      <c r="E272" s="95"/>
      <c r="F272" s="267"/>
    </row>
    <row r="273" s="271" customFormat="1" spans="1:6">
      <c r="A273" s="263"/>
      <c r="B273" s="281"/>
      <c r="C273" s="240"/>
      <c r="D273" s="282"/>
      <c r="E273" s="95"/>
      <c r="F273" s="267"/>
    </row>
    <row r="274" s="271" customFormat="1" spans="1:6">
      <c r="A274" s="263"/>
      <c r="B274" s="281"/>
      <c r="C274" s="240"/>
      <c r="D274" s="282"/>
      <c r="E274" s="95"/>
      <c r="F274" s="267"/>
    </row>
    <row r="275" s="271" customFormat="1" spans="1:6">
      <c r="A275" s="263"/>
      <c r="B275" s="281"/>
      <c r="C275" s="240"/>
      <c r="D275" s="282"/>
      <c r="E275" s="95"/>
      <c r="F275" s="267"/>
    </row>
    <row r="276" s="271" customFormat="1" spans="1:6">
      <c r="A276" s="263"/>
      <c r="B276" s="281"/>
      <c r="C276" s="240"/>
      <c r="D276" s="282"/>
      <c r="E276" s="95"/>
      <c r="F276" s="267"/>
    </row>
    <row r="277" s="271" customFormat="1" spans="1:6">
      <c r="A277" s="263"/>
      <c r="B277" s="281"/>
      <c r="C277" s="240"/>
      <c r="D277" s="282"/>
      <c r="E277" s="95"/>
      <c r="F277" s="267"/>
    </row>
    <row r="278" s="271" customFormat="1" spans="1:6">
      <c r="A278" s="263"/>
      <c r="B278" s="281"/>
      <c r="C278" s="240"/>
      <c r="D278" s="282"/>
      <c r="E278" s="95"/>
      <c r="F278" s="267"/>
    </row>
    <row r="279" s="271" customFormat="1" spans="1:6">
      <c r="A279" s="263"/>
      <c r="B279" s="281"/>
      <c r="C279" s="240"/>
      <c r="D279" s="282"/>
      <c r="E279" s="95"/>
      <c r="F279" s="267"/>
    </row>
    <row r="280" s="271" customFormat="1" spans="1:6">
      <c r="A280" s="263"/>
      <c r="B280" s="281"/>
      <c r="C280" s="240"/>
      <c r="D280" s="282"/>
      <c r="E280" s="95"/>
      <c r="F280" s="267"/>
    </row>
    <row r="281" s="271" customFormat="1" spans="1:6">
      <c r="A281" s="263"/>
      <c r="B281" s="281"/>
      <c r="C281" s="240"/>
      <c r="D281" s="282"/>
      <c r="E281" s="95"/>
      <c r="F281" s="267"/>
    </row>
    <row r="282" s="271" customFormat="1" spans="1:6">
      <c r="A282" s="263"/>
      <c r="B282" s="281"/>
      <c r="C282" s="240"/>
      <c r="D282" s="282"/>
      <c r="E282" s="95"/>
      <c r="F282" s="267"/>
    </row>
    <row r="283" s="271" customFormat="1" spans="1:6">
      <c r="A283" s="263"/>
      <c r="B283" s="281"/>
      <c r="C283" s="240"/>
      <c r="D283" s="282"/>
      <c r="E283" s="95"/>
      <c r="F283" s="267"/>
    </row>
    <row r="284" s="271" customFormat="1" spans="1:6">
      <c r="A284" s="263"/>
      <c r="B284" s="281"/>
      <c r="C284" s="240"/>
      <c r="D284" s="282"/>
      <c r="E284" s="95"/>
      <c r="F284" s="267"/>
    </row>
    <row r="285" s="271" customFormat="1" spans="1:6">
      <c r="A285" s="263"/>
      <c r="B285" s="281"/>
      <c r="C285" s="240"/>
      <c r="D285" s="282"/>
      <c r="E285" s="95"/>
      <c r="F285" s="267"/>
    </row>
    <row r="286" s="271" customFormat="1" spans="1:6">
      <c r="A286" s="263"/>
      <c r="B286" s="281"/>
      <c r="C286" s="240"/>
      <c r="D286" s="282"/>
      <c r="E286" s="95"/>
      <c r="F286" s="267"/>
    </row>
    <row r="287" s="271" customFormat="1" spans="1:6">
      <c r="A287" s="263"/>
      <c r="B287" s="281"/>
      <c r="C287" s="240"/>
      <c r="D287" s="282"/>
      <c r="E287" s="95"/>
      <c r="F287" s="267"/>
    </row>
    <row r="288" s="271" customFormat="1" spans="1:6">
      <c r="A288" s="263"/>
      <c r="B288" s="281"/>
      <c r="C288" s="240"/>
      <c r="D288" s="282"/>
      <c r="E288" s="95"/>
      <c r="F288" s="267"/>
    </row>
    <row r="289" s="271" customFormat="1" spans="1:6">
      <c r="A289" s="263"/>
      <c r="B289" s="281"/>
      <c r="C289" s="240"/>
      <c r="D289" s="282"/>
      <c r="E289" s="95"/>
      <c r="F289" s="267"/>
    </row>
    <row r="290" s="271" customFormat="1" spans="1:6">
      <c r="A290" s="263"/>
      <c r="B290" s="281"/>
      <c r="C290" s="240"/>
      <c r="D290" s="282"/>
      <c r="E290" s="95"/>
      <c r="F290" s="267"/>
    </row>
    <row r="291" s="271" customFormat="1" spans="1:6">
      <c r="A291" s="263"/>
      <c r="B291" s="281"/>
      <c r="C291" s="240"/>
      <c r="D291" s="282"/>
      <c r="E291" s="95"/>
      <c r="F291" s="267"/>
    </row>
    <row r="292" s="271" customFormat="1" spans="1:6">
      <c r="A292" s="263"/>
      <c r="B292" s="281"/>
      <c r="C292" s="240"/>
      <c r="D292" s="282"/>
      <c r="E292" s="95"/>
      <c r="F292" s="267"/>
    </row>
    <row r="293" s="271" customFormat="1" spans="1:6">
      <c r="A293" s="263"/>
      <c r="B293" s="281"/>
      <c r="C293" s="240"/>
      <c r="D293" s="282"/>
      <c r="E293" s="95"/>
      <c r="F293" s="267"/>
    </row>
    <row r="294" s="271" customFormat="1" spans="1:6">
      <c r="A294" s="263"/>
      <c r="B294" s="281"/>
      <c r="C294" s="240"/>
      <c r="D294" s="282"/>
      <c r="E294" s="95"/>
      <c r="F294" s="267"/>
    </row>
    <row r="295" s="271" customFormat="1" spans="1:6">
      <c r="A295" s="263"/>
      <c r="B295" s="281"/>
      <c r="C295" s="240"/>
      <c r="D295" s="282"/>
      <c r="E295" s="95"/>
      <c r="F295" s="267"/>
    </row>
    <row r="296" s="271" customFormat="1" spans="1:6">
      <c r="A296" s="263"/>
      <c r="B296" s="281"/>
      <c r="C296" s="240"/>
      <c r="D296" s="282"/>
      <c r="E296" s="95"/>
      <c r="F296" s="267"/>
    </row>
    <row r="297" s="271" customFormat="1" spans="1:6">
      <c r="A297" s="263"/>
      <c r="B297" s="281"/>
      <c r="C297" s="240"/>
      <c r="D297" s="282"/>
      <c r="E297" s="95"/>
      <c r="F297" s="267"/>
    </row>
    <row r="298" s="271" customFormat="1" spans="1:6">
      <c r="A298" s="263"/>
      <c r="B298" s="281"/>
      <c r="C298" s="240"/>
      <c r="D298" s="282"/>
      <c r="E298" s="95"/>
      <c r="F298" s="267"/>
    </row>
    <row r="299" s="271" customFormat="1" spans="1:6">
      <c r="A299" s="263"/>
      <c r="B299" s="281"/>
      <c r="C299" s="240"/>
      <c r="D299" s="282"/>
      <c r="E299" s="95"/>
      <c r="F299" s="267"/>
    </row>
    <row r="300" s="271" customFormat="1" spans="1:6">
      <c r="A300" s="263"/>
      <c r="B300" s="281"/>
      <c r="C300" s="240"/>
      <c r="D300" s="282"/>
      <c r="E300" s="95"/>
      <c r="F300" s="267"/>
    </row>
    <row r="301" s="271" customFormat="1" spans="1:6">
      <c r="A301" s="263"/>
      <c r="B301" s="281"/>
      <c r="C301" s="240"/>
      <c r="D301" s="282"/>
      <c r="E301" s="95"/>
      <c r="F301" s="267"/>
    </row>
    <row r="302" s="271" customFormat="1" spans="1:6">
      <c r="A302" s="263"/>
      <c r="B302" s="281"/>
      <c r="C302" s="240"/>
      <c r="D302" s="282"/>
      <c r="E302" s="95"/>
      <c r="F302" s="267"/>
    </row>
    <row r="303" s="271" customFormat="1" spans="1:6">
      <c r="A303" s="263"/>
      <c r="B303" s="281"/>
      <c r="C303" s="240"/>
      <c r="D303" s="282"/>
      <c r="E303" s="95"/>
      <c r="F303" s="267"/>
    </row>
    <row r="304" s="271" customFormat="1" spans="1:6">
      <c r="A304" s="263"/>
      <c r="B304" s="281"/>
      <c r="C304" s="240"/>
      <c r="D304" s="282"/>
      <c r="E304" s="95"/>
      <c r="F304" s="267"/>
    </row>
    <row r="305" s="271" customFormat="1" spans="1:6">
      <c r="A305" s="263"/>
      <c r="B305" s="281"/>
      <c r="C305" s="240"/>
      <c r="D305" s="282"/>
      <c r="E305" s="95"/>
      <c r="F305" s="267"/>
    </row>
    <row r="306" s="271" customFormat="1" spans="1:6">
      <c r="A306" s="263"/>
      <c r="B306" s="281"/>
      <c r="C306" s="240"/>
      <c r="D306" s="282"/>
      <c r="E306" s="95"/>
      <c r="F306" s="267"/>
    </row>
    <row r="307" s="271" customFormat="1" spans="1:6">
      <c r="A307" s="263"/>
      <c r="B307" s="281"/>
      <c r="C307" s="240"/>
      <c r="D307" s="282"/>
      <c r="E307" s="95"/>
      <c r="F307" s="267"/>
    </row>
    <row r="308" s="271" customFormat="1" spans="1:6">
      <c r="A308" s="263"/>
      <c r="B308" s="281"/>
      <c r="C308" s="240"/>
      <c r="D308" s="282"/>
      <c r="E308" s="95"/>
      <c r="F308" s="267"/>
    </row>
    <row r="309" s="271" customFormat="1" spans="1:6">
      <c r="A309" s="263"/>
      <c r="B309" s="281"/>
      <c r="C309" s="240"/>
      <c r="D309" s="282"/>
      <c r="E309" s="95"/>
      <c r="F309" s="267"/>
    </row>
    <row r="310" s="271" customFormat="1" spans="1:6">
      <c r="A310" s="263"/>
      <c r="B310" s="281"/>
      <c r="C310" s="240"/>
      <c r="D310" s="282"/>
      <c r="E310" s="95"/>
      <c r="F310" s="267"/>
    </row>
    <row r="311" s="271" customFormat="1" spans="1:6">
      <c r="A311" s="263"/>
      <c r="B311" s="281"/>
      <c r="C311" s="240"/>
      <c r="D311" s="282"/>
      <c r="E311" s="95"/>
      <c r="F311" s="267"/>
    </row>
    <row r="312" s="271" customFormat="1" spans="1:6">
      <c r="A312" s="263"/>
      <c r="B312" s="281"/>
      <c r="C312" s="240"/>
      <c r="D312" s="282"/>
      <c r="E312" s="95"/>
      <c r="F312" s="267"/>
    </row>
    <row r="313" s="271" customFormat="1" spans="1:6">
      <c r="A313" s="263"/>
      <c r="B313" s="281"/>
      <c r="C313" s="240"/>
      <c r="D313" s="282"/>
      <c r="E313" s="95"/>
      <c r="F313" s="267"/>
    </row>
    <row r="314" s="271" customFormat="1" spans="1:6">
      <c r="A314" s="263"/>
      <c r="B314" s="281"/>
      <c r="C314" s="240"/>
      <c r="D314" s="282"/>
      <c r="E314" s="95"/>
      <c r="F314" s="267"/>
    </row>
    <row r="315" s="271" customFormat="1" spans="1:6">
      <c r="A315" s="263"/>
      <c r="B315" s="281"/>
      <c r="C315" s="240"/>
      <c r="D315" s="282"/>
      <c r="E315" s="95"/>
      <c r="F315" s="267"/>
    </row>
    <row r="316" s="271" customFormat="1" spans="1:6">
      <c r="A316" s="263"/>
      <c r="B316" s="281"/>
      <c r="C316" s="240"/>
      <c r="D316" s="282"/>
      <c r="E316" s="95"/>
      <c r="F316" s="267"/>
    </row>
    <row r="317" s="271" customFormat="1" spans="1:6">
      <c r="A317" s="263"/>
      <c r="B317" s="281"/>
      <c r="C317" s="240"/>
      <c r="D317" s="282"/>
      <c r="E317" s="95"/>
      <c r="F317" s="267"/>
    </row>
    <row r="318" s="271" customFormat="1" spans="1:6">
      <c r="A318" s="263"/>
      <c r="B318" s="281"/>
      <c r="C318" s="240"/>
      <c r="D318" s="282"/>
      <c r="E318" s="95"/>
      <c r="F318" s="267"/>
    </row>
    <row r="319" s="271" customFormat="1" spans="1:6">
      <c r="A319" s="263"/>
      <c r="B319" s="281"/>
      <c r="C319" s="240"/>
      <c r="D319" s="282"/>
      <c r="E319" s="95"/>
      <c r="F319" s="267"/>
    </row>
    <row r="320" s="271" customFormat="1" spans="1:6">
      <c r="A320" s="263"/>
      <c r="B320" s="281"/>
      <c r="C320" s="240"/>
      <c r="D320" s="282"/>
      <c r="E320" s="95"/>
      <c r="F320" s="267"/>
    </row>
    <row r="321" s="271" customFormat="1" spans="1:6">
      <c r="A321" s="263"/>
      <c r="B321" s="281"/>
      <c r="C321" s="240"/>
      <c r="D321" s="282"/>
      <c r="E321" s="95"/>
      <c r="F321" s="267"/>
    </row>
    <row r="322" s="271" customFormat="1" spans="1:6">
      <c r="A322" s="263"/>
      <c r="B322" s="281"/>
      <c r="C322" s="240"/>
      <c r="D322" s="282"/>
      <c r="E322" s="95"/>
      <c r="F322" s="267"/>
    </row>
    <row r="323" s="271" customFormat="1" spans="1:6">
      <c r="A323" s="263"/>
      <c r="B323" s="281"/>
      <c r="C323" s="240"/>
      <c r="D323" s="282"/>
      <c r="E323" s="95"/>
      <c r="F323" s="267"/>
    </row>
    <row r="324" s="271" customFormat="1" spans="1:6">
      <c r="A324" s="263"/>
      <c r="B324" s="281"/>
      <c r="C324" s="240"/>
      <c r="D324" s="282"/>
      <c r="E324" s="95"/>
      <c r="F324" s="267"/>
    </row>
    <row r="325" s="271" customFormat="1" spans="1:6">
      <c r="A325" s="263"/>
      <c r="B325" s="281"/>
      <c r="C325" s="240"/>
      <c r="D325" s="282"/>
      <c r="E325" s="95"/>
      <c r="F325" s="267"/>
    </row>
    <row r="326" s="271" customFormat="1" spans="1:6">
      <c r="A326" s="263"/>
      <c r="B326" s="281"/>
      <c r="C326" s="240"/>
      <c r="D326" s="282"/>
      <c r="E326" s="95"/>
      <c r="F326" s="267"/>
    </row>
    <row r="327" s="271" customFormat="1" spans="1:6">
      <c r="A327" s="263"/>
      <c r="B327" s="281"/>
      <c r="C327" s="240"/>
      <c r="D327" s="282"/>
      <c r="E327" s="95"/>
      <c r="F327" s="267"/>
    </row>
    <row r="328" s="271" customFormat="1" spans="1:6">
      <c r="A328" s="263"/>
      <c r="B328" s="281"/>
      <c r="C328" s="240"/>
      <c r="D328" s="282"/>
      <c r="E328" s="95"/>
      <c r="F328" s="267"/>
    </row>
    <row r="329" s="271" customFormat="1" spans="1:6">
      <c r="A329" s="263"/>
      <c r="B329" s="281"/>
      <c r="C329" s="240"/>
      <c r="D329" s="282"/>
      <c r="E329" s="95"/>
      <c r="F329" s="267"/>
    </row>
    <row r="330" s="271" customFormat="1" spans="1:6">
      <c r="A330" s="263"/>
      <c r="B330" s="281"/>
      <c r="C330" s="240"/>
      <c r="D330" s="282"/>
      <c r="E330" s="95"/>
      <c r="F330" s="267"/>
    </row>
    <row r="331" s="271" customFormat="1" spans="1:8">
      <c r="A331" s="263"/>
      <c r="B331" s="281"/>
      <c r="C331" s="240"/>
      <c r="D331" s="282"/>
      <c r="E331" s="95"/>
      <c r="F331" s="267"/>
      <c r="H331" s="290"/>
    </row>
    <row r="332" s="271" customFormat="1" spans="1:8">
      <c r="A332" s="263"/>
      <c r="B332" s="281"/>
      <c r="C332" s="240"/>
      <c r="D332" s="282"/>
      <c r="E332" s="95"/>
      <c r="F332" s="267"/>
      <c r="H332" s="290"/>
    </row>
    <row r="333" s="271" customFormat="1" spans="1:6">
      <c r="A333" s="263"/>
      <c r="B333" s="281"/>
      <c r="C333" s="240"/>
      <c r="D333" s="282"/>
      <c r="E333" s="95"/>
      <c r="F333" s="267"/>
    </row>
    <row r="334" s="271" customFormat="1" spans="1:6">
      <c r="A334" s="263"/>
      <c r="B334" s="281"/>
      <c r="C334" s="240"/>
      <c r="D334" s="282"/>
      <c r="E334" s="95"/>
      <c r="F334" s="267"/>
    </row>
    <row r="335" s="271" customFormat="1" spans="1:6">
      <c r="A335" s="263"/>
      <c r="B335" s="281"/>
      <c r="C335" s="240"/>
      <c r="D335" s="282"/>
      <c r="E335" s="95"/>
      <c r="F335" s="267"/>
    </row>
    <row r="336" s="271" customFormat="1" spans="1:6">
      <c r="A336" s="263"/>
      <c r="B336" s="281"/>
      <c r="C336" s="240"/>
      <c r="D336" s="282"/>
      <c r="E336" s="95"/>
      <c r="F336" s="267"/>
    </row>
    <row r="337" s="271" customFormat="1" spans="1:6">
      <c r="A337" s="263"/>
      <c r="B337" s="281"/>
      <c r="C337" s="240"/>
      <c r="D337" s="282"/>
      <c r="E337" s="95"/>
      <c r="F337" s="267"/>
    </row>
    <row r="338" s="271" customFormat="1" spans="1:6">
      <c r="A338" s="263"/>
      <c r="B338" s="281"/>
      <c r="C338" s="240"/>
      <c r="D338" s="282"/>
      <c r="E338" s="95"/>
      <c r="F338" s="267"/>
    </row>
    <row r="339" s="271" customFormat="1" spans="1:6">
      <c r="A339" s="263"/>
      <c r="B339" s="281"/>
      <c r="C339" s="240"/>
      <c r="D339" s="282"/>
      <c r="E339" s="95"/>
      <c r="F339" s="267"/>
    </row>
    <row r="340" s="271" customFormat="1" spans="1:6">
      <c r="A340" s="263"/>
      <c r="B340" s="281"/>
      <c r="C340" s="240"/>
      <c r="D340" s="282"/>
      <c r="E340" s="95"/>
      <c r="F340" s="267"/>
    </row>
    <row r="341" s="271" customFormat="1" spans="1:6">
      <c r="A341" s="263"/>
      <c r="B341" s="281"/>
      <c r="C341" s="240"/>
      <c r="D341" s="282"/>
      <c r="E341" s="95"/>
      <c r="F341" s="267"/>
    </row>
    <row r="342" s="271" customFormat="1" spans="1:6">
      <c r="A342" s="263"/>
      <c r="B342" s="281"/>
      <c r="C342" s="240"/>
      <c r="D342" s="282"/>
      <c r="E342" s="95"/>
      <c r="F342" s="267"/>
    </row>
    <row r="343" s="271" customFormat="1" spans="1:6">
      <c r="A343" s="263"/>
      <c r="B343" s="281"/>
      <c r="C343" s="240"/>
      <c r="D343" s="282"/>
      <c r="E343" s="95"/>
      <c r="F343" s="267"/>
    </row>
    <row r="344" s="271" customFormat="1" spans="1:6">
      <c r="A344" s="263"/>
      <c r="B344" s="281"/>
      <c r="C344" s="240"/>
      <c r="D344" s="282"/>
      <c r="E344" s="95"/>
      <c r="F344" s="267"/>
    </row>
    <row r="345" s="271" customFormat="1" spans="1:6">
      <c r="A345" s="263"/>
      <c r="B345" s="281"/>
      <c r="C345" s="240"/>
      <c r="D345" s="282"/>
      <c r="E345" s="95"/>
      <c r="F345" s="267"/>
    </row>
    <row r="346" s="271" customFormat="1" spans="1:6">
      <c r="A346" s="263"/>
      <c r="B346" s="281"/>
      <c r="C346" s="240"/>
      <c r="D346" s="282"/>
      <c r="E346" s="95"/>
      <c r="F346" s="267"/>
    </row>
    <row r="347" s="271" customFormat="1" spans="1:6">
      <c r="A347" s="263"/>
      <c r="B347" s="281"/>
      <c r="C347" s="240"/>
      <c r="D347" s="282"/>
      <c r="E347" s="95"/>
      <c r="F347" s="267"/>
    </row>
    <row r="348" s="271" customFormat="1" spans="1:6">
      <c r="A348" s="263"/>
      <c r="B348" s="281"/>
      <c r="C348" s="240"/>
      <c r="D348" s="282"/>
      <c r="E348" s="95"/>
      <c r="F348" s="267"/>
    </row>
    <row r="349" s="271" customFormat="1" spans="1:6">
      <c r="A349" s="263"/>
      <c r="B349" s="281"/>
      <c r="C349" s="240"/>
      <c r="D349" s="282"/>
      <c r="E349" s="95"/>
      <c r="F349" s="267"/>
    </row>
    <row r="350" s="271" customFormat="1" spans="1:6">
      <c r="A350" s="263"/>
      <c r="B350" s="281"/>
      <c r="C350" s="240"/>
      <c r="D350" s="282"/>
      <c r="E350" s="95"/>
      <c r="F350" s="267"/>
    </row>
    <row r="351" s="271" customFormat="1" spans="1:6">
      <c r="A351" s="263"/>
      <c r="B351" s="281"/>
      <c r="C351" s="240"/>
      <c r="D351" s="282"/>
      <c r="E351" s="95"/>
      <c r="F351" s="267"/>
    </row>
    <row r="352" s="271" customFormat="1" spans="1:6">
      <c r="A352" s="263"/>
      <c r="B352" s="281"/>
      <c r="C352" s="240"/>
      <c r="D352" s="282"/>
      <c r="E352" s="95"/>
      <c r="F352" s="267"/>
    </row>
    <row r="353" s="271" customFormat="1" spans="1:6">
      <c r="A353" s="263"/>
      <c r="B353" s="281"/>
      <c r="C353" s="240"/>
      <c r="D353" s="282"/>
      <c r="E353" s="95"/>
      <c r="F353" s="267"/>
    </row>
    <row r="354" s="271" customFormat="1" spans="1:6">
      <c r="A354" s="263"/>
      <c r="B354" s="281"/>
      <c r="C354" s="240"/>
      <c r="D354" s="282"/>
      <c r="E354" s="95"/>
      <c r="F354" s="267"/>
    </row>
    <row r="355" s="271" customFormat="1" spans="1:6">
      <c r="A355" s="263"/>
      <c r="B355" s="281"/>
      <c r="C355" s="240"/>
      <c r="D355" s="282"/>
      <c r="E355" s="95"/>
      <c r="F355" s="267"/>
    </row>
    <row r="356" s="271" customFormat="1" spans="1:6">
      <c r="A356" s="263"/>
      <c r="B356" s="281"/>
      <c r="C356" s="240"/>
      <c r="D356" s="282"/>
      <c r="E356" s="95"/>
      <c r="F356" s="267"/>
    </row>
    <row r="357" s="271" customFormat="1" spans="1:6">
      <c r="A357" s="263"/>
      <c r="B357" s="281"/>
      <c r="C357" s="240"/>
      <c r="D357" s="282"/>
      <c r="E357" s="95"/>
      <c r="F357" s="267"/>
    </row>
    <row r="358" s="271" customFormat="1" spans="1:6">
      <c r="A358" s="263"/>
      <c r="B358" s="281"/>
      <c r="C358" s="240"/>
      <c r="D358" s="282"/>
      <c r="E358" s="95"/>
      <c r="F358" s="267"/>
    </row>
    <row r="359" s="271" customFormat="1" spans="1:8">
      <c r="A359" s="263"/>
      <c r="B359" s="281"/>
      <c r="C359" s="240"/>
      <c r="D359" s="282"/>
      <c r="E359" s="95"/>
      <c r="F359" s="267"/>
      <c r="H359" s="290"/>
    </row>
    <row r="360" s="271" customFormat="1" spans="1:6">
      <c r="A360" s="263"/>
      <c r="B360" s="281"/>
      <c r="C360" s="240"/>
      <c r="D360" s="282"/>
      <c r="E360" s="95"/>
      <c r="F360" s="267"/>
    </row>
    <row r="361" s="271" customFormat="1" spans="1:6">
      <c r="A361" s="263"/>
      <c r="B361" s="281"/>
      <c r="C361" s="240"/>
      <c r="D361" s="282"/>
      <c r="E361" s="95"/>
      <c r="F361" s="267"/>
    </row>
    <row r="362" s="271" customFormat="1" spans="1:6">
      <c r="A362" s="263"/>
      <c r="B362" s="281"/>
      <c r="C362" s="240"/>
      <c r="D362" s="282"/>
      <c r="E362" s="95"/>
      <c r="F362" s="267"/>
    </row>
    <row r="363" s="271" customFormat="1" spans="1:6">
      <c r="A363" s="263"/>
      <c r="B363" s="281"/>
      <c r="C363" s="240"/>
      <c r="D363" s="282"/>
      <c r="E363" s="95"/>
      <c r="F363" s="267"/>
    </row>
    <row r="364" s="271" customFormat="1" spans="1:6">
      <c r="A364" s="263"/>
      <c r="B364" s="281"/>
      <c r="C364" s="240"/>
      <c r="D364" s="282"/>
      <c r="E364" s="95"/>
      <c r="F364" s="267"/>
    </row>
    <row r="365" s="271" customFormat="1" spans="1:6">
      <c r="A365" s="263"/>
      <c r="B365" s="281"/>
      <c r="C365" s="240"/>
      <c r="D365" s="282"/>
      <c r="E365" s="95"/>
      <c r="F365" s="267"/>
    </row>
    <row r="366" s="271" customFormat="1" spans="1:6">
      <c r="A366" s="263"/>
      <c r="B366" s="281"/>
      <c r="C366" s="240"/>
      <c r="D366" s="282"/>
      <c r="E366" s="95"/>
      <c r="F366" s="267"/>
    </row>
    <row r="367" s="271" customFormat="1" spans="1:6">
      <c r="A367" s="263"/>
      <c r="B367" s="281"/>
      <c r="C367" s="240"/>
      <c r="D367" s="282"/>
      <c r="E367" s="95"/>
      <c r="F367" s="267"/>
    </row>
    <row r="368" s="271" customFormat="1" spans="1:6">
      <c r="A368" s="263"/>
      <c r="B368" s="281"/>
      <c r="C368" s="240"/>
      <c r="D368" s="282"/>
      <c r="E368" s="95"/>
      <c r="F368" s="267"/>
    </row>
    <row r="369" s="271" customFormat="1" spans="1:6">
      <c r="A369" s="263"/>
      <c r="B369" s="281"/>
      <c r="C369" s="240"/>
      <c r="D369" s="282"/>
      <c r="E369" s="95"/>
      <c r="F369" s="267"/>
    </row>
    <row r="370" s="271" customFormat="1" spans="1:6">
      <c r="A370" s="263"/>
      <c r="B370" s="281"/>
      <c r="C370" s="240"/>
      <c r="D370" s="282"/>
      <c r="E370" s="95"/>
      <c r="F370" s="267"/>
    </row>
    <row r="371" s="271" customFormat="1" spans="1:6">
      <c r="A371" s="263"/>
      <c r="B371" s="281"/>
      <c r="C371" s="240"/>
      <c r="D371" s="282"/>
      <c r="E371" s="95"/>
      <c r="F371" s="267"/>
    </row>
    <row r="372" s="271" customFormat="1" spans="1:6">
      <c r="A372" s="263"/>
      <c r="B372" s="281"/>
      <c r="C372" s="240"/>
      <c r="D372" s="282"/>
      <c r="E372" s="95"/>
      <c r="F372" s="267"/>
    </row>
    <row r="373" s="271" customFormat="1" spans="1:6">
      <c r="A373" s="263"/>
      <c r="B373" s="281"/>
      <c r="C373" s="240"/>
      <c r="D373" s="282"/>
      <c r="E373" s="95"/>
      <c r="F373" s="267"/>
    </row>
    <row r="374" s="271" customFormat="1" spans="1:6">
      <c r="A374" s="263"/>
      <c r="B374" s="281"/>
      <c r="C374" s="240"/>
      <c r="D374" s="282"/>
      <c r="E374" s="95"/>
      <c r="F374" s="267"/>
    </row>
    <row r="375" s="271" customFormat="1" spans="1:6">
      <c r="A375" s="263"/>
      <c r="B375" s="281"/>
      <c r="C375" s="240"/>
      <c r="D375" s="282"/>
      <c r="E375" s="95"/>
      <c r="F375" s="267"/>
    </row>
    <row r="376" s="271" customFormat="1" spans="1:6">
      <c r="A376" s="263"/>
      <c r="B376" s="281"/>
      <c r="C376" s="240"/>
      <c r="D376" s="282"/>
      <c r="E376" s="95"/>
      <c r="F376" s="267"/>
    </row>
    <row r="377" s="271" customFormat="1" spans="1:6">
      <c r="A377" s="263"/>
      <c r="B377" s="294"/>
      <c r="C377" s="240"/>
      <c r="D377" s="295"/>
      <c r="E377" s="95"/>
      <c r="F377" s="267"/>
    </row>
    <row r="378" s="271" customFormat="1" spans="1:6">
      <c r="A378" s="263"/>
      <c r="B378" s="294"/>
      <c r="C378" s="240"/>
      <c r="D378" s="295"/>
      <c r="E378" s="95"/>
      <c r="F378" s="267"/>
    </row>
    <row r="379" s="271" customFormat="1" spans="1:6">
      <c r="A379" s="263"/>
      <c r="B379" s="294"/>
      <c r="C379" s="240"/>
      <c r="D379" s="295"/>
      <c r="E379" s="95"/>
      <c r="F379" s="267"/>
    </row>
    <row r="380" s="271" customFormat="1" spans="1:6">
      <c r="A380" s="263"/>
      <c r="B380" s="294"/>
      <c r="C380" s="240"/>
      <c r="D380" s="295"/>
      <c r="E380" s="95"/>
      <c r="F380" s="267"/>
    </row>
    <row r="381" s="271" customFormat="1" spans="1:6">
      <c r="A381" s="263"/>
      <c r="B381" s="294"/>
      <c r="C381" s="240"/>
      <c r="D381" s="295"/>
      <c r="E381" s="95"/>
      <c r="F381" s="267"/>
    </row>
    <row r="382" s="271" customFormat="1" spans="1:6">
      <c r="A382" s="263"/>
      <c r="B382" s="294"/>
      <c r="C382" s="240"/>
      <c r="D382" s="295"/>
      <c r="E382" s="95"/>
      <c r="F382" s="267"/>
    </row>
    <row r="383" s="271" customFormat="1" spans="1:6">
      <c r="A383" s="263"/>
      <c r="B383" s="294"/>
      <c r="C383" s="240"/>
      <c r="D383" s="295"/>
      <c r="E383" s="95"/>
      <c r="F383" s="267"/>
    </row>
    <row r="384" s="271" customFormat="1" spans="1:6">
      <c r="A384" s="263"/>
      <c r="B384" s="294"/>
      <c r="C384" s="240"/>
      <c r="D384" s="295"/>
      <c r="E384" s="95"/>
      <c r="F384" s="267"/>
    </row>
    <row r="385" s="271" customFormat="1" spans="1:6">
      <c r="A385" s="263"/>
      <c r="B385" s="294"/>
      <c r="C385" s="240"/>
      <c r="D385" s="295"/>
      <c r="E385" s="95"/>
      <c r="F385" s="267"/>
    </row>
    <row r="386" s="271" customFormat="1" spans="1:6">
      <c r="A386" s="263"/>
      <c r="B386" s="294"/>
      <c r="C386" s="240"/>
      <c r="D386" s="295"/>
      <c r="E386" s="95"/>
      <c r="F386" s="267"/>
    </row>
    <row r="387" s="271" customFormat="1" spans="1:6">
      <c r="A387" s="263"/>
      <c r="B387" s="294"/>
      <c r="C387" s="240"/>
      <c r="D387" s="295"/>
      <c r="E387" s="95"/>
      <c r="F387" s="267"/>
    </row>
    <row r="388" s="271" customFormat="1" spans="1:6">
      <c r="A388" s="263"/>
      <c r="B388" s="294"/>
      <c r="C388" s="240"/>
      <c r="D388" s="295"/>
      <c r="E388" s="95"/>
      <c r="F388" s="267"/>
    </row>
    <row r="389" s="271" customFormat="1" spans="1:6">
      <c r="A389" s="263"/>
      <c r="B389" s="294"/>
      <c r="C389" s="240"/>
      <c r="D389" s="295"/>
      <c r="E389" s="95"/>
      <c r="F389" s="267"/>
    </row>
    <row r="390" s="271" customFormat="1" spans="1:6">
      <c r="A390" s="263"/>
      <c r="B390" s="294"/>
      <c r="C390" s="240"/>
      <c r="D390" s="295"/>
      <c r="E390" s="95"/>
      <c r="F390" s="267"/>
    </row>
    <row r="391" s="271" customFormat="1" spans="1:6">
      <c r="A391" s="263"/>
      <c r="B391" s="294"/>
      <c r="C391" s="240"/>
      <c r="D391" s="295"/>
      <c r="E391" s="95"/>
      <c r="F391" s="267"/>
    </row>
    <row r="392" s="271" customFormat="1" spans="1:6">
      <c r="A392" s="263"/>
      <c r="B392" s="294"/>
      <c r="C392" s="240"/>
      <c r="D392" s="295"/>
      <c r="E392" s="95"/>
      <c r="F392" s="267"/>
    </row>
    <row r="393" s="271" customFormat="1" spans="1:6">
      <c r="A393" s="263"/>
      <c r="B393" s="294"/>
      <c r="C393" s="240"/>
      <c r="D393" s="295"/>
      <c r="E393" s="95"/>
      <c r="F393" s="267"/>
    </row>
    <row r="394" s="271" customFormat="1" spans="1:6">
      <c r="A394" s="263"/>
      <c r="B394" s="294"/>
      <c r="C394" s="240"/>
      <c r="D394" s="295"/>
      <c r="E394" s="95"/>
      <c r="F394" s="267"/>
    </row>
    <row r="395" s="271" customFormat="1" spans="1:6">
      <c r="A395" s="263"/>
      <c r="B395" s="294"/>
      <c r="C395" s="240"/>
      <c r="D395" s="295"/>
      <c r="E395" s="95"/>
      <c r="F395" s="267"/>
    </row>
    <row r="396" s="271" customFormat="1" spans="1:6">
      <c r="A396" s="263"/>
      <c r="B396" s="294"/>
      <c r="C396" s="240"/>
      <c r="D396" s="295"/>
      <c r="E396" s="95"/>
      <c r="F396" s="267"/>
    </row>
    <row r="397" s="271" customFormat="1" spans="1:6">
      <c r="A397" s="263"/>
      <c r="B397" s="294"/>
      <c r="C397" s="240"/>
      <c r="D397" s="295"/>
      <c r="E397" s="95"/>
      <c r="F397" s="267"/>
    </row>
    <row r="398" s="271" customFormat="1" spans="1:6">
      <c r="A398" s="263"/>
      <c r="B398" s="294"/>
      <c r="C398" s="240"/>
      <c r="D398" s="295"/>
      <c r="E398" s="95"/>
      <c r="F398" s="267"/>
    </row>
    <row r="399" s="271" customFormat="1" spans="1:6">
      <c r="A399" s="263"/>
      <c r="B399" s="294"/>
      <c r="C399" s="240"/>
      <c r="D399" s="295"/>
      <c r="E399" s="95"/>
      <c r="F399" s="267"/>
    </row>
    <row r="400" s="271" customFormat="1" spans="1:6">
      <c r="A400" s="263"/>
      <c r="B400" s="294"/>
      <c r="C400" s="240"/>
      <c r="D400" s="295"/>
      <c r="E400" s="95"/>
      <c r="F400" s="267"/>
    </row>
    <row r="401" s="271" customFormat="1" spans="1:6">
      <c r="A401" s="263"/>
      <c r="B401" s="294"/>
      <c r="C401" s="240"/>
      <c r="D401" s="295"/>
      <c r="E401" s="95"/>
      <c r="F401" s="267"/>
    </row>
    <row r="402" s="271" customFormat="1" spans="1:6">
      <c r="A402" s="263"/>
      <c r="B402" s="294"/>
      <c r="C402" s="240"/>
      <c r="D402" s="295"/>
      <c r="E402" s="95"/>
      <c r="F402" s="267"/>
    </row>
    <row r="403" s="271" customFormat="1" spans="1:6">
      <c r="A403" s="263"/>
      <c r="B403" s="294"/>
      <c r="C403" s="240"/>
      <c r="D403" s="295"/>
      <c r="E403" s="95"/>
      <c r="F403" s="267"/>
    </row>
    <row r="404" s="271" customFormat="1" spans="1:6">
      <c r="A404" s="263"/>
      <c r="B404" s="294"/>
      <c r="C404" s="240"/>
      <c r="D404" s="295"/>
      <c r="E404" s="95"/>
      <c r="F404" s="267"/>
    </row>
    <row r="405" s="271" customFormat="1" spans="1:6">
      <c r="A405" s="263"/>
      <c r="B405" s="294"/>
      <c r="C405" s="240"/>
      <c r="D405" s="295"/>
      <c r="E405" s="95"/>
      <c r="F405" s="267"/>
    </row>
    <row r="406" s="271" customFormat="1" spans="1:6">
      <c r="A406" s="263"/>
      <c r="B406" s="294"/>
      <c r="C406" s="240"/>
      <c r="D406" s="295"/>
      <c r="E406" s="95"/>
      <c r="F406" s="267"/>
    </row>
    <row r="407" s="271" customFormat="1" spans="1:6">
      <c r="A407" s="263"/>
      <c r="B407" s="294"/>
      <c r="C407" s="240"/>
      <c r="D407" s="295"/>
      <c r="E407" s="95"/>
      <c r="F407" s="267"/>
    </row>
    <row r="408" s="271" customFormat="1" spans="1:6">
      <c r="A408" s="263"/>
      <c r="B408" s="294"/>
      <c r="C408" s="240"/>
      <c r="D408" s="295"/>
      <c r="E408" s="95"/>
      <c r="F408" s="267"/>
    </row>
    <row r="409" s="271" customFormat="1" spans="1:6">
      <c r="A409" s="263"/>
      <c r="B409" s="294"/>
      <c r="C409" s="240"/>
      <c r="D409" s="295"/>
      <c r="E409" s="95"/>
      <c r="F409" s="267"/>
    </row>
    <row r="410" s="271" customFormat="1" spans="1:6">
      <c r="A410" s="263"/>
      <c r="B410" s="294"/>
      <c r="C410" s="240"/>
      <c r="D410" s="295"/>
      <c r="E410" s="95"/>
      <c r="F410" s="267"/>
    </row>
    <row r="411" s="271" customFormat="1" spans="1:6">
      <c r="A411" s="263"/>
      <c r="B411" s="294"/>
      <c r="C411" s="240"/>
      <c r="D411" s="295"/>
      <c r="E411" s="95"/>
      <c r="F411" s="267"/>
    </row>
    <row r="412" s="271" customFormat="1" spans="1:6">
      <c r="A412" s="263"/>
      <c r="B412" s="294"/>
      <c r="C412" s="240"/>
      <c r="D412" s="295"/>
      <c r="E412" s="95"/>
      <c r="F412" s="267"/>
    </row>
    <row r="413" s="271" customFormat="1" spans="1:6">
      <c r="A413" s="263"/>
      <c r="B413" s="294"/>
      <c r="C413" s="240"/>
      <c r="D413" s="295"/>
      <c r="E413" s="95"/>
      <c r="F413" s="267"/>
    </row>
    <row r="414" s="271" customFormat="1" spans="1:6">
      <c r="A414" s="263"/>
      <c r="B414" s="294"/>
      <c r="C414" s="240"/>
      <c r="D414" s="295"/>
      <c r="E414" s="95"/>
      <c r="F414" s="267"/>
    </row>
    <row r="415" s="271" customFormat="1" spans="1:6">
      <c r="A415" s="263"/>
      <c r="B415" s="294"/>
      <c r="C415" s="240"/>
      <c r="D415" s="295"/>
      <c r="E415" s="95"/>
      <c r="F415" s="267"/>
    </row>
    <row r="416" s="271" customFormat="1" spans="1:6">
      <c r="A416" s="263"/>
      <c r="B416" s="294"/>
      <c r="C416" s="240"/>
      <c r="D416" s="295"/>
      <c r="E416" s="95"/>
      <c r="F416" s="267"/>
    </row>
    <row r="417" s="271" customFormat="1" spans="1:6">
      <c r="A417" s="263"/>
      <c r="B417" s="294"/>
      <c r="C417" s="240"/>
      <c r="D417" s="295"/>
      <c r="E417" s="95"/>
      <c r="F417" s="267"/>
    </row>
    <row r="418" s="271" customFormat="1" spans="1:6">
      <c r="A418" s="263"/>
      <c r="B418" s="294"/>
      <c r="C418" s="240"/>
      <c r="D418" s="295"/>
      <c r="E418" s="95"/>
      <c r="F418" s="267"/>
    </row>
    <row r="419" s="271" customFormat="1" spans="1:6">
      <c r="A419" s="263"/>
      <c r="B419" s="294"/>
      <c r="C419" s="240"/>
      <c r="D419" s="295"/>
      <c r="E419" s="95"/>
      <c r="F419" s="267"/>
    </row>
    <row r="420" s="271" customFormat="1" spans="1:6">
      <c r="A420" s="263"/>
      <c r="B420" s="294"/>
      <c r="C420" s="240"/>
      <c r="D420" s="295"/>
      <c r="E420" s="95"/>
      <c r="F420" s="267"/>
    </row>
    <row r="421" s="271" customFormat="1" spans="1:6">
      <c r="A421" s="263"/>
      <c r="B421" s="294"/>
      <c r="C421" s="240"/>
      <c r="D421" s="295"/>
      <c r="E421" s="95"/>
      <c r="F421" s="267"/>
    </row>
    <row r="422" s="271" customFormat="1" spans="1:6">
      <c r="A422" s="263"/>
      <c r="B422" s="296"/>
      <c r="C422" s="240"/>
      <c r="D422" s="297"/>
      <c r="E422" s="95"/>
      <c r="F422" s="227"/>
    </row>
    <row r="423" s="271" customFormat="1" spans="1:6">
      <c r="A423" s="263"/>
      <c r="B423" s="296"/>
      <c r="C423" s="240"/>
      <c r="D423" s="297"/>
      <c r="E423" s="95"/>
      <c r="F423" s="227"/>
    </row>
    <row r="424" s="271" customFormat="1" spans="1:6">
      <c r="A424" s="263"/>
      <c r="B424" s="281"/>
      <c r="C424" s="240"/>
      <c r="D424" s="295"/>
      <c r="E424" s="95"/>
      <c r="F424" s="267"/>
    </row>
    <row r="425" s="271" customFormat="1" spans="1:6">
      <c r="A425" s="263"/>
      <c r="B425" s="281"/>
      <c r="C425" s="240"/>
      <c r="D425" s="295"/>
      <c r="E425" s="95"/>
      <c r="F425" s="267"/>
    </row>
    <row r="426" s="271" customFormat="1" spans="1:6">
      <c r="A426" s="263"/>
      <c r="B426" s="281"/>
      <c r="C426" s="240"/>
      <c r="D426" s="295"/>
      <c r="E426" s="95"/>
      <c r="F426" s="267"/>
    </row>
    <row r="427" s="271" customFormat="1" spans="1:6">
      <c r="A427" s="263"/>
      <c r="B427" s="281"/>
      <c r="C427" s="240"/>
      <c r="D427" s="295"/>
      <c r="E427" s="95"/>
      <c r="F427" s="267"/>
    </row>
    <row r="428" s="271" customFormat="1" spans="1:6">
      <c r="A428" s="263"/>
      <c r="B428" s="281"/>
      <c r="C428" s="240"/>
      <c r="D428" s="295"/>
      <c r="E428" s="95"/>
      <c r="F428" s="267"/>
    </row>
    <row r="429" s="271" customFormat="1" spans="1:6">
      <c r="A429" s="263"/>
      <c r="B429" s="281"/>
      <c r="C429" s="240"/>
      <c r="D429" s="295"/>
      <c r="E429" s="95"/>
      <c r="F429" s="267"/>
    </row>
    <row r="430" s="271" customFormat="1" spans="1:6">
      <c r="A430" s="263"/>
      <c r="B430" s="281"/>
      <c r="C430" s="240"/>
      <c r="D430" s="295"/>
      <c r="E430" s="95"/>
      <c r="F430" s="267"/>
    </row>
    <row r="431" s="271" customFormat="1" spans="1:6">
      <c r="A431" s="263"/>
      <c r="B431" s="281"/>
      <c r="C431" s="240"/>
      <c r="D431" s="295"/>
      <c r="E431" s="95"/>
      <c r="F431" s="267"/>
    </row>
    <row r="432" s="271" customFormat="1" spans="1:6">
      <c r="A432" s="263"/>
      <c r="B432" s="281"/>
      <c r="C432" s="240"/>
      <c r="D432" s="295"/>
      <c r="E432" s="95"/>
      <c r="F432" s="267"/>
    </row>
    <row r="433" s="271" customFormat="1" spans="1:6">
      <c r="A433" s="263"/>
      <c r="B433" s="281"/>
      <c r="C433" s="240"/>
      <c r="D433" s="295"/>
      <c r="E433" s="95"/>
      <c r="F433" s="267"/>
    </row>
    <row r="434" s="271" customFormat="1" spans="1:6">
      <c r="A434" s="263"/>
      <c r="B434" s="281"/>
      <c r="C434" s="240"/>
      <c r="D434" s="282"/>
      <c r="E434" s="95"/>
      <c r="F434" s="267"/>
    </row>
    <row r="435" s="271" customFormat="1" spans="1:6">
      <c r="A435" s="263"/>
      <c r="B435" s="281"/>
      <c r="C435" s="240"/>
      <c r="D435" s="282"/>
      <c r="E435" s="95"/>
      <c r="F435" s="267"/>
    </row>
    <row r="436" s="271" customFormat="1" spans="1:6">
      <c r="A436" s="263"/>
      <c r="B436" s="298"/>
      <c r="C436" s="240"/>
      <c r="D436" s="282"/>
      <c r="E436" s="95"/>
      <c r="F436" s="267"/>
    </row>
    <row r="437" s="271" customFormat="1" spans="1:6">
      <c r="A437" s="263"/>
      <c r="B437" s="298"/>
      <c r="C437" s="240"/>
      <c r="D437" s="282"/>
      <c r="E437" s="95"/>
      <c r="F437" s="267"/>
    </row>
    <row r="438" s="271" customFormat="1" spans="1:6">
      <c r="A438" s="263"/>
      <c r="B438" s="298"/>
      <c r="C438" s="240"/>
      <c r="D438" s="282"/>
      <c r="E438" s="95"/>
      <c r="F438" s="267"/>
    </row>
    <row r="439" s="271" customFormat="1" spans="1:6">
      <c r="A439" s="263"/>
      <c r="B439" s="298"/>
      <c r="C439" s="240"/>
      <c r="D439" s="282"/>
      <c r="E439" s="95"/>
      <c r="F439" s="267"/>
    </row>
    <row r="440" s="271" customFormat="1" spans="1:6">
      <c r="A440" s="263"/>
      <c r="B440" s="298"/>
      <c r="C440" s="240"/>
      <c r="D440" s="282"/>
      <c r="E440" s="95"/>
      <c r="F440" s="267"/>
    </row>
    <row r="441" s="271" customFormat="1" spans="1:6">
      <c r="A441" s="263"/>
      <c r="B441" s="298"/>
      <c r="C441" s="240"/>
      <c r="D441" s="282"/>
      <c r="E441" s="95"/>
      <c r="F441" s="267"/>
    </row>
    <row r="442" s="271" customFormat="1" spans="1:6">
      <c r="A442" s="263"/>
      <c r="B442" s="298"/>
      <c r="C442" s="240"/>
      <c r="D442" s="282"/>
      <c r="E442" s="95"/>
      <c r="F442" s="267"/>
    </row>
    <row r="443" s="271" customFormat="1" spans="1:6">
      <c r="A443" s="263"/>
      <c r="B443" s="298"/>
      <c r="C443" s="240"/>
      <c r="D443" s="282"/>
      <c r="E443" s="95"/>
      <c r="F443" s="267"/>
    </row>
    <row r="444" s="271" customFormat="1" spans="1:6">
      <c r="A444" s="263"/>
      <c r="B444" s="298"/>
      <c r="C444" s="240"/>
      <c r="D444" s="282"/>
      <c r="E444" s="95"/>
      <c r="F444" s="267"/>
    </row>
    <row r="445" s="271" customFormat="1" spans="1:6">
      <c r="A445" s="263"/>
      <c r="B445" s="298"/>
      <c r="C445" s="240"/>
      <c r="D445" s="282"/>
      <c r="E445" s="95"/>
      <c r="F445" s="267"/>
    </row>
    <row r="446" s="271" customFormat="1" spans="1:6">
      <c r="A446" s="263"/>
      <c r="B446" s="298"/>
      <c r="C446" s="240"/>
      <c r="D446" s="282"/>
      <c r="E446" s="95"/>
      <c r="F446" s="267"/>
    </row>
    <row r="447" s="271" customFormat="1" spans="1:6">
      <c r="A447" s="263"/>
      <c r="B447" s="298"/>
      <c r="C447" s="240"/>
      <c r="D447" s="282"/>
      <c r="E447" s="95"/>
      <c r="F447" s="267"/>
    </row>
    <row r="448" s="271" customFormat="1" spans="1:6">
      <c r="A448" s="263"/>
      <c r="B448" s="298"/>
      <c r="C448" s="240"/>
      <c r="D448" s="282"/>
      <c r="E448" s="95"/>
      <c r="F448" s="267"/>
    </row>
    <row r="449" s="271" customFormat="1" spans="1:6">
      <c r="A449" s="263"/>
      <c r="B449" s="298"/>
      <c r="C449" s="240"/>
      <c r="D449" s="282"/>
      <c r="E449" s="95"/>
      <c r="F449" s="267"/>
    </row>
    <row r="450" s="271" customFormat="1" spans="1:6">
      <c r="A450" s="263"/>
      <c r="B450" s="298"/>
      <c r="C450" s="240"/>
      <c r="D450" s="282"/>
      <c r="E450" s="95"/>
      <c r="F450" s="267"/>
    </row>
    <row r="451" s="271" customFormat="1" spans="1:6">
      <c r="A451" s="263"/>
      <c r="B451" s="281"/>
      <c r="C451" s="299"/>
      <c r="D451" s="282"/>
      <c r="E451" s="95"/>
      <c r="F451" s="267"/>
    </row>
    <row r="452" s="271" customFormat="1" spans="1:6">
      <c r="A452" s="263"/>
      <c r="B452" s="300"/>
      <c r="C452" s="240"/>
      <c r="D452" s="282"/>
      <c r="E452" s="95"/>
      <c r="F452" s="267"/>
    </row>
    <row r="453" s="271" customFormat="1" spans="1:6">
      <c r="A453" s="263"/>
      <c r="B453" s="300"/>
      <c r="C453" s="240"/>
      <c r="D453" s="282"/>
      <c r="E453" s="95"/>
      <c r="F453" s="267"/>
    </row>
    <row r="454" s="271" customFormat="1" spans="1:6">
      <c r="A454" s="263"/>
      <c r="B454" s="300"/>
      <c r="C454" s="240"/>
      <c r="D454" s="282"/>
      <c r="E454" s="95"/>
      <c r="F454" s="267"/>
    </row>
    <row r="455" s="271" customFormat="1" spans="1:6">
      <c r="A455" s="263"/>
      <c r="B455" s="300"/>
      <c r="C455" s="240"/>
      <c r="D455" s="282"/>
      <c r="E455" s="95"/>
      <c r="F455" s="267"/>
    </row>
    <row r="456" s="271" customFormat="1" spans="1:6">
      <c r="A456" s="263"/>
      <c r="B456" s="300"/>
      <c r="C456" s="240"/>
      <c r="D456" s="282"/>
      <c r="E456" s="95"/>
      <c r="F456" s="267"/>
    </row>
    <row r="457" s="271" customFormat="1" spans="1:6">
      <c r="A457" s="263"/>
      <c r="B457" s="300"/>
      <c r="C457" s="240"/>
      <c r="D457" s="282"/>
      <c r="E457" s="95"/>
      <c r="F457" s="267"/>
    </row>
    <row r="458" s="271" customFormat="1" spans="1:6">
      <c r="A458" s="263"/>
      <c r="B458" s="300"/>
      <c r="C458" s="240"/>
      <c r="D458" s="282"/>
      <c r="E458" s="95"/>
      <c r="F458" s="267"/>
    </row>
    <row r="459" s="271" customFormat="1" spans="1:6">
      <c r="A459" s="263"/>
      <c r="B459" s="300"/>
      <c r="C459" s="240"/>
      <c r="D459" s="282"/>
      <c r="E459" s="95"/>
      <c r="F459" s="267"/>
    </row>
    <row r="460" s="271" customFormat="1" spans="1:6">
      <c r="A460" s="263"/>
      <c r="B460" s="300"/>
      <c r="C460" s="240"/>
      <c r="D460" s="282"/>
      <c r="E460" s="95"/>
      <c r="F460" s="267"/>
    </row>
    <row r="461" s="271" customFormat="1" spans="1:7">
      <c r="A461" s="263"/>
      <c r="B461" s="300"/>
      <c r="C461" s="240"/>
      <c r="D461" s="282"/>
      <c r="E461" s="95"/>
      <c r="F461" s="267"/>
      <c r="G461" s="290"/>
    </row>
    <row r="462" s="271" customFormat="1" spans="1:6">
      <c r="A462" s="263"/>
      <c r="B462" s="300"/>
      <c r="C462" s="240"/>
      <c r="D462" s="282"/>
      <c r="E462" s="95"/>
      <c r="F462" s="267"/>
    </row>
    <row r="463" s="271" customFormat="1" spans="1:6">
      <c r="A463" s="263"/>
      <c r="B463" s="300"/>
      <c r="C463" s="240"/>
      <c r="D463" s="282"/>
      <c r="E463" s="95"/>
      <c r="F463" s="267"/>
    </row>
    <row r="464" s="271" customFormat="1" spans="1:6">
      <c r="A464" s="263"/>
      <c r="B464" s="298"/>
      <c r="C464" s="240"/>
      <c r="D464" s="282"/>
      <c r="E464" s="95"/>
      <c r="F464" s="267"/>
    </row>
    <row r="465" s="271" customFormat="1" spans="1:6">
      <c r="A465" s="263"/>
      <c r="B465" s="298"/>
      <c r="C465" s="240"/>
      <c r="D465" s="282"/>
      <c r="E465" s="95"/>
      <c r="F465" s="267"/>
    </row>
    <row r="466" s="271" customFormat="1" spans="1:6">
      <c r="A466" s="263"/>
      <c r="B466" s="298"/>
      <c r="C466" s="240"/>
      <c r="D466" s="282"/>
      <c r="E466" s="95"/>
      <c r="F466" s="267"/>
    </row>
    <row r="467" s="271" customFormat="1" spans="1:6">
      <c r="A467" s="263"/>
      <c r="B467" s="298"/>
      <c r="C467" s="240"/>
      <c r="D467" s="282"/>
      <c r="E467" s="95"/>
      <c r="F467" s="267"/>
    </row>
    <row r="468" s="271" customFormat="1" spans="1:6">
      <c r="A468" s="263"/>
      <c r="B468" s="298"/>
      <c r="C468" s="240"/>
      <c r="D468" s="282"/>
      <c r="E468" s="95"/>
      <c r="F468" s="267"/>
    </row>
    <row r="469" s="271" customFormat="1" spans="1:6">
      <c r="A469" s="263"/>
      <c r="B469" s="298"/>
      <c r="C469" s="240"/>
      <c r="D469" s="282"/>
      <c r="E469" s="95"/>
      <c r="F469" s="267"/>
    </row>
    <row r="470" s="271" customFormat="1" spans="1:6">
      <c r="A470" s="263"/>
      <c r="B470" s="298"/>
      <c r="C470" s="240"/>
      <c r="D470" s="282"/>
      <c r="E470" s="95"/>
      <c r="F470" s="267"/>
    </row>
    <row r="471" s="271" customFormat="1" spans="1:6">
      <c r="A471" s="263"/>
      <c r="B471" s="298"/>
      <c r="C471" s="240"/>
      <c r="D471" s="282"/>
      <c r="E471" s="95"/>
      <c r="F471" s="267"/>
    </row>
    <row r="472" s="271" customFormat="1" spans="1:6">
      <c r="A472" s="263"/>
      <c r="B472" s="298"/>
      <c r="C472" s="240"/>
      <c r="D472" s="282"/>
      <c r="E472" s="95"/>
      <c r="F472" s="267"/>
    </row>
    <row r="473" s="271" customFormat="1" spans="1:6">
      <c r="A473" s="263"/>
      <c r="B473" s="298"/>
      <c r="C473" s="240"/>
      <c r="D473" s="282"/>
      <c r="E473" s="95"/>
      <c r="F473" s="267"/>
    </row>
    <row r="474" s="271" customFormat="1" spans="1:6">
      <c r="A474" s="263"/>
      <c r="B474" s="298"/>
      <c r="C474" s="240"/>
      <c r="D474" s="282"/>
      <c r="E474" s="95"/>
      <c r="F474" s="267"/>
    </row>
    <row r="475" s="271" customFormat="1" spans="1:6">
      <c r="A475" s="263"/>
      <c r="B475" s="298"/>
      <c r="C475" s="240"/>
      <c r="D475" s="282"/>
      <c r="E475" s="95"/>
      <c r="F475" s="267"/>
    </row>
    <row r="476" s="271" customFormat="1" spans="1:6">
      <c r="A476" s="263"/>
      <c r="B476" s="298"/>
      <c r="C476" s="240"/>
      <c r="D476" s="282"/>
      <c r="E476" s="95"/>
      <c r="F476" s="267"/>
    </row>
    <row r="477" s="271" customFormat="1" spans="1:6">
      <c r="A477" s="263"/>
      <c r="B477" s="298"/>
      <c r="C477" s="240"/>
      <c r="D477" s="282"/>
      <c r="E477" s="95"/>
      <c r="F477" s="267"/>
    </row>
    <row r="478" s="271" customFormat="1" spans="1:6">
      <c r="A478" s="263"/>
      <c r="B478" s="298"/>
      <c r="C478" s="240"/>
      <c r="D478" s="282"/>
      <c r="E478" s="95"/>
      <c r="F478" s="267"/>
    </row>
    <row r="479" s="271" customFormat="1" spans="1:6">
      <c r="A479" s="263"/>
      <c r="B479" s="298"/>
      <c r="C479" s="240"/>
      <c r="D479" s="282"/>
      <c r="E479" s="95"/>
      <c r="F479" s="267"/>
    </row>
    <row r="480" s="271" customFormat="1" spans="1:6">
      <c r="A480" s="263"/>
      <c r="B480" s="298"/>
      <c r="C480" s="240"/>
      <c r="D480" s="282"/>
      <c r="E480" s="95"/>
      <c r="F480" s="267"/>
    </row>
    <row r="481" s="271" customFormat="1" spans="1:6">
      <c r="A481" s="263"/>
      <c r="B481" s="298"/>
      <c r="C481" s="240"/>
      <c r="D481" s="282"/>
      <c r="E481" s="95"/>
      <c r="F481" s="267"/>
    </row>
    <row r="482" s="271" customFormat="1" spans="1:6">
      <c r="A482" s="263"/>
      <c r="B482" s="298"/>
      <c r="C482" s="240"/>
      <c r="D482" s="282"/>
      <c r="E482" s="95"/>
      <c r="F482" s="267"/>
    </row>
    <row r="483" s="271" customFormat="1" spans="1:6">
      <c r="A483" s="263"/>
      <c r="B483" s="267"/>
      <c r="C483" s="240"/>
      <c r="D483" s="95"/>
      <c r="E483" s="95"/>
      <c r="F483" s="267"/>
    </row>
    <row r="484" s="271" customFormat="1" spans="1:6">
      <c r="A484" s="263"/>
      <c r="B484" s="267"/>
      <c r="C484" s="240"/>
      <c r="D484" s="95"/>
      <c r="E484" s="95"/>
      <c r="F484" s="267"/>
    </row>
    <row r="485" s="271" customFormat="1" spans="1:6">
      <c r="A485" s="263"/>
      <c r="B485" s="267"/>
      <c r="C485" s="240"/>
      <c r="D485" s="95"/>
      <c r="E485" s="95"/>
      <c r="F485" s="267"/>
    </row>
    <row r="486" s="271" customFormat="1" spans="1:6">
      <c r="A486" s="263"/>
      <c r="B486" s="267"/>
      <c r="C486" s="240"/>
      <c r="D486" s="95"/>
      <c r="E486" s="95"/>
      <c r="F486" s="267"/>
    </row>
    <row r="487" s="271" customFormat="1" spans="1:6">
      <c r="A487" s="263"/>
      <c r="B487" s="267"/>
      <c r="C487" s="240"/>
      <c r="D487" s="95"/>
      <c r="E487" s="95"/>
      <c r="F487" s="267"/>
    </row>
    <row r="488" s="271" customFormat="1" spans="1:6">
      <c r="A488" s="263"/>
      <c r="B488" s="267"/>
      <c r="C488" s="240"/>
      <c r="D488" s="95"/>
      <c r="E488" s="95"/>
      <c r="F488" s="267"/>
    </row>
    <row r="489" s="271" customFormat="1" spans="1:6">
      <c r="A489" s="263"/>
      <c r="B489" s="267"/>
      <c r="C489" s="240"/>
      <c r="D489" s="95"/>
      <c r="E489" s="95"/>
      <c r="F489" s="267"/>
    </row>
    <row r="490" s="271" customFormat="1" spans="1:6">
      <c r="A490" s="263"/>
      <c r="B490" s="267"/>
      <c r="C490" s="240"/>
      <c r="D490" s="95"/>
      <c r="E490" s="95"/>
      <c r="F490" s="267"/>
    </row>
    <row r="491" s="271" customFormat="1" spans="1:6">
      <c r="A491" s="263"/>
      <c r="B491" s="301"/>
      <c r="C491" s="240"/>
      <c r="D491" s="95"/>
      <c r="E491" s="95"/>
      <c r="F491" s="267"/>
    </row>
    <row r="492" s="271" customFormat="1" spans="1:6">
      <c r="A492" s="263"/>
      <c r="B492" s="301"/>
      <c r="C492" s="240"/>
      <c r="D492" s="95"/>
      <c r="E492" s="95"/>
      <c r="F492" s="267"/>
    </row>
    <row r="493" s="271" customFormat="1" spans="1:6">
      <c r="A493" s="263"/>
      <c r="B493" s="301"/>
      <c r="C493" s="240"/>
      <c r="D493" s="95"/>
      <c r="E493" s="95"/>
      <c r="F493" s="267"/>
    </row>
    <row r="494" s="271" customFormat="1" spans="1:6">
      <c r="A494" s="263"/>
      <c r="B494" s="301"/>
      <c r="C494" s="240"/>
      <c r="D494" s="95"/>
      <c r="E494" s="95"/>
      <c r="F494" s="267"/>
    </row>
    <row r="495" s="271" customFormat="1" spans="1:6">
      <c r="A495" s="263"/>
      <c r="B495" s="301"/>
      <c r="C495" s="240"/>
      <c r="D495" s="95"/>
      <c r="E495" s="95"/>
      <c r="F495" s="267"/>
    </row>
    <row r="496" s="271" customFormat="1" spans="1:6">
      <c r="A496" s="263"/>
      <c r="B496" s="301"/>
      <c r="C496" s="240"/>
      <c r="D496" s="95"/>
      <c r="E496" s="95"/>
      <c r="F496" s="267"/>
    </row>
    <row r="497" s="271" customFormat="1" spans="1:6">
      <c r="A497" s="263"/>
      <c r="B497" s="301"/>
      <c r="C497" s="240"/>
      <c r="D497" s="95"/>
      <c r="E497" s="95"/>
      <c r="F497" s="267"/>
    </row>
    <row r="498" s="271" customFormat="1" spans="1:6">
      <c r="A498" s="263"/>
      <c r="B498" s="301"/>
      <c r="C498" s="240"/>
      <c r="D498" s="95"/>
      <c r="E498" s="95"/>
      <c r="F498" s="267"/>
    </row>
    <row r="499" s="271" customFormat="1" spans="1:6">
      <c r="A499" s="263"/>
      <c r="B499" s="301"/>
      <c r="C499" s="240"/>
      <c r="D499" s="95"/>
      <c r="E499" s="95"/>
      <c r="F499" s="267"/>
    </row>
    <row r="500" s="271" customFormat="1" spans="1:6">
      <c r="A500" s="263"/>
      <c r="B500" s="301"/>
      <c r="C500" s="240"/>
      <c r="D500" s="95"/>
      <c r="E500" s="95"/>
      <c r="F500" s="267"/>
    </row>
    <row r="501" s="271" customFormat="1" spans="1:6">
      <c r="A501" s="263"/>
      <c r="B501" s="301"/>
      <c r="C501" s="240"/>
      <c r="D501" s="95"/>
      <c r="E501" s="95"/>
      <c r="F501" s="267"/>
    </row>
    <row r="502" s="271" customFormat="1" spans="1:6">
      <c r="A502" s="263"/>
      <c r="B502" s="301"/>
      <c r="C502" s="240"/>
      <c r="D502" s="95"/>
      <c r="E502" s="95"/>
      <c r="F502" s="267"/>
    </row>
    <row r="503" s="271" customFormat="1" spans="1:6">
      <c r="A503" s="263"/>
      <c r="B503" s="301"/>
      <c r="C503" s="240"/>
      <c r="D503" s="95"/>
      <c r="E503" s="95"/>
      <c r="F503" s="267"/>
    </row>
    <row r="504" s="271" customFormat="1" spans="1:6">
      <c r="A504" s="263"/>
      <c r="B504" s="301"/>
      <c r="C504" s="240"/>
      <c r="D504" s="95"/>
      <c r="E504" s="95"/>
      <c r="F504" s="267"/>
    </row>
    <row r="505" s="271" customFormat="1" spans="1:6">
      <c r="A505" s="263"/>
      <c r="B505" s="301"/>
      <c r="C505" s="240"/>
      <c r="D505" s="95"/>
      <c r="E505" s="95"/>
      <c r="F505" s="267"/>
    </row>
    <row r="506" s="271" customFormat="1" spans="1:6">
      <c r="A506" s="263"/>
      <c r="B506" s="301"/>
      <c r="C506" s="240"/>
      <c r="D506" s="95"/>
      <c r="E506" s="95"/>
      <c r="F506" s="267"/>
    </row>
    <row r="507" s="271" customFormat="1" spans="1:6">
      <c r="A507" s="263"/>
      <c r="B507" s="301"/>
      <c r="C507" s="240"/>
      <c r="D507" s="95"/>
      <c r="E507" s="95"/>
      <c r="F507" s="267"/>
    </row>
    <row r="508" s="271" customFormat="1" spans="1:6">
      <c r="A508" s="263"/>
      <c r="B508" s="301"/>
      <c r="C508" s="240"/>
      <c r="D508" s="95"/>
      <c r="E508" s="95"/>
      <c r="F508" s="267"/>
    </row>
    <row r="509" s="271" customFormat="1" spans="1:7">
      <c r="A509" s="263"/>
      <c r="B509" s="301"/>
      <c r="C509" s="240"/>
      <c r="D509" s="95"/>
      <c r="E509" s="95"/>
      <c r="F509" s="267"/>
      <c r="G509" s="290"/>
    </row>
    <row r="510" s="271" customFormat="1" spans="1:6">
      <c r="A510" s="263"/>
      <c r="B510" s="301"/>
      <c r="C510" s="240"/>
      <c r="D510" s="95"/>
      <c r="E510" s="95"/>
      <c r="F510" s="267"/>
    </row>
    <row r="511" s="271" customFormat="1" spans="1:6">
      <c r="A511" s="263"/>
      <c r="B511" s="301"/>
      <c r="C511" s="240"/>
      <c r="D511" s="95"/>
      <c r="E511" s="95"/>
      <c r="F511" s="267"/>
    </row>
    <row r="512" s="271" customFormat="1" spans="1:6">
      <c r="A512" s="263"/>
      <c r="B512" s="301"/>
      <c r="C512" s="240"/>
      <c r="D512" s="95"/>
      <c r="E512" s="95"/>
      <c r="F512" s="267"/>
    </row>
    <row r="513" s="271" customFormat="1" spans="1:6">
      <c r="A513" s="263"/>
      <c r="B513" s="301"/>
      <c r="C513" s="240"/>
      <c r="D513" s="95"/>
      <c r="E513" s="95"/>
      <c r="F513" s="267"/>
    </row>
    <row r="514" spans="1:6">
      <c r="A514" s="263"/>
      <c r="B514" s="301"/>
      <c r="C514" s="240"/>
      <c r="D514" s="95"/>
      <c r="E514" s="95"/>
      <c r="F514" s="267"/>
    </row>
    <row r="515" spans="1:6">
      <c r="A515" s="263"/>
      <c r="B515" s="301"/>
      <c r="C515" s="240"/>
      <c r="D515" s="95"/>
      <c r="E515" s="95"/>
      <c r="F515" s="267"/>
    </row>
    <row r="516" spans="1:6">
      <c r="A516" s="263"/>
      <c r="B516" s="301"/>
      <c r="C516" s="240"/>
      <c r="D516" s="95"/>
      <c r="E516" s="95"/>
      <c r="F516" s="267"/>
    </row>
    <row r="517" spans="1:6">
      <c r="A517" s="263"/>
      <c r="B517" s="301"/>
      <c r="C517" s="240"/>
      <c r="D517" s="95"/>
      <c r="E517" s="95"/>
      <c r="F517" s="267"/>
    </row>
    <row r="518" spans="1:6">
      <c r="A518" s="263"/>
      <c r="B518" s="301"/>
      <c r="C518" s="240"/>
      <c r="D518" s="95"/>
      <c r="E518" s="95"/>
      <c r="F518" s="267"/>
    </row>
    <row r="519" spans="1:6">
      <c r="A519" s="263"/>
      <c r="B519" s="301"/>
      <c r="C519" s="240"/>
      <c r="D519" s="95"/>
      <c r="E519" s="95"/>
      <c r="F519" s="267"/>
    </row>
    <row r="520" spans="1:6">
      <c r="A520" s="263"/>
      <c r="B520" s="301"/>
      <c r="C520" s="240"/>
      <c r="D520" s="95"/>
      <c r="E520" s="95"/>
      <c r="F520" s="267"/>
    </row>
    <row r="521" spans="1:6">
      <c r="A521" s="263"/>
      <c r="B521" s="301"/>
      <c r="C521" s="240"/>
      <c r="D521" s="95"/>
      <c r="E521" s="95"/>
      <c r="F521" s="267"/>
    </row>
    <row r="522" spans="1:6">
      <c r="A522" s="263"/>
      <c r="B522" s="301"/>
      <c r="C522" s="240"/>
      <c r="D522" s="95"/>
      <c r="E522" s="95"/>
      <c r="F522" s="267"/>
    </row>
    <row r="523" spans="1:6">
      <c r="A523" s="263"/>
      <c r="B523" s="301"/>
      <c r="C523" s="240"/>
      <c r="D523" s="95"/>
      <c r="E523" s="95"/>
      <c r="F523" s="267"/>
    </row>
    <row r="524" spans="1:6">
      <c r="A524" s="263"/>
      <c r="B524" s="301"/>
      <c r="C524" s="240"/>
      <c r="D524" s="95"/>
      <c r="E524" s="95"/>
      <c r="F524" s="267"/>
    </row>
    <row r="525" spans="1:6">
      <c r="A525" s="263"/>
      <c r="B525" s="301"/>
      <c r="C525" s="240"/>
      <c r="D525" s="95"/>
      <c r="E525" s="95"/>
      <c r="F525" s="267"/>
    </row>
    <row r="526" spans="1:6">
      <c r="A526" s="263"/>
      <c r="B526" s="301"/>
      <c r="C526" s="240"/>
      <c r="D526" s="95"/>
      <c r="E526" s="95"/>
      <c r="F526" s="267"/>
    </row>
    <row r="527" spans="1:6">
      <c r="A527" s="263"/>
      <c r="B527" s="301"/>
      <c r="C527" s="240"/>
      <c r="D527" s="95"/>
      <c r="E527" s="95"/>
      <c r="F527" s="267"/>
    </row>
    <row r="528" spans="1:6">
      <c r="A528" s="263"/>
      <c r="B528" s="301"/>
      <c r="C528" s="240"/>
      <c r="D528" s="95"/>
      <c r="E528" s="95"/>
      <c r="F528" s="267"/>
    </row>
    <row r="529" spans="1:6">
      <c r="A529" s="263"/>
      <c r="B529" s="301"/>
      <c r="C529" s="240"/>
      <c r="D529" s="95"/>
      <c r="E529" s="95"/>
      <c r="F529" s="267"/>
    </row>
    <row r="530" spans="1:6">
      <c r="A530" s="263"/>
      <c r="B530" s="301"/>
      <c r="C530" s="240"/>
      <c r="D530" s="95"/>
      <c r="E530" s="95"/>
      <c r="F530" s="267"/>
    </row>
    <row r="531" spans="1:6">
      <c r="A531" s="263"/>
      <c r="B531" s="301"/>
      <c r="C531" s="240"/>
      <c r="D531" s="95"/>
      <c r="E531" s="95"/>
      <c r="F531" s="267"/>
    </row>
    <row r="532" spans="1:6">
      <c r="A532" s="263"/>
      <c r="B532" s="301"/>
      <c r="C532" s="240"/>
      <c r="D532" s="95"/>
      <c r="E532" s="95"/>
      <c r="F532" s="267"/>
    </row>
    <row r="533" spans="1:6">
      <c r="A533" s="263"/>
      <c r="B533" s="301"/>
      <c r="C533" s="240"/>
      <c r="D533" s="95"/>
      <c r="E533" s="95"/>
      <c r="F533" s="267"/>
    </row>
    <row r="534" spans="1:6">
      <c r="A534" s="263"/>
      <c r="B534" s="301"/>
      <c r="C534" s="240"/>
      <c r="D534" s="95"/>
      <c r="E534" s="95"/>
      <c r="F534" s="267"/>
    </row>
    <row r="535" spans="1:6">
      <c r="A535" s="263"/>
      <c r="B535" s="301"/>
      <c r="C535" s="240"/>
      <c r="D535" s="95"/>
      <c r="E535" s="95"/>
      <c r="F535" s="267"/>
    </row>
    <row r="536" spans="1:6">
      <c r="A536" s="263"/>
      <c r="B536" s="301"/>
      <c r="C536" s="240"/>
      <c r="D536" s="95"/>
      <c r="E536" s="95"/>
      <c r="F536" s="267"/>
    </row>
    <row r="537" spans="1:6">
      <c r="A537" s="263"/>
      <c r="B537" s="301"/>
      <c r="C537" s="240"/>
      <c r="D537" s="95"/>
      <c r="E537" s="95"/>
      <c r="F537" s="267"/>
    </row>
    <row r="538" spans="1:6">
      <c r="A538" s="263"/>
      <c r="B538" s="301"/>
      <c r="C538" s="240"/>
      <c r="D538" s="95"/>
      <c r="E538" s="95"/>
      <c r="F538" s="267"/>
    </row>
    <row r="539" spans="1:6">
      <c r="A539" s="263"/>
      <c r="B539" s="301"/>
      <c r="C539" s="240"/>
      <c r="D539" s="95"/>
      <c r="E539" s="95"/>
      <c r="F539" s="267"/>
    </row>
    <row r="540" spans="1:6">
      <c r="A540" s="263"/>
      <c r="B540" s="301"/>
      <c r="C540" s="240"/>
      <c r="D540" s="95"/>
      <c r="E540" s="95"/>
      <c r="F540" s="267"/>
    </row>
    <row r="541" spans="1:6">
      <c r="A541" s="263"/>
      <c r="B541" s="301"/>
      <c r="C541" s="240"/>
      <c r="D541" s="95"/>
      <c r="E541" s="95"/>
      <c r="F541" s="267"/>
    </row>
    <row r="542" spans="1:6">
      <c r="A542" s="263"/>
      <c r="B542" s="301"/>
      <c r="C542" s="240"/>
      <c r="D542" s="95"/>
      <c r="E542" s="95"/>
      <c r="F542" s="267"/>
    </row>
    <row r="543" spans="1:6">
      <c r="A543" s="263"/>
      <c r="B543" s="301"/>
      <c r="C543" s="240"/>
      <c r="D543" s="95"/>
      <c r="E543" s="95"/>
      <c r="F543" s="267"/>
    </row>
    <row r="544" spans="1:6">
      <c r="A544" s="263"/>
      <c r="B544" s="301"/>
      <c r="C544" s="240"/>
      <c r="D544" s="95"/>
      <c r="E544" s="95"/>
      <c r="F544" s="267"/>
    </row>
    <row r="545" spans="1:6">
      <c r="A545" s="263"/>
      <c r="B545" s="301"/>
      <c r="C545" s="240"/>
      <c r="D545" s="95"/>
      <c r="E545" s="95"/>
      <c r="F545" s="267"/>
    </row>
    <row r="546" spans="1:6">
      <c r="A546" s="263"/>
      <c r="B546" s="301"/>
      <c r="C546" s="240"/>
      <c r="D546" s="95"/>
      <c r="E546" s="95"/>
      <c r="F546" s="267"/>
    </row>
    <row r="547" spans="1:6">
      <c r="A547" s="263"/>
      <c r="B547" s="301"/>
      <c r="C547" s="240"/>
      <c r="D547" s="95"/>
      <c r="E547" s="95"/>
      <c r="F547" s="267"/>
    </row>
    <row r="548" spans="1:6">
      <c r="A548" s="263"/>
      <c r="B548" s="301"/>
      <c r="C548" s="240"/>
      <c r="D548" s="95"/>
      <c r="E548" s="95"/>
      <c r="F548" s="267"/>
    </row>
    <row r="549" spans="1:6">
      <c r="A549" s="263"/>
      <c r="B549" s="301"/>
      <c r="C549" s="240"/>
      <c r="D549" s="95"/>
      <c r="E549" s="95"/>
      <c r="F549" s="267"/>
    </row>
    <row r="550" spans="1:6">
      <c r="A550" s="263"/>
      <c r="B550" s="301"/>
      <c r="C550" s="240"/>
      <c r="D550" s="95"/>
      <c r="E550" s="95">
        <f>D550*C550</f>
        <v>0</v>
      </c>
      <c r="F550" s="95">
        <f>SUM(F2:F549)</f>
        <v>8797600</v>
      </c>
    </row>
  </sheetData>
  <mergeCells count="16">
    <mergeCell ref="A2:A8"/>
    <mergeCell ref="A9:A32"/>
    <mergeCell ref="A33:A41"/>
    <mergeCell ref="A44:A47"/>
    <mergeCell ref="A48:A49"/>
    <mergeCell ref="A50:A52"/>
    <mergeCell ref="A53:A59"/>
    <mergeCell ref="A60:A66"/>
    <mergeCell ref="F2:F8"/>
    <mergeCell ref="F9:F32"/>
    <mergeCell ref="F33:F41"/>
    <mergeCell ref="F44:F47"/>
    <mergeCell ref="F48:F49"/>
    <mergeCell ref="F50:F52"/>
    <mergeCell ref="F53:F59"/>
    <mergeCell ref="F60:F66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5"/>
  <sheetViews>
    <sheetView zoomScale="94" zoomScaleNormal="94" workbookViewId="0">
      <pane ySplit="1" topLeftCell="A194" activePane="bottomLeft" state="frozen"/>
      <selection/>
      <selection pane="bottomLeft" activeCell="F221" sqref="F221"/>
    </sheetView>
  </sheetViews>
  <sheetFormatPr defaultColWidth="9.140625" defaultRowHeight="17.6"/>
  <cols>
    <col min="1" max="1" width="28.3828125" style="200" customWidth="1"/>
    <col min="2" max="2" width="16.3515625" style="233" customWidth="1"/>
    <col min="3" max="3" width="32.1796875" style="201" customWidth="1"/>
    <col min="4" max="4" width="9.140625" style="202"/>
    <col min="5" max="5" width="13.3828125" style="199" customWidth="1"/>
    <col min="6" max="6" width="27.96875" style="199" customWidth="1"/>
    <col min="7" max="7" width="28.1640625" style="199" customWidth="1"/>
    <col min="8" max="8" width="29.25" style="199" customWidth="1"/>
    <col min="9" max="9" width="14.9375" style="199"/>
    <col min="10" max="16384" width="9.140625" style="199"/>
  </cols>
  <sheetData>
    <row r="1" s="27" customFormat="1" ht="20.4" spans="1:8">
      <c r="A1" s="203" t="s">
        <v>0</v>
      </c>
      <c r="B1" s="234" t="s">
        <v>57</v>
      </c>
      <c r="C1" s="204" t="s">
        <v>1</v>
      </c>
      <c r="D1" s="205" t="s">
        <v>2</v>
      </c>
      <c r="E1" s="206" t="s">
        <v>3</v>
      </c>
      <c r="F1" s="206" t="s">
        <v>4</v>
      </c>
      <c r="G1" s="206" t="s">
        <v>5</v>
      </c>
      <c r="H1" s="27" t="s">
        <v>58</v>
      </c>
    </row>
    <row r="2" s="199" customFormat="1" spans="1:8">
      <c r="A2" s="207">
        <v>46054</v>
      </c>
      <c r="B2" s="302" t="s">
        <v>59</v>
      </c>
      <c r="C2" s="208" t="s">
        <v>39</v>
      </c>
      <c r="D2" s="209">
        <v>1</v>
      </c>
      <c r="E2" s="210">
        <v>250000</v>
      </c>
      <c r="F2" s="210">
        <f t="shared" ref="F2:F23" si="0">E2*D2</f>
        <v>250000</v>
      </c>
      <c r="G2" s="221">
        <f>SUM(F2:F23)</f>
        <v>1811090</v>
      </c>
      <c r="H2" s="238"/>
    </row>
    <row r="3" s="199" customFormat="1" spans="1:8">
      <c r="A3" s="211"/>
      <c r="B3" s="236"/>
      <c r="C3" s="208" t="s">
        <v>47</v>
      </c>
      <c r="D3" s="209">
        <v>1</v>
      </c>
      <c r="E3" s="210">
        <v>39000</v>
      </c>
      <c r="F3" s="210">
        <f t="shared" si="0"/>
        <v>39000</v>
      </c>
      <c r="G3" s="223"/>
      <c r="H3" s="238"/>
    </row>
    <row r="4" s="199" customFormat="1" spans="1:8">
      <c r="A4" s="211"/>
      <c r="B4" s="236"/>
      <c r="C4" s="208" t="s">
        <v>17</v>
      </c>
      <c r="D4" s="209">
        <v>1</v>
      </c>
      <c r="E4" s="210">
        <v>39000</v>
      </c>
      <c r="F4" s="210">
        <f t="shared" si="0"/>
        <v>39000</v>
      </c>
      <c r="G4" s="223"/>
      <c r="H4" s="238"/>
    </row>
    <row r="5" s="199" customFormat="1" spans="1:9">
      <c r="A5" s="211"/>
      <c r="B5" s="236"/>
      <c r="C5" s="208" t="s">
        <v>60</v>
      </c>
      <c r="D5" s="209">
        <v>1</v>
      </c>
      <c r="E5" s="210">
        <v>83000</v>
      </c>
      <c r="F5" s="210">
        <f t="shared" si="0"/>
        <v>83000</v>
      </c>
      <c r="G5" s="223"/>
      <c r="H5" s="238"/>
      <c r="I5" s="229"/>
    </row>
    <row r="6" s="199" customFormat="1" spans="1:8">
      <c r="A6" s="211"/>
      <c r="B6" s="236"/>
      <c r="C6" s="208" t="s">
        <v>8</v>
      </c>
      <c r="D6" s="209">
        <v>1</v>
      </c>
      <c r="E6" s="210">
        <v>250000</v>
      </c>
      <c r="F6" s="210">
        <f t="shared" si="0"/>
        <v>250000</v>
      </c>
      <c r="G6" s="223"/>
      <c r="H6" s="238"/>
    </row>
    <row r="7" s="199" customFormat="1" spans="1:8">
      <c r="A7" s="211"/>
      <c r="B7" s="236"/>
      <c r="C7" s="208" t="s">
        <v>61</v>
      </c>
      <c r="D7" s="209">
        <v>2</v>
      </c>
      <c r="E7" s="210">
        <v>30000</v>
      </c>
      <c r="F7" s="210">
        <f t="shared" si="0"/>
        <v>60000</v>
      </c>
      <c r="G7" s="223"/>
      <c r="H7" s="238"/>
    </row>
    <row r="8" s="199" customFormat="1" spans="1:8">
      <c r="A8" s="211"/>
      <c r="B8" s="236"/>
      <c r="C8" s="208" t="s">
        <v>62</v>
      </c>
      <c r="D8" s="209">
        <v>2.8</v>
      </c>
      <c r="E8" s="210">
        <v>25000</v>
      </c>
      <c r="F8" s="210">
        <f t="shared" si="0"/>
        <v>70000</v>
      </c>
      <c r="G8" s="223"/>
      <c r="H8" s="238"/>
    </row>
    <row r="9" s="199" customFormat="1" spans="1:8">
      <c r="A9" s="211"/>
      <c r="B9" s="236"/>
      <c r="C9" s="208" t="s">
        <v>63</v>
      </c>
      <c r="D9" s="209">
        <v>4</v>
      </c>
      <c r="E9" s="210">
        <v>66000</v>
      </c>
      <c r="F9" s="210">
        <f t="shared" si="0"/>
        <v>264000</v>
      </c>
      <c r="G9" s="223"/>
      <c r="H9" s="238"/>
    </row>
    <row r="10" s="199" customFormat="1" spans="1:8">
      <c r="A10" s="211"/>
      <c r="B10" s="236"/>
      <c r="C10" s="208" t="s">
        <v>64</v>
      </c>
      <c r="D10" s="209">
        <v>5</v>
      </c>
      <c r="E10" s="210">
        <v>25000</v>
      </c>
      <c r="F10" s="210">
        <f t="shared" si="0"/>
        <v>125000</v>
      </c>
      <c r="G10" s="223"/>
      <c r="H10" s="238"/>
    </row>
    <row r="11" s="199" customFormat="1" spans="1:8">
      <c r="A11" s="211"/>
      <c r="B11" s="236"/>
      <c r="C11" s="208" t="s">
        <v>65</v>
      </c>
      <c r="D11" s="209">
        <v>2</v>
      </c>
      <c r="E11" s="210">
        <v>75000</v>
      </c>
      <c r="F11" s="210">
        <f t="shared" si="0"/>
        <v>150000</v>
      </c>
      <c r="G11" s="223"/>
      <c r="H11" s="238"/>
    </row>
    <row r="12" s="199" customFormat="1" spans="1:8">
      <c r="A12" s="211"/>
      <c r="B12" s="236"/>
      <c r="C12" s="208" t="s">
        <v>66</v>
      </c>
      <c r="D12" s="209">
        <v>0.1</v>
      </c>
      <c r="E12" s="210">
        <v>39000</v>
      </c>
      <c r="F12" s="210">
        <f t="shared" si="0"/>
        <v>3900</v>
      </c>
      <c r="G12" s="223"/>
      <c r="H12" s="238"/>
    </row>
    <row r="13" s="199" customFormat="1" spans="1:8">
      <c r="A13" s="211"/>
      <c r="B13" s="236"/>
      <c r="C13" s="208" t="s">
        <v>67</v>
      </c>
      <c r="D13" s="209">
        <v>0.1</v>
      </c>
      <c r="E13" s="210">
        <v>83000</v>
      </c>
      <c r="F13" s="210">
        <f t="shared" si="0"/>
        <v>8300</v>
      </c>
      <c r="G13" s="223"/>
      <c r="H13" s="238"/>
    </row>
    <row r="14" s="199" customFormat="1" spans="1:8">
      <c r="A14" s="211"/>
      <c r="B14" s="236"/>
      <c r="C14" s="208" t="s">
        <v>68</v>
      </c>
      <c r="D14" s="209">
        <v>0.07</v>
      </c>
      <c r="E14" s="210">
        <v>77000</v>
      </c>
      <c r="F14" s="210">
        <f t="shared" si="0"/>
        <v>5390</v>
      </c>
      <c r="G14" s="223"/>
      <c r="H14" s="238"/>
    </row>
    <row r="15" s="199" customFormat="1" spans="1:8">
      <c r="A15" s="211"/>
      <c r="B15" s="236"/>
      <c r="C15" s="208" t="s">
        <v>69</v>
      </c>
      <c r="D15" s="209">
        <v>0.5</v>
      </c>
      <c r="E15" s="210">
        <v>70000</v>
      </c>
      <c r="F15" s="210">
        <f t="shared" si="0"/>
        <v>35000</v>
      </c>
      <c r="G15" s="223"/>
      <c r="H15" s="238"/>
    </row>
    <row r="16" s="199" customFormat="1" spans="1:8">
      <c r="A16" s="211"/>
      <c r="B16" s="236"/>
      <c r="C16" s="208" t="s">
        <v>70</v>
      </c>
      <c r="D16" s="209">
        <v>0.2</v>
      </c>
      <c r="E16" s="210">
        <v>90000</v>
      </c>
      <c r="F16" s="210">
        <f t="shared" si="0"/>
        <v>18000</v>
      </c>
      <c r="G16" s="223"/>
      <c r="H16" s="238"/>
    </row>
    <row r="17" s="199" customFormat="1" spans="1:8">
      <c r="A17" s="211"/>
      <c r="B17" s="236"/>
      <c r="C17" s="208" t="s">
        <v>71</v>
      </c>
      <c r="D17" s="209">
        <v>0.3</v>
      </c>
      <c r="E17" s="210">
        <v>55000</v>
      </c>
      <c r="F17" s="210">
        <f t="shared" si="0"/>
        <v>16500</v>
      </c>
      <c r="G17" s="223"/>
      <c r="H17" s="238"/>
    </row>
    <row r="18" s="199" customFormat="1" spans="1:8">
      <c r="A18" s="211"/>
      <c r="B18" s="236"/>
      <c r="C18" s="208" t="s">
        <v>72</v>
      </c>
      <c r="D18" s="209">
        <v>0.2</v>
      </c>
      <c r="E18" s="210">
        <v>70000</v>
      </c>
      <c r="F18" s="210">
        <f t="shared" si="0"/>
        <v>14000</v>
      </c>
      <c r="G18" s="223"/>
      <c r="H18" s="238"/>
    </row>
    <row r="19" s="199" customFormat="1" spans="1:8">
      <c r="A19" s="211"/>
      <c r="B19" s="236"/>
      <c r="C19" s="208" t="s">
        <v>73</v>
      </c>
      <c r="D19" s="209">
        <v>1</v>
      </c>
      <c r="E19" s="210">
        <v>55000</v>
      </c>
      <c r="F19" s="210">
        <f t="shared" si="0"/>
        <v>55000</v>
      </c>
      <c r="G19" s="223"/>
      <c r="H19" s="238"/>
    </row>
    <row r="20" s="199" customFormat="1" spans="1:8">
      <c r="A20" s="211"/>
      <c r="B20" s="236"/>
      <c r="C20" s="208" t="s">
        <v>48</v>
      </c>
      <c r="D20" s="209">
        <v>1</v>
      </c>
      <c r="E20" s="210">
        <v>26000</v>
      </c>
      <c r="F20" s="210">
        <f t="shared" si="0"/>
        <v>26000</v>
      </c>
      <c r="G20" s="223"/>
      <c r="H20" s="238"/>
    </row>
    <row r="21" s="199" customFormat="1" spans="1:8">
      <c r="A21" s="211"/>
      <c r="B21" s="236"/>
      <c r="C21" s="208" t="s">
        <v>14</v>
      </c>
      <c r="D21" s="209">
        <v>3</v>
      </c>
      <c r="E21" s="210">
        <v>60000</v>
      </c>
      <c r="F21" s="210">
        <f t="shared" si="0"/>
        <v>180000</v>
      </c>
      <c r="G21" s="223"/>
      <c r="H21" s="238"/>
    </row>
    <row r="22" s="199" customFormat="1" spans="1:8">
      <c r="A22" s="211"/>
      <c r="B22" s="236"/>
      <c r="C22" s="208" t="s">
        <v>74</v>
      </c>
      <c r="D22" s="209">
        <v>5.8</v>
      </c>
      <c r="E22" s="210">
        <v>10000</v>
      </c>
      <c r="F22" s="210">
        <f t="shared" si="0"/>
        <v>58000</v>
      </c>
      <c r="G22" s="223"/>
      <c r="H22" s="238"/>
    </row>
    <row r="23" s="199" customFormat="1" spans="1:8">
      <c r="A23" s="212"/>
      <c r="B23" s="237"/>
      <c r="C23" s="208" t="s">
        <v>75</v>
      </c>
      <c r="D23" s="209">
        <v>1</v>
      </c>
      <c r="E23" s="210">
        <v>61000</v>
      </c>
      <c r="F23" s="210">
        <f t="shared" si="0"/>
        <v>61000</v>
      </c>
      <c r="G23" s="225"/>
      <c r="H23" s="238"/>
    </row>
    <row r="24" s="199" customFormat="1" spans="1:8">
      <c r="A24" s="211">
        <v>46054</v>
      </c>
      <c r="B24" s="303" t="s">
        <v>76</v>
      </c>
      <c r="C24" s="208" t="s">
        <v>77</v>
      </c>
      <c r="D24" s="209">
        <v>1</v>
      </c>
      <c r="E24" s="210">
        <v>45000</v>
      </c>
      <c r="F24" s="210">
        <f t="shared" ref="F24:F31" si="1">E24*D24</f>
        <v>45000</v>
      </c>
      <c r="G24" s="223">
        <f>SUM(F24:F31)</f>
        <v>246900</v>
      </c>
      <c r="H24" s="238"/>
    </row>
    <row r="25" s="199" customFormat="1" spans="1:8">
      <c r="A25" s="211"/>
      <c r="B25" s="236"/>
      <c r="C25" s="208" t="s">
        <v>78</v>
      </c>
      <c r="D25" s="209">
        <v>0.3</v>
      </c>
      <c r="E25" s="210">
        <v>44000</v>
      </c>
      <c r="F25" s="210">
        <f t="shared" si="1"/>
        <v>13200</v>
      </c>
      <c r="G25" s="223"/>
      <c r="H25" s="238"/>
    </row>
    <row r="26" s="199" customFormat="1" spans="1:8">
      <c r="A26" s="211"/>
      <c r="B26" s="236"/>
      <c r="C26" s="208" t="s">
        <v>79</v>
      </c>
      <c r="D26" s="209">
        <v>0.3</v>
      </c>
      <c r="E26" s="210">
        <v>94000</v>
      </c>
      <c r="F26" s="210">
        <f t="shared" si="1"/>
        <v>28200</v>
      </c>
      <c r="G26" s="223"/>
      <c r="H26" s="238"/>
    </row>
    <row r="27" s="199" customFormat="1" spans="1:8">
      <c r="A27" s="211"/>
      <c r="B27" s="236"/>
      <c r="C27" s="208" t="s">
        <v>80</v>
      </c>
      <c r="D27" s="209">
        <v>0.5</v>
      </c>
      <c r="E27" s="210">
        <v>55000</v>
      </c>
      <c r="F27" s="210">
        <f t="shared" si="1"/>
        <v>27500</v>
      </c>
      <c r="G27" s="223"/>
      <c r="H27" s="238"/>
    </row>
    <row r="28" s="199" customFormat="1" spans="1:8">
      <c r="A28" s="211"/>
      <c r="B28" s="236"/>
      <c r="C28" s="208" t="s">
        <v>81</v>
      </c>
      <c r="D28" s="209">
        <v>0.5</v>
      </c>
      <c r="E28" s="210">
        <v>68000</v>
      </c>
      <c r="F28" s="210">
        <f t="shared" si="1"/>
        <v>34000</v>
      </c>
      <c r="G28" s="223"/>
      <c r="H28" s="238"/>
    </row>
    <row r="29" s="199" customFormat="1" spans="1:8">
      <c r="A29" s="211"/>
      <c r="B29" s="236"/>
      <c r="C29" s="208" t="s">
        <v>27</v>
      </c>
      <c r="D29" s="209">
        <v>30</v>
      </c>
      <c r="E29" s="210">
        <v>1000</v>
      </c>
      <c r="F29" s="210">
        <f t="shared" si="1"/>
        <v>30000</v>
      </c>
      <c r="G29" s="223"/>
      <c r="H29" s="238"/>
    </row>
    <row r="30" s="199" customFormat="1" spans="1:8">
      <c r="A30" s="211"/>
      <c r="B30" s="236"/>
      <c r="C30" s="208" t="s">
        <v>82</v>
      </c>
      <c r="D30" s="209">
        <v>1</v>
      </c>
      <c r="E30" s="210">
        <v>45000</v>
      </c>
      <c r="F30" s="210">
        <f t="shared" si="1"/>
        <v>45000</v>
      </c>
      <c r="G30" s="223"/>
      <c r="H30" s="238"/>
    </row>
    <row r="31" s="199" customFormat="1" spans="1:8">
      <c r="A31" s="211"/>
      <c r="B31" s="236"/>
      <c r="C31" s="208" t="s">
        <v>83</v>
      </c>
      <c r="D31" s="209">
        <v>0.2</v>
      </c>
      <c r="E31" s="210">
        <v>120000</v>
      </c>
      <c r="F31" s="210">
        <f t="shared" si="1"/>
        <v>24000</v>
      </c>
      <c r="G31" s="223"/>
      <c r="H31" s="238"/>
    </row>
    <row r="32" s="199" customFormat="1" spans="1:8">
      <c r="A32" s="207">
        <v>46055</v>
      </c>
      <c r="B32" s="302" t="s">
        <v>84</v>
      </c>
      <c r="C32" s="208" t="s">
        <v>85</v>
      </c>
      <c r="D32" s="209">
        <v>1</v>
      </c>
      <c r="E32" s="210">
        <v>85000</v>
      </c>
      <c r="F32" s="210">
        <f t="shared" ref="F32:F53" si="2">E32*D32</f>
        <v>85000</v>
      </c>
      <c r="G32" s="221">
        <f>SUM(F32:F53)</f>
        <v>1163150</v>
      </c>
      <c r="H32" s="238"/>
    </row>
    <row r="33" s="199" customFormat="1" spans="1:8">
      <c r="A33" s="211"/>
      <c r="B33" s="236"/>
      <c r="C33" s="208" t="s">
        <v>86</v>
      </c>
      <c r="D33" s="209">
        <v>3</v>
      </c>
      <c r="E33" s="210">
        <v>25000</v>
      </c>
      <c r="F33" s="210">
        <f t="shared" si="2"/>
        <v>75000</v>
      </c>
      <c r="G33" s="223"/>
      <c r="H33" s="238"/>
    </row>
    <row r="34" s="199" customFormat="1" spans="1:8">
      <c r="A34" s="211"/>
      <c r="B34" s="236"/>
      <c r="C34" s="208" t="s">
        <v>87</v>
      </c>
      <c r="D34" s="209">
        <v>2</v>
      </c>
      <c r="E34" s="210">
        <v>35000</v>
      </c>
      <c r="F34" s="210">
        <f t="shared" si="2"/>
        <v>70000</v>
      </c>
      <c r="G34" s="223"/>
      <c r="H34" s="238"/>
    </row>
    <row r="35" s="199" customFormat="1" spans="1:8">
      <c r="A35" s="211"/>
      <c r="B35" s="236"/>
      <c r="C35" s="208" t="s">
        <v>88</v>
      </c>
      <c r="D35" s="209">
        <v>2</v>
      </c>
      <c r="E35" s="210">
        <v>35000</v>
      </c>
      <c r="F35" s="210">
        <f t="shared" si="2"/>
        <v>70000</v>
      </c>
      <c r="G35" s="223"/>
      <c r="H35" s="238"/>
    </row>
    <row r="36" s="199" customFormat="1" spans="1:8">
      <c r="A36" s="211"/>
      <c r="B36" s="236"/>
      <c r="C36" s="208" t="s">
        <v>61</v>
      </c>
      <c r="D36" s="209">
        <v>3</v>
      </c>
      <c r="E36" s="210">
        <v>30000</v>
      </c>
      <c r="F36" s="210">
        <f t="shared" si="2"/>
        <v>90000</v>
      </c>
      <c r="G36" s="223"/>
      <c r="H36" s="238"/>
    </row>
    <row r="37" s="199" customFormat="1" spans="1:8">
      <c r="A37" s="211"/>
      <c r="B37" s="236"/>
      <c r="C37" s="208" t="s">
        <v>24</v>
      </c>
      <c r="D37" s="209">
        <v>0.5</v>
      </c>
      <c r="E37" s="210">
        <v>39000</v>
      </c>
      <c r="F37" s="210">
        <f t="shared" si="2"/>
        <v>19500</v>
      </c>
      <c r="G37" s="223"/>
      <c r="H37" s="238"/>
    </row>
    <row r="38" s="199" customFormat="1" spans="1:8">
      <c r="A38" s="211"/>
      <c r="B38" s="236"/>
      <c r="C38" s="208" t="s">
        <v>64</v>
      </c>
      <c r="D38" s="209">
        <v>5</v>
      </c>
      <c r="E38" s="210">
        <v>25000</v>
      </c>
      <c r="F38" s="210">
        <f t="shared" si="2"/>
        <v>125000</v>
      </c>
      <c r="G38" s="223"/>
      <c r="H38" s="238"/>
    </row>
    <row r="39" s="199" customFormat="1" spans="1:8">
      <c r="A39" s="211"/>
      <c r="B39" s="236"/>
      <c r="C39" s="208" t="s">
        <v>89</v>
      </c>
      <c r="D39" s="209">
        <v>5</v>
      </c>
      <c r="E39" s="210">
        <v>25000</v>
      </c>
      <c r="F39" s="210">
        <f t="shared" si="2"/>
        <v>125000</v>
      </c>
      <c r="G39" s="223"/>
      <c r="H39" s="238"/>
    </row>
    <row r="40" ht="13" customHeight="1" spans="1:8">
      <c r="A40" s="211"/>
      <c r="B40" s="236"/>
      <c r="C40" s="208" t="s">
        <v>90</v>
      </c>
      <c r="D40" s="209">
        <v>2</v>
      </c>
      <c r="E40" s="210">
        <v>45000</v>
      </c>
      <c r="F40" s="210">
        <f t="shared" si="2"/>
        <v>90000</v>
      </c>
      <c r="G40" s="223"/>
      <c r="H40" s="238"/>
    </row>
    <row r="41" spans="1:8">
      <c r="A41" s="211"/>
      <c r="B41" s="236"/>
      <c r="C41" s="208" t="s">
        <v>73</v>
      </c>
      <c r="D41" s="209">
        <v>1</v>
      </c>
      <c r="E41" s="210">
        <v>55000</v>
      </c>
      <c r="F41" s="210">
        <f t="shared" si="2"/>
        <v>55000</v>
      </c>
      <c r="G41" s="223"/>
      <c r="H41" s="238"/>
    </row>
    <row r="42" spans="1:8">
      <c r="A42" s="211"/>
      <c r="B42" s="236"/>
      <c r="C42" s="208" t="s">
        <v>91</v>
      </c>
      <c r="D42" s="209">
        <v>0.2</v>
      </c>
      <c r="E42" s="210">
        <v>72000</v>
      </c>
      <c r="F42" s="210">
        <f t="shared" si="2"/>
        <v>14400</v>
      </c>
      <c r="G42" s="223"/>
      <c r="H42" s="238"/>
    </row>
    <row r="43" spans="1:8">
      <c r="A43" s="211"/>
      <c r="B43" s="236"/>
      <c r="C43" s="208" t="s">
        <v>92</v>
      </c>
      <c r="D43" s="209">
        <v>0.3</v>
      </c>
      <c r="E43" s="210">
        <v>83000</v>
      </c>
      <c r="F43" s="210">
        <f t="shared" si="2"/>
        <v>24900</v>
      </c>
      <c r="G43" s="223"/>
      <c r="H43" s="238"/>
    </row>
    <row r="44" spans="1:8">
      <c r="A44" s="211"/>
      <c r="B44" s="236"/>
      <c r="C44" s="208" t="s">
        <v>93</v>
      </c>
      <c r="D44" s="209">
        <v>0.3</v>
      </c>
      <c r="E44" s="210">
        <v>94000</v>
      </c>
      <c r="F44" s="210">
        <f t="shared" si="2"/>
        <v>28200</v>
      </c>
      <c r="G44" s="223"/>
      <c r="H44" s="238"/>
    </row>
    <row r="45" spans="1:8">
      <c r="A45" s="211"/>
      <c r="B45" s="236"/>
      <c r="C45" s="208" t="s">
        <v>94</v>
      </c>
      <c r="D45" s="209">
        <v>0.5</v>
      </c>
      <c r="E45" s="210">
        <v>72000</v>
      </c>
      <c r="F45" s="210">
        <f t="shared" si="2"/>
        <v>36000</v>
      </c>
      <c r="G45" s="223"/>
      <c r="H45" s="238"/>
    </row>
    <row r="46" spans="1:8">
      <c r="A46" s="211"/>
      <c r="B46" s="236"/>
      <c r="C46" s="208" t="s">
        <v>72</v>
      </c>
      <c r="D46" s="209">
        <v>0.3</v>
      </c>
      <c r="E46" s="210">
        <v>70000</v>
      </c>
      <c r="F46" s="210">
        <f t="shared" si="2"/>
        <v>21000</v>
      </c>
      <c r="G46" s="223"/>
      <c r="H46" s="238"/>
    </row>
    <row r="47" spans="1:8">
      <c r="A47" s="211"/>
      <c r="B47" s="236"/>
      <c r="C47" s="208" t="s">
        <v>71</v>
      </c>
      <c r="D47" s="209">
        <v>0.3</v>
      </c>
      <c r="E47" s="210">
        <v>55000</v>
      </c>
      <c r="F47" s="210">
        <f t="shared" si="2"/>
        <v>16500</v>
      </c>
      <c r="G47" s="223"/>
      <c r="H47" s="238"/>
    </row>
    <row r="48" spans="1:8">
      <c r="A48" s="211"/>
      <c r="B48" s="236"/>
      <c r="C48" s="208" t="s">
        <v>67</v>
      </c>
      <c r="D48" s="209">
        <v>0.15</v>
      </c>
      <c r="E48" s="210">
        <v>83000</v>
      </c>
      <c r="F48" s="210">
        <f t="shared" si="2"/>
        <v>12450</v>
      </c>
      <c r="G48" s="223"/>
      <c r="H48" s="238"/>
    </row>
    <row r="49" spans="1:8">
      <c r="A49" s="211"/>
      <c r="B49" s="236"/>
      <c r="C49" s="208" t="s">
        <v>68</v>
      </c>
      <c r="D49" s="209">
        <v>0.15</v>
      </c>
      <c r="E49" s="210">
        <v>77000</v>
      </c>
      <c r="F49" s="210">
        <f t="shared" si="2"/>
        <v>11550</v>
      </c>
      <c r="G49" s="223"/>
      <c r="H49" s="238"/>
    </row>
    <row r="50" spans="1:8">
      <c r="A50" s="211"/>
      <c r="B50" s="236"/>
      <c r="C50" s="208" t="s">
        <v>95</v>
      </c>
      <c r="D50" s="209">
        <v>3</v>
      </c>
      <c r="E50" s="210">
        <v>30000</v>
      </c>
      <c r="F50" s="210">
        <f t="shared" si="2"/>
        <v>90000</v>
      </c>
      <c r="G50" s="223"/>
      <c r="H50" s="238"/>
    </row>
    <row r="51" spans="1:8">
      <c r="A51" s="211"/>
      <c r="B51" s="236"/>
      <c r="C51" s="208" t="s">
        <v>96</v>
      </c>
      <c r="D51" s="209">
        <v>0.15</v>
      </c>
      <c r="E51" s="210">
        <v>72000</v>
      </c>
      <c r="F51" s="210">
        <f t="shared" si="2"/>
        <v>10800</v>
      </c>
      <c r="G51" s="223"/>
      <c r="H51" s="238"/>
    </row>
    <row r="52" spans="1:8">
      <c r="A52" s="211"/>
      <c r="B52" s="236"/>
      <c r="C52" s="208" t="s">
        <v>97</v>
      </c>
      <c r="D52" s="209">
        <v>0.15</v>
      </c>
      <c r="E52" s="210">
        <v>99000</v>
      </c>
      <c r="F52" s="210">
        <f t="shared" si="2"/>
        <v>14850</v>
      </c>
      <c r="G52" s="223"/>
      <c r="H52" s="238"/>
    </row>
    <row r="53" spans="1:8">
      <c r="A53" s="212"/>
      <c r="B53" s="237"/>
      <c r="C53" s="208" t="s">
        <v>98</v>
      </c>
      <c r="D53" s="209">
        <v>2</v>
      </c>
      <c r="E53" s="210">
        <v>39000</v>
      </c>
      <c r="F53" s="210">
        <f t="shared" si="2"/>
        <v>78000</v>
      </c>
      <c r="G53" s="225"/>
      <c r="H53" s="238"/>
    </row>
    <row r="54" spans="1:8">
      <c r="A54" s="207">
        <v>46055</v>
      </c>
      <c r="B54" s="302" t="s">
        <v>99</v>
      </c>
      <c r="C54" s="208" t="s">
        <v>47</v>
      </c>
      <c r="D54" s="209">
        <v>1.5</v>
      </c>
      <c r="E54" s="210">
        <v>39000</v>
      </c>
      <c r="F54" s="210">
        <f t="shared" ref="F54:F66" si="3">E54*D54</f>
        <v>58500</v>
      </c>
      <c r="G54" s="221">
        <f>SUM(F54:F66)</f>
        <v>533700</v>
      </c>
      <c r="H54" s="238"/>
    </row>
    <row r="55" spans="1:8">
      <c r="A55" s="211"/>
      <c r="B55" s="236"/>
      <c r="C55" s="208" t="s">
        <v>35</v>
      </c>
      <c r="D55" s="209">
        <v>6</v>
      </c>
      <c r="E55" s="210">
        <v>15000</v>
      </c>
      <c r="F55" s="210">
        <f t="shared" si="3"/>
        <v>90000</v>
      </c>
      <c r="G55" s="223"/>
      <c r="H55" s="238"/>
    </row>
    <row r="56" spans="1:8">
      <c r="A56" s="211"/>
      <c r="B56" s="236"/>
      <c r="C56" s="208" t="s">
        <v>83</v>
      </c>
      <c r="D56" s="209">
        <v>0.2</v>
      </c>
      <c r="E56" s="210">
        <v>120000</v>
      </c>
      <c r="F56" s="210">
        <f t="shared" si="3"/>
        <v>24000</v>
      </c>
      <c r="G56" s="223"/>
      <c r="H56" s="238"/>
    </row>
    <row r="57" spans="1:8">
      <c r="A57" s="211"/>
      <c r="B57" s="236"/>
      <c r="C57" s="208" t="s">
        <v>77</v>
      </c>
      <c r="D57" s="209">
        <v>1</v>
      </c>
      <c r="E57" s="210">
        <v>45000</v>
      </c>
      <c r="F57" s="210">
        <f t="shared" si="3"/>
        <v>45000</v>
      </c>
      <c r="G57" s="223"/>
      <c r="H57" s="238"/>
    </row>
    <row r="58" spans="1:8">
      <c r="A58" s="211"/>
      <c r="B58" s="236"/>
      <c r="C58" s="208" t="s">
        <v>78</v>
      </c>
      <c r="D58" s="209">
        <v>0.3</v>
      </c>
      <c r="E58" s="210">
        <v>44000</v>
      </c>
      <c r="F58" s="210">
        <f t="shared" si="3"/>
        <v>13200</v>
      </c>
      <c r="G58" s="223"/>
      <c r="H58" s="238"/>
    </row>
    <row r="59" spans="1:8">
      <c r="A59" s="211"/>
      <c r="B59" s="236"/>
      <c r="C59" s="208" t="s">
        <v>75</v>
      </c>
      <c r="D59" s="209">
        <v>0.3</v>
      </c>
      <c r="E59" s="210">
        <v>61000</v>
      </c>
      <c r="F59" s="210">
        <f t="shared" si="3"/>
        <v>18300</v>
      </c>
      <c r="G59" s="223"/>
      <c r="H59" s="238"/>
    </row>
    <row r="60" spans="1:8">
      <c r="A60" s="211"/>
      <c r="B60" s="236"/>
      <c r="C60" s="208" t="s">
        <v>80</v>
      </c>
      <c r="D60" s="209">
        <v>0.5</v>
      </c>
      <c r="E60" s="210">
        <v>55000</v>
      </c>
      <c r="F60" s="210">
        <f t="shared" si="3"/>
        <v>27500</v>
      </c>
      <c r="G60" s="223"/>
      <c r="H60" s="238"/>
    </row>
    <row r="61" spans="1:8">
      <c r="A61" s="211"/>
      <c r="B61" s="236"/>
      <c r="C61" s="208" t="s">
        <v>81</v>
      </c>
      <c r="D61" s="209">
        <v>0.5</v>
      </c>
      <c r="E61" s="210">
        <v>68000</v>
      </c>
      <c r="F61" s="210">
        <f t="shared" si="3"/>
        <v>34000</v>
      </c>
      <c r="G61" s="223"/>
      <c r="H61" s="238"/>
    </row>
    <row r="62" spans="1:8">
      <c r="A62" s="211"/>
      <c r="B62" s="236"/>
      <c r="C62" s="208" t="s">
        <v>100</v>
      </c>
      <c r="D62" s="209">
        <v>0.1</v>
      </c>
      <c r="E62" s="210">
        <v>22000</v>
      </c>
      <c r="F62" s="210">
        <f t="shared" si="3"/>
        <v>2200</v>
      </c>
      <c r="G62" s="223"/>
      <c r="H62" s="238"/>
    </row>
    <row r="63" spans="1:8">
      <c r="A63" s="211"/>
      <c r="B63" s="236"/>
      <c r="C63" s="208" t="s">
        <v>101</v>
      </c>
      <c r="D63" s="209">
        <v>1</v>
      </c>
      <c r="E63" s="210">
        <v>28000</v>
      </c>
      <c r="F63" s="210">
        <f t="shared" si="3"/>
        <v>28000</v>
      </c>
      <c r="G63" s="223"/>
      <c r="H63" s="238"/>
    </row>
    <row r="64" spans="1:8">
      <c r="A64" s="211"/>
      <c r="B64" s="236"/>
      <c r="C64" s="208" t="s">
        <v>48</v>
      </c>
      <c r="D64" s="209">
        <v>2</v>
      </c>
      <c r="E64" s="210">
        <v>26000</v>
      </c>
      <c r="F64" s="210">
        <f t="shared" si="3"/>
        <v>52000</v>
      </c>
      <c r="G64" s="223"/>
      <c r="H64" s="238"/>
    </row>
    <row r="65" spans="1:8">
      <c r="A65" s="211"/>
      <c r="B65" s="236"/>
      <c r="C65" s="208" t="s">
        <v>102</v>
      </c>
      <c r="D65" s="209">
        <v>1</v>
      </c>
      <c r="E65" s="210">
        <v>11000</v>
      </c>
      <c r="F65" s="210">
        <f t="shared" si="3"/>
        <v>11000</v>
      </c>
      <c r="G65" s="223"/>
      <c r="H65" s="238"/>
    </row>
    <row r="66" spans="1:8">
      <c r="A66" s="212"/>
      <c r="B66" s="237"/>
      <c r="C66" s="208" t="s">
        <v>33</v>
      </c>
      <c r="D66" s="209">
        <v>2</v>
      </c>
      <c r="E66" s="210">
        <v>65000</v>
      </c>
      <c r="F66" s="210">
        <f t="shared" si="3"/>
        <v>130000</v>
      </c>
      <c r="G66" s="225"/>
      <c r="H66" s="238"/>
    </row>
    <row r="67" spans="1:8">
      <c r="A67" s="207">
        <v>46056</v>
      </c>
      <c r="B67" s="302" t="s">
        <v>103</v>
      </c>
      <c r="C67" s="208" t="s">
        <v>64</v>
      </c>
      <c r="D67" s="209">
        <v>10</v>
      </c>
      <c r="E67" s="210">
        <v>25000</v>
      </c>
      <c r="F67" s="210">
        <f t="shared" ref="F67:F88" si="4">E67*D67</f>
        <v>250000</v>
      </c>
      <c r="G67" s="221">
        <f>SUM(F67:F88)</f>
        <v>2165540</v>
      </c>
      <c r="H67" s="238"/>
    </row>
    <row r="68" spans="1:8">
      <c r="A68" s="211"/>
      <c r="B68" s="236"/>
      <c r="C68" s="208" t="s">
        <v>89</v>
      </c>
      <c r="D68" s="209">
        <v>5</v>
      </c>
      <c r="E68" s="210">
        <v>25000</v>
      </c>
      <c r="F68" s="210">
        <f t="shared" si="4"/>
        <v>125000</v>
      </c>
      <c r="G68" s="223"/>
      <c r="H68" s="238"/>
    </row>
    <row r="69" spans="1:8">
      <c r="A69" s="211"/>
      <c r="B69" s="236"/>
      <c r="C69" s="208" t="s">
        <v>24</v>
      </c>
      <c r="D69" s="209">
        <v>4</v>
      </c>
      <c r="E69" s="210">
        <v>39000</v>
      </c>
      <c r="F69" s="210">
        <f t="shared" si="4"/>
        <v>156000</v>
      </c>
      <c r="G69" s="223"/>
      <c r="H69" s="238"/>
    </row>
    <row r="70" spans="1:8">
      <c r="A70" s="211"/>
      <c r="B70" s="236"/>
      <c r="C70" s="208" t="s">
        <v>62</v>
      </c>
      <c r="D70" s="209">
        <v>3.4</v>
      </c>
      <c r="E70" s="210">
        <v>25000</v>
      </c>
      <c r="F70" s="210">
        <f t="shared" si="4"/>
        <v>85000</v>
      </c>
      <c r="G70" s="223"/>
      <c r="H70" s="238"/>
    </row>
    <row r="71" spans="1:8">
      <c r="A71" s="211"/>
      <c r="B71" s="236"/>
      <c r="C71" s="208" t="s">
        <v>63</v>
      </c>
      <c r="D71" s="209">
        <v>4</v>
      </c>
      <c r="E71" s="210">
        <v>66000</v>
      </c>
      <c r="F71" s="210">
        <f t="shared" si="4"/>
        <v>264000</v>
      </c>
      <c r="G71" s="223"/>
      <c r="H71" s="238"/>
    </row>
    <row r="72" spans="1:8">
      <c r="A72" s="211"/>
      <c r="B72" s="236"/>
      <c r="C72" s="208" t="s">
        <v>104</v>
      </c>
      <c r="D72" s="209">
        <v>3</v>
      </c>
      <c r="E72" s="210">
        <v>25000</v>
      </c>
      <c r="F72" s="210">
        <f t="shared" si="4"/>
        <v>75000</v>
      </c>
      <c r="G72" s="223"/>
      <c r="H72" s="238"/>
    </row>
    <row r="73" spans="1:8">
      <c r="A73" s="211"/>
      <c r="B73" s="236"/>
      <c r="C73" s="208" t="s">
        <v>105</v>
      </c>
      <c r="D73" s="209">
        <v>2</v>
      </c>
      <c r="E73" s="210">
        <v>150000</v>
      </c>
      <c r="F73" s="210">
        <f t="shared" si="4"/>
        <v>300000</v>
      </c>
      <c r="G73" s="223"/>
      <c r="H73" s="238"/>
    </row>
    <row r="74" spans="1:8">
      <c r="A74" s="211"/>
      <c r="B74" s="236"/>
      <c r="C74" s="208" t="s">
        <v>37</v>
      </c>
      <c r="D74" s="209">
        <v>1</v>
      </c>
      <c r="E74" s="210">
        <v>145000</v>
      </c>
      <c r="F74" s="210">
        <f t="shared" si="4"/>
        <v>145000</v>
      </c>
      <c r="G74" s="223"/>
      <c r="H74" s="238"/>
    </row>
    <row r="75" spans="1:8">
      <c r="A75" s="211"/>
      <c r="B75" s="236"/>
      <c r="C75" s="208" t="s">
        <v>23</v>
      </c>
      <c r="D75" s="209">
        <v>2</v>
      </c>
      <c r="E75" s="210">
        <v>45000</v>
      </c>
      <c r="F75" s="210">
        <f t="shared" si="4"/>
        <v>90000</v>
      </c>
      <c r="G75" s="223"/>
      <c r="H75" s="238"/>
    </row>
    <row r="76" spans="1:8">
      <c r="A76" s="211"/>
      <c r="B76" s="236"/>
      <c r="C76" s="208" t="s">
        <v>38</v>
      </c>
      <c r="D76" s="209">
        <v>2</v>
      </c>
      <c r="E76" s="210">
        <v>105000</v>
      </c>
      <c r="F76" s="210">
        <f t="shared" si="4"/>
        <v>210000</v>
      </c>
      <c r="G76" s="223"/>
      <c r="H76" s="238"/>
    </row>
    <row r="77" spans="1:8">
      <c r="A77" s="211"/>
      <c r="B77" s="236"/>
      <c r="C77" s="208" t="s">
        <v>106</v>
      </c>
      <c r="D77" s="209">
        <v>1</v>
      </c>
      <c r="E77" s="210">
        <v>200000</v>
      </c>
      <c r="F77" s="210">
        <f t="shared" si="4"/>
        <v>200000</v>
      </c>
      <c r="G77" s="223"/>
      <c r="H77" s="238"/>
    </row>
    <row r="78" spans="1:8">
      <c r="A78" s="211"/>
      <c r="B78" s="236"/>
      <c r="C78" s="208" t="s">
        <v>48</v>
      </c>
      <c r="D78" s="209">
        <v>2</v>
      </c>
      <c r="E78" s="210">
        <v>26000</v>
      </c>
      <c r="F78" s="210">
        <f t="shared" si="4"/>
        <v>52000</v>
      </c>
      <c r="G78" s="223"/>
      <c r="H78" s="238"/>
    </row>
    <row r="79" spans="1:8">
      <c r="A79" s="211"/>
      <c r="B79" s="236"/>
      <c r="C79" s="208" t="s">
        <v>94</v>
      </c>
      <c r="D79" s="209">
        <v>0.5</v>
      </c>
      <c r="E79" s="210">
        <v>72000</v>
      </c>
      <c r="F79" s="210">
        <f t="shared" si="4"/>
        <v>36000</v>
      </c>
      <c r="G79" s="223"/>
      <c r="H79" s="238"/>
    </row>
    <row r="80" spans="1:8">
      <c r="A80" s="211"/>
      <c r="B80" s="236"/>
      <c r="C80" s="208" t="s">
        <v>107</v>
      </c>
      <c r="D80" s="209">
        <v>1</v>
      </c>
      <c r="E80" s="210">
        <v>18000</v>
      </c>
      <c r="F80" s="210">
        <f t="shared" si="4"/>
        <v>18000</v>
      </c>
      <c r="G80" s="223"/>
      <c r="H80" s="238"/>
    </row>
    <row r="81" spans="1:8">
      <c r="A81" s="211"/>
      <c r="B81" s="236"/>
      <c r="C81" s="208" t="s">
        <v>73</v>
      </c>
      <c r="D81" s="209">
        <v>1</v>
      </c>
      <c r="E81" s="210">
        <v>55000</v>
      </c>
      <c r="F81" s="210">
        <f t="shared" si="4"/>
        <v>55000</v>
      </c>
      <c r="G81" s="223"/>
      <c r="H81" s="238"/>
    </row>
    <row r="82" spans="1:8">
      <c r="A82" s="211"/>
      <c r="B82" s="236"/>
      <c r="C82" s="208" t="s">
        <v>102</v>
      </c>
      <c r="D82" s="209">
        <v>1</v>
      </c>
      <c r="E82" s="210">
        <v>11000</v>
      </c>
      <c r="F82" s="210">
        <f t="shared" si="4"/>
        <v>11000</v>
      </c>
      <c r="G82" s="223"/>
      <c r="H82" s="238"/>
    </row>
    <row r="83" spans="1:8">
      <c r="A83" s="211"/>
      <c r="B83" s="236"/>
      <c r="C83" s="208" t="s">
        <v>70</v>
      </c>
      <c r="D83" s="209">
        <v>0.2</v>
      </c>
      <c r="E83" s="210">
        <v>90000</v>
      </c>
      <c r="F83" s="210">
        <f t="shared" si="4"/>
        <v>18000</v>
      </c>
      <c r="G83" s="223"/>
      <c r="H83" s="238"/>
    </row>
    <row r="84" spans="1:8">
      <c r="A84" s="211"/>
      <c r="B84" s="236"/>
      <c r="C84" s="208" t="s">
        <v>91</v>
      </c>
      <c r="D84" s="209">
        <v>0.2</v>
      </c>
      <c r="E84" s="210">
        <v>72000</v>
      </c>
      <c r="F84" s="210">
        <f t="shared" si="4"/>
        <v>14400</v>
      </c>
      <c r="G84" s="223"/>
      <c r="H84" s="238"/>
    </row>
    <row r="85" spans="1:8">
      <c r="A85" s="211"/>
      <c r="B85" s="236"/>
      <c r="C85" s="208" t="s">
        <v>108</v>
      </c>
      <c r="D85" s="209">
        <v>0.1</v>
      </c>
      <c r="E85" s="210">
        <v>200000</v>
      </c>
      <c r="F85" s="210">
        <f t="shared" si="4"/>
        <v>20000</v>
      </c>
      <c r="G85" s="223"/>
      <c r="H85" s="238"/>
    </row>
    <row r="86" spans="1:8">
      <c r="A86" s="211"/>
      <c r="B86" s="236"/>
      <c r="C86" s="208" t="s">
        <v>67</v>
      </c>
      <c r="D86" s="209">
        <v>0.2</v>
      </c>
      <c r="E86" s="210">
        <v>83000</v>
      </c>
      <c r="F86" s="210">
        <f t="shared" si="4"/>
        <v>16600</v>
      </c>
      <c r="G86" s="223"/>
      <c r="H86" s="238"/>
    </row>
    <row r="87" spans="1:8">
      <c r="A87" s="211"/>
      <c r="B87" s="236"/>
      <c r="C87" s="208" t="s">
        <v>109</v>
      </c>
      <c r="D87" s="209">
        <v>0.07</v>
      </c>
      <c r="E87" s="210">
        <v>72000</v>
      </c>
      <c r="F87" s="210">
        <f t="shared" si="4"/>
        <v>5040</v>
      </c>
      <c r="G87" s="223"/>
      <c r="H87" s="238"/>
    </row>
    <row r="88" spans="1:8">
      <c r="A88" s="212"/>
      <c r="B88" s="237"/>
      <c r="C88" s="208" t="s">
        <v>66</v>
      </c>
      <c r="D88" s="209">
        <v>0.5</v>
      </c>
      <c r="E88" s="210">
        <v>39000</v>
      </c>
      <c r="F88" s="210">
        <f t="shared" si="4"/>
        <v>19500</v>
      </c>
      <c r="G88" s="225"/>
      <c r="H88" s="238"/>
    </row>
    <row r="89" spans="1:8">
      <c r="A89" s="207">
        <v>46056</v>
      </c>
      <c r="B89" s="302" t="s">
        <v>110</v>
      </c>
      <c r="C89" s="208" t="s">
        <v>111</v>
      </c>
      <c r="D89" s="209">
        <v>0.07</v>
      </c>
      <c r="E89" s="210">
        <v>77000</v>
      </c>
      <c r="F89" s="210">
        <f t="shared" ref="F89:F103" si="5">E89*D89</f>
        <v>5390</v>
      </c>
      <c r="G89" s="221">
        <f>SUM(F89:F103)</f>
        <v>882590</v>
      </c>
      <c r="H89" s="238"/>
    </row>
    <row r="90" spans="1:8">
      <c r="A90" s="211"/>
      <c r="B90" s="236"/>
      <c r="C90" s="208" t="s">
        <v>69</v>
      </c>
      <c r="D90" s="209">
        <v>0.5</v>
      </c>
      <c r="E90" s="210">
        <v>70000</v>
      </c>
      <c r="F90" s="210">
        <f t="shared" si="5"/>
        <v>35000</v>
      </c>
      <c r="G90" s="223"/>
      <c r="H90" s="238"/>
    </row>
    <row r="91" spans="1:8">
      <c r="A91" s="211"/>
      <c r="B91" s="236"/>
      <c r="C91" s="208" t="s">
        <v>39</v>
      </c>
      <c r="D91" s="209">
        <v>1</v>
      </c>
      <c r="E91" s="210">
        <v>250000</v>
      </c>
      <c r="F91" s="210">
        <f t="shared" si="5"/>
        <v>250000</v>
      </c>
      <c r="G91" s="223"/>
      <c r="H91" s="238"/>
    </row>
    <row r="92" spans="1:8">
      <c r="A92" s="211"/>
      <c r="B92" s="236"/>
      <c r="C92" s="208" t="s">
        <v>52</v>
      </c>
      <c r="D92" s="209">
        <v>4</v>
      </c>
      <c r="E92" s="210">
        <v>10000</v>
      </c>
      <c r="F92" s="210">
        <f t="shared" si="5"/>
        <v>40000</v>
      </c>
      <c r="G92" s="223"/>
      <c r="H92" s="238"/>
    </row>
    <row r="93" spans="1:8">
      <c r="A93" s="211"/>
      <c r="B93" s="236"/>
      <c r="C93" s="239" t="s">
        <v>34</v>
      </c>
      <c r="D93" s="240">
        <v>1</v>
      </c>
      <c r="E93" s="95">
        <v>50000</v>
      </c>
      <c r="F93" s="210">
        <f t="shared" si="5"/>
        <v>50000</v>
      </c>
      <c r="G93" s="223"/>
      <c r="H93" s="238"/>
    </row>
    <row r="94" spans="1:8">
      <c r="A94" s="211"/>
      <c r="B94" s="236"/>
      <c r="C94" s="239" t="s">
        <v>47</v>
      </c>
      <c r="D94" s="240">
        <v>2</v>
      </c>
      <c r="E94" s="95">
        <v>39000</v>
      </c>
      <c r="F94" s="210">
        <f t="shared" si="5"/>
        <v>78000</v>
      </c>
      <c r="G94" s="223"/>
      <c r="H94" s="238"/>
    </row>
    <row r="95" spans="1:8">
      <c r="A95" s="211"/>
      <c r="B95" s="236"/>
      <c r="C95" s="239" t="s">
        <v>17</v>
      </c>
      <c r="D95" s="240">
        <v>2</v>
      </c>
      <c r="E95" s="95">
        <v>39000</v>
      </c>
      <c r="F95" s="210">
        <f t="shared" si="5"/>
        <v>78000</v>
      </c>
      <c r="G95" s="223"/>
      <c r="H95" s="238"/>
    </row>
    <row r="96" spans="1:8">
      <c r="A96" s="211"/>
      <c r="B96" s="236"/>
      <c r="C96" s="239" t="s">
        <v>80</v>
      </c>
      <c r="D96" s="240">
        <v>0.7</v>
      </c>
      <c r="E96" s="95">
        <v>55000</v>
      </c>
      <c r="F96" s="210">
        <f t="shared" si="5"/>
        <v>38500</v>
      </c>
      <c r="G96" s="223"/>
      <c r="H96" s="238"/>
    </row>
    <row r="97" spans="1:8">
      <c r="A97" s="211"/>
      <c r="B97" s="236"/>
      <c r="C97" s="239" t="s">
        <v>81</v>
      </c>
      <c r="D97" s="240">
        <v>0.7</v>
      </c>
      <c r="E97" s="95">
        <v>68000</v>
      </c>
      <c r="F97" s="210">
        <f t="shared" si="5"/>
        <v>47600</v>
      </c>
      <c r="G97" s="223"/>
      <c r="H97" s="238"/>
    </row>
    <row r="98" spans="1:8">
      <c r="A98" s="211"/>
      <c r="B98" s="236"/>
      <c r="C98" s="239" t="s">
        <v>25</v>
      </c>
      <c r="D98" s="240">
        <v>0.2</v>
      </c>
      <c r="E98" s="95">
        <v>28000</v>
      </c>
      <c r="F98" s="210">
        <f t="shared" si="5"/>
        <v>5600</v>
      </c>
      <c r="G98" s="223"/>
      <c r="H98" s="238"/>
    </row>
    <row r="99" spans="1:8">
      <c r="A99" s="211"/>
      <c r="B99" s="236"/>
      <c r="C99" s="239" t="s">
        <v>83</v>
      </c>
      <c r="D99" s="240">
        <v>0.2</v>
      </c>
      <c r="E99" s="95">
        <v>120000</v>
      </c>
      <c r="F99" s="210">
        <f t="shared" si="5"/>
        <v>24000</v>
      </c>
      <c r="G99" s="223"/>
      <c r="H99" s="238"/>
    </row>
    <row r="100" spans="1:8">
      <c r="A100" s="211"/>
      <c r="B100" s="236"/>
      <c r="C100" s="239" t="s">
        <v>77</v>
      </c>
      <c r="D100" s="240">
        <v>1</v>
      </c>
      <c r="E100" s="95">
        <v>45000</v>
      </c>
      <c r="F100" s="210">
        <f t="shared" si="5"/>
        <v>45000</v>
      </c>
      <c r="G100" s="223"/>
      <c r="H100" s="238"/>
    </row>
    <row r="101" spans="1:9">
      <c r="A101" s="211"/>
      <c r="B101" s="236"/>
      <c r="C101" s="239" t="s">
        <v>75</v>
      </c>
      <c r="D101" s="240">
        <v>0.5</v>
      </c>
      <c r="E101" s="95">
        <v>61000</v>
      </c>
      <c r="F101" s="210">
        <f t="shared" si="5"/>
        <v>30500</v>
      </c>
      <c r="G101" s="223"/>
      <c r="H101" s="238"/>
      <c r="I101" s="229"/>
    </row>
    <row r="102" spans="1:8">
      <c r="A102" s="211"/>
      <c r="B102" s="236"/>
      <c r="C102" s="239" t="s">
        <v>27</v>
      </c>
      <c r="D102" s="240">
        <v>30</v>
      </c>
      <c r="E102" s="95">
        <v>1000</v>
      </c>
      <c r="F102" s="210">
        <f t="shared" si="5"/>
        <v>30000</v>
      </c>
      <c r="G102" s="223"/>
      <c r="H102" s="238"/>
    </row>
    <row r="103" spans="1:8">
      <c r="A103" s="212"/>
      <c r="B103" s="237"/>
      <c r="C103" s="239" t="s">
        <v>112</v>
      </c>
      <c r="D103" s="240">
        <v>5</v>
      </c>
      <c r="E103" s="95">
        <v>25000</v>
      </c>
      <c r="F103" s="210">
        <f t="shared" si="5"/>
        <v>125000</v>
      </c>
      <c r="G103" s="225"/>
      <c r="H103" s="238"/>
    </row>
    <row r="104" spans="1:8">
      <c r="A104" s="241">
        <v>46057</v>
      </c>
      <c r="B104" s="304" t="s">
        <v>113</v>
      </c>
      <c r="C104" s="239" t="s">
        <v>68</v>
      </c>
      <c r="D104" s="240">
        <v>0.07</v>
      </c>
      <c r="E104" s="95">
        <v>77000</v>
      </c>
      <c r="F104" s="210">
        <f t="shared" ref="F104:F125" si="6">E104*D104</f>
        <v>5390</v>
      </c>
      <c r="G104" s="247">
        <f>SUM(F104:F125)</f>
        <v>1477150</v>
      </c>
      <c r="H104" s="238"/>
    </row>
    <row r="105" spans="1:8">
      <c r="A105" s="243"/>
      <c r="B105" s="244"/>
      <c r="C105" s="239" t="s">
        <v>15</v>
      </c>
      <c r="D105" s="240">
        <v>0.07</v>
      </c>
      <c r="E105" s="95">
        <v>198000</v>
      </c>
      <c r="F105" s="210">
        <f t="shared" si="6"/>
        <v>13860</v>
      </c>
      <c r="G105" s="248"/>
      <c r="H105" s="238"/>
    </row>
    <row r="106" spans="1:8">
      <c r="A106" s="243"/>
      <c r="B106" s="244"/>
      <c r="C106" s="239" t="s">
        <v>91</v>
      </c>
      <c r="D106" s="240">
        <v>0.3</v>
      </c>
      <c r="E106" s="95">
        <v>72000</v>
      </c>
      <c r="F106" s="210">
        <f t="shared" si="6"/>
        <v>21600</v>
      </c>
      <c r="G106" s="248"/>
      <c r="H106" s="238"/>
    </row>
    <row r="107" spans="1:8">
      <c r="A107" s="243"/>
      <c r="B107" s="244"/>
      <c r="C107" s="239" t="s">
        <v>72</v>
      </c>
      <c r="D107" s="240">
        <v>2.5</v>
      </c>
      <c r="E107" s="95">
        <v>70000</v>
      </c>
      <c r="F107" s="210">
        <f t="shared" si="6"/>
        <v>175000</v>
      </c>
      <c r="G107" s="248"/>
      <c r="H107" s="238"/>
    </row>
    <row r="108" spans="1:8">
      <c r="A108" s="243"/>
      <c r="B108" s="244"/>
      <c r="C108" s="239" t="s">
        <v>71</v>
      </c>
      <c r="D108" s="240">
        <v>0.3</v>
      </c>
      <c r="E108" s="95">
        <v>55000</v>
      </c>
      <c r="F108" s="210">
        <f t="shared" si="6"/>
        <v>16500</v>
      </c>
      <c r="G108" s="248"/>
      <c r="H108" s="238"/>
    </row>
    <row r="109" spans="1:8">
      <c r="A109" s="243"/>
      <c r="B109" s="244"/>
      <c r="C109" s="239" t="s">
        <v>94</v>
      </c>
      <c r="D109" s="240">
        <v>0.5</v>
      </c>
      <c r="E109" s="95">
        <v>72000</v>
      </c>
      <c r="F109" s="210">
        <f t="shared" si="6"/>
        <v>36000</v>
      </c>
      <c r="G109" s="248"/>
      <c r="H109" s="238"/>
    </row>
    <row r="110" spans="1:8">
      <c r="A110" s="243"/>
      <c r="B110" s="244"/>
      <c r="C110" s="239" t="s">
        <v>92</v>
      </c>
      <c r="D110" s="240">
        <v>0.5</v>
      </c>
      <c r="E110" s="95">
        <v>83000</v>
      </c>
      <c r="F110" s="210">
        <f t="shared" si="6"/>
        <v>41500</v>
      </c>
      <c r="G110" s="248"/>
      <c r="H110" s="238"/>
    </row>
    <row r="111" spans="1:8">
      <c r="A111" s="243"/>
      <c r="B111" s="244"/>
      <c r="C111" s="239" t="s">
        <v>93</v>
      </c>
      <c r="D111" s="240">
        <v>0.5</v>
      </c>
      <c r="E111" s="95">
        <v>94000</v>
      </c>
      <c r="F111" s="210">
        <f t="shared" si="6"/>
        <v>47000</v>
      </c>
      <c r="G111" s="248"/>
      <c r="H111" s="238"/>
    </row>
    <row r="112" spans="1:8">
      <c r="A112" s="243"/>
      <c r="B112" s="244"/>
      <c r="C112" s="239" t="s">
        <v>21</v>
      </c>
      <c r="D112" s="240">
        <v>2</v>
      </c>
      <c r="E112" s="95">
        <v>28000</v>
      </c>
      <c r="F112" s="210">
        <f t="shared" si="6"/>
        <v>56000</v>
      </c>
      <c r="G112" s="248"/>
      <c r="H112" s="238"/>
    </row>
    <row r="113" spans="1:8">
      <c r="A113" s="243"/>
      <c r="B113" s="244"/>
      <c r="C113" s="239" t="s">
        <v>64</v>
      </c>
      <c r="D113" s="240">
        <v>5</v>
      </c>
      <c r="E113" s="95">
        <v>25000</v>
      </c>
      <c r="F113" s="210">
        <f t="shared" si="6"/>
        <v>125000</v>
      </c>
      <c r="G113" s="248"/>
      <c r="H113" s="238"/>
    </row>
    <row r="114" spans="1:8">
      <c r="A114" s="243"/>
      <c r="B114" s="244"/>
      <c r="C114" s="239" t="s">
        <v>63</v>
      </c>
      <c r="D114" s="240">
        <v>3</v>
      </c>
      <c r="E114" s="95">
        <v>66000</v>
      </c>
      <c r="F114" s="210">
        <f t="shared" si="6"/>
        <v>198000</v>
      </c>
      <c r="G114" s="248"/>
      <c r="H114" s="238"/>
    </row>
    <row r="115" spans="1:8">
      <c r="A115" s="243"/>
      <c r="B115" s="244"/>
      <c r="C115" s="208" t="s">
        <v>61</v>
      </c>
      <c r="D115" s="209">
        <v>2</v>
      </c>
      <c r="E115" s="210">
        <v>25000</v>
      </c>
      <c r="F115" s="210">
        <f t="shared" si="6"/>
        <v>50000</v>
      </c>
      <c r="G115" s="248"/>
      <c r="H115" s="238"/>
    </row>
    <row r="116" spans="1:8">
      <c r="A116" s="243"/>
      <c r="B116" s="244"/>
      <c r="C116" s="208" t="s">
        <v>62</v>
      </c>
      <c r="D116" s="209">
        <v>3</v>
      </c>
      <c r="E116" s="210">
        <v>25000</v>
      </c>
      <c r="F116" s="210">
        <f t="shared" si="6"/>
        <v>75000</v>
      </c>
      <c r="G116" s="248"/>
      <c r="H116" s="238"/>
    </row>
    <row r="117" spans="1:8">
      <c r="A117" s="243"/>
      <c r="B117" s="244"/>
      <c r="C117" s="208" t="s">
        <v>49</v>
      </c>
      <c r="D117" s="209">
        <v>2</v>
      </c>
      <c r="E117" s="210">
        <v>105000</v>
      </c>
      <c r="F117" s="210">
        <f t="shared" si="6"/>
        <v>210000</v>
      </c>
      <c r="G117" s="248"/>
      <c r="H117" s="238"/>
    </row>
    <row r="118" spans="1:8">
      <c r="A118" s="243"/>
      <c r="B118" s="244"/>
      <c r="C118" s="208" t="s">
        <v>7</v>
      </c>
      <c r="D118" s="209">
        <v>3</v>
      </c>
      <c r="E118" s="210">
        <v>35000</v>
      </c>
      <c r="F118" s="210">
        <f t="shared" si="6"/>
        <v>105000</v>
      </c>
      <c r="G118" s="248"/>
      <c r="H118" s="238"/>
    </row>
    <row r="119" spans="1:8">
      <c r="A119" s="243"/>
      <c r="B119" s="244"/>
      <c r="C119" s="208" t="s">
        <v>114</v>
      </c>
      <c r="D119" s="209">
        <v>1</v>
      </c>
      <c r="E119" s="210">
        <v>85000</v>
      </c>
      <c r="F119" s="210">
        <f t="shared" si="6"/>
        <v>85000</v>
      </c>
      <c r="G119" s="248"/>
      <c r="H119" s="238"/>
    </row>
    <row r="120" spans="1:8">
      <c r="A120" s="243"/>
      <c r="B120" s="244"/>
      <c r="C120" s="208" t="s">
        <v>83</v>
      </c>
      <c r="D120" s="209">
        <v>0.3</v>
      </c>
      <c r="E120" s="210">
        <v>120000</v>
      </c>
      <c r="F120" s="210">
        <f t="shared" si="6"/>
        <v>36000</v>
      </c>
      <c r="G120" s="248"/>
      <c r="H120" s="238"/>
    </row>
    <row r="121" spans="1:8">
      <c r="A121" s="243"/>
      <c r="B121" s="244"/>
      <c r="C121" s="208" t="s">
        <v>80</v>
      </c>
      <c r="D121" s="209">
        <v>0.7</v>
      </c>
      <c r="E121" s="210">
        <v>55000</v>
      </c>
      <c r="F121" s="210">
        <f t="shared" si="6"/>
        <v>38500</v>
      </c>
      <c r="G121" s="248"/>
      <c r="H121" s="238"/>
    </row>
    <row r="122" spans="1:8">
      <c r="A122" s="243"/>
      <c r="B122" s="244"/>
      <c r="C122" s="208" t="s">
        <v>81</v>
      </c>
      <c r="D122" s="209">
        <v>0.7</v>
      </c>
      <c r="E122" s="210">
        <v>68000</v>
      </c>
      <c r="F122" s="210">
        <f t="shared" si="6"/>
        <v>47600</v>
      </c>
      <c r="G122" s="248"/>
      <c r="H122" s="238"/>
    </row>
    <row r="123" spans="1:8">
      <c r="A123" s="243"/>
      <c r="B123" s="244"/>
      <c r="C123" s="208" t="s">
        <v>78</v>
      </c>
      <c r="D123" s="209">
        <v>0.4</v>
      </c>
      <c r="E123" s="210">
        <v>44000</v>
      </c>
      <c r="F123" s="210">
        <f t="shared" si="6"/>
        <v>17600</v>
      </c>
      <c r="G123" s="248"/>
      <c r="H123" s="238"/>
    </row>
    <row r="124" spans="1:8">
      <c r="A124" s="243"/>
      <c r="B124" s="244"/>
      <c r="C124" s="208" t="s">
        <v>115</v>
      </c>
      <c r="D124" s="209">
        <v>0.4</v>
      </c>
      <c r="E124" s="210">
        <v>94000</v>
      </c>
      <c r="F124" s="210">
        <f t="shared" si="6"/>
        <v>37600</v>
      </c>
      <c r="G124" s="248"/>
      <c r="H124" s="238"/>
    </row>
    <row r="125" spans="1:8">
      <c r="A125" s="245"/>
      <c r="B125" s="246"/>
      <c r="C125" s="208" t="s">
        <v>17</v>
      </c>
      <c r="D125" s="209">
        <v>1</v>
      </c>
      <c r="E125" s="210">
        <v>39000</v>
      </c>
      <c r="F125" s="210">
        <f t="shared" si="6"/>
        <v>39000</v>
      </c>
      <c r="G125" s="249"/>
      <c r="H125" s="238"/>
    </row>
    <row r="126" spans="1:8">
      <c r="A126" s="207">
        <v>46057</v>
      </c>
      <c r="B126" s="302" t="s">
        <v>116</v>
      </c>
      <c r="C126" s="208" t="s">
        <v>47</v>
      </c>
      <c r="D126" s="209">
        <v>1.5</v>
      </c>
      <c r="E126" s="210">
        <v>39000</v>
      </c>
      <c r="F126" s="210">
        <f t="shared" ref="F126:F131" si="7">E126*D126</f>
        <v>58500</v>
      </c>
      <c r="G126" s="221">
        <f>SUM(F126:F131)</f>
        <v>454500</v>
      </c>
      <c r="H126" s="238"/>
    </row>
    <row r="127" spans="1:8">
      <c r="A127" s="211"/>
      <c r="B127" s="236"/>
      <c r="C127" s="208" t="s">
        <v>35</v>
      </c>
      <c r="D127" s="209">
        <v>6</v>
      </c>
      <c r="E127" s="210">
        <v>15000</v>
      </c>
      <c r="F127" s="210">
        <f t="shared" si="7"/>
        <v>90000</v>
      </c>
      <c r="G127" s="223"/>
      <c r="H127" s="238"/>
    </row>
    <row r="128" spans="1:8">
      <c r="A128" s="211"/>
      <c r="B128" s="236"/>
      <c r="C128" s="208" t="s">
        <v>16</v>
      </c>
      <c r="D128" s="209">
        <v>1</v>
      </c>
      <c r="E128" s="210">
        <v>50000</v>
      </c>
      <c r="F128" s="210">
        <f t="shared" si="7"/>
        <v>50000</v>
      </c>
      <c r="G128" s="223"/>
      <c r="H128" s="238"/>
    </row>
    <row r="129" spans="1:8">
      <c r="A129" s="211"/>
      <c r="B129" s="236"/>
      <c r="C129" s="208" t="s">
        <v>54</v>
      </c>
      <c r="D129" s="209">
        <v>1</v>
      </c>
      <c r="E129" s="210">
        <v>61000</v>
      </c>
      <c r="F129" s="210">
        <f t="shared" si="7"/>
        <v>61000</v>
      </c>
      <c r="G129" s="223"/>
      <c r="H129" s="238"/>
    </row>
    <row r="130" spans="1:8">
      <c r="A130" s="211"/>
      <c r="B130" s="236"/>
      <c r="C130" s="208" t="s">
        <v>95</v>
      </c>
      <c r="D130" s="209">
        <v>5</v>
      </c>
      <c r="E130" s="210">
        <v>25000</v>
      </c>
      <c r="F130" s="210">
        <f t="shared" si="7"/>
        <v>125000</v>
      </c>
      <c r="G130" s="223"/>
      <c r="H130" s="238"/>
    </row>
    <row r="131" spans="1:8">
      <c r="A131" s="212"/>
      <c r="B131" s="237"/>
      <c r="C131" s="208" t="s">
        <v>26</v>
      </c>
      <c r="D131" s="209">
        <v>2</v>
      </c>
      <c r="E131" s="210">
        <v>35000</v>
      </c>
      <c r="F131" s="210">
        <f t="shared" si="7"/>
        <v>70000</v>
      </c>
      <c r="G131" s="225"/>
      <c r="H131" s="238"/>
    </row>
    <row r="132" spans="1:8">
      <c r="A132" s="250">
        <v>46058</v>
      </c>
      <c r="B132" s="305" t="s">
        <v>117</v>
      </c>
      <c r="C132" s="208" t="s">
        <v>64</v>
      </c>
      <c r="D132" s="209">
        <v>7</v>
      </c>
      <c r="E132" s="210">
        <v>25000</v>
      </c>
      <c r="F132" s="210">
        <f t="shared" ref="F132:F152" si="8">E132*D132</f>
        <v>175000</v>
      </c>
      <c r="G132" s="256">
        <f>SUM(F132:F152)</f>
        <v>1746500</v>
      </c>
      <c r="H132" s="257"/>
    </row>
    <row r="133" spans="1:8">
      <c r="A133" s="252"/>
      <c r="B133" s="253"/>
      <c r="C133" s="208" t="s">
        <v>63</v>
      </c>
      <c r="D133" s="209">
        <v>3</v>
      </c>
      <c r="E133" s="210">
        <v>66000</v>
      </c>
      <c r="F133" s="210">
        <f t="shared" si="8"/>
        <v>198000</v>
      </c>
      <c r="G133" s="258"/>
      <c r="H133" s="257"/>
    </row>
    <row r="134" spans="1:8">
      <c r="A134" s="252"/>
      <c r="B134" s="253"/>
      <c r="C134" s="208" t="s">
        <v>118</v>
      </c>
      <c r="D134" s="209">
        <v>1</v>
      </c>
      <c r="E134" s="210">
        <v>250000</v>
      </c>
      <c r="F134" s="210">
        <f t="shared" si="8"/>
        <v>250000</v>
      </c>
      <c r="G134" s="258"/>
      <c r="H134" s="257"/>
    </row>
    <row r="135" spans="1:8">
      <c r="A135" s="252"/>
      <c r="B135" s="253"/>
      <c r="C135" s="208" t="s">
        <v>119</v>
      </c>
      <c r="D135" s="209">
        <v>2</v>
      </c>
      <c r="E135" s="210">
        <v>25000</v>
      </c>
      <c r="F135" s="210">
        <f t="shared" si="8"/>
        <v>50000</v>
      </c>
      <c r="G135" s="258"/>
      <c r="H135" s="257"/>
    </row>
    <row r="136" spans="1:8">
      <c r="A136" s="252"/>
      <c r="B136" s="253"/>
      <c r="C136" s="208" t="s">
        <v>44</v>
      </c>
      <c r="D136" s="209">
        <v>1</v>
      </c>
      <c r="E136" s="210">
        <v>175000</v>
      </c>
      <c r="F136" s="210">
        <f t="shared" si="8"/>
        <v>175000</v>
      </c>
      <c r="G136" s="258"/>
      <c r="H136" s="257"/>
    </row>
    <row r="137" spans="1:8">
      <c r="A137" s="252"/>
      <c r="B137" s="253"/>
      <c r="C137" s="208" t="s">
        <v>7</v>
      </c>
      <c r="D137" s="209">
        <v>2</v>
      </c>
      <c r="E137" s="210">
        <v>35000</v>
      </c>
      <c r="F137" s="210">
        <f t="shared" si="8"/>
        <v>70000</v>
      </c>
      <c r="G137" s="258"/>
      <c r="H137" s="257"/>
    </row>
    <row r="138" spans="1:8">
      <c r="A138" s="252"/>
      <c r="B138" s="253"/>
      <c r="C138" s="208" t="s">
        <v>120</v>
      </c>
      <c r="D138" s="209">
        <v>2</v>
      </c>
      <c r="E138" s="210">
        <v>120000</v>
      </c>
      <c r="F138" s="210">
        <f t="shared" si="8"/>
        <v>240000</v>
      </c>
      <c r="G138" s="258"/>
      <c r="H138" s="257"/>
    </row>
    <row r="139" spans="1:8">
      <c r="A139" s="252"/>
      <c r="B139" s="253"/>
      <c r="C139" s="208" t="s">
        <v>66</v>
      </c>
      <c r="D139" s="209">
        <v>0.1</v>
      </c>
      <c r="E139" s="210">
        <v>39000</v>
      </c>
      <c r="F139" s="210">
        <f t="shared" si="8"/>
        <v>3900</v>
      </c>
      <c r="G139" s="258"/>
      <c r="H139" s="257"/>
    </row>
    <row r="140" spans="1:8">
      <c r="A140" s="252"/>
      <c r="B140" s="253"/>
      <c r="C140" s="208" t="s">
        <v>109</v>
      </c>
      <c r="D140" s="209">
        <v>0.7</v>
      </c>
      <c r="E140" s="210">
        <v>72000</v>
      </c>
      <c r="F140" s="210">
        <f t="shared" si="8"/>
        <v>50400</v>
      </c>
      <c r="G140" s="258"/>
      <c r="H140" s="257"/>
    </row>
    <row r="141" spans="1:8">
      <c r="A141" s="252"/>
      <c r="B141" s="253"/>
      <c r="C141" s="208" t="s">
        <v>72</v>
      </c>
      <c r="D141" s="209">
        <v>0.3</v>
      </c>
      <c r="E141" s="210">
        <v>70000</v>
      </c>
      <c r="F141" s="210">
        <f t="shared" si="8"/>
        <v>21000</v>
      </c>
      <c r="G141" s="258"/>
      <c r="H141" s="257"/>
    </row>
    <row r="142" spans="1:8">
      <c r="A142" s="252"/>
      <c r="B142" s="253"/>
      <c r="C142" s="208" t="s">
        <v>121</v>
      </c>
      <c r="D142" s="209">
        <v>3</v>
      </c>
      <c r="E142" s="210">
        <v>40000</v>
      </c>
      <c r="F142" s="210">
        <f t="shared" si="8"/>
        <v>120000</v>
      </c>
      <c r="G142" s="258"/>
      <c r="H142" s="257"/>
    </row>
    <row r="143" spans="1:8">
      <c r="A143" s="252"/>
      <c r="B143" s="253"/>
      <c r="C143" s="208" t="s">
        <v>21</v>
      </c>
      <c r="D143" s="209">
        <v>3</v>
      </c>
      <c r="E143" s="210">
        <v>28000</v>
      </c>
      <c r="F143" s="210">
        <f t="shared" si="8"/>
        <v>84000</v>
      </c>
      <c r="G143" s="258"/>
      <c r="H143" s="257"/>
    </row>
    <row r="144" spans="1:8">
      <c r="A144" s="252"/>
      <c r="B144" s="253"/>
      <c r="C144" s="208" t="s">
        <v>62</v>
      </c>
      <c r="D144" s="209">
        <v>3.6</v>
      </c>
      <c r="E144" s="210">
        <v>25000</v>
      </c>
      <c r="F144" s="210">
        <f t="shared" si="8"/>
        <v>90000</v>
      </c>
      <c r="G144" s="258"/>
      <c r="H144" s="257"/>
    </row>
    <row r="145" spans="1:8">
      <c r="A145" s="252"/>
      <c r="B145" s="253"/>
      <c r="C145" s="208" t="s">
        <v>83</v>
      </c>
      <c r="D145" s="209">
        <v>0.3</v>
      </c>
      <c r="E145" s="210">
        <v>120000</v>
      </c>
      <c r="F145" s="210">
        <f t="shared" si="8"/>
        <v>36000</v>
      </c>
      <c r="G145" s="258"/>
      <c r="H145" s="257"/>
    </row>
    <row r="146" spans="1:8">
      <c r="A146" s="252"/>
      <c r="B146" s="253"/>
      <c r="C146" s="208" t="s">
        <v>122</v>
      </c>
      <c r="D146" s="209">
        <v>0.5</v>
      </c>
      <c r="E146" s="210">
        <v>55000</v>
      </c>
      <c r="F146" s="210">
        <f t="shared" si="8"/>
        <v>27500</v>
      </c>
      <c r="G146" s="258"/>
      <c r="H146" s="257"/>
    </row>
    <row r="147" spans="1:8">
      <c r="A147" s="252"/>
      <c r="B147" s="253"/>
      <c r="C147" s="208" t="s">
        <v>77</v>
      </c>
      <c r="D147" s="209">
        <v>0.7</v>
      </c>
      <c r="E147" s="210">
        <v>44000</v>
      </c>
      <c r="F147" s="210">
        <f t="shared" si="8"/>
        <v>30800</v>
      </c>
      <c r="G147" s="258"/>
      <c r="H147" s="257"/>
    </row>
    <row r="148" spans="1:8">
      <c r="A148" s="252"/>
      <c r="B148" s="253"/>
      <c r="C148" s="208" t="s">
        <v>78</v>
      </c>
      <c r="D148" s="209">
        <v>0.4</v>
      </c>
      <c r="E148" s="210">
        <v>44000</v>
      </c>
      <c r="F148" s="210">
        <f t="shared" si="8"/>
        <v>17600</v>
      </c>
      <c r="G148" s="258"/>
      <c r="H148" s="257"/>
    </row>
    <row r="149" spans="1:8">
      <c r="A149" s="252"/>
      <c r="B149" s="253"/>
      <c r="C149" s="208" t="s">
        <v>123</v>
      </c>
      <c r="D149" s="209">
        <v>0.4</v>
      </c>
      <c r="E149" s="210">
        <v>66000</v>
      </c>
      <c r="F149" s="210">
        <f t="shared" si="8"/>
        <v>26400</v>
      </c>
      <c r="G149" s="258"/>
      <c r="H149" s="257"/>
    </row>
    <row r="150" spans="1:8">
      <c r="A150" s="252"/>
      <c r="B150" s="253"/>
      <c r="C150" s="208" t="s">
        <v>80</v>
      </c>
      <c r="D150" s="209">
        <v>0.7</v>
      </c>
      <c r="E150" s="210">
        <v>55000</v>
      </c>
      <c r="F150" s="210">
        <f t="shared" si="8"/>
        <v>38500</v>
      </c>
      <c r="G150" s="258"/>
      <c r="H150" s="257"/>
    </row>
    <row r="151" spans="1:8">
      <c r="A151" s="252"/>
      <c r="B151" s="253"/>
      <c r="C151" s="208" t="s">
        <v>81</v>
      </c>
      <c r="D151" s="209">
        <v>0.5</v>
      </c>
      <c r="E151" s="210">
        <v>68000</v>
      </c>
      <c r="F151" s="210">
        <f t="shared" si="8"/>
        <v>34000</v>
      </c>
      <c r="G151" s="258"/>
      <c r="H151" s="257"/>
    </row>
    <row r="152" spans="1:8">
      <c r="A152" s="254"/>
      <c r="B152" s="255"/>
      <c r="C152" s="208" t="s">
        <v>25</v>
      </c>
      <c r="D152" s="209">
        <v>0.3</v>
      </c>
      <c r="E152" s="210">
        <v>28000</v>
      </c>
      <c r="F152" s="210">
        <f t="shared" si="8"/>
        <v>8400</v>
      </c>
      <c r="G152" s="259"/>
      <c r="H152" s="257"/>
    </row>
    <row r="153" spans="1:8">
      <c r="A153" s="250">
        <v>46058</v>
      </c>
      <c r="B153" s="305" t="s">
        <v>124</v>
      </c>
      <c r="C153" s="208" t="s">
        <v>17</v>
      </c>
      <c r="D153" s="209">
        <v>1</v>
      </c>
      <c r="E153" s="210">
        <v>39000</v>
      </c>
      <c r="F153" s="210">
        <f>E153*D153</f>
        <v>39000</v>
      </c>
      <c r="G153" s="256">
        <f>SUM(F153:F156)</f>
        <v>339000</v>
      </c>
      <c r="H153" s="257"/>
    </row>
    <row r="154" spans="1:8">
      <c r="A154" s="252"/>
      <c r="B154" s="253"/>
      <c r="C154" s="208" t="s">
        <v>47</v>
      </c>
      <c r="D154" s="209">
        <v>1.5</v>
      </c>
      <c r="E154" s="210">
        <v>39000</v>
      </c>
      <c r="F154" s="210">
        <f>E154*D154</f>
        <v>58500</v>
      </c>
      <c r="G154" s="258"/>
      <c r="H154" s="257"/>
    </row>
    <row r="155" spans="1:8">
      <c r="A155" s="252"/>
      <c r="B155" s="253"/>
      <c r="C155" s="208" t="s">
        <v>60</v>
      </c>
      <c r="D155" s="209">
        <v>1.5</v>
      </c>
      <c r="E155" s="210">
        <v>83000</v>
      </c>
      <c r="F155" s="210">
        <f>E155*D155</f>
        <v>124500</v>
      </c>
      <c r="G155" s="258"/>
      <c r="H155" s="257"/>
    </row>
    <row r="156" spans="1:8">
      <c r="A156" s="254"/>
      <c r="B156" s="255"/>
      <c r="C156" s="208" t="s">
        <v>98</v>
      </c>
      <c r="D156" s="209">
        <v>3</v>
      </c>
      <c r="E156" s="210">
        <v>39000</v>
      </c>
      <c r="F156" s="210">
        <f>E156*D156</f>
        <v>117000</v>
      </c>
      <c r="G156" s="259"/>
      <c r="H156" s="257"/>
    </row>
    <row r="157" spans="1:8">
      <c r="A157" s="250">
        <v>46059</v>
      </c>
      <c r="B157" s="305" t="s">
        <v>125</v>
      </c>
      <c r="C157" s="208" t="s">
        <v>64</v>
      </c>
      <c r="D157" s="209">
        <v>10</v>
      </c>
      <c r="E157" s="210">
        <v>25000</v>
      </c>
      <c r="F157" s="210">
        <f t="shared" ref="F157:F178" si="9">E157*D157</f>
        <v>250000</v>
      </c>
      <c r="G157" s="256">
        <f>SUM(F157:F178)</f>
        <v>1878090</v>
      </c>
      <c r="H157" s="260"/>
    </row>
    <row r="158" spans="1:8">
      <c r="A158" s="252"/>
      <c r="B158" s="253"/>
      <c r="C158" s="208" t="s">
        <v>24</v>
      </c>
      <c r="D158" s="209">
        <v>5</v>
      </c>
      <c r="E158" s="210">
        <v>39000</v>
      </c>
      <c r="F158" s="210">
        <f t="shared" si="9"/>
        <v>195000</v>
      </c>
      <c r="G158" s="258"/>
      <c r="H158" s="260"/>
    </row>
    <row r="159" spans="1:8">
      <c r="A159" s="252"/>
      <c r="B159" s="253"/>
      <c r="C159" s="208" t="s">
        <v>61</v>
      </c>
      <c r="D159" s="209">
        <v>2</v>
      </c>
      <c r="E159" s="210">
        <v>30000</v>
      </c>
      <c r="F159" s="210">
        <f t="shared" si="9"/>
        <v>60000</v>
      </c>
      <c r="G159" s="258"/>
      <c r="H159" s="260"/>
    </row>
    <row r="160" spans="1:8">
      <c r="A160" s="252"/>
      <c r="B160" s="253"/>
      <c r="C160" s="208" t="s">
        <v>63</v>
      </c>
      <c r="D160" s="209">
        <v>3</v>
      </c>
      <c r="E160" s="210">
        <v>66000</v>
      </c>
      <c r="F160" s="210">
        <f t="shared" si="9"/>
        <v>198000</v>
      </c>
      <c r="G160" s="258"/>
      <c r="H160" s="260"/>
    </row>
    <row r="161" spans="1:8">
      <c r="A161" s="252"/>
      <c r="B161" s="253"/>
      <c r="C161" s="208" t="s">
        <v>10</v>
      </c>
      <c r="D161" s="209">
        <v>3</v>
      </c>
      <c r="E161" s="210">
        <v>45000</v>
      </c>
      <c r="F161" s="210">
        <f t="shared" si="9"/>
        <v>135000</v>
      </c>
      <c r="G161" s="258"/>
      <c r="H161" s="260"/>
    </row>
    <row r="162" spans="1:8">
      <c r="A162" s="252"/>
      <c r="B162" s="253"/>
      <c r="C162" s="208" t="s">
        <v>126</v>
      </c>
      <c r="D162" s="209">
        <v>1</v>
      </c>
      <c r="E162" s="210">
        <v>65000</v>
      </c>
      <c r="F162" s="210">
        <f t="shared" si="9"/>
        <v>65000</v>
      </c>
      <c r="G162" s="258"/>
      <c r="H162" s="260"/>
    </row>
    <row r="163" spans="1:8">
      <c r="A163" s="252"/>
      <c r="B163" s="253"/>
      <c r="C163" s="208" t="s">
        <v>106</v>
      </c>
      <c r="D163" s="209">
        <v>1</v>
      </c>
      <c r="E163" s="210">
        <v>200000</v>
      </c>
      <c r="F163" s="210">
        <f t="shared" si="9"/>
        <v>200000</v>
      </c>
      <c r="G163" s="258"/>
      <c r="H163" s="260"/>
    </row>
    <row r="164" spans="1:8">
      <c r="A164" s="252"/>
      <c r="B164" s="253"/>
      <c r="C164" s="208" t="s">
        <v>102</v>
      </c>
      <c r="D164" s="209">
        <v>1</v>
      </c>
      <c r="E164" s="210">
        <v>11000</v>
      </c>
      <c r="F164" s="210">
        <f t="shared" si="9"/>
        <v>11000</v>
      </c>
      <c r="G164" s="258"/>
      <c r="H164" s="260"/>
    </row>
    <row r="165" spans="1:8">
      <c r="A165" s="252"/>
      <c r="B165" s="253"/>
      <c r="C165" s="208" t="s">
        <v>21</v>
      </c>
      <c r="D165" s="209">
        <v>2</v>
      </c>
      <c r="E165" s="210">
        <v>20000</v>
      </c>
      <c r="F165" s="210">
        <f t="shared" si="9"/>
        <v>40000</v>
      </c>
      <c r="G165" s="258"/>
      <c r="H165" s="260"/>
    </row>
    <row r="166" spans="1:8">
      <c r="A166" s="252"/>
      <c r="B166" s="253"/>
      <c r="C166" s="208" t="s">
        <v>94</v>
      </c>
      <c r="D166" s="209">
        <v>1</v>
      </c>
      <c r="E166" s="210">
        <v>72000</v>
      </c>
      <c r="F166" s="210">
        <f t="shared" si="9"/>
        <v>72000</v>
      </c>
      <c r="G166" s="258"/>
      <c r="H166" s="260"/>
    </row>
    <row r="167" spans="1:8">
      <c r="A167" s="252"/>
      <c r="B167" s="253"/>
      <c r="C167" s="208" t="s">
        <v>69</v>
      </c>
      <c r="D167" s="209">
        <v>1</v>
      </c>
      <c r="E167" s="210">
        <v>70000</v>
      </c>
      <c r="F167" s="210">
        <f t="shared" si="9"/>
        <v>70000</v>
      </c>
      <c r="G167" s="258"/>
      <c r="H167" s="260"/>
    </row>
    <row r="168" spans="1:8">
      <c r="A168" s="252"/>
      <c r="B168" s="253"/>
      <c r="C168" s="208" t="s">
        <v>111</v>
      </c>
      <c r="D168" s="209">
        <v>0.07</v>
      </c>
      <c r="E168" s="210">
        <v>77000</v>
      </c>
      <c r="F168" s="210">
        <f t="shared" si="9"/>
        <v>5390</v>
      </c>
      <c r="G168" s="258"/>
      <c r="H168" s="260"/>
    </row>
    <row r="169" spans="1:8">
      <c r="A169" s="252"/>
      <c r="B169" s="253"/>
      <c r="C169" s="208" t="s">
        <v>68</v>
      </c>
      <c r="D169" s="209">
        <v>0.07</v>
      </c>
      <c r="E169" s="210">
        <v>77000</v>
      </c>
      <c r="F169" s="210">
        <f t="shared" si="9"/>
        <v>5390</v>
      </c>
      <c r="G169" s="258"/>
      <c r="H169" s="260"/>
    </row>
    <row r="170" spans="1:8">
      <c r="A170" s="252"/>
      <c r="B170" s="253"/>
      <c r="C170" s="208" t="s">
        <v>67</v>
      </c>
      <c r="D170" s="209">
        <v>0.07</v>
      </c>
      <c r="E170" s="210">
        <v>83000</v>
      </c>
      <c r="F170" s="210">
        <f t="shared" si="9"/>
        <v>5810</v>
      </c>
      <c r="G170" s="258"/>
      <c r="H170" s="260"/>
    </row>
    <row r="171" spans="1:9">
      <c r="A171" s="252"/>
      <c r="B171" s="253"/>
      <c r="C171" s="208" t="s">
        <v>101</v>
      </c>
      <c r="D171" s="209">
        <v>1</v>
      </c>
      <c r="E171" s="210">
        <v>28000</v>
      </c>
      <c r="F171" s="210">
        <f t="shared" si="9"/>
        <v>28000</v>
      </c>
      <c r="G171" s="258"/>
      <c r="H171" s="260"/>
      <c r="I171" s="229"/>
    </row>
    <row r="172" spans="1:8">
      <c r="A172" s="252"/>
      <c r="B172" s="253"/>
      <c r="C172" s="208" t="s">
        <v>127</v>
      </c>
      <c r="D172" s="209">
        <v>2</v>
      </c>
      <c r="E172" s="210">
        <v>105000</v>
      </c>
      <c r="F172" s="210">
        <f t="shared" si="9"/>
        <v>210000</v>
      </c>
      <c r="G172" s="258"/>
      <c r="H172" s="260"/>
    </row>
    <row r="173" spans="1:8">
      <c r="A173" s="252"/>
      <c r="B173" s="253"/>
      <c r="C173" s="208" t="s">
        <v>7</v>
      </c>
      <c r="D173" s="209">
        <v>3</v>
      </c>
      <c r="E173" s="210">
        <v>35000</v>
      </c>
      <c r="F173" s="210">
        <f t="shared" si="9"/>
        <v>105000</v>
      </c>
      <c r="G173" s="258"/>
      <c r="H173" s="260"/>
    </row>
    <row r="174" spans="1:8">
      <c r="A174" s="252"/>
      <c r="B174" s="253"/>
      <c r="C174" s="208" t="s">
        <v>50</v>
      </c>
      <c r="D174" s="209">
        <v>1</v>
      </c>
      <c r="E174" s="210">
        <v>45000</v>
      </c>
      <c r="F174" s="210">
        <f t="shared" si="9"/>
        <v>45000</v>
      </c>
      <c r="G174" s="258"/>
      <c r="H174" s="260"/>
    </row>
    <row r="175" spans="1:8">
      <c r="A175" s="252"/>
      <c r="B175" s="253"/>
      <c r="C175" s="208" t="s">
        <v>128</v>
      </c>
      <c r="D175" s="209">
        <v>2</v>
      </c>
      <c r="E175" s="210">
        <v>35000</v>
      </c>
      <c r="F175" s="210">
        <f t="shared" si="9"/>
        <v>70000</v>
      </c>
      <c r="G175" s="258"/>
      <c r="H175" s="260"/>
    </row>
    <row r="176" spans="1:8">
      <c r="A176" s="252"/>
      <c r="B176" s="253"/>
      <c r="C176" s="208" t="s">
        <v>27</v>
      </c>
      <c r="D176" s="209">
        <v>30</v>
      </c>
      <c r="E176" s="210">
        <v>1000</v>
      </c>
      <c r="F176" s="210">
        <f t="shared" si="9"/>
        <v>30000</v>
      </c>
      <c r="G176" s="258"/>
      <c r="H176" s="260"/>
    </row>
    <row r="177" spans="1:8">
      <c r="A177" s="252"/>
      <c r="B177" s="253"/>
      <c r="C177" s="208" t="s">
        <v>122</v>
      </c>
      <c r="D177" s="209">
        <v>1</v>
      </c>
      <c r="E177" s="210">
        <v>55000</v>
      </c>
      <c r="F177" s="210">
        <f t="shared" si="9"/>
        <v>55000</v>
      </c>
      <c r="G177" s="258"/>
      <c r="H177" s="260"/>
    </row>
    <row r="178" spans="1:8">
      <c r="A178" s="254"/>
      <c r="B178" s="255"/>
      <c r="C178" s="208" t="s">
        <v>77</v>
      </c>
      <c r="D178" s="209">
        <v>0.5</v>
      </c>
      <c r="E178" s="210">
        <v>45000</v>
      </c>
      <c r="F178" s="210">
        <f t="shared" si="9"/>
        <v>22500</v>
      </c>
      <c r="G178" s="259"/>
      <c r="H178" s="260"/>
    </row>
    <row r="179" spans="1:8">
      <c r="A179" s="250">
        <v>46059</v>
      </c>
      <c r="B179" s="305" t="s">
        <v>129</v>
      </c>
      <c r="C179" s="208" t="s">
        <v>80</v>
      </c>
      <c r="D179" s="209">
        <v>0.5</v>
      </c>
      <c r="E179" s="210">
        <v>55000</v>
      </c>
      <c r="F179" s="210">
        <f t="shared" ref="F179:F190" si="10">E179*D179</f>
        <v>27500</v>
      </c>
      <c r="G179" s="256">
        <f>SUM(F179:F190)</f>
        <v>703500</v>
      </c>
      <c r="H179" s="260"/>
    </row>
    <row r="180" spans="1:8">
      <c r="A180" s="252"/>
      <c r="B180" s="253"/>
      <c r="C180" s="208" t="s">
        <v>81</v>
      </c>
      <c r="D180" s="209">
        <v>0.5</v>
      </c>
      <c r="E180" s="210">
        <v>68000</v>
      </c>
      <c r="F180" s="210">
        <f t="shared" si="10"/>
        <v>34000</v>
      </c>
      <c r="G180" s="258"/>
      <c r="H180" s="260"/>
    </row>
    <row r="181" spans="1:8">
      <c r="A181" s="252"/>
      <c r="B181" s="253"/>
      <c r="C181" s="208" t="s">
        <v>34</v>
      </c>
      <c r="D181" s="209">
        <v>2</v>
      </c>
      <c r="E181" s="210">
        <v>45000</v>
      </c>
      <c r="F181" s="210">
        <f t="shared" si="10"/>
        <v>90000</v>
      </c>
      <c r="G181" s="258"/>
      <c r="H181" s="260"/>
    </row>
    <row r="182" spans="1:8">
      <c r="A182" s="252"/>
      <c r="B182" s="253"/>
      <c r="C182" s="208" t="s">
        <v>17</v>
      </c>
      <c r="D182" s="209">
        <v>2</v>
      </c>
      <c r="E182" s="210">
        <v>39000</v>
      </c>
      <c r="F182" s="210">
        <f t="shared" si="10"/>
        <v>78000</v>
      </c>
      <c r="G182" s="258"/>
      <c r="H182" s="260"/>
    </row>
    <row r="183" spans="1:8">
      <c r="A183" s="252"/>
      <c r="B183" s="253"/>
      <c r="C183" s="208" t="s">
        <v>52</v>
      </c>
      <c r="D183" s="209">
        <v>3</v>
      </c>
      <c r="E183" s="210">
        <v>10000</v>
      </c>
      <c r="F183" s="210">
        <f t="shared" si="10"/>
        <v>30000</v>
      </c>
      <c r="G183" s="258"/>
      <c r="H183" s="260"/>
    </row>
    <row r="184" spans="1:8">
      <c r="A184" s="252"/>
      <c r="B184" s="253"/>
      <c r="C184" s="208" t="s">
        <v>16</v>
      </c>
      <c r="D184" s="209">
        <v>1</v>
      </c>
      <c r="E184" s="210">
        <v>50000</v>
      </c>
      <c r="F184" s="210">
        <f t="shared" si="10"/>
        <v>50000</v>
      </c>
      <c r="G184" s="258"/>
      <c r="H184" s="260"/>
    </row>
    <row r="185" spans="1:8">
      <c r="A185" s="252"/>
      <c r="B185" s="253"/>
      <c r="C185" s="208" t="s">
        <v>47</v>
      </c>
      <c r="D185" s="209">
        <v>1</v>
      </c>
      <c r="E185" s="210">
        <v>39000</v>
      </c>
      <c r="F185" s="210">
        <f t="shared" si="10"/>
        <v>39000</v>
      </c>
      <c r="G185" s="258"/>
      <c r="H185" s="260"/>
    </row>
    <row r="186" spans="1:8">
      <c r="A186" s="252"/>
      <c r="B186" s="253"/>
      <c r="C186" s="208" t="s">
        <v>82</v>
      </c>
      <c r="D186" s="209">
        <v>1</v>
      </c>
      <c r="E186" s="210">
        <v>45000</v>
      </c>
      <c r="F186" s="210">
        <f t="shared" si="10"/>
        <v>45000</v>
      </c>
      <c r="G186" s="258"/>
      <c r="H186" s="260"/>
    </row>
    <row r="187" spans="1:8">
      <c r="A187" s="252"/>
      <c r="B187" s="253"/>
      <c r="C187" s="208" t="s">
        <v>83</v>
      </c>
      <c r="D187" s="209">
        <v>0.2</v>
      </c>
      <c r="E187" s="210">
        <v>120000</v>
      </c>
      <c r="F187" s="210">
        <f t="shared" si="10"/>
        <v>24000</v>
      </c>
      <c r="G187" s="258"/>
      <c r="H187" s="260"/>
    </row>
    <row r="188" spans="1:8">
      <c r="A188" s="252"/>
      <c r="B188" s="253"/>
      <c r="C188" s="208" t="s">
        <v>26</v>
      </c>
      <c r="D188" s="209">
        <v>2</v>
      </c>
      <c r="E188" s="210">
        <v>55000</v>
      </c>
      <c r="F188" s="210">
        <f t="shared" si="10"/>
        <v>110000</v>
      </c>
      <c r="G188" s="258"/>
      <c r="H188" s="260"/>
    </row>
    <row r="189" spans="1:8">
      <c r="A189" s="252"/>
      <c r="B189" s="253"/>
      <c r="C189" s="208" t="s">
        <v>48</v>
      </c>
      <c r="D189" s="209">
        <v>1</v>
      </c>
      <c r="E189" s="210">
        <v>26000</v>
      </c>
      <c r="F189" s="210">
        <f t="shared" si="10"/>
        <v>26000</v>
      </c>
      <c r="G189" s="258"/>
      <c r="H189" s="260"/>
    </row>
    <row r="190" spans="1:8">
      <c r="A190" s="254"/>
      <c r="B190" s="255"/>
      <c r="C190" s="208" t="s">
        <v>130</v>
      </c>
      <c r="D190" s="209">
        <v>2</v>
      </c>
      <c r="E190" s="210">
        <v>75000</v>
      </c>
      <c r="F190" s="210">
        <f t="shared" si="10"/>
        <v>150000</v>
      </c>
      <c r="G190" s="259"/>
      <c r="H190" s="260"/>
    </row>
    <row r="191" spans="1:8">
      <c r="A191" s="250">
        <v>46060</v>
      </c>
      <c r="B191" s="305" t="s">
        <v>131</v>
      </c>
      <c r="C191" s="208" t="s">
        <v>83</v>
      </c>
      <c r="D191" s="209">
        <v>0.3</v>
      </c>
      <c r="E191" s="210">
        <v>120000</v>
      </c>
      <c r="F191" s="210">
        <f t="shared" ref="F191:F212" si="11">E191*D191</f>
        <v>36000</v>
      </c>
      <c r="G191" s="256">
        <f>SUM(F191:F212)</f>
        <v>1470210</v>
      </c>
      <c r="H191" s="260"/>
    </row>
    <row r="192" spans="1:8">
      <c r="A192" s="252"/>
      <c r="B192" s="253"/>
      <c r="C192" s="208" t="s">
        <v>77</v>
      </c>
      <c r="D192" s="209">
        <v>0.7</v>
      </c>
      <c r="E192" s="210">
        <v>45000</v>
      </c>
      <c r="F192" s="210">
        <f t="shared" si="11"/>
        <v>31500</v>
      </c>
      <c r="G192" s="258"/>
      <c r="H192" s="260"/>
    </row>
    <row r="193" spans="1:8">
      <c r="A193" s="252"/>
      <c r="B193" s="253"/>
      <c r="C193" s="208" t="s">
        <v>78</v>
      </c>
      <c r="D193" s="209">
        <v>0.4</v>
      </c>
      <c r="E193" s="210">
        <v>44000</v>
      </c>
      <c r="F193" s="210">
        <f t="shared" si="11"/>
        <v>17600</v>
      </c>
      <c r="G193" s="258"/>
      <c r="H193" s="260"/>
    </row>
    <row r="194" spans="1:8">
      <c r="A194" s="252"/>
      <c r="B194" s="253"/>
      <c r="C194" s="208" t="s">
        <v>123</v>
      </c>
      <c r="D194" s="209">
        <v>0.4</v>
      </c>
      <c r="E194" s="210">
        <v>70000</v>
      </c>
      <c r="F194" s="210">
        <f t="shared" si="11"/>
        <v>28000</v>
      </c>
      <c r="G194" s="258"/>
      <c r="H194" s="260"/>
    </row>
    <row r="195" spans="1:8">
      <c r="A195" s="252"/>
      <c r="B195" s="253"/>
      <c r="C195" s="208" t="s">
        <v>80</v>
      </c>
      <c r="D195" s="209">
        <v>0.6</v>
      </c>
      <c r="E195" s="210">
        <v>55000</v>
      </c>
      <c r="F195" s="210">
        <f t="shared" si="11"/>
        <v>33000</v>
      </c>
      <c r="G195" s="258"/>
      <c r="H195" s="260"/>
    </row>
    <row r="196" spans="1:8">
      <c r="A196" s="252"/>
      <c r="B196" s="253"/>
      <c r="C196" s="208" t="s">
        <v>81</v>
      </c>
      <c r="D196" s="209">
        <v>0.6</v>
      </c>
      <c r="E196" s="210">
        <v>68000</v>
      </c>
      <c r="F196" s="210">
        <f t="shared" si="11"/>
        <v>40800</v>
      </c>
      <c r="G196" s="258"/>
      <c r="H196" s="260"/>
    </row>
    <row r="197" spans="1:8">
      <c r="A197" s="252"/>
      <c r="B197" s="253"/>
      <c r="C197" s="208" t="s">
        <v>47</v>
      </c>
      <c r="D197" s="209">
        <v>1.5</v>
      </c>
      <c r="E197" s="210">
        <v>39000</v>
      </c>
      <c r="F197" s="210">
        <f t="shared" si="11"/>
        <v>58500</v>
      </c>
      <c r="G197" s="258"/>
      <c r="H197" s="260"/>
    </row>
    <row r="198" spans="1:8">
      <c r="A198" s="252"/>
      <c r="B198" s="253"/>
      <c r="C198" s="208" t="s">
        <v>14</v>
      </c>
      <c r="D198" s="209">
        <v>1</v>
      </c>
      <c r="E198" s="210">
        <v>60000</v>
      </c>
      <c r="F198" s="210">
        <f t="shared" si="11"/>
        <v>60000</v>
      </c>
      <c r="G198" s="258"/>
      <c r="H198" s="260"/>
    </row>
    <row r="199" spans="1:8">
      <c r="A199" s="252"/>
      <c r="B199" s="253"/>
      <c r="C199" s="208" t="s">
        <v>60</v>
      </c>
      <c r="D199" s="209">
        <v>1</v>
      </c>
      <c r="E199" s="210">
        <v>83000</v>
      </c>
      <c r="F199" s="210">
        <f t="shared" si="11"/>
        <v>83000</v>
      </c>
      <c r="G199" s="258"/>
      <c r="H199" s="260"/>
    </row>
    <row r="200" spans="1:8">
      <c r="A200" s="252"/>
      <c r="B200" s="253"/>
      <c r="C200" s="208" t="s">
        <v>97</v>
      </c>
      <c r="D200" s="209">
        <v>0.1</v>
      </c>
      <c r="E200" s="210">
        <v>99000</v>
      </c>
      <c r="F200" s="210">
        <f t="shared" si="11"/>
        <v>9900</v>
      </c>
      <c r="G200" s="258"/>
      <c r="H200" s="260"/>
    </row>
    <row r="201" spans="1:8">
      <c r="A201" s="252"/>
      <c r="B201" s="253"/>
      <c r="C201" s="208" t="s">
        <v>52</v>
      </c>
      <c r="D201" s="209">
        <v>2</v>
      </c>
      <c r="E201" s="210">
        <v>10000</v>
      </c>
      <c r="F201" s="210">
        <f t="shared" si="11"/>
        <v>20000</v>
      </c>
      <c r="G201" s="258"/>
      <c r="H201" s="260"/>
    </row>
    <row r="202" spans="1:8">
      <c r="A202" s="252"/>
      <c r="B202" s="253"/>
      <c r="C202" s="208" t="s">
        <v>17</v>
      </c>
      <c r="D202" s="209">
        <v>1</v>
      </c>
      <c r="E202" s="210">
        <v>39000</v>
      </c>
      <c r="F202" s="210">
        <f t="shared" si="11"/>
        <v>39000</v>
      </c>
      <c r="G202" s="258"/>
      <c r="H202" s="260"/>
    </row>
    <row r="203" spans="1:8">
      <c r="A203" s="252"/>
      <c r="B203" s="253"/>
      <c r="C203" s="208" t="s">
        <v>63</v>
      </c>
      <c r="D203" s="209">
        <v>3</v>
      </c>
      <c r="E203" s="210">
        <v>66000</v>
      </c>
      <c r="F203" s="210">
        <f t="shared" si="11"/>
        <v>198000</v>
      </c>
      <c r="G203" s="258"/>
      <c r="H203" s="260"/>
    </row>
    <row r="204" spans="1:8">
      <c r="A204" s="252"/>
      <c r="B204" s="253"/>
      <c r="C204" s="208" t="s">
        <v>64</v>
      </c>
      <c r="D204" s="209">
        <v>7</v>
      </c>
      <c r="E204" s="210">
        <v>25000</v>
      </c>
      <c r="F204" s="210">
        <f t="shared" si="11"/>
        <v>175000</v>
      </c>
      <c r="G204" s="258"/>
      <c r="H204" s="260"/>
    </row>
    <row r="205" spans="1:8">
      <c r="A205" s="252"/>
      <c r="B205" s="253"/>
      <c r="C205" s="208" t="s">
        <v>118</v>
      </c>
      <c r="D205" s="209">
        <v>1</v>
      </c>
      <c r="E205" s="210">
        <v>250000</v>
      </c>
      <c r="F205" s="210">
        <f t="shared" si="11"/>
        <v>250000</v>
      </c>
      <c r="G205" s="258"/>
      <c r="H205" s="260"/>
    </row>
    <row r="206" spans="1:8">
      <c r="A206" s="252"/>
      <c r="B206" s="253"/>
      <c r="C206" s="208" t="s">
        <v>62</v>
      </c>
      <c r="D206" s="209">
        <v>5</v>
      </c>
      <c r="E206" s="210">
        <v>25000</v>
      </c>
      <c r="F206" s="210">
        <f t="shared" si="11"/>
        <v>125000</v>
      </c>
      <c r="G206" s="258"/>
      <c r="H206" s="260"/>
    </row>
    <row r="207" spans="1:8">
      <c r="A207" s="252"/>
      <c r="B207" s="253"/>
      <c r="C207" s="208" t="s">
        <v>132</v>
      </c>
      <c r="D207" s="209">
        <v>1</v>
      </c>
      <c r="E207" s="210">
        <v>150000</v>
      </c>
      <c r="F207" s="210">
        <f t="shared" si="11"/>
        <v>150000</v>
      </c>
      <c r="G207" s="258"/>
      <c r="H207" s="262"/>
    </row>
    <row r="208" spans="1:8">
      <c r="A208" s="252"/>
      <c r="B208" s="253"/>
      <c r="C208" s="208" t="s">
        <v>86</v>
      </c>
      <c r="D208" s="209">
        <v>2</v>
      </c>
      <c r="E208" s="210">
        <v>25000</v>
      </c>
      <c r="F208" s="210">
        <f t="shared" si="11"/>
        <v>50000</v>
      </c>
      <c r="G208" s="258"/>
      <c r="H208" s="260"/>
    </row>
    <row r="209" spans="1:8">
      <c r="A209" s="252"/>
      <c r="B209" s="253"/>
      <c r="C209" s="208" t="s">
        <v>71</v>
      </c>
      <c r="D209" s="209">
        <v>0.3</v>
      </c>
      <c r="E209" s="210">
        <v>55000</v>
      </c>
      <c r="F209" s="210">
        <f t="shared" si="11"/>
        <v>16500</v>
      </c>
      <c r="G209" s="258"/>
      <c r="H209" s="260"/>
    </row>
    <row r="210" spans="1:8">
      <c r="A210" s="252"/>
      <c r="B210" s="253"/>
      <c r="C210" s="208" t="s">
        <v>72</v>
      </c>
      <c r="D210" s="209">
        <v>0.3</v>
      </c>
      <c r="E210" s="210">
        <v>70000</v>
      </c>
      <c r="F210" s="210">
        <f t="shared" si="11"/>
        <v>21000</v>
      </c>
      <c r="G210" s="258"/>
      <c r="H210" s="260"/>
    </row>
    <row r="211" spans="1:8">
      <c r="A211" s="252"/>
      <c r="B211" s="253"/>
      <c r="C211" s="208" t="s">
        <v>91</v>
      </c>
      <c r="D211" s="209">
        <v>0.3</v>
      </c>
      <c r="E211" s="210">
        <v>72000</v>
      </c>
      <c r="F211" s="210">
        <f t="shared" si="11"/>
        <v>21600</v>
      </c>
      <c r="G211" s="258"/>
      <c r="H211" s="260"/>
    </row>
    <row r="212" spans="1:8">
      <c r="A212" s="254"/>
      <c r="B212" s="255"/>
      <c r="C212" s="208" t="s">
        <v>67</v>
      </c>
      <c r="D212" s="209">
        <v>0.07</v>
      </c>
      <c r="E212" s="210">
        <v>83000</v>
      </c>
      <c r="F212" s="210">
        <f t="shared" si="11"/>
        <v>5810</v>
      </c>
      <c r="G212" s="259"/>
      <c r="H212" s="260"/>
    </row>
    <row r="213" spans="1:8">
      <c r="A213" s="250">
        <v>46060</v>
      </c>
      <c r="B213" s="305" t="s">
        <v>133</v>
      </c>
      <c r="C213" s="208" t="s">
        <v>68</v>
      </c>
      <c r="D213" s="209">
        <v>0.07</v>
      </c>
      <c r="E213" s="210">
        <v>77000</v>
      </c>
      <c r="F213" s="210">
        <f t="shared" ref="F213:F219" si="12">E213*D213</f>
        <v>5390</v>
      </c>
      <c r="G213" s="256">
        <f>SUM(F213:F219)</f>
        <v>613390</v>
      </c>
      <c r="H213" s="260"/>
    </row>
    <row r="214" spans="1:8">
      <c r="A214" s="252"/>
      <c r="B214" s="253"/>
      <c r="C214" s="208" t="s">
        <v>102</v>
      </c>
      <c r="D214" s="209">
        <v>1</v>
      </c>
      <c r="E214" s="210">
        <v>11000</v>
      </c>
      <c r="F214" s="210">
        <f t="shared" si="12"/>
        <v>11000</v>
      </c>
      <c r="G214" s="258"/>
      <c r="H214" s="260"/>
    </row>
    <row r="215" spans="1:8">
      <c r="A215" s="252"/>
      <c r="B215" s="253"/>
      <c r="C215" s="208" t="s">
        <v>134</v>
      </c>
      <c r="D215" s="209">
        <v>1</v>
      </c>
      <c r="E215" s="210">
        <v>20000</v>
      </c>
      <c r="F215" s="210">
        <f t="shared" si="12"/>
        <v>20000</v>
      </c>
      <c r="G215" s="258"/>
      <c r="H215" s="260"/>
    </row>
    <row r="216" spans="1:8">
      <c r="A216" s="252"/>
      <c r="B216" s="253"/>
      <c r="C216" s="208" t="s">
        <v>48</v>
      </c>
      <c r="D216" s="209">
        <v>1</v>
      </c>
      <c r="E216" s="210">
        <v>26000</v>
      </c>
      <c r="F216" s="210">
        <f t="shared" si="12"/>
        <v>26000</v>
      </c>
      <c r="G216" s="258"/>
      <c r="H216" s="260"/>
    </row>
    <row r="217" spans="1:8">
      <c r="A217" s="252"/>
      <c r="B217" s="253"/>
      <c r="C217" s="208" t="s">
        <v>6</v>
      </c>
      <c r="D217" s="209">
        <v>3</v>
      </c>
      <c r="E217" s="210">
        <v>130000</v>
      </c>
      <c r="F217" s="210">
        <f t="shared" si="12"/>
        <v>390000</v>
      </c>
      <c r="G217" s="258"/>
      <c r="H217" s="260"/>
    </row>
    <row r="218" spans="1:8">
      <c r="A218" s="252"/>
      <c r="B218" s="253"/>
      <c r="C218" s="208" t="s">
        <v>7</v>
      </c>
      <c r="D218" s="209">
        <v>3</v>
      </c>
      <c r="E218" s="210">
        <v>35000</v>
      </c>
      <c r="F218" s="210">
        <f t="shared" si="12"/>
        <v>105000</v>
      </c>
      <c r="G218" s="258"/>
      <c r="H218" s="260"/>
    </row>
    <row r="219" spans="1:8">
      <c r="A219" s="254"/>
      <c r="B219" s="255"/>
      <c r="C219" s="208" t="s">
        <v>21</v>
      </c>
      <c r="D219" s="209">
        <v>2</v>
      </c>
      <c r="E219" s="210">
        <v>28000</v>
      </c>
      <c r="F219" s="210">
        <f t="shared" si="12"/>
        <v>56000</v>
      </c>
      <c r="G219" s="259"/>
      <c r="H219" s="260"/>
    </row>
    <row r="220" spans="1:8">
      <c r="A220" s="218"/>
      <c r="B220" s="261"/>
      <c r="C220" s="208"/>
      <c r="D220" s="209"/>
      <c r="E220" s="210"/>
      <c r="F220" s="95"/>
      <c r="G220" s="227"/>
      <c r="H220" s="260"/>
    </row>
    <row r="221" spans="1:8">
      <c r="A221" s="218"/>
      <c r="B221" s="261"/>
      <c r="C221" s="208"/>
      <c r="D221" s="209"/>
      <c r="E221" s="210"/>
      <c r="F221" s="95"/>
      <c r="G221" s="227"/>
      <c r="H221" s="260"/>
    </row>
    <row r="222" spans="1:8">
      <c r="A222" s="218"/>
      <c r="B222" s="261"/>
      <c r="C222" s="208"/>
      <c r="D222" s="209"/>
      <c r="E222" s="210"/>
      <c r="F222" s="95"/>
      <c r="G222" s="227"/>
      <c r="H222" s="260"/>
    </row>
    <row r="223" spans="1:8">
      <c r="A223" s="218"/>
      <c r="B223" s="261"/>
      <c r="C223" s="208"/>
      <c r="D223" s="209"/>
      <c r="E223" s="210"/>
      <c r="F223" s="95"/>
      <c r="G223" s="227"/>
      <c r="H223" s="260"/>
    </row>
    <row r="224" spans="1:8">
      <c r="A224" s="218"/>
      <c r="B224" s="261"/>
      <c r="C224" s="208"/>
      <c r="D224" s="209"/>
      <c r="E224" s="210"/>
      <c r="F224" s="95"/>
      <c r="G224" s="227"/>
      <c r="H224" s="260"/>
    </row>
    <row r="225" spans="1:8">
      <c r="A225" s="218"/>
      <c r="B225" s="261"/>
      <c r="C225" s="208"/>
      <c r="D225" s="209"/>
      <c r="E225" s="210"/>
      <c r="F225" s="95"/>
      <c r="G225" s="227"/>
      <c r="H225" s="260"/>
    </row>
    <row r="226" spans="1:8">
      <c r="A226" s="218"/>
      <c r="B226" s="261"/>
      <c r="C226" s="208"/>
      <c r="D226" s="209"/>
      <c r="E226" s="210"/>
      <c r="F226" s="95"/>
      <c r="G226" s="227"/>
      <c r="H226" s="260"/>
    </row>
    <row r="227" spans="1:8">
      <c r="A227" s="218"/>
      <c r="B227" s="261"/>
      <c r="C227" s="208"/>
      <c r="D227" s="209"/>
      <c r="E227" s="210"/>
      <c r="F227" s="95"/>
      <c r="G227" s="227"/>
      <c r="H227" s="260"/>
    </row>
    <row r="228" spans="1:8">
      <c r="A228" s="218"/>
      <c r="B228" s="261"/>
      <c r="C228" s="208"/>
      <c r="D228" s="209"/>
      <c r="E228" s="210"/>
      <c r="F228" s="95"/>
      <c r="G228" s="227"/>
      <c r="H228" s="260"/>
    </row>
    <row r="229" spans="1:8">
      <c r="A229" s="218"/>
      <c r="B229" s="261"/>
      <c r="C229" s="208"/>
      <c r="D229" s="209"/>
      <c r="E229" s="210"/>
      <c r="F229" s="95"/>
      <c r="G229" s="227"/>
      <c r="H229" s="260"/>
    </row>
    <row r="230" spans="1:8">
      <c r="A230" s="218"/>
      <c r="B230" s="261"/>
      <c r="C230" s="208"/>
      <c r="D230" s="209"/>
      <c r="E230" s="210"/>
      <c r="F230" s="95"/>
      <c r="G230" s="227"/>
      <c r="H230" s="260"/>
    </row>
    <row r="231" spans="1:8">
      <c r="A231" s="218"/>
      <c r="B231" s="261"/>
      <c r="C231" s="208"/>
      <c r="D231" s="209"/>
      <c r="E231" s="210"/>
      <c r="F231" s="95"/>
      <c r="G231" s="227"/>
      <c r="H231" s="260"/>
    </row>
    <row r="232" spans="1:8">
      <c r="A232" s="218"/>
      <c r="B232" s="261"/>
      <c r="C232" s="208"/>
      <c r="D232" s="209"/>
      <c r="E232" s="210"/>
      <c r="F232" s="95"/>
      <c r="G232" s="227"/>
      <c r="H232" s="260"/>
    </row>
    <row r="233" spans="1:8">
      <c r="A233" s="218"/>
      <c r="B233" s="261"/>
      <c r="C233" s="208"/>
      <c r="D233" s="209"/>
      <c r="E233" s="210"/>
      <c r="F233" s="95"/>
      <c r="G233" s="227"/>
      <c r="H233" s="260"/>
    </row>
    <row r="234" spans="1:8">
      <c r="A234" s="218"/>
      <c r="B234" s="261"/>
      <c r="C234" s="208"/>
      <c r="D234" s="209"/>
      <c r="E234" s="210"/>
      <c r="F234" s="95"/>
      <c r="G234" s="227"/>
      <c r="H234" s="260"/>
    </row>
    <row r="235" spans="1:8">
      <c r="A235" s="218"/>
      <c r="B235" s="261"/>
      <c r="C235" s="208"/>
      <c r="D235" s="209"/>
      <c r="E235" s="210"/>
      <c r="F235" s="95"/>
      <c r="G235" s="227"/>
      <c r="H235" s="260"/>
    </row>
    <row r="236" spans="1:8">
      <c r="A236" s="218"/>
      <c r="B236" s="261"/>
      <c r="C236" s="208"/>
      <c r="D236" s="209"/>
      <c r="E236" s="210"/>
      <c r="F236" s="95"/>
      <c r="G236" s="227"/>
      <c r="H236" s="260"/>
    </row>
    <row r="237" spans="1:8">
      <c r="A237" s="218"/>
      <c r="B237" s="261"/>
      <c r="C237" s="208"/>
      <c r="D237" s="209"/>
      <c r="E237" s="210"/>
      <c r="F237" s="95"/>
      <c r="G237" s="227"/>
      <c r="H237" s="260"/>
    </row>
    <row r="238" spans="1:8">
      <c r="A238" s="218"/>
      <c r="B238" s="261"/>
      <c r="C238" s="208"/>
      <c r="D238" s="261"/>
      <c r="E238" s="210"/>
      <c r="F238" s="95"/>
      <c r="G238" s="227"/>
      <c r="H238" s="260"/>
    </row>
    <row r="239" spans="1:8">
      <c r="A239" s="218"/>
      <c r="B239" s="261"/>
      <c r="C239" s="208"/>
      <c r="D239" s="261"/>
      <c r="E239" s="210"/>
      <c r="F239" s="95"/>
      <c r="G239" s="227"/>
      <c r="H239" s="260"/>
    </row>
    <row r="240" spans="1:8">
      <c r="A240" s="218"/>
      <c r="B240" s="261"/>
      <c r="C240" s="208"/>
      <c r="D240" s="261"/>
      <c r="E240" s="210"/>
      <c r="F240" s="95"/>
      <c r="G240" s="227"/>
      <c r="H240" s="260"/>
    </row>
    <row r="241" spans="1:8">
      <c r="A241" s="218"/>
      <c r="B241" s="261"/>
      <c r="C241" s="208"/>
      <c r="D241" s="261"/>
      <c r="E241" s="210"/>
      <c r="F241" s="95"/>
      <c r="G241" s="227"/>
      <c r="H241" s="260"/>
    </row>
    <row r="242" spans="1:8">
      <c r="A242" s="218"/>
      <c r="B242" s="261"/>
      <c r="C242" s="208"/>
      <c r="D242" s="261"/>
      <c r="E242" s="210"/>
      <c r="F242" s="95"/>
      <c r="G242" s="227"/>
      <c r="H242" s="260"/>
    </row>
    <row r="243" spans="1:8">
      <c r="A243" s="218"/>
      <c r="B243" s="261"/>
      <c r="C243" s="208"/>
      <c r="D243" s="261"/>
      <c r="E243" s="210"/>
      <c r="F243" s="95"/>
      <c r="G243" s="227"/>
      <c r="H243" s="260"/>
    </row>
    <row r="244" spans="1:8">
      <c r="A244" s="218"/>
      <c r="B244" s="261"/>
      <c r="C244" s="208"/>
      <c r="D244" s="261"/>
      <c r="E244" s="210"/>
      <c r="F244" s="95"/>
      <c r="G244" s="227"/>
      <c r="H244" s="260"/>
    </row>
    <row r="245" spans="1:8">
      <c r="A245" s="218"/>
      <c r="B245" s="261"/>
      <c r="C245" s="208"/>
      <c r="D245" s="261"/>
      <c r="E245" s="210"/>
      <c r="F245" s="95"/>
      <c r="G245" s="227"/>
      <c r="H245" s="260"/>
    </row>
    <row r="246" spans="1:8">
      <c r="A246" s="218"/>
      <c r="B246" s="261"/>
      <c r="C246" s="208"/>
      <c r="D246" s="261"/>
      <c r="E246" s="210"/>
      <c r="F246" s="95"/>
      <c r="G246" s="227"/>
      <c r="H246" s="260"/>
    </row>
    <row r="247" spans="1:8">
      <c r="A247" s="218"/>
      <c r="B247" s="261"/>
      <c r="C247" s="208"/>
      <c r="D247" s="261"/>
      <c r="E247" s="210"/>
      <c r="F247" s="95"/>
      <c r="G247" s="227"/>
      <c r="H247" s="260"/>
    </row>
    <row r="248" spans="1:8">
      <c r="A248" s="218"/>
      <c r="B248" s="261"/>
      <c r="C248" s="208"/>
      <c r="D248" s="261"/>
      <c r="E248" s="210"/>
      <c r="F248" s="95"/>
      <c r="G248" s="227"/>
      <c r="H248" s="260"/>
    </row>
    <row r="249" spans="1:8">
      <c r="A249" s="218"/>
      <c r="B249" s="261"/>
      <c r="C249" s="208"/>
      <c r="D249" s="261"/>
      <c r="E249" s="210"/>
      <c r="F249" s="95"/>
      <c r="G249" s="227"/>
      <c r="H249" s="260"/>
    </row>
    <row r="250" spans="1:8">
      <c r="A250" s="218"/>
      <c r="B250" s="261"/>
      <c r="C250" s="208"/>
      <c r="D250" s="261"/>
      <c r="E250" s="210"/>
      <c r="F250" s="95"/>
      <c r="G250" s="227"/>
      <c r="H250" s="260"/>
    </row>
    <row r="251" spans="1:8">
      <c r="A251" s="218"/>
      <c r="B251" s="261"/>
      <c r="C251" s="208"/>
      <c r="D251" s="261"/>
      <c r="E251" s="210"/>
      <c r="F251" s="95"/>
      <c r="G251" s="227"/>
      <c r="H251" s="260"/>
    </row>
    <row r="252" spans="1:8">
      <c r="A252" s="218"/>
      <c r="B252" s="261"/>
      <c r="C252" s="208"/>
      <c r="D252" s="261"/>
      <c r="E252" s="210"/>
      <c r="F252" s="95"/>
      <c r="G252" s="227"/>
      <c r="H252" s="260"/>
    </row>
    <row r="253" spans="1:8">
      <c r="A253" s="218"/>
      <c r="B253" s="261"/>
      <c r="C253" s="208"/>
      <c r="D253" s="261"/>
      <c r="E253" s="210"/>
      <c r="F253" s="95"/>
      <c r="G253" s="227"/>
      <c r="H253" s="260"/>
    </row>
    <row r="254" spans="1:8">
      <c r="A254" s="218"/>
      <c r="B254" s="261"/>
      <c r="C254" s="208"/>
      <c r="D254" s="261"/>
      <c r="E254" s="210"/>
      <c r="F254" s="95"/>
      <c r="G254" s="227"/>
      <c r="H254" s="260"/>
    </row>
    <row r="255" spans="1:8">
      <c r="A255" s="218"/>
      <c r="B255" s="261"/>
      <c r="C255" s="208"/>
      <c r="D255" s="261"/>
      <c r="E255" s="210"/>
      <c r="F255" s="95"/>
      <c r="G255" s="227"/>
      <c r="H255" s="260"/>
    </row>
    <row r="256" spans="1:8">
      <c r="A256" s="218"/>
      <c r="B256" s="261"/>
      <c r="C256" s="208"/>
      <c r="D256" s="261"/>
      <c r="E256" s="210"/>
      <c r="F256" s="95"/>
      <c r="G256" s="227"/>
      <c r="H256" s="260"/>
    </row>
    <row r="257" spans="1:8">
      <c r="A257" s="218"/>
      <c r="B257" s="261"/>
      <c r="C257" s="208"/>
      <c r="D257" s="261"/>
      <c r="E257" s="210"/>
      <c r="F257" s="95"/>
      <c r="G257" s="227"/>
      <c r="H257" s="260"/>
    </row>
    <row r="258" spans="1:8">
      <c r="A258" s="218"/>
      <c r="B258" s="261"/>
      <c r="C258" s="208"/>
      <c r="D258" s="261"/>
      <c r="E258" s="210"/>
      <c r="F258" s="95"/>
      <c r="G258" s="227"/>
      <c r="H258" s="260"/>
    </row>
    <row r="259" spans="1:8">
      <c r="A259" s="218"/>
      <c r="B259" s="261"/>
      <c r="C259" s="208"/>
      <c r="D259" s="261"/>
      <c r="E259" s="210"/>
      <c r="F259" s="95"/>
      <c r="G259" s="227"/>
      <c r="H259" s="260"/>
    </row>
    <row r="260" spans="1:8">
      <c r="A260" s="218"/>
      <c r="B260" s="261"/>
      <c r="C260" s="208"/>
      <c r="D260" s="209"/>
      <c r="E260" s="210"/>
      <c r="F260" s="95"/>
      <c r="G260" s="227"/>
      <c r="H260" s="260"/>
    </row>
    <row r="261" spans="1:8">
      <c r="A261" s="218"/>
      <c r="B261" s="261"/>
      <c r="C261" s="208"/>
      <c r="D261" s="209"/>
      <c r="E261" s="210"/>
      <c r="F261" s="95"/>
      <c r="G261" s="227"/>
      <c r="H261" s="260"/>
    </row>
    <row r="262" spans="1:8">
      <c r="A262" s="218"/>
      <c r="B262" s="261"/>
      <c r="C262" s="208"/>
      <c r="D262" s="209"/>
      <c r="E262" s="210"/>
      <c r="F262" s="95"/>
      <c r="G262" s="227"/>
      <c r="H262" s="260"/>
    </row>
    <row r="263" spans="1:8">
      <c r="A263" s="218"/>
      <c r="B263" s="261"/>
      <c r="C263" s="208"/>
      <c r="D263" s="209"/>
      <c r="E263" s="210"/>
      <c r="F263" s="95"/>
      <c r="G263" s="227"/>
      <c r="H263" s="260"/>
    </row>
    <row r="264" spans="1:8">
      <c r="A264" s="218"/>
      <c r="B264" s="261"/>
      <c r="C264" s="208"/>
      <c r="D264" s="209"/>
      <c r="E264" s="210"/>
      <c r="F264" s="95"/>
      <c r="G264" s="227"/>
      <c r="H264" s="260"/>
    </row>
    <row r="265" spans="1:8">
      <c r="A265" s="218"/>
      <c r="B265" s="261"/>
      <c r="C265" s="208"/>
      <c r="D265" s="209"/>
      <c r="E265" s="210"/>
      <c r="F265" s="95"/>
      <c r="G265" s="227"/>
      <c r="H265" s="260"/>
    </row>
    <row r="266" spans="1:8">
      <c r="A266" s="218"/>
      <c r="B266" s="261"/>
      <c r="C266" s="208"/>
      <c r="D266" s="209"/>
      <c r="E266" s="210"/>
      <c r="F266" s="95"/>
      <c r="G266" s="227"/>
      <c r="H266" s="260"/>
    </row>
    <row r="267" spans="1:8">
      <c r="A267" s="218"/>
      <c r="B267" s="261"/>
      <c r="C267" s="208"/>
      <c r="D267" s="209"/>
      <c r="E267" s="210"/>
      <c r="F267" s="95"/>
      <c r="G267" s="227"/>
      <c r="H267" s="260"/>
    </row>
    <row r="268" spans="1:8">
      <c r="A268" s="218"/>
      <c r="B268" s="261"/>
      <c r="C268" s="208"/>
      <c r="D268" s="209"/>
      <c r="E268" s="210"/>
      <c r="F268" s="95"/>
      <c r="G268" s="227"/>
      <c r="H268" s="260"/>
    </row>
    <row r="269" spans="1:8">
      <c r="A269" s="218"/>
      <c r="B269" s="261"/>
      <c r="C269" s="208"/>
      <c r="D269" s="209"/>
      <c r="E269" s="210"/>
      <c r="F269" s="95"/>
      <c r="G269" s="227"/>
      <c r="H269" s="260"/>
    </row>
    <row r="270" spans="1:8">
      <c r="A270" s="218"/>
      <c r="B270" s="261"/>
      <c r="C270" s="208"/>
      <c r="D270" s="209"/>
      <c r="E270" s="210"/>
      <c r="F270" s="95"/>
      <c r="G270" s="227"/>
      <c r="H270" s="260"/>
    </row>
    <row r="271" spans="1:8">
      <c r="A271" s="218"/>
      <c r="B271" s="261"/>
      <c r="C271" s="208"/>
      <c r="D271" s="209"/>
      <c r="E271" s="210"/>
      <c r="F271" s="95"/>
      <c r="G271" s="227"/>
      <c r="H271" s="260"/>
    </row>
    <row r="272" spans="1:8">
      <c r="A272" s="218"/>
      <c r="B272" s="261"/>
      <c r="C272" s="208"/>
      <c r="D272" s="209"/>
      <c r="E272" s="210"/>
      <c r="F272" s="95"/>
      <c r="G272" s="227"/>
      <c r="H272" s="260"/>
    </row>
    <row r="273" spans="1:8">
      <c r="A273" s="218"/>
      <c r="B273" s="261"/>
      <c r="C273" s="208"/>
      <c r="D273" s="209"/>
      <c r="E273" s="210"/>
      <c r="F273" s="95"/>
      <c r="G273" s="227"/>
      <c r="H273" s="260"/>
    </row>
    <row r="274" spans="1:8">
      <c r="A274" s="218"/>
      <c r="B274" s="261"/>
      <c r="C274" s="208"/>
      <c r="D274" s="209"/>
      <c r="E274" s="210"/>
      <c r="F274" s="95"/>
      <c r="G274" s="227"/>
      <c r="H274" s="260"/>
    </row>
    <row r="275" spans="1:8">
      <c r="A275" s="218"/>
      <c r="B275" s="261"/>
      <c r="C275" s="208"/>
      <c r="D275" s="209"/>
      <c r="E275" s="210"/>
      <c r="F275" s="95"/>
      <c r="G275" s="227"/>
      <c r="H275" s="260"/>
    </row>
    <row r="276" spans="1:8">
      <c r="A276" s="218"/>
      <c r="B276" s="261"/>
      <c r="C276" s="208"/>
      <c r="D276" s="209"/>
      <c r="E276" s="210"/>
      <c r="F276" s="95"/>
      <c r="G276" s="227"/>
      <c r="H276" s="260"/>
    </row>
    <row r="277" spans="1:8">
      <c r="A277" s="218"/>
      <c r="B277" s="261"/>
      <c r="C277" s="208"/>
      <c r="D277" s="209"/>
      <c r="E277" s="210"/>
      <c r="F277" s="95"/>
      <c r="G277" s="227"/>
      <c r="H277" s="260"/>
    </row>
    <row r="278" spans="1:8">
      <c r="A278" s="218"/>
      <c r="B278" s="261"/>
      <c r="C278" s="208"/>
      <c r="D278" s="209"/>
      <c r="E278" s="210"/>
      <c r="F278" s="95"/>
      <c r="G278" s="227"/>
      <c r="H278" s="260"/>
    </row>
    <row r="279" spans="1:8">
      <c r="A279" s="218"/>
      <c r="B279" s="261"/>
      <c r="C279" s="208"/>
      <c r="D279" s="209"/>
      <c r="E279" s="210"/>
      <c r="F279" s="95"/>
      <c r="G279" s="227"/>
      <c r="H279" s="260"/>
    </row>
    <row r="280" spans="1:8">
      <c r="A280" s="218"/>
      <c r="B280" s="261"/>
      <c r="C280" s="208"/>
      <c r="D280" s="209"/>
      <c r="E280" s="210"/>
      <c r="F280" s="95"/>
      <c r="G280" s="227"/>
      <c r="H280" s="260"/>
    </row>
    <row r="281" spans="1:8">
      <c r="A281" s="218"/>
      <c r="B281" s="261"/>
      <c r="C281" s="208"/>
      <c r="D281" s="209"/>
      <c r="E281" s="210"/>
      <c r="F281" s="95"/>
      <c r="G281" s="227"/>
      <c r="H281" s="260"/>
    </row>
    <row r="282" spans="1:8">
      <c r="A282" s="218"/>
      <c r="B282" s="261"/>
      <c r="C282" s="208"/>
      <c r="D282" s="209"/>
      <c r="E282" s="210"/>
      <c r="F282" s="95"/>
      <c r="G282" s="227"/>
      <c r="H282" s="260"/>
    </row>
    <row r="283" spans="1:8">
      <c r="A283" s="218"/>
      <c r="B283" s="261"/>
      <c r="C283" s="208"/>
      <c r="D283" s="209"/>
      <c r="E283" s="210"/>
      <c r="F283" s="95"/>
      <c r="G283" s="227"/>
      <c r="H283" s="260"/>
    </row>
    <row r="284" spans="1:8">
      <c r="A284" s="218"/>
      <c r="B284" s="261"/>
      <c r="C284" s="208"/>
      <c r="D284" s="209"/>
      <c r="E284" s="210"/>
      <c r="F284" s="95"/>
      <c r="G284" s="227"/>
      <c r="H284" s="260"/>
    </row>
    <row r="285" spans="1:8">
      <c r="A285" s="218"/>
      <c r="B285" s="261"/>
      <c r="C285" s="208"/>
      <c r="D285" s="209"/>
      <c r="E285" s="210"/>
      <c r="F285" s="95"/>
      <c r="G285" s="227"/>
      <c r="H285" s="262"/>
    </row>
    <row r="286" spans="1:8">
      <c r="A286" s="218"/>
      <c r="B286" s="261"/>
      <c r="C286" s="208"/>
      <c r="D286" s="209"/>
      <c r="E286" s="210"/>
      <c r="F286" s="95"/>
      <c r="G286" s="227"/>
      <c r="H286" s="260"/>
    </row>
    <row r="287" spans="1:8">
      <c r="A287" s="218"/>
      <c r="B287" s="261"/>
      <c r="C287" s="208"/>
      <c r="D287" s="209"/>
      <c r="E287" s="210"/>
      <c r="F287" s="95"/>
      <c r="G287" s="227"/>
      <c r="H287" s="260"/>
    </row>
    <row r="288" spans="1:8">
      <c r="A288" s="263"/>
      <c r="B288" s="264"/>
      <c r="C288" s="239"/>
      <c r="D288" s="209"/>
      <c r="E288" s="210"/>
      <c r="F288" s="95"/>
      <c r="G288" s="227"/>
      <c r="H288" s="260"/>
    </row>
    <row r="289" spans="1:8">
      <c r="A289" s="263"/>
      <c r="B289" s="264"/>
      <c r="C289" s="239"/>
      <c r="D289" s="209"/>
      <c r="E289" s="210"/>
      <c r="F289" s="95"/>
      <c r="G289" s="227"/>
      <c r="H289" s="260"/>
    </row>
    <row r="290" spans="1:8">
      <c r="A290" s="263"/>
      <c r="B290" s="264"/>
      <c r="C290" s="239"/>
      <c r="D290" s="209"/>
      <c r="E290" s="210"/>
      <c r="F290" s="95"/>
      <c r="G290" s="227"/>
      <c r="H290" s="260"/>
    </row>
    <row r="291" spans="1:8">
      <c r="A291" s="263"/>
      <c r="B291" s="264"/>
      <c r="C291" s="239"/>
      <c r="D291" s="209"/>
      <c r="E291" s="210"/>
      <c r="F291" s="95"/>
      <c r="G291" s="227"/>
      <c r="H291" s="260"/>
    </row>
    <row r="292" spans="1:8">
      <c r="A292" s="263"/>
      <c r="B292" s="264"/>
      <c r="C292" s="239"/>
      <c r="D292" s="209"/>
      <c r="E292" s="210"/>
      <c r="F292" s="95"/>
      <c r="G292" s="227"/>
      <c r="H292" s="260"/>
    </row>
    <row r="293" spans="1:8">
      <c r="A293" s="263"/>
      <c r="B293" s="261"/>
      <c r="C293" s="208"/>
      <c r="D293" s="209"/>
      <c r="E293" s="210"/>
      <c r="F293" s="95"/>
      <c r="G293" s="227"/>
      <c r="H293" s="260"/>
    </row>
    <row r="294" spans="1:8">
      <c r="A294" s="263"/>
      <c r="B294" s="261"/>
      <c r="C294" s="208"/>
      <c r="D294" s="209"/>
      <c r="E294" s="210"/>
      <c r="F294" s="95"/>
      <c r="G294" s="227"/>
      <c r="H294" s="260"/>
    </row>
    <row r="295" spans="1:8">
      <c r="A295" s="263"/>
      <c r="B295" s="261"/>
      <c r="C295" s="208"/>
      <c r="D295" s="209"/>
      <c r="E295" s="210"/>
      <c r="F295" s="95"/>
      <c r="G295" s="227"/>
      <c r="H295" s="260"/>
    </row>
    <row r="296" spans="1:8">
      <c r="A296" s="263"/>
      <c r="B296" s="261"/>
      <c r="C296" s="208"/>
      <c r="D296" s="209"/>
      <c r="E296" s="210"/>
      <c r="F296" s="95"/>
      <c r="G296" s="227"/>
      <c r="H296" s="260"/>
    </row>
    <row r="297" spans="1:8">
      <c r="A297" s="263"/>
      <c r="B297" s="261"/>
      <c r="C297" s="208"/>
      <c r="D297" s="209"/>
      <c r="E297" s="210"/>
      <c r="F297" s="95"/>
      <c r="G297" s="227"/>
      <c r="H297" s="260"/>
    </row>
    <row r="298" spans="1:8">
      <c r="A298" s="263"/>
      <c r="B298" s="261"/>
      <c r="C298" s="208"/>
      <c r="D298" s="209"/>
      <c r="E298" s="210"/>
      <c r="F298" s="95"/>
      <c r="G298" s="227"/>
      <c r="H298" s="260"/>
    </row>
    <row r="299" spans="1:8">
      <c r="A299" s="263"/>
      <c r="B299" s="261"/>
      <c r="C299" s="208"/>
      <c r="D299" s="209"/>
      <c r="E299" s="210"/>
      <c r="F299" s="95"/>
      <c r="G299" s="227"/>
      <c r="H299" s="260"/>
    </row>
    <row r="300" spans="1:8">
      <c r="A300" s="263"/>
      <c r="B300" s="261"/>
      <c r="C300" s="208"/>
      <c r="D300" s="209"/>
      <c r="E300" s="210"/>
      <c r="F300" s="95"/>
      <c r="G300" s="227"/>
      <c r="H300" s="260"/>
    </row>
    <row r="301" spans="1:8">
      <c r="A301" s="263"/>
      <c r="B301" s="261"/>
      <c r="C301" s="208"/>
      <c r="D301" s="209"/>
      <c r="E301" s="210"/>
      <c r="F301" s="95"/>
      <c r="G301" s="227"/>
      <c r="H301" s="260"/>
    </row>
    <row r="302" spans="1:8">
      <c r="A302" s="263"/>
      <c r="B302" s="261"/>
      <c r="C302" s="208"/>
      <c r="D302" s="209"/>
      <c r="E302" s="210"/>
      <c r="F302" s="95"/>
      <c r="G302" s="227"/>
      <c r="H302" s="260"/>
    </row>
    <row r="303" spans="1:8">
      <c r="A303" s="263"/>
      <c r="B303" s="261"/>
      <c r="C303" s="208"/>
      <c r="D303" s="209"/>
      <c r="E303" s="210"/>
      <c r="F303" s="95"/>
      <c r="G303" s="227"/>
      <c r="H303" s="260"/>
    </row>
    <row r="304" spans="1:8">
      <c r="A304" s="263"/>
      <c r="B304" s="261"/>
      <c r="C304" s="208"/>
      <c r="D304" s="209"/>
      <c r="E304" s="210"/>
      <c r="F304" s="95"/>
      <c r="G304" s="227"/>
      <c r="H304" s="260"/>
    </row>
    <row r="305" spans="1:8">
      <c r="A305" s="263"/>
      <c r="B305" s="261"/>
      <c r="C305" s="208"/>
      <c r="D305" s="209"/>
      <c r="E305" s="210"/>
      <c r="F305" s="95"/>
      <c r="G305" s="227"/>
      <c r="H305" s="260"/>
    </row>
    <row r="306" spans="1:8">
      <c r="A306" s="263"/>
      <c r="B306" s="261"/>
      <c r="C306" s="208"/>
      <c r="D306" s="209"/>
      <c r="E306" s="210"/>
      <c r="F306" s="95"/>
      <c r="G306" s="227"/>
      <c r="H306" s="260"/>
    </row>
    <row r="307" spans="1:8">
      <c r="A307" s="263"/>
      <c r="B307" s="261"/>
      <c r="C307" s="208"/>
      <c r="D307" s="209"/>
      <c r="E307" s="210"/>
      <c r="F307" s="95"/>
      <c r="G307" s="227"/>
      <c r="H307" s="260"/>
    </row>
    <row r="308" spans="1:8">
      <c r="A308" s="263"/>
      <c r="B308" s="261"/>
      <c r="C308" s="208"/>
      <c r="D308" s="209"/>
      <c r="E308" s="210"/>
      <c r="F308" s="95"/>
      <c r="G308" s="227"/>
      <c r="H308" s="260"/>
    </row>
    <row r="309" spans="1:8">
      <c r="A309" s="218"/>
      <c r="B309" s="261"/>
      <c r="C309" s="208"/>
      <c r="D309" s="209"/>
      <c r="E309" s="210"/>
      <c r="F309" s="95"/>
      <c r="G309" s="227"/>
      <c r="H309" s="260"/>
    </row>
    <row r="310" spans="1:8">
      <c r="A310" s="218"/>
      <c r="B310" s="261"/>
      <c r="C310" s="208"/>
      <c r="D310" s="209"/>
      <c r="E310" s="210"/>
      <c r="F310" s="95"/>
      <c r="G310" s="227"/>
      <c r="H310" s="260"/>
    </row>
    <row r="311" spans="1:9">
      <c r="A311" s="218"/>
      <c r="B311" s="261"/>
      <c r="C311" s="208"/>
      <c r="D311" s="209"/>
      <c r="E311" s="210"/>
      <c r="F311" s="95"/>
      <c r="G311" s="227"/>
      <c r="H311" s="260"/>
      <c r="I311" s="229"/>
    </row>
    <row r="312" spans="1:8">
      <c r="A312" s="218"/>
      <c r="B312" s="261"/>
      <c r="C312" s="208"/>
      <c r="D312" s="209"/>
      <c r="E312" s="210"/>
      <c r="F312" s="95"/>
      <c r="G312" s="227"/>
      <c r="H312" s="260"/>
    </row>
    <row r="313" spans="1:8">
      <c r="A313" s="218"/>
      <c r="B313" s="261"/>
      <c r="C313" s="208"/>
      <c r="D313" s="209"/>
      <c r="E313" s="210"/>
      <c r="F313" s="95"/>
      <c r="G313" s="227"/>
      <c r="H313" s="260"/>
    </row>
    <row r="314" spans="1:8">
      <c r="A314" s="218"/>
      <c r="B314" s="261"/>
      <c r="C314" s="208"/>
      <c r="D314" s="209"/>
      <c r="E314" s="210"/>
      <c r="F314" s="95"/>
      <c r="G314" s="227"/>
      <c r="H314" s="260"/>
    </row>
    <row r="315" spans="1:8">
      <c r="A315" s="218"/>
      <c r="B315" s="261"/>
      <c r="C315" s="208"/>
      <c r="D315" s="209"/>
      <c r="E315" s="210"/>
      <c r="F315" s="95"/>
      <c r="G315" s="227"/>
      <c r="H315" s="260"/>
    </row>
    <row r="316" spans="1:8">
      <c r="A316" s="218"/>
      <c r="B316" s="261"/>
      <c r="C316" s="208"/>
      <c r="D316" s="209"/>
      <c r="E316" s="210"/>
      <c r="F316" s="95"/>
      <c r="G316" s="227"/>
      <c r="H316" s="260"/>
    </row>
    <row r="317" spans="1:8">
      <c r="A317" s="218"/>
      <c r="B317" s="261"/>
      <c r="C317" s="208"/>
      <c r="D317" s="209"/>
      <c r="E317" s="210"/>
      <c r="F317" s="95"/>
      <c r="G317" s="227"/>
      <c r="H317" s="260"/>
    </row>
    <row r="318" spans="1:8">
      <c r="A318" s="218"/>
      <c r="B318" s="261"/>
      <c r="C318" s="208"/>
      <c r="D318" s="209"/>
      <c r="E318" s="210"/>
      <c r="F318" s="95"/>
      <c r="G318" s="227"/>
      <c r="H318" s="260"/>
    </row>
    <row r="319" spans="1:8">
      <c r="A319" s="218"/>
      <c r="B319" s="261"/>
      <c r="C319" s="208"/>
      <c r="D319" s="209"/>
      <c r="E319" s="210"/>
      <c r="F319" s="95"/>
      <c r="G319" s="227"/>
      <c r="H319" s="260"/>
    </row>
    <row r="320" spans="1:8">
      <c r="A320" s="218"/>
      <c r="B320" s="261"/>
      <c r="C320" s="208"/>
      <c r="D320" s="209"/>
      <c r="E320" s="210"/>
      <c r="F320" s="95"/>
      <c r="G320" s="227"/>
      <c r="H320" s="260"/>
    </row>
    <row r="321" spans="1:8">
      <c r="A321" s="218"/>
      <c r="B321" s="261"/>
      <c r="C321" s="208"/>
      <c r="D321" s="209"/>
      <c r="E321" s="210"/>
      <c r="F321" s="95"/>
      <c r="G321" s="227"/>
      <c r="H321" s="260"/>
    </row>
    <row r="322" spans="1:8">
      <c r="A322" s="218"/>
      <c r="B322" s="261"/>
      <c r="C322" s="208"/>
      <c r="D322" s="209"/>
      <c r="E322" s="210"/>
      <c r="F322" s="95"/>
      <c r="G322" s="227"/>
      <c r="H322" s="260"/>
    </row>
    <row r="323" spans="1:8">
      <c r="A323" s="218"/>
      <c r="B323" s="261"/>
      <c r="C323" s="208"/>
      <c r="D323" s="209"/>
      <c r="E323" s="210"/>
      <c r="F323" s="95"/>
      <c r="G323" s="227"/>
      <c r="H323" s="260"/>
    </row>
    <row r="324" spans="1:8">
      <c r="A324" s="218"/>
      <c r="B324" s="261"/>
      <c r="C324" s="208"/>
      <c r="D324" s="209"/>
      <c r="E324" s="210"/>
      <c r="F324" s="95"/>
      <c r="G324" s="227"/>
      <c r="H324" s="260"/>
    </row>
    <row r="325" spans="1:8">
      <c r="A325" s="218"/>
      <c r="B325" s="261"/>
      <c r="C325" s="208"/>
      <c r="D325" s="209"/>
      <c r="E325" s="210"/>
      <c r="F325" s="95"/>
      <c r="G325" s="227"/>
      <c r="H325" s="260"/>
    </row>
    <row r="326" spans="1:8">
      <c r="A326" s="218"/>
      <c r="B326" s="261"/>
      <c r="C326" s="208"/>
      <c r="D326" s="209"/>
      <c r="E326" s="210"/>
      <c r="F326" s="95"/>
      <c r="G326" s="227"/>
      <c r="H326" s="260"/>
    </row>
    <row r="327" spans="1:8">
      <c r="A327" s="218"/>
      <c r="B327" s="261"/>
      <c r="C327" s="208"/>
      <c r="D327" s="209"/>
      <c r="E327" s="210"/>
      <c r="F327" s="95"/>
      <c r="G327" s="227"/>
      <c r="H327" s="260"/>
    </row>
    <row r="328" spans="1:8">
      <c r="A328" s="218"/>
      <c r="B328" s="261"/>
      <c r="C328" s="208"/>
      <c r="D328" s="209"/>
      <c r="E328" s="210"/>
      <c r="F328" s="95"/>
      <c r="G328" s="227"/>
      <c r="H328" s="260"/>
    </row>
    <row r="329" spans="1:8">
      <c r="A329" s="218"/>
      <c r="B329" s="261"/>
      <c r="C329" s="208"/>
      <c r="D329" s="209"/>
      <c r="E329" s="210"/>
      <c r="F329" s="95"/>
      <c r="G329" s="227"/>
      <c r="H329" s="260"/>
    </row>
    <row r="330" spans="1:8">
      <c r="A330" s="218"/>
      <c r="B330" s="261"/>
      <c r="C330" s="208"/>
      <c r="D330" s="209"/>
      <c r="E330" s="210"/>
      <c r="F330" s="95"/>
      <c r="G330" s="227"/>
      <c r="H330" s="260"/>
    </row>
    <row r="331" spans="1:8">
      <c r="A331" s="218"/>
      <c r="B331" s="261"/>
      <c r="C331" s="208"/>
      <c r="D331" s="209"/>
      <c r="E331" s="210"/>
      <c r="F331" s="95"/>
      <c r="G331" s="227"/>
      <c r="H331" s="260"/>
    </row>
    <row r="332" spans="1:8">
      <c r="A332" s="218"/>
      <c r="B332" s="261"/>
      <c r="C332" s="208"/>
      <c r="D332" s="209"/>
      <c r="E332" s="210"/>
      <c r="F332" s="95"/>
      <c r="G332" s="227"/>
      <c r="H332" s="260"/>
    </row>
    <row r="333" spans="1:8">
      <c r="A333" s="218"/>
      <c r="B333" s="261"/>
      <c r="C333" s="208"/>
      <c r="D333" s="209"/>
      <c r="E333" s="210"/>
      <c r="F333" s="95"/>
      <c r="G333" s="227"/>
      <c r="H333" s="260"/>
    </row>
    <row r="334" spans="1:8">
      <c r="A334" s="218"/>
      <c r="B334" s="261"/>
      <c r="C334" s="208"/>
      <c r="D334" s="209"/>
      <c r="E334" s="210"/>
      <c r="F334" s="95"/>
      <c r="G334" s="227"/>
      <c r="H334" s="260"/>
    </row>
    <row r="335" spans="1:8">
      <c r="A335" s="218"/>
      <c r="B335" s="261"/>
      <c r="C335" s="208"/>
      <c r="D335" s="209"/>
      <c r="E335" s="210"/>
      <c r="F335" s="95"/>
      <c r="G335" s="227"/>
      <c r="H335" s="260"/>
    </row>
    <row r="336" spans="1:8">
      <c r="A336" s="218"/>
      <c r="B336" s="261"/>
      <c r="C336" s="208"/>
      <c r="D336" s="209"/>
      <c r="E336" s="210"/>
      <c r="F336" s="95"/>
      <c r="G336" s="227"/>
      <c r="H336" s="260"/>
    </row>
    <row r="337" spans="1:8">
      <c r="A337" s="218"/>
      <c r="B337" s="261"/>
      <c r="C337" s="208"/>
      <c r="D337" s="209"/>
      <c r="E337" s="210"/>
      <c r="F337" s="95"/>
      <c r="G337" s="227"/>
      <c r="H337" s="260"/>
    </row>
    <row r="338" spans="1:8">
      <c r="A338" s="218"/>
      <c r="B338" s="261"/>
      <c r="C338" s="208"/>
      <c r="D338" s="209"/>
      <c r="E338" s="210"/>
      <c r="F338" s="95"/>
      <c r="G338" s="227"/>
      <c r="H338" s="260"/>
    </row>
    <row r="339" spans="1:8">
      <c r="A339" s="218"/>
      <c r="B339" s="261"/>
      <c r="C339" s="208"/>
      <c r="D339" s="209"/>
      <c r="E339" s="210"/>
      <c r="F339" s="95"/>
      <c r="G339" s="227"/>
      <c r="H339" s="260"/>
    </row>
    <row r="340" spans="1:8">
      <c r="A340" s="218"/>
      <c r="B340" s="261"/>
      <c r="C340" s="208"/>
      <c r="D340" s="209"/>
      <c r="E340" s="210"/>
      <c r="F340" s="95"/>
      <c r="G340" s="227"/>
      <c r="H340" s="260"/>
    </row>
    <row r="341" spans="1:8">
      <c r="A341" s="218"/>
      <c r="B341" s="261"/>
      <c r="C341" s="208"/>
      <c r="D341" s="209"/>
      <c r="E341" s="210"/>
      <c r="F341" s="95"/>
      <c r="G341" s="227"/>
      <c r="H341" s="260"/>
    </row>
    <row r="342" spans="1:8">
      <c r="A342" s="218"/>
      <c r="B342" s="261"/>
      <c r="C342" s="208"/>
      <c r="D342" s="209"/>
      <c r="E342" s="210"/>
      <c r="F342" s="95"/>
      <c r="G342" s="227"/>
      <c r="H342" s="260"/>
    </row>
    <row r="343" spans="1:8">
      <c r="A343" s="218"/>
      <c r="B343" s="261"/>
      <c r="C343" s="208"/>
      <c r="D343" s="209"/>
      <c r="E343" s="210"/>
      <c r="F343" s="95"/>
      <c r="G343" s="227"/>
      <c r="H343" s="260"/>
    </row>
    <row r="344" spans="1:8">
      <c r="A344" s="218"/>
      <c r="B344" s="261"/>
      <c r="C344" s="208"/>
      <c r="D344" s="209"/>
      <c r="E344" s="210"/>
      <c r="F344" s="95"/>
      <c r="G344" s="227"/>
      <c r="H344" s="260"/>
    </row>
    <row r="345" spans="1:8">
      <c r="A345" s="218"/>
      <c r="B345" s="261"/>
      <c r="C345" s="208"/>
      <c r="D345" s="209"/>
      <c r="E345" s="210"/>
      <c r="F345" s="95"/>
      <c r="G345" s="227"/>
      <c r="H345" s="260"/>
    </row>
    <row r="346" spans="1:8">
      <c r="A346" s="218"/>
      <c r="B346" s="261"/>
      <c r="C346" s="208"/>
      <c r="D346" s="209"/>
      <c r="E346" s="210"/>
      <c r="F346" s="95"/>
      <c r="G346" s="227"/>
      <c r="H346" s="260"/>
    </row>
    <row r="347" spans="1:8">
      <c r="A347" s="218"/>
      <c r="B347" s="261"/>
      <c r="C347" s="208"/>
      <c r="D347" s="209"/>
      <c r="E347" s="210"/>
      <c r="F347" s="95"/>
      <c r="G347" s="227"/>
      <c r="H347" s="260"/>
    </row>
    <row r="348" spans="1:8">
      <c r="A348" s="218"/>
      <c r="B348" s="261"/>
      <c r="C348" s="208"/>
      <c r="D348" s="209"/>
      <c r="E348" s="210"/>
      <c r="F348" s="95"/>
      <c r="G348" s="227"/>
      <c r="H348" s="260"/>
    </row>
    <row r="349" spans="1:8">
      <c r="A349" s="218"/>
      <c r="B349" s="261"/>
      <c r="C349" s="208"/>
      <c r="D349" s="209"/>
      <c r="E349" s="210"/>
      <c r="F349" s="95"/>
      <c r="G349" s="227"/>
      <c r="H349" s="260"/>
    </row>
    <row r="350" spans="1:8">
      <c r="A350" s="218"/>
      <c r="B350" s="261"/>
      <c r="C350" s="208"/>
      <c r="D350" s="209"/>
      <c r="E350" s="210"/>
      <c r="F350" s="95"/>
      <c r="G350" s="227"/>
      <c r="H350" s="260"/>
    </row>
    <row r="351" spans="1:8">
      <c r="A351" s="218"/>
      <c r="B351" s="261"/>
      <c r="C351" s="208"/>
      <c r="D351" s="209"/>
      <c r="E351" s="210"/>
      <c r="F351" s="95"/>
      <c r="G351" s="227"/>
      <c r="H351" s="260"/>
    </row>
    <row r="352" spans="1:8">
      <c r="A352" s="218"/>
      <c r="B352" s="261"/>
      <c r="C352" s="208"/>
      <c r="D352" s="209"/>
      <c r="E352" s="210"/>
      <c r="F352" s="95"/>
      <c r="G352" s="227"/>
      <c r="H352" s="260"/>
    </row>
    <row r="353" spans="1:8">
      <c r="A353" s="218"/>
      <c r="B353" s="261"/>
      <c r="C353" s="208"/>
      <c r="D353" s="209"/>
      <c r="E353" s="210"/>
      <c r="F353" s="95"/>
      <c r="G353" s="227"/>
      <c r="H353" s="260"/>
    </row>
    <row r="354" spans="1:8">
      <c r="A354" s="218"/>
      <c r="B354" s="261"/>
      <c r="C354" s="208"/>
      <c r="D354" s="209"/>
      <c r="E354" s="210"/>
      <c r="F354" s="95"/>
      <c r="G354" s="227"/>
      <c r="H354" s="260"/>
    </row>
    <row r="355" spans="1:8">
      <c r="A355" s="218"/>
      <c r="B355" s="261"/>
      <c r="C355" s="208"/>
      <c r="D355" s="209"/>
      <c r="E355" s="210"/>
      <c r="F355" s="95"/>
      <c r="G355" s="227"/>
      <c r="H355" s="260"/>
    </row>
    <row r="356" spans="1:8">
      <c r="A356" s="218"/>
      <c r="B356" s="261"/>
      <c r="C356" s="208"/>
      <c r="D356" s="209"/>
      <c r="E356" s="210"/>
      <c r="F356" s="95"/>
      <c r="G356" s="227"/>
      <c r="H356" s="260"/>
    </row>
    <row r="357" spans="1:8">
      <c r="A357" s="218"/>
      <c r="B357" s="261"/>
      <c r="C357" s="208"/>
      <c r="D357" s="209"/>
      <c r="E357" s="210"/>
      <c r="F357" s="95"/>
      <c r="G357" s="227"/>
      <c r="H357" s="260"/>
    </row>
    <row r="358" spans="1:8">
      <c r="A358" s="218"/>
      <c r="B358" s="261"/>
      <c r="C358" s="208"/>
      <c r="D358" s="209"/>
      <c r="E358" s="210"/>
      <c r="F358" s="95"/>
      <c r="G358" s="227"/>
      <c r="H358" s="260"/>
    </row>
    <row r="359" spans="1:8">
      <c r="A359" s="218"/>
      <c r="B359" s="261"/>
      <c r="C359" s="208"/>
      <c r="D359" s="209"/>
      <c r="E359" s="210"/>
      <c r="F359" s="95"/>
      <c r="G359" s="227"/>
      <c r="H359" s="260"/>
    </row>
    <row r="360" spans="1:8">
      <c r="A360" s="218"/>
      <c r="B360" s="261"/>
      <c r="C360" s="208"/>
      <c r="D360" s="209"/>
      <c r="E360" s="210"/>
      <c r="F360" s="95"/>
      <c r="G360" s="227"/>
      <c r="H360" s="260"/>
    </row>
    <row r="361" spans="1:8">
      <c r="A361" s="218"/>
      <c r="B361" s="261"/>
      <c r="C361" s="208"/>
      <c r="D361" s="209"/>
      <c r="E361" s="210"/>
      <c r="F361" s="95"/>
      <c r="G361" s="227"/>
      <c r="H361" s="260"/>
    </row>
    <row r="362" spans="1:8">
      <c r="A362" s="218"/>
      <c r="B362" s="261"/>
      <c r="C362" s="208"/>
      <c r="D362" s="209"/>
      <c r="E362" s="210"/>
      <c r="F362" s="95"/>
      <c r="G362" s="227"/>
      <c r="H362" s="260"/>
    </row>
    <row r="363" spans="1:8">
      <c r="A363" s="218"/>
      <c r="B363" s="261"/>
      <c r="C363" s="208"/>
      <c r="D363" s="209"/>
      <c r="E363" s="210"/>
      <c r="F363" s="95"/>
      <c r="G363" s="227"/>
      <c r="H363" s="260"/>
    </row>
    <row r="364" spans="1:8">
      <c r="A364" s="218"/>
      <c r="B364" s="261"/>
      <c r="C364" s="208"/>
      <c r="D364" s="209"/>
      <c r="E364" s="210"/>
      <c r="F364" s="95"/>
      <c r="G364" s="227"/>
      <c r="H364" s="260"/>
    </row>
    <row r="365" spans="1:8">
      <c r="A365" s="218"/>
      <c r="B365" s="261"/>
      <c r="C365" s="208"/>
      <c r="D365" s="209"/>
      <c r="E365" s="210"/>
      <c r="F365" s="95"/>
      <c r="G365" s="227"/>
      <c r="H365" s="260"/>
    </row>
    <row r="366" spans="1:8">
      <c r="A366" s="218"/>
      <c r="B366" s="261"/>
      <c r="C366" s="208"/>
      <c r="D366" s="209"/>
      <c r="E366" s="210"/>
      <c r="F366" s="95"/>
      <c r="G366" s="227"/>
      <c r="H366" s="260"/>
    </row>
    <row r="367" spans="1:8">
      <c r="A367" s="218"/>
      <c r="B367" s="261"/>
      <c r="C367" s="208"/>
      <c r="D367" s="209"/>
      <c r="E367" s="210"/>
      <c r="F367" s="95"/>
      <c r="G367" s="227"/>
      <c r="H367" s="260"/>
    </row>
    <row r="368" spans="1:8">
      <c r="A368" s="218"/>
      <c r="B368" s="261"/>
      <c r="C368" s="208"/>
      <c r="D368" s="209"/>
      <c r="E368" s="210"/>
      <c r="F368" s="95"/>
      <c r="G368" s="227"/>
      <c r="H368" s="260"/>
    </row>
    <row r="369" spans="1:8">
      <c r="A369" s="218"/>
      <c r="B369" s="261"/>
      <c r="C369" s="208"/>
      <c r="D369" s="209"/>
      <c r="E369" s="210"/>
      <c r="F369" s="95"/>
      <c r="G369" s="227"/>
      <c r="H369" s="260"/>
    </row>
    <row r="370" spans="1:8">
      <c r="A370" s="218"/>
      <c r="B370" s="261"/>
      <c r="C370" s="208"/>
      <c r="D370" s="209"/>
      <c r="E370" s="210"/>
      <c r="F370" s="95"/>
      <c r="G370" s="227"/>
      <c r="H370" s="260"/>
    </row>
    <row r="371" spans="1:8">
      <c r="A371" s="218"/>
      <c r="B371" s="261"/>
      <c r="C371" s="208"/>
      <c r="D371" s="209"/>
      <c r="E371" s="210"/>
      <c r="F371" s="95"/>
      <c r="G371" s="227"/>
      <c r="H371" s="260"/>
    </row>
    <row r="372" spans="1:8">
      <c r="A372" s="218"/>
      <c r="B372" s="261"/>
      <c r="C372" s="208"/>
      <c r="D372" s="209"/>
      <c r="E372" s="210"/>
      <c r="F372" s="95"/>
      <c r="G372" s="227"/>
      <c r="H372" s="260"/>
    </row>
    <row r="373" spans="1:8">
      <c r="A373" s="218"/>
      <c r="B373" s="261"/>
      <c r="C373" s="208"/>
      <c r="D373" s="209"/>
      <c r="E373" s="210"/>
      <c r="F373" s="95"/>
      <c r="G373" s="227"/>
      <c r="H373" s="260"/>
    </row>
    <row r="374" spans="1:8">
      <c r="A374" s="218"/>
      <c r="B374" s="261"/>
      <c r="C374" s="208"/>
      <c r="D374" s="209"/>
      <c r="E374" s="210"/>
      <c r="F374" s="95"/>
      <c r="G374" s="227"/>
      <c r="H374" s="260"/>
    </row>
    <row r="375" spans="1:8">
      <c r="A375" s="218"/>
      <c r="B375" s="261"/>
      <c r="C375" s="208"/>
      <c r="D375" s="209"/>
      <c r="E375" s="210"/>
      <c r="F375" s="95"/>
      <c r="G375" s="227"/>
      <c r="H375" s="260"/>
    </row>
    <row r="376" spans="1:8">
      <c r="A376" s="218"/>
      <c r="B376" s="261"/>
      <c r="C376" s="208"/>
      <c r="D376" s="209"/>
      <c r="E376" s="210"/>
      <c r="F376" s="95"/>
      <c r="G376" s="227"/>
      <c r="H376" s="260"/>
    </row>
    <row r="377" spans="1:8">
      <c r="A377" s="218"/>
      <c r="B377" s="261"/>
      <c r="C377" s="208"/>
      <c r="D377" s="209"/>
      <c r="E377" s="210"/>
      <c r="F377" s="95"/>
      <c r="G377" s="227"/>
      <c r="H377" s="260"/>
    </row>
    <row r="378" spans="1:8">
      <c r="A378" s="218"/>
      <c r="B378" s="261"/>
      <c r="C378" s="208"/>
      <c r="D378" s="209"/>
      <c r="E378" s="210"/>
      <c r="F378" s="95"/>
      <c r="G378" s="227"/>
      <c r="H378" s="260"/>
    </row>
    <row r="379" spans="1:8">
      <c r="A379" s="218"/>
      <c r="B379" s="261"/>
      <c r="C379" s="208"/>
      <c r="D379" s="209"/>
      <c r="E379" s="210"/>
      <c r="F379" s="95"/>
      <c r="G379" s="227"/>
      <c r="H379" s="260"/>
    </row>
    <row r="380" spans="1:8">
      <c r="A380" s="218"/>
      <c r="B380" s="261"/>
      <c r="C380" s="208"/>
      <c r="D380" s="209"/>
      <c r="E380" s="210"/>
      <c r="F380" s="95"/>
      <c r="G380" s="227"/>
      <c r="H380" s="260"/>
    </row>
    <row r="381" spans="1:8">
      <c r="A381" s="218"/>
      <c r="B381" s="261"/>
      <c r="C381" s="208"/>
      <c r="D381" s="209"/>
      <c r="E381" s="210"/>
      <c r="F381" s="95"/>
      <c r="G381" s="227"/>
      <c r="H381" s="260"/>
    </row>
    <row r="382" spans="1:8">
      <c r="A382" s="218"/>
      <c r="B382" s="261"/>
      <c r="C382" s="208"/>
      <c r="D382" s="209"/>
      <c r="E382" s="210"/>
      <c r="F382" s="95"/>
      <c r="G382" s="227"/>
      <c r="H382" s="260"/>
    </row>
    <row r="383" spans="1:8">
      <c r="A383" s="218"/>
      <c r="B383" s="261"/>
      <c r="C383" s="208"/>
      <c r="D383" s="209"/>
      <c r="E383" s="210"/>
      <c r="F383" s="95"/>
      <c r="G383" s="227"/>
      <c r="H383" s="260"/>
    </row>
    <row r="384" spans="1:8">
      <c r="A384" s="218"/>
      <c r="B384" s="261"/>
      <c r="C384" s="208"/>
      <c r="D384" s="209"/>
      <c r="E384" s="210"/>
      <c r="F384" s="95"/>
      <c r="G384" s="227"/>
      <c r="H384" s="260"/>
    </row>
    <row r="385" spans="1:8">
      <c r="A385" s="218"/>
      <c r="B385" s="261"/>
      <c r="C385" s="208"/>
      <c r="D385" s="209"/>
      <c r="E385" s="210"/>
      <c r="F385" s="95"/>
      <c r="G385" s="227"/>
      <c r="H385" s="260"/>
    </row>
    <row r="386" spans="1:8">
      <c r="A386" s="218"/>
      <c r="B386" s="261"/>
      <c r="C386" s="208"/>
      <c r="D386" s="209"/>
      <c r="E386" s="210"/>
      <c r="F386" s="95"/>
      <c r="G386" s="227"/>
      <c r="H386" s="260"/>
    </row>
    <row r="387" spans="1:8">
      <c r="A387" s="218"/>
      <c r="B387" s="261"/>
      <c r="C387" s="208"/>
      <c r="D387" s="209"/>
      <c r="E387" s="210"/>
      <c r="F387" s="95"/>
      <c r="G387" s="227"/>
      <c r="H387" s="260"/>
    </row>
    <row r="388" spans="1:8">
      <c r="A388" s="218"/>
      <c r="B388" s="261"/>
      <c r="C388" s="208"/>
      <c r="D388" s="209"/>
      <c r="E388" s="210"/>
      <c r="F388" s="95"/>
      <c r="G388" s="227"/>
      <c r="H388" s="260"/>
    </row>
    <row r="389" spans="1:8">
      <c r="A389" s="218"/>
      <c r="B389" s="261"/>
      <c r="C389" s="208"/>
      <c r="D389" s="209"/>
      <c r="E389" s="210"/>
      <c r="F389" s="95"/>
      <c r="G389" s="227"/>
      <c r="H389" s="262"/>
    </row>
    <row r="390" spans="1:8">
      <c r="A390" s="218"/>
      <c r="B390" s="261"/>
      <c r="C390" s="208"/>
      <c r="D390" s="209"/>
      <c r="E390" s="210"/>
      <c r="F390" s="95"/>
      <c r="G390" s="227"/>
      <c r="H390" s="260"/>
    </row>
    <row r="391" spans="1:8">
      <c r="A391" s="218"/>
      <c r="B391" s="261"/>
      <c r="C391" s="208"/>
      <c r="D391" s="209"/>
      <c r="E391" s="210"/>
      <c r="F391" s="95"/>
      <c r="G391" s="227"/>
      <c r="H391" s="260"/>
    </row>
    <row r="392" spans="1:8">
      <c r="A392" s="218"/>
      <c r="B392" s="261"/>
      <c r="C392" s="208"/>
      <c r="D392" s="209"/>
      <c r="E392" s="210"/>
      <c r="F392" s="95"/>
      <c r="G392" s="227"/>
      <c r="H392" s="260"/>
    </row>
    <row r="393" spans="1:8">
      <c r="A393" s="218"/>
      <c r="B393" s="261"/>
      <c r="C393" s="208"/>
      <c r="D393" s="209"/>
      <c r="E393" s="210"/>
      <c r="F393" s="95"/>
      <c r="G393" s="227"/>
      <c r="H393" s="260"/>
    </row>
    <row r="394" spans="1:8">
      <c r="A394" s="218"/>
      <c r="B394" s="261"/>
      <c r="C394" s="208"/>
      <c r="D394" s="209"/>
      <c r="E394" s="210"/>
      <c r="F394" s="95"/>
      <c r="G394" s="227"/>
      <c r="H394" s="260"/>
    </row>
    <row r="395" spans="1:8">
      <c r="A395" s="218"/>
      <c r="B395" s="261"/>
      <c r="C395" s="208"/>
      <c r="D395" s="209"/>
      <c r="E395" s="210"/>
      <c r="F395" s="95"/>
      <c r="G395" s="227"/>
      <c r="H395" s="260"/>
    </row>
    <row r="396" spans="1:8">
      <c r="A396" s="218"/>
      <c r="B396" s="261"/>
      <c r="C396" s="208"/>
      <c r="D396" s="209"/>
      <c r="E396" s="210"/>
      <c r="F396" s="95"/>
      <c r="G396" s="227"/>
      <c r="H396" s="260"/>
    </row>
    <row r="397" spans="1:8">
      <c r="A397" s="218"/>
      <c r="B397" s="261"/>
      <c r="C397" s="208"/>
      <c r="D397" s="209"/>
      <c r="E397" s="210"/>
      <c r="F397" s="95"/>
      <c r="G397" s="227"/>
      <c r="H397" s="260"/>
    </row>
    <row r="398" spans="1:8">
      <c r="A398" s="218"/>
      <c r="B398" s="261"/>
      <c r="C398" s="208"/>
      <c r="D398" s="209"/>
      <c r="E398" s="210"/>
      <c r="F398" s="95"/>
      <c r="G398" s="227"/>
      <c r="H398" s="260"/>
    </row>
    <row r="399" spans="1:8">
      <c r="A399" s="218"/>
      <c r="B399" s="261"/>
      <c r="C399" s="208"/>
      <c r="D399" s="209"/>
      <c r="E399" s="210"/>
      <c r="F399" s="95"/>
      <c r="G399" s="227"/>
      <c r="H399" s="260"/>
    </row>
    <row r="400" spans="1:8">
      <c r="A400" s="218"/>
      <c r="B400" s="261"/>
      <c r="C400" s="208"/>
      <c r="D400" s="209"/>
      <c r="E400" s="210"/>
      <c r="F400" s="95"/>
      <c r="G400" s="227"/>
      <c r="H400" s="260"/>
    </row>
    <row r="401" spans="1:8">
      <c r="A401" s="218"/>
      <c r="B401" s="261"/>
      <c r="C401" s="208"/>
      <c r="D401" s="209"/>
      <c r="E401" s="210"/>
      <c r="F401" s="95"/>
      <c r="G401" s="227"/>
      <c r="H401" s="260"/>
    </row>
    <row r="402" spans="1:8">
      <c r="A402" s="218"/>
      <c r="B402" s="261"/>
      <c r="C402" s="208"/>
      <c r="D402" s="209"/>
      <c r="E402" s="210"/>
      <c r="F402" s="95"/>
      <c r="G402" s="227"/>
      <c r="H402" s="260"/>
    </row>
    <row r="403" spans="1:8">
      <c r="A403" s="218"/>
      <c r="B403" s="261"/>
      <c r="C403" s="208"/>
      <c r="D403" s="209"/>
      <c r="E403" s="210"/>
      <c r="F403" s="95"/>
      <c r="G403" s="227"/>
      <c r="H403" s="260"/>
    </row>
    <row r="404" spans="1:8">
      <c r="A404" s="218"/>
      <c r="B404" s="261"/>
      <c r="C404" s="208"/>
      <c r="D404" s="209"/>
      <c r="E404" s="210"/>
      <c r="F404" s="95"/>
      <c r="G404" s="227"/>
      <c r="H404" s="260"/>
    </row>
    <row r="405" spans="1:8">
      <c r="A405" s="218"/>
      <c r="B405" s="261"/>
      <c r="C405" s="208"/>
      <c r="D405" s="209"/>
      <c r="E405" s="210"/>
      <c r="F405" s="95"/>
      <c r="G405" s="227"/>
      <c r="H405" s="260"/>
    </row>
    <row r="406" spans="1:8">
      <c r="A406" s="218"/>
      <c r="B406" s="261"/>
      <c r="C406" s="208"/>
      <c r="D406" s="209"/>
      <c r="E406" s="210"/>
      <c r="F406" s="95"/>
      <c r="G406" s="227"/>
      <c r="H406" s="260"/>
    </row>
    <row r="407" spans="1:8">
      <c r="A407" s="218"/>
      <c r="B407" s="261"/>
      <c r="C407" s="208"/>
      <c r="D407" s="209"/>
      <c r="E407" s="210"/>
      <c r="F407" s="95"/>
      <c r="G407" s="227"/>
      <c r="H407" s="260"/>
    </row>
    <row r="408" spans="1:8">
      <c r="A408" s="218"/>
      <c r="B408" s="261"/>
      <c r="C408" s="208"/>
      <c r="D408" s="209"/>
      <c r="E408" s="210"/>
      <c r="F408" s="95"/>
      <c r="G408" s="227"/>
      <c r="H408" s="260"/>
    </row>
    <row r="409" spans="1:8">
      <c r="A409" s="218"/>
      <c r="B409" s="261"/>
      <c r="C409" s="208"/>
      <c r="D409" s="209"/>
      <c r="E409" s="210"/>
      <c r="F409" s="95"/>
      <c r="G409" s="227"/>
      <c r="H409" s="260"/>
    </row>
    <row r="410" spans="1:8">
      <c r="A410" s="218"/>
      <c r="B410" s="261"/>
      <c r="C410" s="208"/>
      <c r="D410" s="209"/>
      <c r="E410" s="210"/>
      <c r="F410" s="95"/>
      <c r="G410" s="227"/>
      <c r="H410" s="260"/>
    </row>
    <row r="411" spans="1:8">
      <c r="A411" s="218"/>
      <c r="B411" s="261"/>
      <c r="C411" s="208"/>
      <c r="D411" s="209"/>
      <c r="E411" s="210"/>
      <c r="F411" s="95"/>
      <c r="G411" s="227"/>
      <c r="H411" s="260"/>
    </row>
    <row r="412" spans="1:8">
      <c r="A412" s="218"/>
      <c r="B412" s="261"/>
      <c r="C412" s="208"/>
      <c r="D412" s="209"/>
      <c r="E412" s="210"/>
      <c r="F412" s="95"/>
      <c r="G412" s="227"/>
      <c r="H412" s="260"/>
    </row>
    <row r="413" spans="1:8">
      <c r="A413" s="218"/>
      <c r="B413" s="261"/>
      <c r="C413" s="208"/>
      <c r="D413" s="209"/>
      <c r="E413" s="210"/>
      <c r="F413" s="95"/>
      <c r="G413" s="227"/>
      <c r="H413" s="260"/>
    </row>
    <row r="414" spans="1:8">
      <c r="A414" s="218"/>
      <c r="B414" s="261"/>
      <c r="C414" s="208"/>
      <c r="D414" s="209"/>
      <c r="E414" s="210"/>
      <c r="F414" s="95"/>
      <c r="G414" s="227"/>
      <c r="H414" s="260"/>
    </row>
    <row r="415" spans="1:8">
      <c r="A415" s="218"/>
      <c r="B415" s="261"/>
      <c r="C415" s="208"/>
      <c r="D415" s="209"/>
      <c r="E415" s="210"/>
      <c r="F415" s="95"/>
      <c r="G415" s="227"/>
      <c r="H415" s="260"/>
    </row>
    <row r="416" spans="1:8">
      <c r="A416" s="218"/>
      <c r="B416" s="261"/>
      <c r="C416" s="208"/>
      <c r="D416" s="209"/>
      <c r="E416" s="210"/>
      <c r="F416" s="95"/>
      <c r="G416" s="227"/>
      <c r="H416" s="260"/>
    </row>
    <row r="417" spans="1:8">
      <c r="A417" s="218"/>
      <c r="B417" s="261"/>
      <c r="C417" s="208"/>
      <c r="D417" s="209"/>
      <c r="E417" s="210"/>
      <c r="F417" s="95"/>
      <c r="G417" s="227"/>
      <c r="H417" s="260"/>
    </row>
    <row r="418" spans="1:8">
      <c r="A418" s="218"/>
      <c r="B418" s="261"/>
      <c r="C418" s="208"/>
      <c r="D418" s="209"/>
      <c r="E418" s="210"/>
      <c r="F418" s="95"/>
      <c r="G418" s="227"/>
      <c r="H418" s="260"/>
    </row>
    <row r="419" spans="1:8">
      <c r="A419" s="218"/>
      <c r="B419" s="261"/>
      <c r="C419" s="208"/>
      <c r="D419" s="209"/>
      <c r="E419" s="210"/>
      <c r="F419" s="95"/>
      <c r="G419" s="227"/>
      <c r="H419" s="260"/>
    </row>
    <row r="420" spans="1:8">
      <c r="A420" s="218"/>
      <c r="B420" s="261"/>
      <c r="C420" s="208"/>
      <c r="D420" s="209"/>
      <c r="E420" s="210"/>
      <c r="F420" s="95"/>
      <c r="G420" s="227"/>
      <c r="H420" s="260"/>
    </row>
    <row r="421" spans="1:8">
      <c r="A421" s="218"/>
      <c r="B421" s="261"/>
      <c r="C421" s="208"/>
      <c r="D421" s="209"/>
      <c r="E421" s="210"/>
      <c r="F421" s="95"/>
      <c r="G421" s="227"/>
      <c r="H421" s="260"/>
    </row>
    <row r="422" spans="1:8">
      <c r="A422" s="218"/>
      <c r="B422" s="261"/>
      <c r="C422" s="208"/>
      <c r="D422" s="209"/>
      <c r="E422" s="210"/>
      <c r="F422" s="95"/>
      <c r="G422" s="227"/>
      <c r="H422" s="260"/>
    </row>
    <row r="423" spans="1:8">
      <c r="A423" s="218"/>
      <c r="B423" s="261"/>
      <c r="C423" s="208"/>
      <c r="D423" s="209"/>
      <c r="E423" s="210"/>
      <c r="F423" s="95"/>
      <c r="G423" s="227"/>
      <c r="H423" s="260"/>
    </row>
    <row r="424" spans="1:8">
      <c r="A424" s="218"/>
      <c r="B424" s="261"/>
      <c r="C424" s="208"/>
      <c r="D424" s="209"/>
      <c r="E424" s="210"/>
      <c r="F424" s="95"/>
      <c r="G424" s="227"/>
      <c r="H424" s="260"/>
    </row>
    <row r="425" spans="1:8">
      <c r="A425" s="218"/>
      <c r="B425" s="261"/>
      <c r="C425" s="208"/>
      <c r="D425" s="209"/>
      <c r="E425" s="210"/>
      <c r="F425" s="95"/>
      <c r="G425" s="227"/>
      <c r="H425" s="260"/>
    </row>
    <row r="426" spans="1:8">
      <c r="A426" s="218"/>
      <c r="B426" s="261"/>
      <c r="C426" s="208"/>
      <c r="D426" s="209"/>
      <c r="E426" s="210"/>
      <c r="F426" s="95"/>
      <c r="G426" s="227"/>
      <c r="H426" s="260"/>
    </row>
    <row r="427" spans="1:8">
      <c r="A427" s="218"/>
      <c r="B427" s="261"/>
      <c r="C427" s="208"/>
      <c r="D427" s="209"/>
      <c r="E427" s="210"/>
      <c r="F427" s="95"/>
      <c r="G427" s="227"/>
      <c r="H427" s="260"/>
    </row>
    <row r="428" spans="1:8">
      <c r="A428" s="218"/>
      <c r="B428" s="261"/>
      <c r="C428" s="208"/>
      <c r="D428" s="209"/>
      <c r="E428" s="210"/>
      <c r="F428" s="95"/>
      <c r="G428" s="227"/>
      <c r="H428" s="260"/>
    </row>
    <row r="429" spans="1:8">
      <c r="A429" s="218"/>
      <c r="B429" s="261"/>
      <c r="C429" s="208"/>
      <c r="D429" s="209"/>
      <c r="E429" s="210"/>
      <c r="F429" s="95"/>
      <c r="G429" s="227"/>
      <c r="H429" s="260"/>
    </row>
    <row r="430" spans="1:8">
      <c r="A430" s="218"/>
      <c r="B430" s="261"/>
      <c r="C430" s="208"/>
      <c r="D430" s="209"/>
      <c r="E430" s="210"/>
      <c r="F430" s="95"/>
      <c r="G430" s="227"/>
      <c r="H430" s="260"/>
    </row>
    <row r="431" spans="1:8">
      <c r="A431" s="218"/>
      <c r="B431" s="261"/>
      <c r="C431" s="208"/>
      <c r="D431" s="209"/>
      <c r="E431" s="210"/>
      <c r="F431" s="95"/>
      <c r="G431" s="227"/>
      <c r="H431" s="260"/>
    </row>
    <row r="432" spans="1:8">
      <c r="A432" s="218"/>
      <c r="B432" s="261"/>
      <c r="C432" s="208"/>
      <c r="D432" s="209"/>
      <c r="E432" s="210"/>
      <c r="F432" s="95"/>
      <c r="G432" s="227"/>
      <c r="H432" s="260"/>
    </row>
    <row r="433" spans="1:8">
      <c r="A433" s="218"/>
      <c r="B433" s="261"/>
      <c r="C433" s="208"/>
      <c r="D433" s="209"/>
      <c r="E433" s="210"/>
      <c r="F433" s="95"/>
      <c r="G433" s="227"/>
      <c r="H433" s="260"/>
    </row>
    <row r="434" spans="1:8">
      <c r="A434" s="218"/>
      <c r="B434" s="261"/>
      <c r="C434" s="208"/>
      <c r="D434" s="209"/>
      <c r="E434" s="210"/>
      <c r="F434" s="95"/>
      <c r="G434" s="227"/>
      <c r="H434" s="260"/>
    </row>
    <row r="435" spans="1:8">
      <c r="A435" s="218"/>
      <c r="B435" s="261"/>
      <c r="C435" s="208"/>
      <c r="D435" s="209"/>
      <c r="E435" s="210"/>
      <c r="F435" s="95"/>
      <c r="G435" s="227"/>
      <c r="H435" s="260"/>
    </row>
    <row r="436" spans="1:8">
      <c r="A436" s="218"/>
      <c r="B436" s="261"/>
      <c r="C436" s="208"/>
      <c r="D436" s="209"/>
      <c r="E436" s="210"/>
      <c r="F436" s="95"/>
      <c r="G436" s="227"/>
      <c r="H436" s="260"/>
    </row>
    <row r="437" spans="1:8">
      <c r="A437" s="218"/>
      <c r="B437" s="261"/>
      <c r="C437" s="208"/>
      <c r="D437" s="209"/>
      <c r="E437" s="210"/>
      <c r="F437" s="95"/>
      <c r="G437" s="227"/>
      <c r="H437" s="260"/>
    </row>
    <row r="438" spans="1:8">
      <c r="A438" s="218"/>
      <c r="B438" s="261"/>
      <c r="C438" s="208"/>
      <c r="D438" s="209"/>
      <c r="E438" s="210"/>
      <c r="F438" s="95"/>
      <c r="G438" s="227"/>
      <c r="H438" s="260"/>
    </row>
    <row r="439" spans="1:8">
      <c r="A439" s="218"/>
      <c r="B439" s="261"/>
      <c r="C439" s="208"/>
      <c r="D439" s="209"/>
      <c r="E439" s="210"/>
      <c r="F439" s="95"/>
      <c r="G439" s="227"/>
      <c r="H439" s="260"/>
    </row>
    <row r="440" spans="1:8">
      <c r="A440" s="218"/>
      <c r="B440" s="261"/>
      <c r="C440" s="208"/>
      <c r="D440" s="209"/>
      <c r="E440" s="210"/>
      <c r="F440" s="95"/>
      <c r="G440" s="227"/>
      <c r="H440" s="260"/>
    </row>
    <row r="441" spans="1:8">
      <c r="A441" s="218"/>
      <c r="B441" s="261"/>
      <c r="C441" s="208"/>
      <c r="D441" s="209"/>
      <c r="E441" s="210"/>
      <c r="F441" s="95"/>
      <c r="G441" s="227"/>
      <c r="H441" s="260"/>
    </row>
    <row r="442" spans="1:8">
      <c r="A442" s="218"/>
      <c r="B442" s="261"/>
      <c r="C442" s="208"/>
      <c r="D442" s="209"/>
      <c r="E442" s="210"/>
      <c r="F442" s="95"/>
      <c r="G442" s="227"/>
      <c r="H442" s="260"/>
    </row>
    <row r="443" spans="1:8">
      <c r="A443" s="218"/>
      <c r="B443" s="261"/>
      <c r="C443" s="208"/>
      <c r="D443" s="209"/>
      <c r="E443" s="210"/>
      <c r="F443" s="95"/>
      <c r="G443" s="227"/>
      <c r="H443" s="260"/>
    </row>
    <row r="444" spans="1:8">
      <c r="A444" s="218"/>
      <c r="B444" s="261"/>
      <c r="C444" s="208"/>
      <c r="D444" s="209"/>
      <c r="E444" s="210"/>
      <c r="F444" s="95"/>
      <c r="G444" s="227"/>
      <c r="H444" s="260"/>
    </row>
    <row r="445" spans="1:8">
      <c r="A445" s="218"/>
      <c r="B445" s="261"/>
      <c r="C445" s="208"/>
      <c r="D445" s="209"/>
      <c r="E445" s="210"/>
      <c r="F445" s="95"/>
      <c r="G445" s="227"/>
      <c r="H445" s="260"/>
    </row>
    <row r="446" spans="1:8">
      <c r="A446" s="218"/>
      <c r="B446" s="261"/>
      <c r="C446" s="208"/>
      <c r="D446" s="209"/>
      <c r="E446" s="210"/>
      <c r="F446" s="95"/>
      <c r="G446" s="227"/>
      <c r="H446" s="260"/>
    </row>
    <row r="447" spans="1:8">
      <c r="A447" s="218"/>
      <c r="B447" s="261"/>
      <c r="C447" s="208"/>
      <c r="D447" s="209"/>
      <c r="E447" s="210"/>
      <c r="F447" s="95"/>
      <c r="G447" s="227"/>
      <c r="H447" s="260"/>
    </row>
    <row r="448" spans="1:8">
      <c r="A448" s="218"/>
      <c r="B448" s="261"/>
      <c r="C448" s="208"/>
      <c r="D448" s="209"/>
      <c r="E448" s="210"/>
      <c r="F448" s="95"/>
      <c r="G448" s="227"/>
      <c r="H448" s="260"/>
    </row>
    <row r="449" spans="1:8">
      <c r="A449" s="218"/>
      <c r="B449" s="261"/>
      <c r="C449" s="208"/>
      <c r="D449" s="209"/>
      <c r="E449" s="210"/>
      <c r="F449" s="95"/>
      <c r="G449" s="227"/>
      <c r="H449" s="260"/>
    </row>
    <row r="450" spans="1:8">
      <c r="A450" s="218"/>
      <c r="B450" s="261"/>
      <c r="C450" s="208"/>
      <c r="D450" s="209"/>
      <c r="E450" s="210"/>
      <c r="F450" s="95"/>
      <c r="G450" s="227"/>
      <c r="H450" s="260"/>
    </row>
    <row r="451" spans="1:8">
      <c r="A451" s="218"/>
      <c r="B451" s="261"/>
      <c r="C451" s="208"/>
      <c r="D451" s="209"/>
      <c r="E451" s="210"/>
      <c r="F451" s="95"/>
      <c r="G451" s="227"/>
      <c r="H451" s="260"/>
    </row>
    <row r="452" spans="1:8">
      <c r="A452" s="218"/>
      <c r="B452" s="261"/>
      <c r="C452" s="208"/>
      <c r="D452" s="209"/>
      <c r="E452" s="210"/>
      <c r="F452" s="95"/>
      <c r="G452" s="227"/>
      <c r="H452" s="260"/>
    </row>
    <row r="453" spans="1:8">
      <c r="A453" s="218"/>
      <c r="B453" s="261"/>
      <c r="C453" s="208"/>
      <c r="D453" s="209"/>
      <c r="E453" s="210"/>
      <c r="F453" s="95"/>
      <c r="G453" s="227"/>
      <c r="H453" s="260"/>
    </row>
    <row r="454" spans="1:8">
      <c r="A454" s="218"/>
      <c r="B454" s="261"/>
      <c r="C454" s="208"/>
      <c r="D454" s="209"/>
      <c r="E454" s="210"/>
      <c r="F454" s="95"/>
      <c r="G454" s="227"/>
      <c r="H454" s="260"/>
    </row>
    <row r="455" spans="1:8">
      <c r="A455" s="218"/>
      <c r="B455" s="261"/>
      <c r="C455" s="208"/>
      <c r="D455" s="209"/>
      <c r="E455" s="210"/>
      <c r="F455" s="95"/>
      <c r="G455" s="227"/>
      <c r="H455" s="260"/>
    </row>
    <row r="456" spans="1:8">
      <c r="A456" s="218"/>
      <c r="B456" s="261"/>
      <c r="C456" s="208"/>
      <c r="D456" s="209"/>
      <c r="E456" s="210"/>
      <c r="F456" s="95"/>
      <c r="G456" s="227"/>
      <c r="H456" s="260"/>
    </row>
    <row r="457" spans="1:8">
      <c r="A457" s="218"/>
      <c r="B457" s="261"/>
      <c r="C457" s="208"/>
      <c r="D457" s="209"/>
      <c r="E457" s="210"/>
      <c r="F457" s="95"/>
      <c r="G457" s="227"/>
      <c r="H457" s="260"/>
    </row>
    <row r="458" spans="1:8">
      <c r="A458" s="218"/>
      <c r="B458" s="261"/>
      <c r="C458" s="208"/>
      <c r="D458" s="209"/>
      <c r="E458" s="210"/>
      <c r="F458" s="95"/>
      <c r="G458" s="227"/>
      <c r="H458" s="260"/>
    </row>
    <row r="459" spans="1:8">
      <c r="A459" s="218"/>
      <c r="B459" s="261"/>
      <c r="C459" s="208"/>
      <c r="D459" s="209"/>
      <c r="E459" s="210"/>
      <c r="F459" s="95"/>
      <c r="G459" s="227"/>
      <c r="H459" s="260"/>
    </row>
    <row r="460" spans="1:8">
      <c r="A460" s="218"/>
      <c r="B460" s="261"/>
      <c r="C460" s="208"/>
      <c r="D460" s="209"/>
      <c r="E460" s="210"/>
      <c r="F460" s="95"/>
      <c r="G460" s="227"/>
      <c r="H460" s="260"/>
    </row>
    <row r="461" spans="1:8">
      <c r="A461" s="218"/>
      <c r="B461" s="261"/>
      <c r="C461" s="208"/>
      <c r="D461" s="209"/>
      <c r="E461" s="210"/>
      <c r="F461" s="95"/>
      <c r="G461" s="227"/>
      <c r="H461" s="260"/>
    </row>
    <row r="462" spans="1:8">
      <c r="A462" s="218"/>
      <c r="B462" s="261"/>
      <c r="C462" s="208"/>
      <c r="D462" s="209"/>
      <c r="E462" s="210"/>
      <c r="F462" s="95"/>
      <c r="G462" s="227"/>
      <c r="H462" s="260"/>
    </row>
    <row r="463" spans="1:8">
      <c r="A463" s="218"/>
      <c r="B463" s="261"/>
      <c r="C463" s="208"/>
      <c r="D463" s="209"/>
      <c r="E463" s="210"/>
      <c r="F463" s="95"/>
      <c r="G463" s="227"/>
      <c r="H463" s="260"/>
    </row>
    <row r="464" spans="1:8">
      <c r="A464" s="218"/>
      <c r="B464" s="261"/>
      <c r="C464" s="208"/>
      <c r="D464" s="209"/>
      <c r="E464" s="210"/>
      <c r="F464" s="95"/>
      <c r="G464" s="227"/>
      <c r="H464" s="260"/>
    </row>
    <row r="465" spans="1:8">
      <c r="A465" s="218"/>
      <c r="B465" s="261"/>
      <c r="C465" s="208"/>
      <c r="D465" s="209"/>
      <c r="E465" s="210"/>
      <c r="F465" s="95"/>
      <c r="G465" s="227"/>
      <c r="H465" s="260"/>
    </row>
    <row r="466" spans="1:8">
      <c r="A466" s="218"/>
      <c r="B466" s="261"/>
      <c r="C466" s="208"/>
      <c r="D466" s="209"/>
      <c r="E466" s="210"/>
      <c r="F466" s="95"/>
      <c r="G466" s="227"/>
      <c r="H466" s="260"/>
    </row>
    <row r="467" spans="1:8">
      <c r="A467" s="218"/>
      <c r="B467" s="261"/>
      <c r="C467" s="208"/>
      <c r="D467" s="209"/>
      <c r="E467" s="210"/>
      <c r="F467" s="95"/>
      <c r="G467" s="227"/>
      <c r="H467" s="260"/>
    </row>
    <row r="468" spans="1:8">
      <c r="A468" s="218"/>
      <c r="B468" s="261"/>
      <c r="C468" s="208"/>
      <c r="D468" s="209"/>
      <c r="E468" s="210"/>
      <c r="F468" s="95"/>
      <c r="G468" s="227"/>
      <c r="H468" s="260"/>
    </row>
    <row r="469" spans="1:8">
      <c r="A469" s="218"/>
      <c r="B469" s="261"/>
      <c r="C469" s="208"/>
      <c r="D469" s="209"/>
      <c r="E469" s="210"/>
      <c r="F469" s="95"/>
      <c r="G469" s="227"/>
      <c r="H469" s="260"/>
    </row>
    <row r="470" spans="1:8">
      <c r="A470" s="218"/>
      <c r="B470" s="261"/>
      <c r="C470" s="208"/>
      <c r="D470" s="209"/>
      <c r="E470" s="210"/>
      <c r="F470" s="95"/>
      <c r="G470" s="227"/>
      <c r="H470" s="260"/>
    </row>
    <row r="471" spans="1:8">
      <c r="A471" s="218"/>
      <c r="B471" s="261"/>
      <c r="C471" s="208"/>
      <c r="D471" s="209"/>
      <c r="E471" s="210"/>
      <c r="F471" s="95"/>
      <c r="G471" s="227"/>
      <c r="H471" s="260"/>
    </row>
    <row r="472" spans="1:8">
      <c r="A472" s="218"/>
      <c r="B472" s="261"/>
      <c r="C472" s="208"/>
      <c r="D472" s="209"/>
      <c r="E472" s="210"/>
      <c r="F472" s="95"/>
      <c r="G472" s="227"/>
      <c r="H472" s="260"/>
    </row>
    <row r="473" spans="1:8">
      <c r="A473" s="218"/>
      <c r="B473" s="261"/>
      <c r="C473" s="208"/>
      <c r="D473" s="209"/>
      <c r="E473" s="210"/>
      <c r="F473" s="95"/>
      <c r="G473" s="227"/>
      <c r="H473" s="260"/>
    </row>
    <row r="474" spans="1:8">
      <c r="A474" s="218"/>
      <c r="B474" s="261"/>
      <c r="C474" s="208"/>
      <c r="D474" s="209"/>
      <c r="E474" s="210"/>
      <c r="F474" s="95"/>
      <c r="G474" s="227"/>
      <c r="H474" s="260"/>
    </row>
    <row r="475" spans="1:8">
      <c r="A475" s="218"/>
      <c r="B475" s="261"/>
      <c r="C475" s="208"/>
      <c r="D475" s="209"/>
      <c r="E475" s="210"/>
      <c r="F475" s="95"/>
      <c r="G475" s="227"/>
      <c r="H475" s="260"/>
    </row>
    <row r="476" spans="1:8">
      <c r="A476" s="218"/>
      <c r="B476" s="261"/>
      <c r="C476" s="208"/>
      <c r="D476" s="209"/>
      <c r="E476" s="210"/>
      <c r="F476" s="95"/>
      <c r="G476" s="227"/>
      <c r="H476" s="260"/>
    </row>
    <row r="477" spans="1:8">
      <c r="A477" s="218"/>
      <c r="B477" s="261"/>
      <c r="C477" s="208"/>
      <c r="D477" s="209"/>
      <c r="E477" s="210"/>
      <c r="F477" s="95"/>
      <c r="G477" s="227"/>
      <c r="H477" s="260"/>
    </row>
    <row r="478" spans="1:9">
      <c r="A478" s="218"/>
      <c r="B478" s="261"/>
      <c r="C478" s="208"/>
      <c r="D478" s="209"/>
      <c r="E478" s="210"/>
      <c r="F478" s="95"/>
      <c r="G478" s="227"/>
      <c r="H478" s="260"/>
      <c r="I478" s="265"/>
    </row>
    <row r="479" spans="1:9">
      <c r="A479" s="218"/>
      <c r="B479" s="261"/>
      <c r="C479" s="208"/>
      <c r="D479" s="209"/>
      <c r="E479" s="210"/>
      <c r="F479" s="95"/>
      <c r="G479" s="227"/>
      <c r="H479" s="260"/>
      <c r="I479" s="265"/>
    </row>
    <row r="480" spans="1:9">
      <c r="A480" s="218"/>
      <c r="B480" s="261"/>
      <c r="C480" s="208"/>
      <c r="D480" s="209"/>
      <c r="E480" s="210"/>
      <c r="F480" s="95"/>
      <c r="G480" s="227"/>
      <c r="H480" s="260"/>
      <c r="I480" s="265"/>
    </row>
    <row r="481" spans="1:9">
      <c r="A481" s="218"/>
      <c r="B481" s="261"/>
      <c r="C481" s="208"/>
      <c r="D481" s="209"/>
      <c r="E481" s="210"/>
      <c r="F481" s="95"/>
      <c r="G481" s="227"/>
      <c r="H481" s="260"/>
      <c r="I481" s="265"/>
    </row>
    <row r="482" spans="1:9">
      <c r="A482" s="218"/>
      <c r="B482" s="261"/>
      <c r="C482" s="208"/>
      <c r="D482" s="209"/>
      <c r="E482" s="210"/>
      <c r="F482" s="95"/>
      <c r="G482" s="227"/>
      <c r="H482" s="260"/>
      <c r="I482" s="265"/>
    </row>
    <row r="483" spans="1:9">
      <c r="A483" s="218"/>
      <c r="B483" s="261"/>
      <c r="C483" s="208"/>
      <c r="D483" s="209"/>
      <c r="E483" s="210"/>
      <c r="F483" s="95"/>
      <c r="G483" s="227"/>
      <c r="H483" s="260"/>
      <c r="I483" s="265"/>
    </row>
    <row r="484" spans="1:9">
      <c r="A484" s="218"/>
      <c r="B484" s="261"/>
      <c r="C484" s="208"/>
      <c r="D484" s="209"/>
      <c r="E484" s="210"/>
      <c r="F484" s="95"/>
      <c r="G484" s="227"/>
      <c r="H484" s="260"/>
      <c r="I484" s="265"/>
    </row>
    <row r="485" spans="1:9">
      <c r="A485" s="218"/>
      <c r="B485" s="261"/>
      <c r="C485" s="208"/>
      <c r="D485" s="209"/>
      <c r="E485" s="210"/>
      <c r="F485" s="95"/>
      <c r="G485" s="227"/>
      <c r="H485" s="260"/>
      <c r="I485" s="265"/>
    </row>
    <row r="486" spans="1:9">
      <c r="A486" s="218"/>
      <c r="B486" s="261"/>
      <c r="C486" s="208"/>
      <c r="D486" s="209"/>
      <c r="E486" s="210"/>
      <c r="F486" s="95"/>
      <c r="G486" s="227"/>
      <c r="H486" s="260"/>
      <c r="I486" s="265"/>
    </row>
    <row r="487" spans="1:9">
      <c r="A487" s="218"/>
      <c r="B487" s="261"/>
      <c r="C487" s="208"/>
      <c r="D487" s="209"/>
      <c r="E487" s="210"/>
      <c r="F487" s="95"/>
      <c r="G487" s="227"/>
      <c r="H487" s="260"/>
      <c r="I487" s="265"/>
    </row>
    <row r="488" spans="1:9">
      <c r="A488" s="218"/>
      <c r="B488" s="261"/>
      <c r="C488" s="208"/>
      <c r="D488" s="209"/>
      <c r="E488" s="210"/>
      <c r="F488" s="95"/>
      <c r="G488" s="227"/>
      <c r="H488" s="260"/>
      <c r="I488" s="265"/>
    </row>
    <row r="489" spans="1:9">
      <c r="A489" s="218"/>
      <c r="B489" s="261"/>
      <c r="C489" s="208"/>
      <c r="D489" s="209"/>
      <c r="E489" s="210"/>
      <c r="F489" s="95"/>
      <c r="G489" s="227"/>
      <c r="H489" s="260"/>
      <c r="I489" s="265"/>
    </row>
    <row r="490" spans="1:9">
      <c r="A490" s="218"/>
      <c r="B490" s="261"/>
      <c r="C490" s="208"/>
      <c r="D490" s="209"/>
      <c r="E490" s="210"/>
      <c r="F490" s="95"/>
      <c r="G490" s="227"/>
      <c r="H490" s="260"/>
      <c r="I490" s="265"/>
    </row>
    <row r="491" spans="1:9">
      <c r="A491" s="218"/>
      <c r="B491" s="261"/>
      <c r="C491" s="208"/>
      <c r="D491" s="209"/>
      <c r="E491" s="210"/>
      <c r="F491" s="95"/>
      <c r="G491" s="227"/>
      <c r="H491" s="260"/>
      <c r="I491" s="265"/>
    </row>
    <row r="492" spans="1:9">
      <c r="A492" s="218"/>
      <c r="B492" s="261"/>
      <c r="C492" s="208"/>
      <c r="D492" s="209"/>
      <c r="E492" s="210"/>
      <c r="F492" s="95"/>
      <c r="G492" s="227"/>
      <c r="H492" s="260"/>
      <c r="I492" s="265"/>
    </row>
    <row r="493" spans="1:9">
      <c r="A493" s="218"/>
      <c r="B493" s="261"/>
      <c r="C493" s="208"/>
      <c r="D493" s="209"/>
      <c r="E493" s="210"/>
      <c r="F493" s="95"/>
      <c r="G493" s="227"/>
      <c r="H493" s="260"/>
      <c r="I493" s="265"/>
    </row>
    <row r="494" spans="1:9">
      <c r="A494" s="218"/>
      <c r="B494" s="261"/>
      <c r="C494" s="208"/>
      <c r="D494" s="209"/>
      <c r="E494" s="210"/>
      <c r="F494" s="95"/>
      <c r="G494" s="227"/>
      <c r="H494" s="260"/>
      <c r="I494" s="265"/>
    </row>
    <row r="495" spans="1:9">
      <c r="A495" s="218"/>
      <c r="B495" s="261"/>
      <c r="C495" s="208"/>
      <c r="D495" s="209"/>
      <c r="E495" s="210"/>
      <c r="F495" s="95"/>
      <c r="G495" s="227"/>
      <c r="H495" s="260"/>
      <c r="I495" s="265"/>
    </row>
    <row r="496" spans="1:9">
      <c r="A496" s="218"/>
      <c r="B496" s="261"/>
      <c r="C496" s="208"/>
      <c r="D496" s="209"/>
      <c r="E496" s="210"/>
      <c r="F496" s="95"/>
      <c r="G496" s="227"/>
      <c r="H496" s="260"/>
      <c r="I496" s="265"/>
    </row>
    <row r="497" spans="1:9">
      <c r="A497" s="218"/>
      <c r="B497" s="261"/>
      <c r="C497" s="208"/>
      <c r="D497" s="209"/>
      <c r="E497" s="210"/>
      <c r="F497" s="95"/>
      <c r="G497" s="227"/>
      <c r="H497" s="260"/>
      <c r="I497" s="265"/>
    </row>
    <row r="498" spans="1:8">
      <c r="A498" s="218"/>
      <c r="B498" s="261"/>
      <c r="C498" s="208"/>
      <c r="D498" s="209"/>
      <c r="E498" s="210"/>
      <c r="F498" s="95"/>
      <c r="G498" s="227"/>
      <c r="H498" s="260"/>
    </row>
    <row r="499" spans="1:8">
      <c r="A499" s="218"/>
      <c r="B499" s="261"/>
      <c r="C499" s="208"/>
      <c r="D499" s="209"/>
      <c r="E499" s="210"/>
      <c r="F499" s="95"/>
      <c r="G499" s="227"/>
      <c r="H499" s="260"/>
    </row>
    <row r="500" spans="1:8">
      <c r="A500" s="218"/>
      <c r="B500" s="261"/>
      <c r="C500" s="208"/>
      <c r="D500" s="209"/>
      <c r="E500" s="210"/>
      <c r="F500" s="95"/>
      <c r="G500" s="227"/>
      <c r="H500" s="260"/>
    </row>
    <row r="501" spans="1:8">
      <c r="A501" s="218"/>
      <c r="B501" s="261"/>
      <c r="C501" s="208"/>
      <c r="D501" s="209"/>
      <c r="E501" s="210"/>
      <c r="F501" s="95"/>
      <c r="G501" s="227"/>
      <c r="H501" s="260"/>
    </row>
    <row r="502" spans="1:8">
      <c r="A502" s="218"/>
      <c r="B502" s="261"/>
      <c r="C502" s="208"/>
      <c r="D502" s="209"/>
      <c r="E502" s="210"/>
      <c r="F502" s="95"/>
      <c r="G502" s="227"/>
      <c r="H502" s="260"/>
    </row>
    <row r="503" spans="1:8">
      <c r="A503" s="218"/>
      <c r="B503" s="261"/>
      <c r="C503" s="208"/>
      <c r="D503" s="209"/>
      <c r="E503" s="210"/>
      <c r="F503" s="95"/>
      <c r="G503" s="227"/>
      <c r="H503" s="260"/>
    </row>
    <row r="504" spans="1:8">
      <c r="A504" s="218"/>
      <c r="B504" s="261"/>
      <c r="C504" s="208"/>
      <c r="D504" s="209"/>
      <c r="E504" s="210"/>
      <c r="F504" s="95"/>
      <c r="G504" s="227"/>
      <c r="H504" s="260"/>
    </row>
    <row r="505" spans="1:8">
      <c r="A505" s="218"/>
      <c r="B505" s="261"/>
      <c r="C505" s="208"/>
      <c r="D505" s="209"/>
      <c r="E505" s="210"/>
      <c r="F505" s="95"/>
      <c r="G505" s="227"/>
      <c r="H505" s="260"/>
    </row>
    <row r="506" spans="1:8">
      <c r="A506" s="218"/>
      <c r="B506" s="261"/>
      <c r="C506" s="208"/>
      <c r="D506" s="209"/>
      <c r="E506" s="210"/>
      <c r="F506" s="95"/>
      <c r="G506" s="227"/>
      <c r="H506" s="260"/>
    </row>
    <row r="507" spans="1:8">
      <c r="A507" s="218"/>
      <c r="B507" s="261"/>
      <c r="C507" s="208"/>
      <c r="D507" s="209"/>
      <c r="E507" s="210"/>
      <c r="F507" s="95"/>
      <c r="G507" s="227"/>
      <c r="H507" s="260"/>
    </row>
    <row r="508" spans="1:8">
      <c r="A508" s="218"/>
      <c r="B508" s="261"/>
      <c r="C508" s="208"/>
      <c r="D508" s="209"/>
      <c r="E508" s="210"/>
      <c r="F508" s="95"/>
      <c r="G508" s="227"/>
      <c r="H508" s="260"/>
    </row>
    <row r="509" spans="1:8">
      <c r="A509" s="218"/>
      <c r="B509" s="261"/>
      <c r="C509" s="208"/>
      <c r="D509" s="209"/>
      <c r="E509" s="210"/>
      <c r="F509" s="95"/>
      <c r="G509" s="227"/>
      <c r="H509" s="260"/>
    </row>
    <row r="510" spans="1:8">
      <c r="A510" s="218"/>
      <c r="B510" s="261"/>
      <c r="C510" s="208"/>
      <c r="D510" s="209"/>
      <c r="E510" s="210"/>
      <c r="F510" s="95"/>
      <c r="G510" s="227"/>
      <c r="H510" s="260"/>
    </row>
    <row r="511" spans="1:8">
      <c r="A511" s="218"/>
      <c r="B511" s="261"/>
      <c r="C511" s="208"/>
      <c r="D511" s="209"/>
      <c r="E511" s="210"/>
      <c r="F511" s="95"/>
      <c r="G511" s="227"/>
      <c r="H511" s="260"/>
    </row>
    <row r="512" spans="1:8">
      <c r="A512" s="218"/>
      <c r="B512" s="261"/>
      <c r="C512" s="208"/>
      <c r="D512" s="209"/>
      <c r="E512" s="210"/>
      <c r="F512" s="95"/>
      <c r="G512" s="227"/>
      <c r="H512" s="260"/>
    </row>
    <row r="513" spans="1:8">
      <c r="A513" s="218"/>
      <c r="B513" s="261"/>
      <c r="C513" s="208"/>
      <c r="D513" s="209"/>
      <c r="E513" s="210"/>
      <c r="F513" s="95"/>
      <c r="G513" s="227"/>
      <c r="H513" s="260"/>
    </row>
    <row r="514" spans="1:8">
      <c r="A514" s="218"/>
      <c r="B514" s="261"/>
      <c r="C514" s="208"/>
      <c r="D514" s="209"/>
      <c r="E514" s="210"/>
      <c r="F514" s="95"/>
      <c r="G514" s="227"/>
      <c r="H514" s="260"/>
    </row>
    <row r="515" spans="1:8">
      <c r="A515" s="218"/>
      <c r="B515" s="261"/>
      <c r="C515" s="208"/>
      <c r="D515" s="209"/>
      <c r="E515" s="210"/>
      <c r="F515" s="95"/>
      <c r="G515" s="227"/>
      <c r="H515" s="260"/>
    </row>
    <row r="516" spans="1:8">
      <c r="A516" s="218"/>
      <c r="B516" s="261"/>
      <c r="C516" s="208"/>
      <c r="D516" s="209"/>
      <c r="E516" s="210"/>
      <c r="F516" s="95"/>
      <c r="G516" s="227"/>
      <c r="H516" s="260"/>
    </row>
    <row r="517" spans="1:8">
      <c r="A517" s="218"/>
      <c r="B517" s="261"/>
      <c r="C517" s="208"/>
      <c r="D517" s="209"/>
      <c r="E517" s="210"/>
      <c r="F517" s="95"/>
      <c r="G517" s="227"/>
      <c r="H517" s="260"/>
    </row>
    <row r="518" spans="1:8">
      <c r="A518" s="218"/>
      <c r="B518" s="261"/>
      <c r="C518" s="208"/>
      <c r="D518" s="209"/>
      <c r="E518" s="210"/>
      <c r="F518" s="95"/>
      <c r="G518" s="227"/>
      <c r="H518" s="260"/>
    </row>
    <row r="519" spans="1:8">
      <c r="A519" s="218"/>
      <c r="B519" s="261"/>
      <c r="C519" s="208"/>
      <c r="D519" s="209"/>
      <c r="E519" s="210"/>
      <c r="F519" s="95"/>
      <c r="G519" s="227"/>
      <c r="H519" s="260"/>
    </row>
    <row r="520" spans="1:8">
      <c r="A520" s="218"/>
      <c r="B520" s="261"/>
      <c r="C520" s="208"/>
      <c r="D520" s="209"/>
      <c r="E520" s="210"/>
      <c r="F520" s="95"/>
      <c r="G520" s="227"/>
      <c r="H520" s="260"/>
    </row>
    <row r="521" spans="1:8">
      <c r="A521" s="218"/>
      <c r="B521" s="261"/>
      <c r="C521" s="208"/>
      <c r="D521" s="209"/>
      <c r="E521" s="210"/>
      <c r="F521" s="95"/>
      <c r="G521" s="227"/>
      <c r="H521" s="260"/>
    </row>
    <row r="522" spans="1:8">
      <c r="A522" s="218"/>
      <c r="B522" s="261"/>
      <c r="C522" s="208"/>
      <c r="D522" s="209"/>
      <c r="E522" s="210"/>
      <c r="F522" s="95"/>
      <c r="G522" s="227"/>
      <c r="H522" s="260"/>
    </row>
    <row r="523" spans="1:8">
      <c r="A523" s="218"/>
      <c r="B523" s="261"/>
      <c r="C523" s="208"/>
      <c r="D523" s="209"/>
      <c r="E523" s="210"/>
      <c r="F523" s="95"/>
      <c r="G523" s="227"/>
      <c r="H523" s="260"/>
    </row>
    <row r="524" spans="1:8">
      <c r="A524" s="218"/>
      <c r="B524" s="261"/>
      <c r="C524" s="208"/>
      <c r="D524" s="209"/>
      <c r="E524" s="210"/>
      <c r="F524" s="95"/>
      <c r="G524" s="227"/>
      <c r="H524" s="260"/>
    </row>
    <row r="525" spans="1:8">
      <c r="A525" s="218"/>
      <c r="B525" s="261"/>
      <c r="C525" s="208"/>
      <c r="D525" s="209"/>
      <c r="E525" s="210"/>
      <c r="F525" s="95"/>
      <c r="G525" s="227"/>
      <c r="H525" s="260"/>
    </row>
    <row r="526" spans="1:8">
      <c r="A526" s="218"/>
      <c r="B526" s="261"/>
      <c r="C526" s="208"/>
      <c r="D526" s="209"/>
      <c r="E526" s="210"/>
      <c r="F526" s="95"/>
      <c r="G526" s="227"/>
      <c r="H526" s="260"/>
    </row>
    <row r="527" spans="1:8">
      <c r="A527" s="218"/>
      <c r="B527" s="261"/>
      <c r="C527" s="208"/>
      <c r="D527" s="209"/>
      <c r="E527" s="210"/>
      <c r="F527" s="95"/>
      <c r="G527" s="227"/>
      <c r="H527" s="260"/>
    </row>
    <row r="528" spans="1:8">
      <c r="A528" s="218"/>
      <c r="B528" s="261"/>
      <c r="C528" s="208"/>
      <c r="D528" s="209"/>
      <c r="E528" s="210"/>
      <c r="F528" s="95"/>
      <c r="G528" s="227"/>
      <c r="H528" s="260"/>
    </row>
    <row r="529" spans="1:8">
      <c r="A529" s="218"/>
      <c r="B529" s="261"/>
      <c r="C529" s="208"/>
      <c r="D529" s="209"/>
      <c r="E529" s="210"/>
      <c r="F529" s="95"/>
      <c r="G529" s="227"/>
      <c r="H529" s="260"/>
    </row>
    <row r="530" spans="1:8">
      <c r="A530" s="218"/>
      <c r="B530" s="261"/>
      <c r="C530" s="208"/>
      <c r="D530" s="209"/>
      <c r="E530" s="210"/>
      <c r="F530" s="95"/>
      <c r="G530" s="227"/>
      <c r="H530" s="260"/>
    </row>
    <row r="531" spans="1:8">
      <c r="A531" s="218"/>
      <c r="B531" s="261"/>
      <c r="C531" s="208"/>
      <c r="D531" s="209"/>
      <c r="E531" s="210"/>
      <c r="F531" s="95"/>
      <c r="G531" s="227"/>
      <c r="H531" s="260"/>
    </row>
    <row r="532" spans="1:8">
      <c r="A532" s="218"/>
      <c r="B532" s="261"/>
      <c r="C532" s="208"/>
      <c r="D532" s="209"/>
      <c r="E532" s="210"/>
      <c r="F532" s="95"/>
      <c r="G532" s="227"/>
      <c r="H532" s="260"/>
    </row>
    <row r="533" spans="1:8">
      <c r="A533" s="218"/>
      <c r="B533" s="261"/>
      <c r="C533" s="208"/>
      <c r="D533" s="209"/>
      <c r="E533" s="210"/>
      <c r="F533" s="95"/>
      <c r="G533" s="227"/>
      <c r="H533" s="260"/>
    </row>
    <row r="534" spans="1:8">
      <c r="A534" s="218"/>
      <c r="B534" s="261"/>
      <c r="C534" s="208"/>
      <c r="D534" s="209"/>
      <c r="E534" s="210"/>
      <c r="F534" s="95"/>
      <c r="G534" s="227"/>
      <c r="H534" s="260"/>
    </row>
    <row r="535" spans="1:8">
      <c r="A535" s="218"/>
      <c r="B535" s="261"/>
      <c r="C535" s="208"/>
      <c r="D535" s="209"/>
      <c r="E535" s="210"/>
      <c r="F535" s="95"/>
      <c r="G535" s="227"/>
      <c r="H535" s="260"/>
    </row>
    <row r="536" spans="1:8">
      <c r="A536" s="218"/>
      <c r="B536" s="261"/>
      <c r="C536" s="208"/>
      <c r="D536" s="209"/>
      <c r="E536" s="210"/>
      <c r="F536" s="95"/>
      <c r="G536" s="227"/>
      <c r="H536" s="260"/>
    </row>
    <row r="537" spans="1:8">
      <c r="A537" s="218"/>
      <c r="B537" s="261"/>
      <c r="C537" s="208"/>
      <c r="D537" s="209"/>
      <c r="E537" s="210"/>
      <c r="F537" s="95"/>
      <c r="G537" s="227"/>
      <c r="H537" s="260"/>
    </row>
    <row r="538" spans="1:8">
      <c r="A538" s="218"/>
      <c r="B538" s="261"/>
      <c r="C538" s="208"/>
      <c r="D538" s="209"/>
      <c r="E538" s="210"/>
      <c r="F538" s="95"/>
      <c r="G538" s="227"/>
      <c r="H538" s="260"/>
    </row>
    <row r="539" spans="1:8">
      <c r="A539" s="218"/>
      <c r="B539" s="261"/>
      <c r="C539" s="208"/>
      <c r="D539" s="209"/>
      <c r="E539" s="210"/>
      <c r="F539" s="95"/>
      <c r="G539" s="227"/>
      <c r="H539" s="260"/>
    </row>
    <row r="540" spans="1:8">
      <c r="A540" s="218"/>
      <c r="B540" s="261"/>
      <c r="C540" s="208"/>
      <c r="D540" s="209"/>
      <c r="E540" s="210"/>
      <c r="F540" s="95"/>
      <c r="G540" s="227"/>
      <c r="H540" s="260"/>
    </row>
    <row r="541" spans="1:8">
      <c r="A541" s="218"/>
      <c r="B541" s="261"/>
      <c r="C541" s="208"/>
      <c r="D541" s="209"/>
      <c r="E541" s="210"/>
      <c r="F541" s="95"/>
      <c r="G541" s="227"/>
      <c r="H541" s="260"/>
    </row>
    <row r="542" spans="1:8">
      <c r="A542" s="218"/>
      <c r="B542" s="261"/>
      <c r="C542" s="266"/>
      <c r="D542" s="128"/>
      <c r="E542" s="210"/>
      <c r="F542" s="95"/>
      <c r="G542" s="267"/>
      <c r="H542" s="260"/>
    </row>
    <row r="543" spans="1:8">
      <c r="A543" s="218"/>
      <c r="B543" s="261"/>
      <c r="C543" s="266"/>
      <c r="D543" s="128"/>
      <c r="E543" s="210"/>
      <c r="F543" s="95"/>
      <c r="G543" s="267"/>
      <c r="H543" s="260"/>
    </row>
    <row r="544" spans="1:8">
      <c r="A544" s="218"/>
      <c r="B544" s="261"/>
      <c r="C544" s="208"/>
      <c r="D544" s="209"/>
      <c r="E544" s="210"/>
      <c r="F544" s="95"/>
      <c r="G544" s="267"/>
      <c r="H544" s="260"/>
    </row>
    <row r="545" spans="1:8">
      <c r="A545" s="218"/>
      <c r="B545" s="261"/>
      <c r="C545" s="208"/>
      <c r="D545" s="209"/>
      <c r="E545" s="210"/>
      <c r="F545" s="95"/>
      <c r="G545" s="267"/>
      <c r="H545" s="260"/>
    </row>
    <row r="546" spans="1:8">
      <c r="A546" s="218"/>
      <c r="B546" s="261"/>
      <c r="C546" s="208"/>
      <c r="D546" s="209"/>
      <c r="E546" s="210"/>
      <c r="F546" s="95"/>
      <c r="G546" s="267"/>
      <c r="H546" s="260"/>
    </row>
    <row r="547" spans="1:8">
      <c r="A547" s="218"/>
      <c r="B547" s="261"/>
      <c r="C547" s="208"/>
      <c r="D547" s="209"/>
      <c r="E547" s="210"/>
      <c r="F547" s="95"/>
      <c r="G547" s="267"/>
      <c r="H547" s="260"/>
    </row>
    <row r="548" spans="1:8">
      <c r="A548" s="218"/>
      <c r="B548" s="261"/>
      <c r="C548" s="208"/>
      <c r="D548" s="209"/>
      <c r="E548" s="210"/>
      <c r="F548" s="95"/>
      <c r="G548" s="267"/>
      <c r="H548" s="260"/>
    </row>
    <row r="549" spans="1:8">
      <c r="A549" s="218"/>
      <c r="B549" s="261"/>
      <c r="C549" s="208"/>
      <c r="D549" s="209"/>
      <c r="E549" s="210"/>
      <c r="F549" s="95"/>
      <c r="G549" s="267"/>
      <c r="H549" s="260"/>
    </row>
    <row r="550" spans="1:8">
      <c r="A550" s="218"/>
      <c r="B550" s="261"/>
      <c r="C550" s="208"/>
      <c r="D550" s="209"/>
      <c r="E550" s="210"/>
      <c r="F550" s="95"/>
      <c r="G550" s="267"/>
      <c r="H550" s="260"/>
    </row>
    <row r="551" spans="1:8">
      <c r="A551" s="218"/>
      <c r="B551" s="261"/>
      <c r="C551" s="208"/>
      <c r="D551" s="209"/>
      <c r="E551" s="210"/>
      <c r="F551" s="95"/>
      <c r="G551" s="267"/>
      <c r="H551" s="260"/>
    </row>
    <row r="552" spans="1:8">
      <c r="A552" s="218"/>
      <c r="B552" s="261"/>
      <c r="C552" s="208"/>
      <c r="D552" s="209"/>
      <c r="E552" s="210"/>
      <c r="F552" s="95"/>
      <c r="G552" s="267"/>
      <c r="H552" s="260"/>
    </row>
    <row r="553" spans="1:8">
      <c r="A553" s="218"/>
      <c r="B553" s="261"/>
      <c r="C553" s="208"/>
      <c r="D553" s="209"/>
      <c r="E553" s="210"/>
      <c r="F553" s="95"/>
      <c r="G553" s="267"/>
      <c r="H553" s="260"/>
    </row>
    <row r="554" spans="1:8">
      <c r="A554" s="218"/>
      <c r="B554" s="261"/>
      <c r="C554" s="208"/>
      <c r="D554" s="209"/>
      <c r="E554" s="210"/>
      <c r="F554" s="95"/>
      <c r="G554" s="267"/>
      <c r="H554" s="260"/>
    </row>
    <row r="555" spans="1:8">
      <c r="A555" s="218"/>
      <c r="B555" s="261"/>
      <c r="C555" s="208"/>
      <c r="D555" s="209"/>
      <c r="E555" s="210"/>
      <c r="F555" s="95"/>
      <c r="G555" s="267"/>
      <c r="H555" s="260"/>
    </row>
    <row r="556" spans="1:8">
      <c r="A556" s="218"/>
      <c r="B556" s="261"/>
      <c r="C556" s="208"/>
      <c r="D556" s="209"/>
      <c r="E556" s="210"/>
      <c r="F556" s="95"/>
      <c r="G556" s="267"/>
      <c r="H556" s="260"/>
    </row>
    <row r="557" spans="1:8">
      <c r="A557" s="218"/>
      <c r="B557" s="261"/>
      <c r="C557" s="208"/>
      <c r="D557" s="209"/>
      <c r="E557" s="210"/>
      <c r="F557" s="95"/>
      <c r="G557" s="267"/>
      <c r="H557" s="260"/>
    </row>
    <row r="558" spans="1:8">
      <c r="A558" s="218"/>
      <c r="B558" s="261"/>
      <c r="C558" s="208"/>
      <c r="D558" s="209"/>
      <c r="E558" s="210"/>
      <c r="F558" s="95"/>
      <c r="G558" s="267"/>
      <c r="H558" s="260"/>
    </row>
    <row r="559" spans="1:8">
      <c r="A559" s="218"/>
      <c r="B559" s="261"/>
      <c r="C559" s="208"/>
      <c r="D559" s="209"/>
      <c r="E559" s="210"/>
      <c r="F559" s="95"/>
      <c r="G559" s="267"/>
      <c r="H559" s="260"/>
    </row>
    <row r="560" spans="1:8">
      <c r="A560" s="218"/>
      <c r="B560" s="261"/>
      <c r="C560" s="208"/>
      <c r="D560" s="209"/>
      <c r="E560" s="210"/>
      <c r="F560" s="95"/>
      <c r="G560" s="267"/>
      <c r="H560" s="260"/>
    </row>
    <row r="561" spans="1:8">
      <c r="A561" s="218"/>
      <c r="B561" s="261"/>
      <c r="C561" s="208"/>
      <c r="D561" s="209"/>
      <c r="E561" s="210"/>
      <c r="F561" s="95"/>
      <c r="G561" s="267"/>
      <c r="H561" s="260"/>
    </row>
    <row r="562" spans="1:8">
      <c r="A562" s="218"/>
      <c r="B562" s="261"/>
      <c r="C562" s="208"/>
      <c r="D562" s="209"/>
      <c r="E562" s="210"/>
      <c r="F562" s="95"/>
      <c r="G562" s="267"/>
      <c r="H562" s="260"/>
    </row>
    <row r="563" spans="1:8">
      <c r="A563" s="218"/>
      <c r="B563" s="261"/>
      <c r="C563" s="208"/>
      <c r="D563" s="209"/>
      <c r="E563" s="210"/>
      <c r="F563" s="95"/>
      <c r="G563" s="267"/>
      <c r="H563" s="260"/>
    </row>
    <row r="564" spans="1:7">
      <c r="A564" s="218"/>
      <c r="B564" s="261"/>
      <c r="C564" s="208"/>
      <c r="D564" s="209"/>
      <c r="E564" s="210"/>
      <c r="F564" s="95"/>
      <c r="G564" s="227"/>
    </row>
    <row r="565" spans="1:7">
      <c r="A565" s="218"/>
      <c r="B565" s="261"/>
      <c r="C565" s="208"/>
      <c r="D565" s="209"/>
      <c r="E565" s="210"/>
      <c r="F565" s="95"/>
      <c r="G565" s="227"/>
    </row>
    <row r="566" spans="1:7">
      <c r="A566" s="218"/>
      <c r="B566" s="261"/>
      <c r="C566" s="208"/>
      <c r="D566" s="209"/>
      <c r="E566" s="210"/>
      <c r="F566" s="95"/>
      <c r="G566" s="227"/>
    </row>
    <row r="567" spans="1:7">
      <c r="A567" s="218"/>
      <c r="B567" s="261"/>
      <c r="C567" s="208"/>
      <c r="D567" s="209"/>
      <c r="E567" s="210"/>
      <c r="F567" s="95"/>
      <c r="G567" s="227"/>
    </row>
    <row r="568" spans="1:7">
      <c r="A568" s="218"/>
      <c r="B568" s="261"/>
      <c r="C568" s="208"/>
      <c r="D568" s="209"/>
      <c r="E568" s="210"/>
      <c r="F568" s="95"/>
      <c r="G568" s="227"/>
    </row>
    <row r="569" spans="1:7">
      <c r="A569" s="218"/>
      <c r="B569" s="261"/>
      <c r="C569" s="208"/>
      <c r="D569" s="209"/>
      <c r="E569" s="210"/>
      <c r="F569" s="95"/>
      <c r="G569" s="227"/>
    </row>
    <row r="570" spans="1:7">
      <c r="A570" s="218"/>
      <c r="B570" s="261"/>
      <c r="C570" s="208"/>
      <c r="D570" s="209"/>
      <c r="E570" s="210"/>
      <c r="F570" s="95"/>
      <c r="G570" s="227"/>
    </row>
    <row r="571" spans="1:7">
      <c r="A571" s="218"/>
      <c r="B571" s="261"/>
      <c r="C571" s="208"/>
      <c r="D571" s="209"/>
      <c r="E571" s="210"/>
      <c r="F571" s="95"/>
      <c r="G571" s="227"/>
    </row>
    <row r="572" spans="1:7">
      <c r="A572" s="218"/>
      <c r="B572" s="261"/>
      <c r="C572" s="208"/>
      <c r="D572" s="209"/>
      <c r="E572" s="210"/>
      <c r="F572" s="95"/>
      <c r="G572" s="227"/>
    </row>
    <row r="573" spans="1:7">
      <c r="A573" s="218"/>
      <c r="B573" s="261"/>
      <c r="C573" s="208"/>
      <c r="D573" s="209"/>
      <c r="E573" s="210"/>
      <c r="F573" s="95"/>
      <c r="G573" s="227"/>
    </row>
    <row r="574" spans="1:7">
      <c r="A574" s="218"/>
      <c r="B574" s="261"/>
      <c r="C574" s="208"/>
      <c r="D574" s="209"/>
      <c r="E574" s="210"/>
      <c r="F574" s="95"/>
      <c r="G574" s="227"/>
    </row>
    <row r="575" spans="1:7">
      <c r="A575" s="218"/>
      <c r="B575" s="261"/>
      <c r="C575" s="208"/>
      <c r="D575" s="209"/>
      <c r="E575" s="210"/>
      <c r="F575" s="95"/>
      <c r="G575" s="227"/>
    </row>
    <row r="576" spans="1:7">
      <c r="A576" s="218"/>
      <c r="B576" s="261"/>
      <c r="C576" s="208"/>
      <c r="D576" s="209"/>
      <c r="E576" s="210"/>
      <c r="F576" s="95"/>
      <c r="G576" s="227"/>
    </row>
    <row r="577" spans="1:7">
      <c r="A577" s="218"/>
      <c r="B577" s="261"/>
      <c r="C577" s="208"/>
      <c r="D577" s="209"/>
      <c r="E577" s="210"/>
      <c r="F577" s="95"/>
      <c r="G577" s="227"/>
    </row>
    <row r="578" spans="1:7">
      <c r="A578" s="218"/>
      <c r="B578" s="261"/>
      <c r="C578" s="208"/>
      <c r="D578" s="209"/>
      <c r="E578" s="210"/>
      <c r="F578" s="95"/>
      <c r="G578" s="227"/>
    </row>
    <row r="579" spans="1:7">
      <c r="A579" s="218"/>
      <c r="B579" s="261"/>
      <c r="C579" s="208"/>
      <c r="D579" s="209"/>
      <c r="E579" s="210"/>
      <c r="F579" s="95"/>
      <c r="G579" s="227"/>
    </row>
    <row r="580" spans="1:7">
      <c r="A580" s="218"/>
      <c r="B580" s="261"/>
      <c r="C580" s="208"/>
      <c r="D580" s="209"/>
      <c r="E580" s="210"/>
      <c r="F580" s="95"/>
      <c r="G580" s="227"/>
    </row>
    <row r="581" spans="1:7">
      <c r="A581" s="218"/>
      <c r="B581" s="261"/>
      <c r="C581" s="208"/>
      <c r="D581" s="209"/>
      <c r="E581" s="210"/>
      <c r="F581" s="95"/>
      <c r="G581" s="227"/>
    </row>
    <row r="582" spans="1:7">
      <c r="A582" s="218"/>
      <c r="B582" s="261"/>
      <c r="C582" s="208"/>
      <c r="D582" s="209"/>
      <c r="E582" s="210"/>
      <c r="F582" s="95"/>
      <c r="G582" s="227"/>
    </row>
    <row r="583" spans="1:7">
      <c r="A583" s="218"/>
      <c r="B583" s="261"/>
      <c r="C583" s="208"/>
      <c r="D583" s="209"/>
      <c r="E583" s="210"/>
      <c r="F583" s="95"/>
      <c r="G583" s="227"/>
    </row>
    <row r="584" spans="1:7">
      <c r="A584" s="218"/>
      <c r="B584" s="261"/>
      <c r="C584" s="208"/>
      <c r="D584" s="209"/>
      <c r="E584" s="210"/>
      <c r="F584" s="95"/>
      <c r="G584" s="227"/>
    </row>
    <row r="585" spans="1:7">
      <c r="A585" s="218"/>
      <c r="B585" s="261"/>
      <c r="C585" s="208"/>
      <c r="D585" s="209"/>
      <c r="E585" s="210"/>
      <c r="F585" s="95"/>
      <c r="G585" s="227"/>
    </row>
    <row r="586" spans="1:7">
      <c r="A586" s="218"/>
      <c r="B586" s="261"/>
      <c r="C586" s="208"/>
      <c r="D586" s="209"/>
      <c r="E586" s="210"/>
      <c r="F586" s="95"/>
      <c r="G586" s="227"/>
    </row>
    <row r="587" spans="1:7">
      <c r="A587" s="218"/>
      <c r="B587" s="261"/>
      <c r="C587" s="208"/>
      <c r="D587" s="209"/>
      <c r="E587" s="210"/>
      <c r="F587" s="95"/>
      <c r="G587" s="227"/>
    </row>
    <row r="588" spans="1:7">
      <c r="A588" s="218"/>
      <c r="B588" s="261"/>
      <c r="C588" s="208"/>
      <c r="D588" s="209"/>
      <c r="E588" s="210"/>
      <c r="F588" s="95"/>
      <c r="G588" s="227"/>
    </row>
    <row r="589" spans="1:7">
      <c r="A589" s="218"/>
      <c r="B589" s="261"/>
      <c r="C589" s="208"/>
      <c r="D589" s="209"/>
      <c r="E589" s="210"/>
      <c r="F589" s="95"/>
      <c r="G589" s="227"/>
    </row>
    <row r="590" spans="1:7">
      <c r="A590" s="218"/>
      <c r="B590" s="261"/>
      <c r="C590" s="208"/>
      <c r="D590" s="209"/>
      <c r="E590" s="210"/>
      <c r="F590" s="95"/>
      <c r="G590" s="227"/>
    </row>
    <row r="591" spans="1:7">
      <c r="A591" s="218"/>
      <c r="B591" s="261"/>
      <c r="C591" s="208"/>
      <c r="D591" s="209"/>
      <c r="E591" s="210"/>
      <c r="F591" s="95"/>
      <c r="G591" s="227"/>
    </row>
    <row r="592" spans="1:7">
      <c r="A592" s="218"/>
      <c r="B592" s="261"/>
      <c r="C592" s="208"/>
      <c r="D592" s="209"/>
      <c r="E592" s="210"/>
      <c r="F592" s="95"/>
      <c r="G592" s="227"/>
    </row>
    <row r="593" spans="1:7">
      <c r="A593" s="218"/>
      <c r="B593" s="261"/>
      <c r="C593" s="208"/>
      <c r="D593" s="209"/>
      <c r="E593" s="210"/>
      <c r="F593" s="95"/>
      <c r="G593" s="227"/>
    </row>
    <row r="594" spans="1:7">
      <c r="A594" s="218"/>
      <c r="B594" s="261"/>
      <c r="C594" s="208"/>
      <c r="D594" s="209"/>
      <c r="E594" s="210"/>
      <c r="F594" s="95"/>
      <c r="G594" s="227"/>
    </row>
    <row r="595" spans="1:7">
      <c r="A595" s="218"/>
      <c r="B595" s="261"/>
      <c r="C595" s="208"/>
      <c r="D595" s="209"/>
      <c r="E595" s="210"/>
      <c r="F595" s="95"/>
      <c r="G595" s="227"/>
    </row>
    <row r="596" spans="1:7">
      <c r="A596" s="218"/>
      <c r="B596" s="261"/>
      <c r="C596" s="208"/>
      <c r="D596" s="209"/>
      <c r="E596" s="210"/>
      <c r="F596" s="95"/>
      <c r="G596" s="227"/>
    </row>
    <row r="597" spans="1:7">
      <c r="A597" s="218"/>
      <c r="B597" s="261"/>
      <c r="C597" s="208"/>
      <c r="D597" s="209"/>
      <c r="E597" s="210"/>
      <c r="F597" s="95"/>
      <c r="G597" s="268"/>
    </row>
    <row r="598" spans="1:7">
      <c r="A598" s="218"/>
      <c r="B598" s="261"/>
      <c r="C598" s="208"/>
      <c r="D598" s="209"/>
      <c r="E598" s="210"/>
      <c r="F598" s="95"/>
      <c r="G598" s="268"/>
    </row>
    <row r="599" spans="1:7">
      <c r="A599" s="218"/>
      <c r="B599" s="261"/>
      <c r="C599" s="208"/>
      <c r="D599" s="209"/>
      <c r="E599" s="210"/>
      <c r="F599" s="95"/>
      <c r="G599" s="268"/>
    </row>
    <row r="600" spans="1:7">
      <c r="A600" s="218"/>
      <c r="B600" s="261"/>
      <c r="C600" s="208"/>
      <c r="D600" s="209"/>
      <c r="E600" s="210"/>
      <c r="F600" s="95"/>
      <c r="G600" s="268"/>
    </row>
    <row r="601" spans="1:7">
      <c r="A601" s="218"/>
      <c r="B601" s="261"/>
      <c r="C601" s="208"/>
      <c r="D601" s="209"/>
      <c r="E601" s="210"/>
      <c r="F601" s="95"/>
      <c r="G601" s="268"/>
    </row>
    <row r="602" spans="1:7">
      <c r="A602" s="218"/>
      <c r="B602" s="261"/>
      <c r="C602" s="208"/>
      <c r="D602" s="209"/>
      <c r="E602" s="210"/>
      <c r="F602" s="95"/>
      <c r="G602" s="268"/>
    </row>
    <row r="603" spans="1:7">
      <c r="A603" s="218"/>
      <c r="B603" s="261"/>
      <c r="C603" s="208"/>
      <c r="D603" s="209"/>
      <c r="E603" s="210"/>
      <c r="F603" s="95"/>
      <c r="G603" s="268"/>
    </row>
    <row r="604" spans="1:7">
      <c r="A604" s="218"/>
      <c r="B604" s="261"/>
      <c r="C604" s="208"/>
      <c r="D604" s="209"/>
      <c r="E604" s="210"/>
      <c r="F604" s="95"/>
      <c r="G604" s="268"/>
    </row>
    <row r="605" spans="1:7">
      <c r="A605" s="218"/>
      <c r="B605" s="261"/>
      <c r="C605" s="208"/>
      <c r="D605" s="209"/>
      <c r="E605" s="210"/>
      <c r="F605" s="95"/>
      <c r="G605" s="268"/>
    </row>
    <row r="606" spans="1:7">
      <c r="A606" s="218"/>
      <c r="B606" s="261"/>
      <c r="C606" s="208"/>
      <c r="D606" s="209"/>
      <c r="E606" s="210"/>
      <c r="F606" s="95"/>
      <c r="G606" s="268"/>
    </row>
    <row r="607" spans="1:7">
      <c r="A607" s="218"/>
      <c r="B607" s="261"/>
      <c r="C607" s="208"/>
      <c r="D607" s="209"/>
      <c r="E607" s="210"/>
      <c r="F607" s="95"/>
      <c r="G607" s="268"/>
    </row>
    <row r="608" spans="1:7">
      <c r="A608" s="218"/>
      <c r="B608" s="261"/>
      <c r="C608" s="208"/>
      <c r="D608" s="209"/>
      <c r="E608" s="210"/>
      <c r="F608" s="95"/>
      <c r="G608" s="268"/>
    </row>
    <row r="609" spans="1:7">
      <c r="A609" s="218"/>
      <c r="B609" s="261"/>
      <c r="C609" s="208"/>
      <c r="D609" s="209"/>
      <c r="E609" s="210"/>
      <c r="F609" s="95"/>
      <c r="G609" s="268"/>
    </row>
    <row r="610" spans="1:7">
      <c r="A610" s="218"/>
      <c r="B610" s="261"/>
      <c r="C610" s="208"/>
      <c r="D610" s="209"/>
      <c r="E610" s="210"/>
      <c r="F610" s="95"/>
      <c r="G610" s="268"/>
    </row>
    <row r="611" spans="1:7">
      <c r="A611" s="218"/>
      <c r="B611" s="261"/>
      <c r="C611" s="208"/>
      <c r="D611" s="209"/>
      <c r="E611" s="210"/>
      <c r="F611" s="95"/>
      <c r="G611" s="268"/>
    </row>
    <row r="612" spans="1:7">
      <c r="A612" s="218"/>
      <c r="B612" s="261"/>
      <c r="C612" s="208"/>
      <c r="D612" s="209"/>
      <c r="E612" s="210"/>
      <c r="F612" s="95"/>
      <c r="G612" s="268"/>
    </row>
    <row r="613" spans="1:7">
      <c r="A613" s="218"/>
      <c r="B613" s="261"/>
      <c r="C613" s="208"/>
      <c r="D613" s="209"/>
      <c r="E613" s="210"/>
      <c r="F613" s="95"/>
      <c r="G613" s="268"/>
    </row>
    <row r="614" spans="1:7">
      <c r="A614" s="218"/>
      <c r="B614" s="261"/>
      <c r="C614" s="208"/>
      <c r="D614" s="209"/>
      <c r="E614" s="210"/>
      <c r="F614" s="95"/>
      <c r="G614" s="268"/>
    </row>
    <row r="615" spans="1:7">
      <c r="A615" s="218"/>
      <c r="B615" s="261"/>
      <c r="C615" s="208"/>
      <c r="D615" s="209"/>
      <c r="E615" s="210"/>
      <c r="F615" s="95"/>
      <c r="G615" s="268"/>
    </row>
    <row r="616" spans="1:7">
      <c r="A616" s="218"/>
      <c r="B616" s="261"/>
      <c r="C616" s="208"/>
      <c r="D616" s="209"/>
      <c r="E616" s="210"/>
      <c r="F616" s="95"/>
      <c r="G616" s="268"/>
    </row>
    <row r="617" spans="1:7">
      <c r="A617" s="218"/>
      <c r="B617" s="261"/>
      <c r="C617" s="208"/>
      <c r="D617" s="209"/>
      <c r="E617" s="210"/>
      <c r="F617" s="95"/>
      <c r="G617" s="268"/>
    </row>
    <row r="618" spans="1:7">
      <c r="A618" s="218"/>
      <c r="B618" s="261"/>
      <c r="C618" s="208"/>
      <c r="D618" s="209"/>
      <c r="E618" s="210"/>
      <c r="F618" s="95"/>
      <c r="G618" s="268"/>
    </row>
    <row r="619" spans="1:7">
      <c r="A619" s="218"/>
      <c r="B619" s="261"/>
      <c r="C619" s="208"/>
      <c r="D619" s="209"/>
      <c r="E619" s="210"/>
      <c r="F619" s="95"/>
      <c r="G619" s="268"/>
    </row>
    <row r="620" spans="1:7">
      <c r="A620" s="218"/>
      <c r="B620" s="261"/>
      <c r="C620" s="208"/>
      <c r="D620" s="209"/>
      <c r="E620" s="210"/>
      <c r="F620" s="95"/>
      <c r="G620" s="268"/>
    </row>
    <row r="621" spans="1:7">
      <c r="A621" s="218"/>
      <c r="B621" s="261"/>
      <c r="C621" s="208"/>
      <c r="D621" s="209"/>
      <c r="E621" s="210"/>
      <c r="F621" s="95"/>
      <c r="G621" s="268"/>
    </row>
    <row r="622" spans="1:7">
      <c r="A622" s="218"/>
      <c r="B622" s="261"/>
      <c r="C622" s="208"/>
      <c r="D622" s="209"/>
      <c r="E622" s="210"/>
      <c r="F622" s="95"/>
      <c r="G622" s="268"/>
    </row>
    <row r="623" spans="1:7">
      <c r="A623" s="218"/>
      <c r="B623" s="261"/>
      <c r="C623" s="208"/>
      <c r="D623" s="209"/>
      <c r="E623" s="210"/>
      <c r="F623" s="95"/>
      <c r="G623" s="268"/>
    </row>
    <row r="624" spans="1:7">
      <c r="A624" s="218"/>
      <c r="B624" s="261"/>
      <c r="C624" s="208"/>
      <c r="D624" s="209"/>
      <c r="E624" s="210"/>
      <c r="F624" s="95"/>
      <c r="G624" s="268"/>
    </row>
    <row r="625" spans="1:7">
      <c r="A625" s="218"/>
      <c r="B625" s="261"/>
      <c r="C625" s="208"/>
      <c r="D625" s="209"/>
      <c r="E625" s="210"/>
      <c r="F625" s="95"/>
      <c r="G625" s="268"/>
    </row>
    <row r="626" spans="1:7">
      <c r="A626" s="218"/>
      <c r="B626" s="261"/>
      <c r="C626" s="208"/>
      <c r="D626" s="209"/>
      <c r="E626" s="210"/>
      <c r="F626" s="95"/>
      <c r="G626" s="268"/>
    </row>
    <row r="627" spans="1:7">
      <c r="A627" s="218"/>
      <c r="B627" s="261"/>
      <c r="C627" s="208"/>
      <c r="D627" s="209"/>
      <c r="E627" s="210"/>
      <c r="F627" s="95"/>
      <c r="G627" s="268"/>
    </row>
    <row r="628" spans="1:7">
      <c r="A628" s="218"/>
      <c r="B628" s="261"/>
      <c r="C628" s="208"/>
      <c r="D628" s="209"/>
      <c r="E628" s="210"/>
      <c r="F628" s="95"/>
      <c r="G628" s="268"/>
    </row>
    <row r="629" spans="1:7">
      <c r="A629" s="218"/>
      <c r="B629" s="261"/>
      <c r="C629" s="208"/>
      <c r="D629" s="209"/>
      <c r="E629" s="210"/>
      <c r="F629" s="95"/>
      <c r="G629" s="268"/>
    </row>
    <row r="630" spans="1:7">
      <c r="A630" s="218"/>
      <c r="B630" s="261"/>
      <c r="C630" s="208"/>
      <c r="D630" s="209"/>
      <c r="E630" s="210"/>
      <c r="F630" s="95"/>
      <c r="G630" s="268"/>
    </row>
    <row r="631" spans="1:7">
      <c r="A631" s="218"/>
      <c r="B631" s="261"/>
      <c r="C631" s="208"/>
      <c r="D631" s="209"/>
      <c r="E631" s="210"/>
      <c r="F631" s="95"/>
      <c r="G631" s="268"/>
    </row>
    <row r="632" spans="1:7">
      <c r="A632" s="218"/>
      <c r="B632" s="261"/>
      <c r="C632" s="208"/>
      <c r="D632" s="209"/>
      <c r="E632" s="210"/>
      <c r="F632" s="95"/>
      <c r="G632" s="268"/>
    </row>
    <row r="633" spans="1:7">
      <c r="A633" s="218"/>
      <c r="B633" s="261"/>
      <c r="C633" s="208"/>
      <c r="D633" s="209"/>
      <c r="E633" s="210"/>
      <c r="F633" s="95"/>
      <c r="G633" s="268"/>
    </row>
    <row r="634" spans="1:7">
      <c r="A634" s="218"/>
      <c r="B634" s="261"/>
      <c r="C634" s="208"/>
      <c r="D634" s="209"/>
      <c r="E634" s="210"/>
      <c r="F634" s="95"/>
      <c r="G634" s="268"/>
    </row>
    <row r="635" spans="1:7">
      <c r="A635" s="218"/>
      <c r="B635" s="261"/>
      <c r="C635" s="208"/>
      <c r="D635" s="209"/>
      <c r="E635" s="210"/>
      <c r="F635" s="95"/>
      <c r="G635" s="268"/>
    </row>
    <row r="636" spans="1:7">
      <c r="A636" s="218"/>
      <c r="B636" s="261"/>
      <c r="C636" s="208"/>
      <c r="D636" s="209"/>
      <c r="E636" s="210"/>
      <c r="F636" s="95"/>
      <c r="G636" s="268"/>
    </row>
    <row r="637" spans="1:7">
      <c r="A637" s="218"/>
      <c r="B637" s="261"/>
      <c r="C637" s="208"/>
      <c r="D637" s="209"/>
      <c r="E637" s="210"/>
      <c r="F637" s="95"/>
      <c r="G637" s="268"/>
    </row>
    <row r="638" spans="1:7">
      <c r="A638" s="218"/>
      <c r="B638" s="261"/>
      <c r="C638" s="208"/>
      <c r="D638" s="209"/>
      <c r="E638" s="210"/>
      <c r="F638" s="95"/>
      <c r="G638" s="268"/>
    </row>
    <row r="639" spans="1:7">
      <c r="A639" s="218"/>
      <c r="B639" s="261"/>
      <c r="C639" s="208"/>
      <c r="D639" s="209"/>
      <c r="E639" s="210"/>
      <c r="F639" s="95"/>
      <c r="G639" s="268"/>
    </row>
    <row r="640" spans="1:7">
      <c r="A640" s="218"/>
      <c r="B640" s="261"/>
      <c r="C640" s="208"/>
      <c r="D640" s="209"/>
      <c r="E640" s="210"/>
      <c r="F640" s="95"/>
      <c r="G640" s="268"/>
    </row>
    <row r="641" spans="1:7">
      <c r="A641" s="218"/>
      <c r="B641" s="261"/>
      <c r="C641" s="208"/>
      <c r="D641" s="209"/>
      <c r="E641" s="210"/>
      <c r="F641" s="95"/>
      <c r="G641" s="268"/>
    </row>
    <row r="642" spans="1:7">
      <c r="A642" s="218"/>
      <c r="B642" s="261"/>
      <c r="C642" s="208"/>
      <c r="D642" s="209"/>
      <c r="E642" s="210"/>
      <c r="F642" s="95"/>
      <c r="G642" s="268"/>
    </row>
    <row r="643" spans="1:7">
      <c r="A643" s="218"/>
      <c r="B643" s="261"/>
      <c r="C643" s="208"/>
      <c r="D643" s="209"/>
      <c r="E643" s="210"/>
      <c r="F643" s="95"/>
      <c r="G643" s="268"/>
    </row>
    <row r="644" spans="1:7">
      <c r="A644" s="218"/>
      <c r="B644" s="261"/>
      <c r="C644" s="208"/>
      <c r="D644" s="209"/>
      <c r="E644" s="210"/>
      <c r="F644" s="95"/>
      <c r="G644" s="268"/>
    </row>
    <row r="645" spans="1:7">
      <c r="A645" s="218"/>
      <c r="B645" s="261"/>
      <c r="C645" s="208"/>
      <c r="D645" s="209"/>
      <c r="E645" s="210"/>
      <c r="F645" s="95"/>
      <c r="G645" s="268"/>
    </row>
    <row r="646" spans="1:7">
      <c r="A646" s="218"/>
      <c r="B646" s="261"/>
      <c r="C646" s="208"/>
      <c r="D646" s="209"/>
      <c r="E646" s="210"/>
      <c r="F646" s="95"/>
      <c r="G646" s="268"/>
    </row>
    <row r="647" spans="1:7">
      <c r="A647" s="218"/>
      <c r="B647" s="261"/>
      <c r="C647" s="208"/>
      <c r="D647" s="209"/>
      <c r="E647" s="210"/>
      <c r="F647" s="95"/>
      <c r="G647" s="268"/>
    </row>
    <row r="648" spans="1:7">
      <c r="A648" s="218"/>
      <c r="B648" s="261"/>
      <c r="C648" s="208"/>
      <c r="D648" s="209"/>
      <c r="E648" s="210"/>
      <c r="F648" s="95"/>
      <c r="G648" s="268"/>
    </row>
    <row r="649" spans="1:7">
      <c r="A649" s="218"/>
      <c r="B649" s="261"/>
      <c r="C649" s="208"/>
      <c r="D649" s="209"/>
      <c r="E649" s="210"/>
      <c r="F649" s="95"/>
      <c r="G649" s="268"/>
    </row>
    <row r="650" spans="1:7">
      <c r="A650" s="218"/>
      <c r="B650" s="261"/>
      <c r="C650" s="208"/>
      <c r="D650" s="209"/>
      <c r="E650" s="210"/>
      <c r="F650" s="95"/>
      <c r="G650" s="268"/>
    </row>
    <row r="651" spans="1:7">
      <c r="A651" s="218"/>
      <c r="B651" s="261"/>
      <c r="C651" s="208"/>
      <c r="D651" s="209"/>
      <c r="E651" s="210"/>
      <c r="F651" s="95"/>
      <c r="G651" s="268"/>
    </row>
    <row r="652" spans="1:7">
      <c r="A652" s="218"/>
      <c r="B652" s="261"/>
      <c r="C652" s="208"/>
      <c r="D652" s="209"/>
      <c r="E652" s="210"/>
      <c r="F652" s="95"/>
      <c r="G652" s="268"/>
    </row>
    <row r="653" spans="1:7">
      <c r="A653" s="218"/>
      <c r="B653" s="261"/>
      <c r="C653" s="208"/>
      <c r="D653" s="209"/>
      <c r="E653" s="210"/>
      <c r="F653" s="95"/>
      <c r="G653" s="268"/>
    </row>
    <row r="654" spans="1:7">
      <c r="A654" s="218"/>
      <c r="B654" s="261"/>
      <c r="C654" s="208"/>
      <c r="D654" s="209"/>
      <c r="E654" s="210"/>
      <c r="F654" s="95"/>
      <c r="G654" s="268"/>
    </row>
    <row r="655" spans="1:7">
      <c r="A655" s="218"/>
      <c r="B655" s="261"/>
      <c r="C655" s="208"/>
      <c r="D655" s="209"/>
      <c r="E655" s="210"/>
      <c r="F655" s="95"/>
      <c r="G655" s="268"/>
    </row>
    <row r="656" spans="1:7">
      <c r="A656" s="218"/>
      <c r="B656" s="261"/>
      <c r="C656" s="208"/>
      <c r="D656" s="209"/>
      <c r="E656" s="210"/>
      <c r="F656" s="95"/>
      <c r="G656" s="268"/>
    </row>
    <row r="657" spans="1:7">
      <c r="A657" s="218"/>
      <c r="B657" s="261"/>
      <c r="C657" s="208"/>
      <c r="D657" s="209"/>
      <c r="E657" s="210"/>
      <c r="F657" s="95"/>
      <c r="G657" s="268"/>
    </row>
    <row r="658" spans="1:7">
      <c r="A658" s="218"/>
      <c r="B658" s="261"/>
      <c r="C658" s="208"/>
      <c r="D658" s="209"/>
      <c r="E658" s="210"/>
      <c r="F658" s="95"/>
      <c r="G658" s="268"/>
    </row>
    <row r="659" spans="1:7">
      <c r="A659" s="218"/>
      <c r="B659" s="261"/>
      <c r="C659" s="208"/>
      <c r="D659" s="209"/>
      <c r="E659" s="210"/>
      <c r="F659" s="95"/>
      <c r="G659" s="268"/>
    </row>
    <row r="660" spans="1:7">
      <c r="A660" s="218"/>
      <c r="B660" s="261"/>
      <c r="C660" s="208"/>
      <c r="D660" s="209"/>
      <c r="E660" s="210"/>
      <c r="F660" s="95"/>
      <c r="G660" s="268"/>
    </row>
    <row r="661" spans="1:7">
      <c r="A661" s="218"/>
      <c r="B661" s="261"/>
      <c r="C661" s="208"/>
      <c r="D661" s="209"/>
      <c r="E661" s="210"/>
      <c r="F661" s="95"/>
      <c r="G661" s="268"/>
    </row>
    <row r="662" spans="1:7">
      <c r="A662" s="218"/>
      <c r="B662" s="261"/>
      <c r="C662" s="208"/>
      <c r="D662" s="209"/>
      <c r="E662" s="210"/>
      <c r="F662" s="95"/>
      <c r="G662" s="268"/>
    </row>
    <row r="663" spans="1:7">
      <c r="A663" s="218"/>
      <c r="B663" s="261"/>
      <c r="C663" s="208"/>
      <c r="D663" s="209"/>
      <c r="E663" s="210"/>
      <c r="F663" s="95"/>
      <c r="G663" s="268"/>
    </row>
    <row r="664" spans="1:7">
      <c r="A664" s="218"/>
      <c r="B664" s="261"/>
      <c r="C664" s="208"/>
      <c r="D664" s="209"/>
      <c r="E664" s="210"/>
      <c r="F664" s="95"/>
      <c r="G664" s="268"/>
    </row>
    <row r="665" spans="1:7">
      <c r="A665" s="207"/>
      <c r="B665" s="235"/>
      <c r="C665" s="219"/>
      <c r="D665" s="209"/>
      <c r="E665" s="269"/>
      <c r="F665" s="95"/>
      <c r="G665" s="268"/>
    </row>
    <row r="666" spans="1:7">
      <c r="A666" s="207"/>
      <c r="B666" s="235"/>
      <c r="C666" s="219"/>
      <c r="D666" s="209"/>
      <c r="E666" s="269"/>
      <c r="F666" s="269"/>
      <c r="G666" s="268"/>
    </row>
    <row r="667" spans="1:7">
      <c r="A667" s="207"/>
      <c r="B667" s="235"/>
      <c r="C667" s="219"/>
      <c r="D667" s="209"/>
      <c r="E667" s="269"/>
      <c r="F667" s="269"/>
      <c r="G667" s="268"/>
    </row>
    <row r="668" spans="1:7">
      <c r="A668" s="207"/>
      <c r="B668" s="235"/>
      <c r="C668" s="219"/>
      <c r="D668" s="209"/>
      <c r="E668" s="269"/>
      <c r="F668" s="269"/>
      <c r="G668" s="268"/>
    </row>
    <row r="669" spans="1:7">
      <c r="A669" s="207"/>
      <c r="B669" s="235"/>
      <c r="C669" s="219"/>
      <c r="D669" s="209"/>
      <c r="E669" s="270"/>
      <c r="F669" s="269"/>
      <c r="G669" s="268"/>
    </row>
    <row r="670" spans="1:7">
      <c r="A670" s="207"/>
      <c r="B670" s="235"/>
      <c r="C670" s="219"/>
      <c r="D670" s="209"/>
      <c r="E670" s="270"/>
      <c r="F670" s="269"/>
      <c r="G670" s="268"/>
    </row>
    <row r="671" spans="1:7">
      <c r="A671" s="207"/>
      <c r="B671" s="235"/>
      <c r="C671" s="219"/>
      <c r="D671" s="209"/>
      <c r="E671" s="270"/>
      <c r="F671" s="269"/>
      <c r="G671" s="268"/>
    </row>
    <row r="672" spans="1:9">
      <c r="A672" s="207"/>
      <c r="B672" s="235"/>
      <c r="C672" s="219"/>
      <c r="D672" s="209"/>
      <c r="E672" s="220"/>
      <c r="F672" s="220"/>
      <c r="G672" s="232">
        <f>SUM(G2:G671)</f>
        <v>15485310</v>
      </c>
      <c r="H672" s="232"/>
      <c r="I672" s="229"/>
    </row>
    <row r="673" spans="7:8">
      <c r="G673" s="202"/>
      <c r="H673" s="202"/>
    </row>
    <row r="675" spans="7:7">
      <c r="G675" s="229"/>
    </row>
  </sheetData>
  <mergeCells count="52">
    <mergeCell ref="A2:A23"/>
    <mergeCell ref="A24:A31"/>
    <mergeCell ref="A32:A53"/>
    <mergeCell ref="A54:A66"/>
    <mergeCell ref="A67:A88"/>
    <mergeCell ref="A89:A103"/>
    <mergeCell ref="A104:A125"/>
    <mergeCell ref="A126:A131"/>
    <mergeCell ref="A132:A152"/>
    <mergeCell ref="A153:A156"/>
    <mergeCell ref="A157:A178"/>
    <mergeCell ref="A179:A190"/>
    <mergeCell ref="A191:A212"/>
    <mergeCell ref="A213:A219"/>
    <mergeCell ref="B2:B23"/>
    <mergeCell ref="B24:B31"/>
    <mergeCell ref="B32:B53"/>
    <mergeCell ref="B54:B66"/>
    <mergeCell ref="B67:B88"/>
    <mergeCell ref="B89:B103"/>
    <mergeCell ref="B104:B125"/>
    <mergeCell ref="B126:B131"/>
    <mergeCell ref="B132:B152"/>
    <mergeCell ref="B153:B156"/>
    <mergeCell ref="B157:B178"/>
    <mergeCell ref="B179:B190"/>
    <mergeCell ref="B191:B212"/>
    <mergeCell ref="B213:B219"/>
    <mergeCell ref="G2:G23"/>
    <mergeCell ref="G24:G31"/>
    <mergeCell ref="G32:G53"/>
    <mergeCell ref="G54:G66"/>
    <mergeCell ref="G67:G88"/>
    <mergeCell ref="G89:G103"/>
    <mergeCell ref="G104:G125"/>
    <mergeCell ref="G126:G131"/>
    <mergeCell ref="G132:G152"/>
    <mergeCell ref="G153:G156"/>
    <mergeCell ref="G157:G178"/>
    <mergeCell ref="G179:G190"/>
    <mergeCell ref="G191:G212"/>
    <mergeCell ref="G213:G219"/>
    <mergeCell ref="H2:H23"/>
    <mergeCell ref="H24:H31"/>
    <mergeCell ref="H32:H53"/>
    <mergeCell ref="H54:H66"/>
    <mergeCell ref="H67:H88"/>
    <mergeCell ref="H89:H103"/>
    <mergeCell ref="H104:H125"/>
    <mergeCell ref="H126:H131"/>
    <mergeCell ref="H132:H152"/>
    <mergeCell ref="H153:H15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zoomScale="111" zoomScaleNormal="111" workbookViewId="0">
      <selection activeCell="A6" sqref="A6"/>
    </sheetView>
  </sheetViews>
  <sheetFormatPr defaultColWidth="9.140625" defaultRowHeight="17.6" outlineLevelCol="7"/>
  <cols>
    <col min="1" max="1" width="12.6875" style="200" customWidth="1"/>
    <col min="2" max="2" width="38.25" style="201" customWidth="1"/>
    <col min="3" max="3" width="9.140625" style="202"/>
    <col min="4" max="4" width="13.3828125" style="199" customWidth="1"/>
    <col min="5" max="5" width="13.625" style="199" customWidth="1"/>
    <col min="6" max="6" width="13.75" style="199" customWidth="1"/>
    <col min="7" max="7" width="29.25" style="199" customWidth="1"/>
    <col min="8" max="8" width="14.9375" style="199"/>
    <col min="9" max="16384" width="9.140625" style="199"/>
  </cols>
  <sheetData>
    <row r="1" s="27" customFormat="1" ht="20.4" spans="1:7">
      <c r="A1" s="203" t="s">
        <v>0</v>
      </c>
      <c r="B1" s="204" t="s">
        <v>1</v>
      </c>
      <c r="C1" s="205" t="s">
        <v>2</v>
      </c>
      <c r="D1" s="206" t="s">
        <v>3</v>
      </c>
      <c r="E1" s="206" t="s">
        <v>4</v>
      </c>
      <c r="F1" s="206" t="s">
        <v>5</v>
      </c>
      <c r="G1" s="206" t="s">
        <v>135</v>
      </c>
    </row>
    <row r="2" s="199" customFormat="1" ht="39" customHeight="1" spans="1:7">
      <c r="A2" s="207">
        <v>46055</v>
      </c>
      <c r="B2" s="208" t="s">
        <v>136</v>
      </c>
      <c r="C2" s="209">
        <v>4.6</v>
      </c>
      <c r="D2" s="210">
        <v>120000</v>
      </c>
      <c r="E2" s="210">
        <f>D2*C2</f>
        <v>552000</v>
      </c>
      <c r="F2" s="221">
        <f>SUM(E2:E4)</f>
        <v>2982000</v>
      </c>
      <c r="G2" s="222"/>
    </row>
    <row r="3" s="199" customFormat="1" ht="39" customHeight="1" spans="1:7">
      <c r="A3" s="211"/>
      <c r="B3" s="208" t="s">
        <v>137</v>
      </c>
      <c r="C3" s="209">
        <v>18</v>
      </c>
      <c r="D3" s="210">
        <v>100000</v>
      </c>
      <c r="E3" s="210">
        <f>D3*C3</f>
        <v>1800000</v>
      </c>
      <c r="F3" s="223"/>
      <c r="G3" s="224"/>
    </row>
    <row r="4" s="199" customFormat="1" ht="39" customHeight="1" spans="1:7">
      <c r="A4" s="212"/>
      <c r="B4" s="208" t="s">
        <v>138</v>
      </c>
      <c r="C4" s="209">
        <v>3</v>
      </c>
      <c r="D4" s="210">
        <v>210000</v>
      </c>
      <c r="E4" s="210">
        <f>D4*C4</f>
        <v>630000</v>
      </c>
      <c r="F4" s="225"/>
      <c r="G4" s="226"/>
    </row>
    <row r="5" s="199" customFormat="1" ht="111.8" customHeight="1" spans="1:8">
      <c r="A5" s="213">
        <v>46055</v>
      </c>
      <c r="B5" s="208" t="s">
        <v>139</v>
      </c>
      <c r="C5" s="209">
        <v>1</v>
      </c>
      <c r="D5" s="210">
        <v>1300000</v>
      </c>
      <c r="E5" s="210">
        <f>D5*C5</f>
        <v>1300000</v>
      </c>
      <c r="F5" s="227">
        <f>SUM(E5)</f>
        <v>1300000</v>
      </c>
      <c r="G5" s="228"/>
      <c r="H5" s="229"/>
    </row>
    <row r="6" s="199" customFormat="1" spans="1:7">
      <c r="A6" s="213"/>
      <c r="B6" s="208"/>
      <c r="C6" s="209"/>
      <c r="D6" s="210"/>
      <c r="E6" s="210"/>
      <c r="F6" s="227"/>
      <c r="G6" s="228"/>
    </row>
    <row r="7" s="199" customFormat="1" spans="1:7">
      <c r="A7" s="213"/>
      <c r="B7" s="208"/>
      <c r="C7" s="209"/>
      <c r="D7" s="210"/>
      <c r="E7" s="210"/>
      <c r="F7" s="227"/>
      <c r="G7" s="228"/>
    </row>
    <row r="8" s="199" customFormat="1" spans="1:7">
      <c r="A8" s="213"/>
      <c r="B8" s="208"/>
      <c r="C8" s="209"/>
      <c r="D8" s="210"/>
      <c r="E8" s="210"/>
      <c r="F8" s="227"/>
      <c r="G8" s="228"/>
    </row>
    <row r="9" s="199" customFormat="1" spans="1:7">
      <c r="A9" s="213"/>
      <c r="B9" s="208"/>
      <c r="C9" s="209"/>
      <c r="D9" s="210"/>
      <c r="E9" s="210"/>
      <c r="F9" s="227"/>
      <c r="G9" s="228"/>
    </row>
    <row r="10" s="199" customFormat="1" spans="1:7">
      <c r="A10" s="213"/>
      <c r="B10" s="208"/>
      <c r="C10" s="209"/>
      <c r="D10" s="210"/>
      <c r="E10" s="210"/>
      <c r="F10" s="227"/>
      <c r="G10" s="228"/>
    </row>
    <row r="11" s="199" customFormat="1" spans="1:7">
      <c r="A11" s="213"/>
      <c r="B11" s="208"/>
      <c r="C11" s="209"/>
      <c r="D11" s="210"/>
      <c r="E11" s="210"/>
      <c r="F11" s="227"/>
      <c r="G11" s="228"/>
    </row>
    <row r="12" s="199" customFormat="1" spans="1:7">
      <c r="A12" s="213"/>
      <c r="B12" s="208"/>
      <c r="C12" s="209"/>
      <c r="D12" s="210"/>
      <c r="E12" s="210"/>
      <c r="F12" s="227"/>
      <c r="G12" s="228"/>
    </row>
    <row r="13" s="199" customFormat="1" spans="1:7">
      <c r="A13" s="213"/>
      <c r="B13" s="208"/>
      <c r="C13" s="209"/>
      <c r="D13" s="210"/>
      <c r="E13" s="210"/>
      <c r="F13" s="227"/>
      <c r="G13" s="228"/>
    </row>
    <row r="14" s="199" customFormat="1" spans="1:7">
      <c r="A14" s="213"/>
      <c r="B14" s="208"/>
      <c r="C14" s="209"/>
      <c r="D14" s="210"/>
      <c r="E14" s="210"/>
      <c r="F14" s="227"/>
      <c r="G14" s="228"/>
    </row>
    <row r="15" s="199" customFormat="1" spans="1:7">
      <c r="A15" s="213"/>
      <c r="B15" s="208"/>
      <c r="C15" s="209"/>
      <c r="D15" s="210"/>
      <c r="E15" s="210"/>
      <c r="F15" s="227"/>
      <c r="G15" s="228"/>
    </row>
    <row r="16" s="199" customFormat="1" spans="1:7">
      <c r="A16" s="213"/>
      <c r="B16" s="208"/>
      <c r="C16" s="209"/>
      <c r="D16" s="210"/>
      <c r="E16" s="210"/>
      <c r="F16" s="227"/>
      <c r="G16" s="228"/>
    </row>
    <row r="17" s="199" customFormat="1" spans="1:7">
      <c r="A17" s="213"/>
      <c r="B17" s="208"/>
      <c r="C17" s="209"/>
      <c r="D17" s="210"/>
      <c r="E17" s="210"/>
      <c r="F17" s="227"/>
      <c r="G17" s="228"/>
    </row>
    <row r="18" s="199" customFormat="1" spans="1:7">
      <c r="A18" s="213"/>
      <c r="B18" s="208"/>
      <c r="C18" s="209"/>
      <c r="D18" s="210"/>
      <c r="E18" s="210"/>
      <c r="F18" s="227"/>
      <c r="G18" s="228"/>
    </row>
    <row r="19" s="199" customFormat="1" spans="1:7">
      <c r="A19" s="214"/>
      <c r="B19" s="215"/>
      <c r="C19" s="216"/>
      <c r="D19" s="217"/>
      <c r="E19" s="217"/>
      <c r="F19" s="230"/>
      <c r="G19" s="231"/>
    </row>
    <row r="20" s="199" customFormat="1" spans="1:7">
      <c r="A20" s="214"/>
      <c r="B20" s="215"/>
      <c r="C20" s="216"/>
      <c r="D20" s="217"/>
      <c r="E20" s="217"/>
      <c r="F20" s="230"/>
      <c r="G20" s="231"/>
    </row>
    <row r="21" s="199" customFormat="1" spans="1:8">
      <c r="A21" s="218"/>
      <c r="B21" s="219"/>
      <c r="C21" s="209"/>
      <c r="D21" s="220"/>
      <c r="E21" s="220"/>
      <c r="F21" s="232">
        <f>SUM(F2:F20)</f>
        <v>4282000</v>
      </c>
      <c r="G21" s="232"/>
      <c r="H21" s="229"/>
    </row>
    <row r="22" s="199" customFormat="1" spans="1:7">
      <c r="A22" s="200"/>
      <c r="B22" s="201"/>
      <c r="C22" s="202"/>
      <c r="F22" s="202"/>
      <c r="G22" s="202"/>
    </row>
    <row r="24" s="199" customFormat="1" spans="1:6">
      <c r="A24" s="200"/>
      <c r="B24" s="201"/>
      <c r="C24" s="202"/>
      <c r="F24" s="229"/>
    </row>
  </sheetData>
  <mergeCells count="3">
    <mergeCell ref="A2:A4"/>
    <mergeCell ref="F2:F4"/>
    <mergeCell ref="G2:G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zoomScale="84" zoomScaleNormal="84" workbookViewId="0">
      <pane ySplit="1" topLeftCell="A6" activePane="bottomLeft" state="frozen"/>
      <selection/>
      <selection pane="bottomLeft" activeCell="F16" sqref="F16"/>
    </sheetView>
  </sheetViews>
  <sheetFormatPr defaultColWidth="9.140625" defaultRowHeight="23.2" outlineLevelCol="7"/>
  <cols>
    <col min="1" max="1" width="18.859375" style="162" customWidth="1"/>
    <col min="2" max="2" width="35.5703125" style="163" customWidth="1"/>
    <col min="3" max="3" width="24.1875" style="164" customWidth="1"/>
    <col min="4" max="4" width="24.7109375" style="160" customWidth="1"/>
    <col min="5" max="5" width="36.9609375" style="160" customWidth="1"/>
    <col min="6" max="6" width="27.0078125" style="160" customWidth="1"/>
    <col min="7" max="7" width="22" style="160" customWidth="1"/>
    <col min="8" max="8" width="15.5703125" style="160"/>
    <col min="9" max="11" width="12.859375" style="160"/>
    <col min="12" max="16384" width="9.140625" style="160"/>
  </cols>
  <sheetData>
    <row r="1" spans="1:7">
      <c r="A1" s="165" t="s">
        <v>0</v>
      </c>
      <c r="B1" s="166" t="s">
        <v>140</v>
      </c>
      <c r="C1" s="167" t="s">
        <v>141</v>
      </c>
      <c r="D1" s="167" t="s">
        <v>3</v>
      </c>
      <c r="E1" s="167" t="s">
        <v>135</v>
      </c>
      <c r="F1" s="167" t="s">
        <v>4</v>
      </c>
      <c r="G1" s="167" t="s">
        <v>5</v>
      </c>
    </row>
    <row r="2" s="160" customFormat="1" ht="95" customHeight="1" spans="1:7">
      <c r="A2" s="168">
        <v>46054</v>
      </c>
      <c r="B2" s="169" t="s">
        <v>142</v>
      </c>
      <c r="C2" s="170">
        <v>2.25</v>
      </c>
      <c r="D2" s="171">
        <v>370000</v>
      </c>
      <c r="E2" s="184"/>
      <c r="F2" s="185">
        <f>SUM(C2*D2)</f>
        <v>832500</v>
      </c>
      <c r="G2" s="186">
        <f>SUM(F2:F4)</f>
        <v>1965500</v>
      </c>
    </row>
    <row r="3" s="160" customFormat="1" ht="95" customHeight="1" spans="1:7">
      <c r="A3" s="172"/>
      <c r="B3" s="169" t="s">
        <v>143</v>
      </c>
      <c r="C3" s="170">
        <v>4.2</v>
      </c>
      <c r="D3" s="171">
        <v>115000</v>
      </c>
      <c r="E3" s="187"/>
      <c r="F3" s="185">
        <f>SUM(C3*D3)</f>
        <v>483000</v>
      </c>
      <c r="G3" s="188"/>
    </row>
    <row r="4" s="160" customFormat="1" ht="95" customHeight="1" spans="1:7">
      <c r="A4" s="173"/>
      <c r="B4" s="169" t="s">
        <v>144</v>
      </c>
      <c r="C4" s="170">
        <v>10</v>
      </c>
      <c r="D4" s="171">
        <v>65000</v>
      </c>
      <c r="E4" s="189"/>
      <c r="F4" s="185">
        <f>SUM(C4*D4)</f>
        <v>650000</v>
      </c>
      <c r="G4" s="190"/>
    </row>
    <row r="5" s="160" customFormat="1" ht="75" customHeight="1" spans="1:7">
      <c r="A5" s="168">
        <v>46055</v>
      </c>
      <c r="B5" s="169" t="s">
        <v>145</v>
      </c>
      <c r="C5" s="170">
        <v>5</v>
      </c>
      <c r="D5" s="171">
        <v>185000</v>
      </c>
      <c r="E5" s="184"/>
      <c r="F5" s="185">
        <f t="shared" ref="F2:F10" si="0">SUM(C5*D5)</f>
        <v>925000</v>
      </c>
      <c r="G5" s="186">
        <f>SUM(F5:F8)</f>
        <v>2670000</v>
      </c>
    </row>
    <row r="6" s="160" customFormat="1" ht="75" customHeight="1" spans="1:7">
      <c r="A6" s="172"/>
      <c r="B6" s="169" t="s">
        <v>146</v>
      </c>
      <c r="C6" s="170">
        <v>3</v>
      </c>
      <c r="D6" s="171">
        <v>85000</v>
      </c>
      <c r="E6" s="187"/>
      <c r="F6" s="185">
        <f t="shared" si="0"/>
        <v>255000</v>
      </c>
      <c r="G6" s="188"/>
    </row>
    <row r="7" s="160" customFormat="1" ht="75" customHeight="1" spans="1:7">
      <c r="A7" s="172"/>
      <c r="B7" s="174" t="s">
        <v>147</v>
      </c>
      <c r="C7" s="170">
        <v>5</v>
      </c>
      <c r="D7" s="171">
        <v>150000</v>
      </c>
      <c r="E7" s="187"/>
      <c r="F7" s="185">
        <f t="shared" si="0"/>
        <v>750000</v>
      </c>
      <c r="G7" s="188"/>
    </row>
    <row r="8" s="160" customFormat="1" ht="75" customHeight="1" spans="1:7">
      <c r="A8" s="173"/>
      <c r="B8" s="169" t="s">
        <v>142</v>
      </c>
      <c r="C8" s="170">
        <v>2</v>
      </c>
      <c r="D8" s="171">
        <v>370000</v>
      </c>
      <c r="E8" s="189"/>
      <c r="F8" s="185">
        <f t="shared" si="0"/>
        <v>740000</v>
      </c>
      <c r="G8" s="190"/>
    </row>
    <row r="9" s="160" customFormat="1" ht="57" customHeight="1" spans="1:7">
      <c r="A9" s="175">
        <v>46059</v>
      </c>
      <c r="B9" s="169" t="s">
        <v>148</v>
      </c>
      <c r="C9" s="170">
        <v>6.8</v>
      </c>
      <c r="D9" s="171">
        <v>115000</v>
      </c>
      <c r="E9" s="191"/>
      <c r="F9" s="185">
        <f>SUM(C9*D9)</f>
        <v>782000</v>
      </c>
      <c r="G9" s="192">
        <f>SUM(F9:F13)</f>
        <v>3650500</v>
      </c>
    </row>
    <row r="10" s="160" customFormat="1" ht="57" customHeight="1" spans="1:7">
      <c r="A10" s="176"/>
      <c r="B10" s="169" t="s">
        <v>142</v>
      </c>
      <c r="C10" s="170">
        <v>3.6</v>
      </c>
      <c r="D10" s="171">
        <v>370000</v>
      </c>
      <c r="E10" s="193"/>
      <c r="F10" s="185">
        <f>SUM(C10*D10)</f>
        <v>1332000</v>
      </c>
      <c r="G10" s="194"/>
    </row>
    <row r="11" s="160" customFormat="1" ht="57" customHeight="1" spans="1:7">
      <c r="A11" s="176"/>
      <c r="B11" s="169" t="s">
        <v>145</v>
      </c>
      <c r="C11" s="170">
        <v>5</v>
      </c>
      <c r="D11" s="171">
        <v>185000</v>
      </c>
      <c r="E11" s="193"/>
      <c r="F11" s="185">
        <f>SUM(C11*D11)</f>
        <v>925000</v>
      </c>
      <c r="G11" s="194"/>
    </row>
    <row r="12" s="160" customFormat="1" ht="57" customHeight="1" spans="1:7">
      <c r="A12" s="176"/>
      <c r="B12" s="177" t="s">
        <v>149</v>
      </c>
      <c r="C12" s="170">
        <v>3</v>
      </c>
      <c r="D12" s="171">
        <v>85000</v>
      </c>
      <c r="E12" s="193"/>
      <c r="F12" s="185">
        <f>SUM(C12*D12)</f>
        <v>255000</v>
      </c>
      <c r="G12" s="194"/>
    </row>
    <row r="13" s="160" customFormat="1" ht="57" customHeight="1" spans="1:7">
      <c r="A13" s="178"/>
      <c r="B13" s="169" t="s">
        <v>143</v>
      </c>
      <c r="C13" s="170">
        <v>3.1</v>
      </c>
      <c r="D13" s="171">
        <v>115000</v>
      </c>
      <c r="E13" s="195"/>
      <c r="F13" s="185">
        <f>SUM(C13*D13)</f>
        <v>356500</v>
      </c>
      <c r="G13" s="196"/>
    </row>
    <row r="14" s="160" customFormat="1" spans="1:7">
      <c r="A14" s="179"/>
      <c r="B14" s="169"/>
      <c r="C14" s="170"/>
      <c r="D14" s="171"/>
      <c r="E14" s="197"/>
      <c r="F14" s="185"/>
      <c r="G14" s="185"/>
    </row>
    <row r="15" s="160" customFormat="1" spans="1:7">
      <c r="A15" s="179"/>
      <c r="B15" s="169"/>
      <c r="C15" s="170"/>
      <c r="D15" s="171"/>
      <c r="E15" s="197"/>
      <c r="F15" s="185"/>
      <c r="G15" s="185"/>
    </row>
    <row r="16" s="160" customFormat="1" spans="1:7">
      <c r="A16" s="179"/>
      <c r="B16" s="169"/>
      <c r="C16" s="170"/>
      <c r="D16" s="171"/>
      <c r="E16" s="197"/>
      <c r="F16" s="185"/>
      <c r="G16" s="185"/>
    </row>
    <row r="17" s="160" customFormat="1" spans="1:7">
      <c r="A17" s="179"/>
      <c r="B17" s="169"/>
      <c r="C17" s="170"/>
      <c r="D17" s="171"/>
      <c r="E17" s="197"/>
      <c r="F17" s="185"/>
      <c r="G17" s="185"/>
    </row>
    <row r="18" s="160" customFormat="1" spans="1:7">
      <c r="A18" s="179"/>
      <c r="B18" s="174"/>
      <c r="C18" s="170"/>
      <c r="D18" s="171"/>
      <c r="E18" s="197"/>
      <c r="F18" s="185"/>
      <c r="G18" s="185"/>
    </row>
    <row r="19" s="160" customFormat="1" spans="1:7">
      <c r="A19" s="179"/>
      <c r="B19" s="177"/>
      <c r="C19" s="170"/>
      <c r="D19" s="171"/>
      <c r="E19" s="197"/>
      <c r="F19" s="185"/>
      <c r="G19" s="185"/>
    </row>
    <row r="20" s="160" customFormat="1" spans="1:7">
      <c r="A20" s="179"/>
      <c r="B20" s="177"/>
      <c r="C20" s="170"/>
      <c r="D20" s="171"/>
      <c r="E20" s="197"/>
      <c r="F20" s="185"/>
      <c r="G20" s="185"/>
    </row>
    <row r="21" s="160" customFormat="1" spans="1:7">
      <c r="A21" s="179"/>
      <c r="B21" s="177"/>
      <c r="C21" s="170"/>
      <c r="D21" s="171"/>
      <c r="E21" s="197"/>
      <c r="F21" s="185"/>
      <c r="G21" s="185"/>
    </row>
    <row r="22" s="160" customFormat="1" spans="1:7">
      <c r="A22" s="179"/>
      <c r="B22" s="177"/>
      <c r="C22" s="170"/>
      <c r="D22" s="171"/>
      <c r="E22" s="197"/>
      <c r="F22" s="185"/>
      <c r="G22" s="185"/>
    </row>
    <row r="23" s="160" customFormat="1" spans="1:7">
      <c r="A23" s="179"/>
      <c r="B23" s="177"/>
      <c r="C23" s="170"/>
      <c r="D23" s="171"/>
      <c r="E23" s="197"/>
      <c r="F23" s="185"/>
      <c r="G23" s="185"/>
    </row>
    <row r="24" s="160" customFormat="1" spans="1:7">
      <c r="A24" s="179"/>
      <c r="B24" s="177"/>
      <c r="C24" s="170"/>
      <c r="D24" s="171"/>
      <c r="E24" s="197"/>
      <c r="F24" s="185"/>
      <c r="G24" s="185"/>
    </row>
    <row r="25" s="160" customFormat="1" spans="1:7">
      <c r="A25" s="179"/>
      <c r="B25" s="177"/>
      <c r="C25" s="170"/>
      <c r="D25" s="171"/>
      <c r="E25" s="197"/>
      <c r="F25" s="185"/>
      <c r="G25" s="185"/>
    </row>
    <row r="26" s="160" customFormat="1" spans="1:7">
      <c r="A26" s="179"/>
      <c r="B26" s="177"/>
      <c r="C26" s="170"/>
      <c r="D26" s="171"/>
      <c r="E26" s="197"/>
      <c r="F26" s="185"/>
      <c r="G26" s="185"/>
    </row>
    <row r="27" s="160" customFormat="1" spans="1:7">
      <c r="A27" s="179"/>
      <c r="B27" s="177"/>
      <c r="C27" s="170"/>
      <c r="D27" s="171"/>
      <c r="E27" s="197"/>
      <c r="F27" s="185"/>
      <c r="G27" s="185"/>
    </row>
    <row r="28" s="160" customFormat="1" spans="1:7">
      <c r="A28" s="179"/>
      <c r="B28" s="169"/>
      <c r="C28" s="170"/>
      <c r="D28" s="171"/>
      <c r="E28" s="197"/>
      <c r="F28" s="185"/>
      <c r="G28" s="185"/>
    </row>
    <row r="29" s="160" customFormat="1" spans="1:7">
      <c r="A29" s="179"/>
      <c r="B29" s="169"/>
      <c r="C29" s="170"/>
      <c r="D29" s="171"/>
      <c r="E29" s="197"/>
      <c r="F29" s="185"/>
      <c r="G29" s="185"/>
    </row>
    <row r="30" s="160" customFormat="1" spans="1:7">
      <c r="A30" s="179"/>
      <c r="B30" s="169"/>
      <c r="C30" s="170"/>
      <c r="D30" s="171"/>
      <c r="E30" s="197"/>
      <c r="F30" s="185"/>
      <c r="G30" s="185"/>
    </row>
    <row r="31" s="160" customFormat="1" spans="1:7">
      <c r="A31" s="179"/>
      <c r="B31" s="169"/>
      <c r="C31" s="170"/>
      <c r="D31" s="171"/>
      <c r="E31" s="197"/>
      <c r="F31" s="185"/>
      <c r="G31" s="185"/>
    </row>
    <row r="32" s="160" customFormat="1" spans="1:7">
      <c r="A32" s="179"/>
      <c r="B32" s="169"/>
      <c r="C32" s="170"/>
      <c r="D32" s="171"/>
      <c r="E32" s="197"/>
      <c r="F32" s="185"/>
      <c r="G32" s="185"/>
    </row>
    <row r="33" s="160" customFormat="1" spans="1:7">
      <c r="A33" s="179"/>
      <c r="B33" s="169"/>
      <c r="C33" s="170"/>
      <c r="D33" s="171"/>
      <c r="E33" s="197"/>
      <c r="F33" s="185"/>
      <c r="G33" s="185"/>
    </row>
    <row r="34" s="160" customFormat="1" spans="1:7">
      <c r="A34" s="179"/>
      <c r="B34" s="169"/>
      <c r="C34" s="170"/>
      <c r="D34" s="171"/>
      <c r="E34" s="197"/>
      <c r="F34" s="185"/>
      <c r="G34" s="185"/>
    </row>
    <row r="35" s="160" customFormat="1" spans="1:7">
      <c r="A35" s="179"/>
      <c r="B35" s="169"/>
      <c r="C35" s="170"/>
      <c r="D35" s="171"/>
      <c r="E35" s="197"/>
      <c r="F35" s="185"/>
      <c r="G35" s="185"/>
    </row>
    <row r="36" s="160" customFormat="1" spans="1:7">
      <c r="A36" s="179"/>
      <c r="B36" s="169"/>
      <c r="C36" s="170"/>
      <c r="D36" s="171"/>
      <c r="E36" s="197"/>
      <c r="F36" s="185"/>
      <c r="G36" s="185"/>
    </row>
    <row r="37" s="160" customFormat="1" spans="1:7">
      <c r="A37" s="179"/>
      <c r="B37" s="169"/>
      <c r="C37" s="170"/>
      <c r="D37" s="169"/>
      <c r="E37" s="197"/>
      <c r="F37" s="185"/>
      <c r="G37" s="185"/>
    </row>
    <row r="38" s="160" customFormat="1" spans="1:7">
      <c r="A38" s="179"/>
      <c r="B38" s="169"/>
      <c r="C38" s="170"/>
      <c r="D38" s="169"/>
      <c r="E38" s="174"/>
      <c r="F38" s="185"/>
      <c r="G38" s="169"/>
    </row>
    <row r="39" s="160" customFormat="1" spans="1:7">
      <c r="A39" s="179"/>
      <c r="B39" s="169"/>
      <c r="C39" s="170"/>
      <c r="D39" s="169"/>
      <c r="E39" s="174"/>
      <c r="F39" s="185"/>
      <c r="G39" s="169"/>
    </row>
    <row r="40" s="160" customFormat="1" spans="1:7">
      <c r="A40" s="179"/>
      <c r="B40" s="169"/>
      <c r="C40" s="170"/>
      <c r="D40" s="169"/>
      <c r="E40" s="174"/>
      <c r="F40" s="185"/>
      <c r="G40" s="169"/>
    </row>
    <row r="41" s="160" customFormat="1" spans="1:7">
      <c r="A41" s="179"/>
      <c r="B41" s="169"/>
      <c r="C41" s="170"/>
      <c r="D41" s="169"/>
      <c r="E41" s="174"/>
      <c r="F41" s="185"/>
      <c r="G41" s="169"/>
    </row>
    <row r="42" s="160" customFormat="1" spans="1:7">
      <c r="A42" s="179"/>
      <c r="B42" s="169"/>
      <c r="C42" s="170"/>
      <c r="D42" s="169"/>
      <c r="E42" s="174"/>
      <c r="F42" s="169"/>
      <c r="G42" s="169"/>
    </row>
    <row r="43" s="160" customFormat="1" spans="1:7">
      <c r="A43" s="179"/>
      <c r="B43" s="169"/>
      <c r="C43" s="170"/>
      <c r="D43" s="169"/>
      <c r="E43" s="174"/>
      <c r="F43" s="169"/>
      <c r="G43" s="169"/>
    </row>
    <row r="44" s="160" customFormat="1" spans="1:7">
      <c r="A44" s="179"/>
      <c r="B44" s="169"/>
      <c r="C44" s="170"/>
      <c r="D44" s="169"/>
      <c r="E44" s="174"/>
      <c r="F44" s="169"/>
      <c r="G44" s="169"/>
    </row>
    <row r="45" s="160" customFormat="1" spans="1:7">
      <c r="A45" s="179"/>
      <c r="B45" s="169"/>
      <c r="C45" s="170"/>
      <c r="D45" s="169"/>
      <c r="E45" s="174"/>
      <c r="F45" s="169"/>
      <c r="G45" s="169"/>
    </row>
    <row r="46" s="160" customFormat="1" spans="1:7">
      <c r="A46" s="179"/>
      <c r="B46" s="169"/>
      <c r="C46" s="170"/>
      <c r="D46" s="169"/>
      <c r="E46" s="174"/>
      <c r="F46" s="169"/>
      <c r="G46" s="169"/>
    </row>
    <row r="47" s="160" customFormat="1" spans="1:7">
      <c r="A47" s="179"/>
      <c r="B47" s="169"/>
      <c r="C47" s="170"/>
      <c r="D47" s="171"/>
      <c r="E47" s="174"/>
      <c r="F47" s="169"/>
      <c r="G47" s="185"/>
    </row>
    <row r="48" s="160" customFormat="1" spans="1:7">
      <c r="A48" s="179"/>
      <c r="B48" s="169"/>
      <c r="C48" s="170"/>
      <c r="D48" s="171"/>
      <c r="E48" s="174"/>
      <c r="F48" s="169"/>
      <c r="G48" s="185"/>
    </row>
    <row r="49" s="160" customFormat="1" spans="1:7">
      <c r="A49" s="179"/>
      <c r="B49" s="169"/>
      <c r="C49" s="170"/>
      <c r="D49" s="171"/>
      <c r="E49" s="174"/>
      <c r="F49" s="169"/>
      <c r="G49" s="185"/>
    </row>
    <row r="50" s="160" customFormat="1" spans="1:7">
      <c r="A50" s="179"/>
      <c r="B50" s="169"/>
      <c r="C50" s="170"/>
      <c r="D50" s="171"/>
      <c r="E50" s="174"/>
      <c r="F50" s="169"/>
      <c r="G50" s="185"/>
    </row>
    <row r="51" s="160" customFormat="1" spans="1:7">
      <c r="A51" s="179"/>
      <c r="B51" s="169"/>
      <c r="C51" s="170"/>
      <c r="D51" s="171"/>
      <c r="E51" s="197"/>
      <c r="F51" s="169"/>
      <c r="G51" s="185"/>
    </row>
    <row r="52" s="160" customFormat="1" spans="1:8">
      <c r="A52" s="179"/>
      <c r="B52" s="169"/>
      <c r="C52" s="170"/>
      <c r="D52" s="171"/>
      <c r="E52" s="197"/>
      <c r="F52" s="169"/>
      <c r="G52" s="185"/>
      <c r="H52" s="198"/>
    </row>
    <row r="53" s="161" customFormat="1" spans="1:7">
      <c r="A53" s="179"/>
      <c r="B53" s="169"/>
      <c r="C53" s="170"/>
      <c r="D53" s="171"/>
      <c r="E53" s="197"/>
      <c r="F53" s="169"/>
      <c r="G53" s="185"/>
    </row>
    <row r="54" s="161" customFormat="1" spans="1:7">
      <c r="A54" s="179"/>
      <c r="B54" s="169"/>
      <c r="C54" s="170"/>
      <c r="D54" s="171"/>
      <c r="E54" s="197"/>
      <c r="F54" s="169"/>
      <c r="G54" s="185"/>
    </row>
    <row r="55" s="161" customFormat="1" spans="1:7">
      <c r="A55" s="179"/>
      <c r="B55" s="169"/>
      <c r="C55" s="170"/>
      <c r="D55" s="171"/>
      <c r="E55" s="19"/>
      <c r="F55" s="19"/>
      <c r="G55" s="185"/>
    </row>
    <row r="56" s="161" customFormat="1" spans="1:7">
      <c r="A56" s="179"/>
      <c r="B56" s="169"/>
      <c r="C56" s="170"/>
      <c r="D56" s="171"/>
      <c r="E56" s="19"/>
      <c r="F56" s="19"/>
      <c r="G56" s="185"/>
    </row>
    <row r="57" s="161" customFormat="1" spans="1:7">
      <c r="A57" s="179"/>
      <c r="B57" s="169"/>
      <c r="C57" s="170"/>
      <c r="D57" s="171"/>
      <c r="E57" s="19"/>
      <c r="F57" s="19"/>
      <c r="G57" s="185"/>
    </row>
    <row r="58" s="161" customFormat="1" spans="1:7">
      <c r="A58" s="179"/>
      <c r="B58" s="169"/>
      <c r="C58" s="170"/>
      <c r="D58" s="171"/>
      <c r="E58" s="19"/>
      <c r="F58" s="19"/>
      <c r="G58" s="185"/>
    </row>
    <row r="59" s="161" customFormat="1" spans="1:7">
      <c r="A59" s="179"/>
      <c r="B59" s="169"/>
      <c r="C59" s="170"/>
      <c r="D59" s="171"/>
      <c r="E59" s="19"/>
      <c r="F59" s="19"/>
      <c r="G59" s="185"/>
    </row>
    <row r="60" s="161" customFormat="1" spans="1:7">
      <c r="A60" s="179"/>
      <c r="B60" s="169"/>
      <c r="C60" s="170"/>
      <c r="D60" s="171"/>
      <c r="E60" s="19"/>
      <c r="F60" s="19"/>
      <c r="G60" s="185"/>
    </row>
    <row r="61" s="160" customFormat="1" ht="31" customHeight="1" spans="1:8">
      <c r="A61" s="180"/>
      <c r="B61" s="181"/>
      <c r="C61" s="182"/>
      <c r="D61" s="183">
        <f>SUM(G2:G60)</f>
        <v>8286000</v>
      </c>
      <c r="E61" s="183"/>
      <c r="F61" s="183"/>
      <c r="G61" s="183"/>
      <c r="H61" s="198"/>
    </row>
  </sheetData>
  <mergeCells count="10">
    <mergeCell ref="D61:G61"/>
    <mergeCell ref="A2:A4"/>
    <mergeCell ref="A5:A8"/>
    <mergeCell ref="A9:A13"/>
    <mergeCell ref="E2:E4"/>
    <mergeCell ref="E5:E8"/>
    <mergeCell ref="E9:E13"/>
    <mergeCell ref="G2:G4"/>
    <mergeCell ref="G5:G8"/>
    <mergeCell ref="G9:G1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opLeftCell="B1" workbookViewId="0">
      <pane ySplit="1" topLeftCell="A2" activePane="bottomLeft" state="frozen"/>
      <selection/>
      <selection pane="bottomLeft" activeCell="H12" sqref="H12"/>
    </sheetView>
  </sheetViews>
  <sheetFormatPr defaultColWidth="9.140625" defaultRowHeight="23.2" outlineLevelCol="7"/>
  <cols>
    <col min="1" max="1" width="19.140625" style="144" customWidth="1"/>
    <col min="2" max="2" width="26.7109375" style="143" customWidth="1"/>
    <col min="3" max="3" width="33.921875" style="145" customWidth="1"/>
    <col min="4" max="4" width="29.703125" style="145" customWidth="1"/>
    <col min="5" max="5" width="48.046875" style="143" customWidth="1"/>
    <col min="6" max="6" width="23.359375" style="143" customWidth="1"/>
    <col min="7" max="8" width="19.2890625" style="143" customWidth="1"/>
    <col min="9" max="9" width="12.859375" style="143"/>
    <col min="10" max="16384" width="9.140625" style="143"/>
  </cols>
  <sheetData>
    <row r="1" ht="35" customHeight="1" spans="1:8">
      <c r="A1" s="146" t="s">
        <v>0</v>
      </c>
      <c r="B1" s="147" t="s">
        <v>150</v>
      </c>
      <c r="C1" s="147" t="s">
        <v>151</v>
      </c>
      <c r="D1" s="147" t="s">
        <v>152</v>
      </c>
      <c r="E1" s="147" t="s">
        <v>153</v>
      </c>
      <c r="F1" s="147" t="s">
        <v>3</v>
      </c>
      <c r="G1" s="147" t="s">
        <v>4</v>
      </c>
      <c r="H1" s="156" t="s">
        <v>5</v>
      </c>
    </row>
    <row r="2" s="143" customFormat="1" spans="1:8">
      <c r="A2" s="148"/>
      <c r="B2" s="149"/>
      <c r="C2" s="150"/>
      <c r="D2" s="151"/>
      <c r="E2" s="157"/>
      <c r="F2" s="158"/>
      <c r="G2" s="158">
        <f>D2*F2</f>
        <v>0</v>
      </c>
      <c r="H2" s="158">
        <f>SUM(G2)</f>
        <v>0</v>
      </c>
    </row>
    <row r="3" s="143" customFormat="1" spans="1:8">
      <c r="A3" s="148"/>
      <c r="B3" s="149"/>
      <c r="C3" s="150"/>
      <c r="D3" s="151"/>
      <c r="E3" s="157"/>
      <c r="F3" s="158"/>
      <c r="G3" s="158">
        <f>SUM(D3*F3+D4*F4)</f>
        <v>0</v>
      </c>
      <c r="H3" s="157"/>
    </row>
    <row r="4" s="143" customFormat="1" spans="1:8">
      <c r="A4" s="148"/>
      <c r="B4" s="149"/>
      <c r="C4" s="150"/>
      <c r="D4" s="151"/>
      <c r="E4" s="157"/>
      <c r="F4" s="158"/>
      <c r="G4" s="158"/>
      <c r="H4" s="157"/>
    </row>
    <row r="5" s="143" customFormat="1" spans="1:8">
      <c r="A5" s="148"/>
      <c r="B5" s="149"/>
      <c r="C5" s="152"/>
      <c r="D5" s="153"/>
      <c r="E5" s="157"/>
      <c r="F5" s="158"/>
      <c r="G5" s="158">
        <f>SUM(D5*F5+D6*F6+D7*F7)</f>
        <v>0</v>
      </c>
      <c r="H5" s="157"/>
    </row>
    <row r="6" s="143" customFormat="1" spans="1:8">
      <c r="A6" s="148"/>
      <c r="B6" s="149"/>
      <c r="C6" s="152"/>
      <c r="D6" s="153"/>
      <c r="E6" s="157"/>
      <c r="F6" s="158"/>
      <c r="G6" s="158"/>
      <c r="H6" s="157"/>
    </row>
    <row r="7" s="143" customFormat="1" spans="1:8">
      <c r="A7" s="148"/>
      <c r="B7" s="149"/>
      <c r="C7" s="152"/>
      <c r="D7" s="153"/>
      <c r="E7" s="157"/>
      <c r="F7" s="158"/>
      <c r="G7" s="158"/>
      <c r="H7" s="157"/>
    </row>
    <row r="8" s="143" customFormat="1" spans="1:8">
      <c r="A8" s="148"/>
      <c r="B8" s="149"/>
      <c r="C8" s="152"/>
      <c r="D8" s="153"/>
      <c r="E8" s="157"/>
      <c r="F8" s="158"/>
      <c r="G8" s="158">
        <f>SUM(D8*F8)</f>
        <v>0</v>
      </c>
      <c r="H8" s="157"/>
    </row>
    <row r="9" s="143" customFormat="1" spans="1:8">
      <c r="A9" s="148"/>
      <c r="B9" s="149"/>
      <c r="C9" s="152"/>
      <c r="D9" s="153"/>
      <c r="E9" s="157"/>
      <c r="F9" s="158"/>
      <c r="G9" s="158"/>
      <c r="H9" s="157"/>
    </row>
    <row r="10" s="143" customFormat="1" spans="1:8">
      <c r="A10" s="148"/>
      <c r="B10" s="149"/>
      <c r="C10" s="152"/>
      <c r="D10" s="153"/>
      <c r="E10" s="157"/>
      <c r="F10" s="158"/>
      <c r="G10" s="158"/>
      <c r="H10" s="157"/>
    </row>
    <row r="11" s="143" customFormat="1" spans="1:8">
      <c r="A11" s="148"/>
      <c r="B11" s="149"/>
      <c r="C11" s="152"/>
      <c r="D11" s="153"/>
      <c r="E11" s="157"/>
      <c r="F11" s="158"/>
      <c r="G11" s="158"/>
      <c r="H11" s="157"/>
    </row>
    <row r="12" s="143" customFormat="1" ht="21" customHeight="1" spans="1:8">
      <c r="A12" s="154"/>
      <c r="B12" s="155"/>
      <c r="C12" s="155"/>
      <c r="D12" s="155"/>
      <c r="E12" s="154" t="s">
        <v>154</v>
      </c>
      <c r="F12" s="155"/>
      <c r="G12" s="155"/>
      <c r="H12" s="159">
        <f>SUM(H2:H11)</f>
        <v>0</v>
      </c>
    </row>
  </sheetData>
  <mergeCells count="2">
    <mergeCell ref="A12:C12"/>
    <mergeCell ref="E12:G1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="85" zoomScaleNormal="85" topLeftCell="C1" workbookViewId="0">
      <pane ySplit="1" topLeftCell="A2" activePane="bottomLeft" state="frozen"/>
      <selection/>
      <selection pane="bottomLeft" activeCell="G5" sqref="G5"/>
    </sheetView>
  </sheetViews>
  <sheetFormatPr defaultColWidth="9.140625" defaultRowHeight="16.8"/>
  <cols>
    <col min="1" max="1" width="11" style="11" customWidth="1"/>
    <col min="2" max="2" width="20.140625" customWidth="1"/>
    <col min="3" max="3" width="25.140625" style="7" customWidth="1"/>
    <col min="4" max="4" width="14.7265625" style="109" customWidth="1"/>
    <col min="5" max="5" width="35.125" customWidth="1"/>
    <col min="6" max="8" width="20.9921875" customWidth="1"/>
    <col min="9" max="9" width="12.859375"/>
  </cols>
  <sheetData>
    <row r="1" ht="16" customHeight="1" spans="1:8">
      <c r="A1" s="110" t="s">
        <v>0</v>
      </c>
      <c r="B1" s="111" t="s">
        <v>150</v>
      </c>
      <c r="C1" s="112" t="s">
        <v>151</v>
      </c>
      <c r="D1" s="112" t="s">
        <v>152</v>
      </c>
      <c r="E1" s="111" t="s">
        <v>135</v>
      </c>
      <c r="F1" s="111" t="s">
        <v>3</v>
      </c>
      <c r="G1" s="111" t="s">
        <v>155</v>
      </c>
      <c r="H1" s="111" t="s">
        <v>5</v>
      </c>
    </row>
    <row r="2" ht="80" customHeight="1" spans="1:12">
      <c r="A2" s="113">
        <v>46056</v>
      </c>
      <c r="B2" s="114" t="s">
        <v>156</v>
      </c>
      <c r="C2" s="115" t="s">
        <v>157</v>
      </c>
      <c r="D2" s="116">
        <v>10.2</v>
      </c>
      <c r="E2" s="129"/>
      <c r="F2" s="130">
        <v>52000</v>
      </c>
      <c r="G2" s="130">
        <f t="shared" ref="G2:G9" si="0">SUM(D2*F2)</f>
        <v>530400</v>
      </c>
      <c r="H2" s="131">
        <f>SUM(G2:G3)</f>
        <v>1555500</v>
      </c>
      <c r="L2" s="75"/>
    </row>
    <row r="3" ht="80" customHeight="1" spans="1:11">
      <c r="A3" s="117"/>
      <c r="B3" s="118"/>
      <c r="C3" s="83" t="s">
        <v>158</v>
      </c>
      <c r="D3" s="84">
        <v>20.1</v>
      </c>
      <c r="E3" s="132"/>
      <c r="F3" s="130">
        <v>51000</v>
      </c>
      <c r="G3" s="130">
        <f t="shared" si="0"/>
        <v>1025100</v>
      </c>
      <c r="H3" s="133"/>
      <c r="K3" s="75"/>
    </row>
    <row r="4" ht="70" customHeight="1" spans="1:11">
      <c r="A4" s="81">
        <v>46059</v>
      </c>
      <c r="B4" s="119" t="s">
        <v>159</v>
      </c>
      <c r="C4" s="83" t="s">
        <v>157</v>
      </c>
      <c r="D4" s="84">
        <v>5.1</v>
      </c>
      <c r="E4" s="134" t="str">
        <f>_xlfn.DISPIMG("ID_2EBB1BBD77A04910995658200A91ED32",1)</f>
        <v>=DISPIMG("ID_2EBB1BBD77A04910995658200A91ED32",1)</v>
      </c>
      <c r="F4" s="130">
        <v>52500</v>
      </c>
      <c r="G4" s="130">
        <f t="shared" si="0"/>
        <v>267750</v>
      </c>
      <c r="H4" s="135">
        <f>SUM(G4:G5)</f>
        <v>1060850</v>
      </c>
      <c r="K4" s="75"/>
    </row>
    <row r="5" ht="70" customHeight="1" spans="1:11">
      <c r="A5" s="87"/>
      <c r="B5" s="120"/>
      <c r="C5" s="83" t="s">
        <v>158</v>
      </c>
      <c r="D5" s="84">
        <v>15.4</v>
      </c>
      <c r="E5" s="136"/>
      <c r="F5" s="130">
        <v>51500</v>
      </c>
      <c r="G5" s="130">
        <f t="shared" si="0"/>
        <v>793100</v>
      </c>
      <c r="H5" s="137"/>
      <c r="K5" s="75"/>
    </row>
    <row r="6" spans="1:8">
      <c r="A6" s="121"/>
      <c r="B6" s="122"/>
      <c r="C6" s="83"/>
      <c r="D6" s="84"/>
      <c r="E6" s="138"/>
      <c r="F6" s="139"/>
      <c r="G6" s="130">
        <f t="shared" si="0"/>
        <v>0</v>
      </c>
      <c r="H6" s="130"/>
    </row>
    <row r="7" spans="1:8">
      <c r="A7" s="121"/>
      <c r="B7" s="122"/>
      <c r="C7" s="95"/>
      <c r="D7" s="84"/>
      <c r="E7" s="138"/>
      <c r="F7" s="139"/>
      <c r="G7" s="130">
        <f t="shared" si="0"/>
        <v>0</v>
      </c>
      <c r="H7" s="139"/>
    </row>
    <row r="8" spans="1:8">
      <c r="A8" s="121"/>
      <c r="B8" s="122"/>
      <c r="C8" s="95"/>
      <c r="D8" s="84"/>
      <c r="E8" s="138"/>
      <c r="F8" s="139"/>
      <c r="G8" s="130">
        <f t="shared" si="0"/>
        <v>0</v>
      </c>
      <c r="H8" s="139"/>
    </row>
    <row r="9" spans="1:11">
      <c r="A9" s="121"/>
      <c r="B9" s="122"/>
      <c r="C9" s="83"/>
      <c r="D9" s="84"/>
      <c r="E9" s="138"/>
      <c r="F9" s="139"/>
      <c r="G9" s="139">
        <f>D9*F9</f>
        <v>0</v>
      </c>
      <c r="H9" s="139"/>
      <c r="K9" s="75"/>
    </row>
    <row r="10" spans="1:11">
      <c r="A10" s="121"/>
      <c r="B10" s="122"/>
      <c r="C10" s="83"/>
      <c r="D10" s="84"/>
      <c r="E10" s="138"/>
      <c r="F10" s="139"/>
      <c r="G10" s="139">
        <f>D10*F10</f>
        <v>0</v>
      </c>
      <c r="H10" s="139"/>
      <c r="K10" s="75"/>
    </row>
    <row r="11" spans="1:11">
      <c r="A11" s="121"/>
      <c r="B11" s="122"/>
      <c r="C11" s="83"/>
      <c r="D11" s="84"/>
      <c r="E11" s="138"/>
      <c r="F11" s="139"/>
      <c r="G11" s="139">
        <f>D11*F11</f>
        <v>0</v>
      </c>
      <c r="H11" s="139"/>
      <c r="K11" s="75"/>
    </row>
    <row r="12" spans="1:11">
      <c r="A12" s="123"/>
      <c r="B12" s="124"/>
      <c r="C12" s="125"/>
      <c r="D12" s="126"/>
      <c r="E12" s="140"/>
      <c r="F12" s="141"/>
      <c r="G12" s="141">
        <f>D12*F12</f>
        <v>0</v>
      </c>
      <c r="H12" s="141"/>
      <c r="K12" s="75"/>
    </row>
    <row r="13" ht="15" customHeight="1" spans="1:8">
      <c r="A13" s="127"/>
      <c r="B13" s="61"/>
      <c r="C13" s="61"/>
      <c r="D13" s="128"/>
      <c r="E13" s="142"/>
      <c r="F13" s="142"/>
      <c r="G13" s="139"/>
      <c r="H13" s="142">
        <f>SUM(H2:H12)</f>
        <v>2616350</v>
      </c>
    </row>
  </sheetData>
  <mergeCells count="9">
    <mergeCell ref="A13:C13"/>
    <mergeCell ref="A2:A3"/>
    <mergeCell ref="A4:A5"/>
    <mergeCell ref="B2:B3"/>
    <mergeCell ref="B4:B5"/>
    <mergeCell ref="E2:E3"/>
    <mergeCell ref="E4:E5"/>
    <mergeCell ref="H2:H3"/>
    <mergeCell ref="H4:H5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zoomScale="85" zoomScaleNormal="85" workbookViewId="0">
      <pane ySplit="1" topLeftCell="A2" activePane="bottomLeft" state="frozen"/>
      <selection/>
      <selection pane="bottomLeft" activeCell="I2" sqref="I2"/>
    </sheetView>
  </sheetViews>
  <sheetFormatPr defaultColWidth="9.140625" defaultRowHeight="16.8"/>
  <cols>
    <col min="1" max="1" width="19" style="11" customWidth="1"/>
    <col min="2" max="2" width="13.7109375" style="75" customWidth="1"/>
    <col min="3" max="3" width="28.859375" customWidth="1"/>
    <col min="4" max="4" width="25.4296875" style="76" customWidth="1"/>
    <col min="5" max="5" width="36.5546875" customWidth="1"/>
    <col min="6" max="7" width="18.7109375" customWidth="1"/>
    <col min="8" max="8" width="22.859375" customWidth="1"/>
    <col min="9" max="9" width="15.4296875" customWidth="1"/>
  </cols>
  <sheetData>
    <row r="1" ht="16" customHeight="1" spans="1:9">
      <c r="A1" s="77" t="s">
        <v>0</v>
      </c>
      <c r="B1" s="78" t="s">
        <v>150</v>
      </c>
      <c r="C1" s="79" t="s">
        <v>151</v>
      </c>
      <c r="D1" s="79" t="s">
        <v>152</v>
      </c>
      <c r="E1" s="79" t="s">
        <v>135</v>
      </c>
      <c r="F1" s="79" t="s">
        <v>3</v>
      </c>
      <c r="G1" s="79" t="s">
        <v>4</v>
      </c>
      <c r="H1" s="79" t="s">
        <v>5</v>
      </c>
      <c r="I1" s="79" t="s">
        <v>160</v>
      </c>
    </row>
    <row r="2" customFormat="1" spans="1:9">
      <c r="A2" s="61"/>
      <c r="B2" s="61"/>
      <c r="C2" s="61"/>
      <c r="D2" s="80"/>
      <c r="E2" s="61"/>
      <c r="F2" s="61"/>
      <c r="G2" s="61"/>
      <c r="H2" s="61"/>
      <c r="I2" s="61"/>
    </row>
    <row r="3" ht="55" customHeight="1" spans="1:9">
      <c r="A3" s="81">
        <v>46059</v>
      </c>
      <c r="B3" s="82" t="s">
        <v>161</v>
      </c>
      <c r="C3" s="83" t="s">
        <v>162</v>
      </c>
      <c r="D3" s="84">
        <v>5.02</v>
      </c>
      <c r="E3" s="94"/>
      <c r="F3" s="95">
        <v>150000</v>
      </c>
      <c r="G3" s="95">
        <f>F3*D3</f>
        <v>753000</v>
      </c>
      <c r="H3" s="96">
        <f>SUM(G3:G5)</f>
        <v>8553600</v>
      </c>
      <c r="I3" s="104">
        <v>46066</v>
      </c>
    </row>
    <row r="4" ht="55" customHeight="1" spans="1:9">
      <c r="A4" s="85"/>
      <c r="B4" s="86"/>
      <c r="C4" s="83" t="s">
        <v>163</v>
      </c>
      <c r="D4" s="84">
        <v>7.42</v>
      </c>
      <c r="E4" s="97"/>
      <c r="F4" s="95">
        <v>180000</v>
      </c>
      <c r="G4" s="95">
        <f>F4*D4</f>
        <v>1335600</v>
      </c>
      <c r="H4" s="98"/>
      <c r="I4" s="105"/>
    </row>
    <row r="5" ht="55" customHeight="1" spans="1:9">
      <c r="A5" s="87"/>
      <c r="B5" s="88"/>
      <c r="C5" s="83" t="s">
        <v>164</v>
      </c>
      <c r="D5" s="84">
        <v>25.86</v>
      </c>
      <c r="E5" s="99"/>
      <c r="F5" s="95">
        <v>250000</v>
      </c>
      <c r="G5" s="95">
        <f>F5*D5</f>
        <v>6465000</v>
      </c>
      <c r="H5" s="100"/>
      <c r="I5" s="106"/>
    </row>
    <row r="6" ht="70" customHeight="1" spans="1:9">
      <c r="A6" s="89"/>
      <c r="B6" s="90"/>
      <c r="C6" s="90"/>
      <c r="D6" s="91"/>
      <c r="E6" s="90"/>
      <c r="F6" s="101"/>
      <c r="G6" s="95"/>
      <c r="H6" s="101">
        <f>SUM(G6:G7)</f>
        <v>0</v>
      </c>
      <c r="I6" s="107"/>
    </row>
    <row r="7" ht="70" customHeight="1" spans="1:9">
      <c r="A7" s="89"/>
      <c r="B7" s="90"/>
      <c r="C7" s="90"/>
      <c r="D7" s="91"/>
      <c r="E7" s="90"/>
      <c r="F7" s="101"/>
      <c r="G7" s="95"/>
      <c r="H7" s="101"/>
      <c r="I7" s="107"/>
    </row>
    <row r="8" spans="1:9">
      <c r="A8" s="89"/>
      <c r="B8" s="90"/>
      <c r="C8" s="90"/>
      <c r="D8" s="91"/>
      <c r="E8" s="101"/>
      <c r="F8" s="101"/>
      <c r="G8" s="95"/>
      <c r="H8" s="101"/>
      <c r="I8" s="107"/>
    </row>
    <row r="9" spans="1:9">
      <c r="A9" s="89"/>
      <c r="B9" s="90"/>
      <c r="C9" s="90"/>
      <c r="D9" s="91"/>
      <c r="E9" s="101"/>
      <c r="F9" s="101"/>
      <c r="G9" s="95">
        <f>D9*F9</f>
        <v>0</v>
      </c>
      <c r="H9" s="101">
        <f>SUM(D9*F9)</f>
        <v>0</v>
      </c>
      <c r="I9" s="107"/>
    </row>
    <row r="10" ht="26" spans="1:9">
      <c r="A10" s="92" t="s">
        <v>5</v>
      </c>
      <c r="B10" s="93"/>
      <c r="C10" s="93"/>
      <c r="D10" s="93"/>
      <c r="E10" s="93"/>
      <c r="F10" s="93"/>
      <c r="G10" s="102">
        <f>SUM(H:H)-SUMIF(I:I,"PAID*",H:H)</f>
        <v>8553600</v>
      </c>
      <c r="H10" s="103"/>
      <c r="I10" s="108"/>
    </row>
  </sheetData>
  <mergeCells count="7">
    <mergeCell ref="A10:F10"/>
    <mergeCell ref="G10:I10"/>
    <mergeCell ref="A3:A5"/>
    <mergeCell ref="B3:B5"/>
    <mergeCell ref="E3:E5"/>
    <mergeCell ref="H3:H5"/>
    <mergeCell ref="I3:I5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82" zoomScaleNormal="82" workbookViewId="0">
      <selection activeCell="E4" sqref="E4:G4"/>
    </sheetView>
  </sheetViews>
  <sheetFormatPr defaultColWidth="9.140625" defaultRowHeight="16.8" outlineLevelRow="3" outlineLevelCol="6"/>
  <cols>
    <col min="1" max="1" width="10.859375"/>
    <col min="2" max="2" width="17.140625" customWidth="1"/>
    <col min="3" max="3" width="25.859375" customWidth="1"/>
    <col min="4" max="4" width="19.6953125" customWidth="1"/>
    <col min="5" max="5" width="34.7265625" customWidth="1"/>
    <col min="6" max="6" width="20.9296875" customWidth="1"/>
    <col min="7" max="7" width="24.875" customWidth="1"/>
  </cols>
  <sheetData>
    <row r="1" s="66" customFormat="1" ht="22" customHeight="1" spans="1:7">
      <c r="A1" s="67" t="s">
        <v>0</v>
      </c>
      <c r="B1" s="67" t="s">
        <v>150</v>
      </c>
      <c r="C1" s="67" t="s">
        <v>151</v>
      </c>
      <c r="D1" s="67" t="s">
        <v>152</v>
      </c>
      <c r="E1" s="67" t="s">
        <v>135</v>
      </c>
      <c r="F1" s="67" t="s">
        <v>3</v>
      </c>
      <c r="G1" s="67" t="s">
        <v>5</v>
      </c>
    </row>
    <row r="2" ht="242.85" customHeight="1" spans="1:7">
      <c r="A2" s="68"/>
      <c r="B2" s="35"/>
      <c r="C2" s="69"/>
      <c r="D2" s="70"/>
      <c r="E2" s="69"/>
      <c r="F2" s="72"/>
      <c r="G2" s="72">
        <f>SUM(D2*F2)</f>
        <v>0</v>
      </c>
    </row>
    <row r="3" ht="250" customHeight="1" spans="1:7">
      <c r="A3" s="68"/>
      <c r="B3" s="55"/>
      <c r="C3" s="69"/>
      <c r="D3" s="70"/>
      <c r="E3" s="73"/>
      <c r="F3" s="72"/>
      <c r="G3" s="72">
        <f>D3*F3</f>
        <v>0</v>
      </c>
    </row>
    <row r="4" ht="26" spans="1:7">
      <c r="A4" s="71" t="s">
        <v>5</v>
      </c>
      <c r="B4" s="71"/>
      <c r="C4" s="71"/>
      <c r="D4" s="71"/>
      <c r="E4" s="74">
        <f>SUM(G2:G3)</f>
        <v>0</v>
      </c>
      <c r="F4" s="74"/>
      <c r="G4" s="74"/>
    </row>
  </sheetData>
  <mergeCells count="2">
    <mergeCell ref="A4:C4"/>
    <mergeCell ref="E4:G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3" sqref="D3:E3"/>
    </sheetView>
  </sheetViews>
  <sheetFormatPr defaultColWidth="9.140625" defaultRowHeight="16.8" outlineLevelRow="2" outlineLevelCol="4"/>
  <cols>
    <col min="1" max="1" width="6.7109375" customWidth="1"/>
    <col min="3" max="3" width="12.7109375" customWidth="1"/>
    <col min="4" max="4" width="34.140625" customWidth="1"/>
    <col min="5" max="5" width="10.859375" customWidth="1"/>
  </cols>
  <sheetData>
    <row r="1" s="27" customFormat="1" ht="44" customHeight="1" spans="1:5">
      <c r="A1" s="57" t="s">
        <v>165</v>
      </c>
      <c r="B1" s="58" t="s">
        <v>0</v>
      </c>
      <c r="C1" s="58" t="s">
        <v>5</v>
      </c>
      <c r="D1" s="58" t="s">
        <v>166</v>
      </c>
      <c r="E1" s="58" t="s">
        <v>167</v>
      </c>
    </row>
    <row r="2" ht="246" customHeight="1" spans="1:5">
      <c r="A2" s="59"/>
      <c r="B2" s="60"/>
      <c r="C2" s="4"/>
      <c r="D2" s="61"/>
      <c r="E2" s="61"/>
    </row>
    <row r="3" spans="1:5">
      <c r="A3" s="62" t="s">
        <v>168</v>
      </c>
      <c r="B3" s="63"/>
      <c r="C3" s="64"/>
      <c r="D3" s="65">
        <f>SUM(C2:C2)</f>
        <v>0</v>
      </c>
      <c r="E3" s="64"/>
    </row>
  </sheetData>
  <mergeCells count="2">
    <mergeCell ref="A3:C3"/>
    <mergeCell ref="D3:E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84" zoomScaleNormal="84" topLeftCell="C1" workbookViewId="0">
      <selection activeCell="E5" sqref="E5:H5"/>
    </sheetView>
  </sheetViews>
  <sheetFormatPr defaultColWidth="9.140625" defaultRowHeight="16.8" outlineLevelRow="4" outlineLevelCol="7"/>
  <cols>
    <col min="1" max="1" width="11.0078125" customWidth="1"/>
    <col min="2" max="2" width="21.625" customWidth="1"/>
    <col min="3" max="4" width="30.75" customWidth="1"/>
    <col min="5" max="5" width="67.4453125" customWidth="1"/>
    <col min="6" max="8" width="32.3359375" customWidth="1"/>
  </cols>
  <sheetData>
    <row r="1" s="10" customFormat="1" ht="35" customHeight="1" spans="1:8">
      <c r="A1" s="15" t="s">
        <v>0</v>
      </c>
      <c r="B1" s="15" t="s">
        <v>169</v>
      </c>
      <c r="C1" s="15" t="s">
        <v>140</v>
      </c>
      <c r="D1" s="15" t="s">
        <v>152</v>
      </c>
      <c r="E1" s="15" t="s">
        <v>135</v>
      </c>
      <c r="F1" s="15" t="s">
        <v>3</v>
      </c>
      <c r="G1" s="15" t="s">
        <v>4</v>
      </c>
      <c r="H1" s="15" t="s">
        <v>5</v>
      </c>
    </row>
    <row r="2" customFormat="1" ht="140" customHeight="1" spans="1:8">
      <c r="A2" s="28"/>
      <c r="B2" s="28"/>
      <c r="C2" s="17"/>
      <c r="D2" s="18"/>
      <c r="E2" s="19"/>
      <c r="F2" s="24"/>
      <c r="G2" s="24">
        <f>F2*D2</f>
        <v>0</v>
      </c>
      <c r="H2" s="24">
        <f>SUM(G2:G3)</f>
        <v>0</v>
      </c>
    </row>
    <row r="3" customFormat="1" ht="140" customHeight="1" spans="1:8">
      <c r="A3" s="28"/>
      <c r="B3" s="28"/>
      <c r="C3" s="17"/>
      <c r="D3" s="18"/>
      <c r="E3" s="19"/>
      <c r="F3" s="24"/>
      <c r="G3" s="24">
        <f>F3*D3</f>
        <v>0</v>
      </c>
      <c r="H3" s="24"/>
    </row>
    <row r="4" customFormat="1" ht="94" customHeight="1" spans="1:8">
      <c r="A4" s="28"/>
      <c r="B4" s="28"/>
      <c r="C4" s="17"/>
      <c r="D4" s="18"/>
      <c r="E4" s="19"/>
      <c r="F4" s="24"/>
      <c r="G4" s="24"/>
      <c r="H4" s="24"/>
    </row>
    <row r="5" customFormat="1" ht="39" customHeight="1" spans="1:8">
      <c r="A5" s="39" t="s">
        <v>5</v>
      </c>
      <c r="B5" s="40"/>
      <c r="C5" s="41"/>
      <c r="D5" s="40"/>
      <c r="E5" s="44">
        <f>SUM(H2:H4)</f>
        <v>0</v>
      </c>
      <c r="F5" s="45"/>
      <c r="G5" s="45"/>
      <c r="H5" s="46"/>
    </row>
  </sheetData>
  <mergeCells count="2">
    <mergeCell ref="A5:C5"/>
    <mergeCell ref="E5:H5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55" zoomScaleNormal="55" workbookViewId="0">
      <pane ySplit="1" topLeftCell="A2" activePane="bottomLeft" state="frozen"/>
      <selection/>
      <selection pane="bottomLeft" activeCell="H10" sqref="H10"/>
    </sheetView>
  </sheetViews>
  <sheetFormatPr defaultColWidth="9.140625" defaultRowHeight="16.8" outlineLevelCol="7"/>
  <cols>
    <col min="1" max="1" width="19.578125" style="11" customWidth="1"/>
    <col min="2" max="2" width="19.0390625" customWidth="1"/>
    <col min="3" max="3" width="34.7109375" customWidth="1"/>
    <col min="4" max="4" width="30.75" customWidth="1"/>
    <col min="5" max="5" width="48.0546875" customWidth="1"/>
    <col min="6" max="8" width="32.3359375" style="48" customWidth="1"/>
    <col min="10" max="10" width="12.859375"/>
  </cols>
  <sheetData>
    <row r="1" s="47" customFormat="1" ht="35" customHeight="1" spans="1:8">
      <c r="A1" s="49" t="s">
        <v>0</v>
      </c>
      <c r="B1" s="50" t="s">
        <v>169</v>
      </c>
      <c r="C1" s="50" t="s">
        <v>140</v>
      </c>
      <c r="D1" s="50" t="s">
        <v>152</v>
      </c>
      <c r="E1" s="50" t="s">
        <v>135</v>
      </c>
      <c r="F1" s="50" t="s">
        <v>3</v>
      </c>
      <c r="G1" s="50" t="s">
        <v>4</v>
      </c>
      <c r="H1" s="50" t="s">
        <v>5</v>
      </c>
    </row>
    <row r="2" customFormat="1" ht="80" customHeight="1" spans="1:8">
      <c r="A2" s="16"/>
      <c r="B2" s="19"/>
      <c r="C2" s="17"/>
      <c r="D2" s="18"/>
      <c r="E2" s="19"/>
      <c r="F2" s="24"/>
      <c r="G2" s="24">
        <f t="shared" ref="G2:G9" si="0">D2*F2</f>
        <v>0</v>
      </c>
      <c r="H2" s="24">
        <f>SUM(G2:G5)</f>
        <v>0</v>
      </c>
    </row>
    <row r="3" customFormat="1" ht="80" customHeight="1" spans="1:8">
      <c r="A3" s="16"/>
      <c r="B3" s="19"/>
      <c r="C3" s="21"/>
      <c r="D3" s="21"/>
      <c r="E3" s="19"/>
      <c r="F3" s="25"/>
      <c r="G3" s="24">
        <f t="shared" si="0"/>
        <v>0</v>
      </c>
      <c r="H3" s="24"/>
    </row>
    <row r="4" customFormat="1" ht="80" customHeight="1" spans="1:8">
      <c r="A4" s="16"/>
      <c r="B4" s="19"/>
      <c r="C4" s="21"/>
      <c r="D4" s="21"/>
      <c r="E4" s="19"/>
      <c r="F4" s="25"/>
      <c r="G4" s="24">
        <f t="shared" si="0"/>
        <v>0</v>
      </c>
      <c r="H4" s="24"/>
    </row>
    <row r="5" customFormat="1" ht="80" customHeight="1" spans="1:8">
      <c r="A5" s="16"/>
      <c r="B5" s="19"/>
      <c r="C5" s="21"/>
      <c r="D5" s="21"/>
      <c r="E5" s="19"/>
      <c r="F5" s="25"/>
      <c r="G5" s="24">
        <f t="shared" si="0"/>
        <v>0</v>
      </c>
      <c r="H5" s="24"/>
    </row>
    <row r="6" customFormat="1" ht="110" customHeight="1" spans="1:8">
      <c r="A6" s="20"/>
      <c r="B6" s="21"/>
      <c r="C6" s="21"/>
      <c r="D6" s="21"/>
      <c r="E6" s="53"/>
      <c r="F6" s="25"/>
      <c r="G6" s="24">
        <f t="shared" si="0"/>
        <v>0</v>
      </c>
      <c r="H6" s="25">
        <f>SUM(G6:G9)</f>
        <v>0</v>
      </c>
    </row>
    <row r="7" customFormat="1" ht="110" customHeight="1" spans="1:8">
      <c r="A7" s="20"/>
      <c r="B7" s="21"/>
      <c r="C7" s="21"/>
      <c r="D7" s="21"/>
      <c r="E7" s="53"/>
      <c r="F7" s="25"/>
      <c r="G7" s="24">
        <f t="shared" si="0"/>
        <v>0</v>
      </c>
      <c r="H7" s="25"/>
    </row>
    <row r="8" customFormat="1" ht="110" customHeight="1" spans="1:8">
      <c r="A8" s="20"/>
      <c r="B8" s="21"/>
      <c r="C8" s="21"/>
      <c r="D8" s="21"/>
      <c r="E8" s="53"/>
      <c r="F8" s="25"/>
      <c r="G8" s="24">
        <f t="shared" si="0"/>
        <v>0</v>
      </c>
      <c r="H8" s="25"/>
    </row>
    <row r="9" customFormat="1" ht="110" customHeight="1" spans="1:8">
      <c r="A9" s="20"/>
      <c r="B9" s="21"/>
      <c r="C9" s="21"/>
      <c r="D9" s="21"/>
      <c r="E9" s="53"/>
      <c r="F9" s="25"/>
      <c r="G9" s="24">
        <f t="shared" si="0"/>
        <v>0</v>
      </c>
      <c r="H9" s="25"/>
    </row>
    <row r="10" customFormat="1" ht="39" customHeight="1" spans="1:8">
      <c r="A10" s="51" t="s">
        <v>5</v>
      </c>
      <c r="B10" s="52"/>
      <c r="C10" s="52"/>
      <c r="D10" s="23"/>
      <c r="E10" s="3"/>
      <c r="F10" s="54"/>
      <c r="G10" s="55"/>
      <c r="H10" s="56">
        <f>SUM(H2:H9)</f>
        <v>0</v>
      </c>
    </row>
  </sheetData>
  <mergeCells count="1">
    <mergeCell ref="A10:C10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opLeftCell="D1" workbookViewId="0">
      <selection activeCell="E6" sqref="E6"/>
    </sheetView>
  </sheetViews>
  <sheetFormatPr defaultColWidth="9.140625" defaultRowHeight="16.8" outlineLevelRow="6"/>
  <cols>
    <col min="1" max="1" width="10.5703125" customWidth="1"/>
    <col min="2" max="2" width="19.0390625" style="27" customWidth="1"/>
    <col min="3" max="4" width="30.75" customWidth="1"/>
    <col min="5" max="5" width="37.1328125" customWidth="1"/>
    <col min="6" max="9" width="32.3359375" customWidth="1"/>
  </cols>
  <sheetData>
    <row r="1" s="10" customFormat="1" ht="35" customHeight="1" spans="1:9">
      <c r="A1" s="15" t="s">
        <v>0</v>
      </c>
      <c r="B1" s="15" t="s">
        <v>169</v>
      </c>
      <c r="C1" s="15" t="s">
        <v>140</v>
      </c>
      <c r="D1" s="15" t="s">
        <v>152</v>
      </c>
      <c r="E1" s="15" t="s">
        <v>135</v>
      </c>
      <c r="F1" s="15" t="s">
        <v>3</v>
      </c>
      <c r="G1" s="15" t="s">
        <v>4</v>
      </c>
      <c r="H1" s="15" t="s">
        <v>5</v>
      </c>
      <c r="I1" s="15" t="s">
        <v>170</v>
      </c>
    </row>
    <row r="2" customFormat="1" ht="23.2" spans="1:9">
      <c r="A2" s="28"/>
      <c r="B2" s="35"/>
      <c r="C2" s="36"/>
      <c r="D2" s="37"/>
      <c r="E2" s="19"/>
      <c r="F2" s="42"/>
      <c r="G2" s="43">
        <f>D2*F2</f>
        <v>0</v>
      </c>
      <c r="H2" s="24">
        <f>SUM(G2:G4)</f>
        <v>0</v>
      </c>
      <c r="I2" s="24">
        <f>(H2*10%)+H2</f>
        <v>0</v>
      </c>
    </row>
    <row r="3" customFormat="1" ht="23.2" spans="1:9">
      <c r="A3" s="28"/>
      <c r="B3" s="35"/>
      <c r="C3" s="36"/>
      <c r="D3" s="38"/>
      <c r="E3" s="19"/>
      <c r="F3" s="42"/>
      <c r="G3" s="43">
        <f>D3*F3</f>
        <v>0</v>
      </c>
      <c r="H3" s="24"/>
      <c r="I3" s="24"/>
    </row>
    <row r="4" customFormat="1" ht="23.2" spans="1:9">
      <c r="A4" s="28"/>
      <c r="B4" s="35"/>
      <c r="C4" s="36"/>
      <c r="D4" s="38"/>
      <c r="E4" s="19"/>
      <c r="F4" s="42"/>
      <c r="G4" s="43">
        <f>D4*F4</f>
        <v>0</v>
      </c>
      <c r="H4" s="24"/>
      <c r="I4" s="24"/>
    </row>
    <row r="5" customFormat="1" ht="26" spans="1:9">
      <c r="A5" s="39" t="s">
        <v>5</v>
      </c>
      <c r="B5" s="40"/>
      <c r="C5" s="41"/>
      <c r="D5" s="40"/>
      <c r="E5" s="44">
        <f>SUM(I2:I4)</f>
        <v>0</v>
      </c>
      <c r="F5" s="45"/>
      <c r="G5" s="45"/>
      <c r="H5" s="45"/>
      <c r="I5" s="46"/>
    </row>
    <row r="6" customFormat="1" spans="2:2">
      <c r="B6" s="27"/>
    </row>
    <row r="7" customFormat="1" spans="2:2">
      <c r="B7" s="27"/>
    </row>
  </sheetData>
  <mergeCells count="2">
    <mergeCell ref="A5:C5"/>
    <mergeCell ref="E5:I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68" zoomScaleNormal="68" workbookViewId="0">
      <pane ySplit="1" topLeftCell="A2" activePane="bottomLeft" state="frozen"/>
      <selection/>
      <selection pane="bottomLeft" activeCell="F21" sqref="F21:H21"/>
    </sheetView>
  </sheetViews>
  <sheetFormatPr defaultColWidth="9.140625" defaultRowHeight="16.8"/>
  <cols>
    <col min="1" max="1" width="10.5703125" customWidth="1"/>
    <col min="2" max="2" width="19.0390625" style="27" customWidth="1"/>
    <col min="3" max="3" width="34.4375" customWidth="1"/>
    <col min="4" max="4" width="30.75" customWidth="1"/>
    <col min="5" max="5" width="53.140625" customWidth="1"/>
    <col min="6" max="8" width="32.3359375" customWidth="1"/>
    <col min="11" max="11" width="14.1875"/>
  </cols>
  <sheetData>
    <row r="1" s="10" customFormat="1" ht="35" customHeight="1" spans="1:8">
      <c r="A1" s="15" t="s">
        <v>0</v>
      </c>
      <c r="B1" s="15" t="s">
        <v>169</v>
      </c>
      <c r="C1" s="15" t="s">
        <v>140</v>
      </c>
      <c r="D1" s="15" t="s">
        <v>152</v>
      </c>
      <c r="E1" s="15" t="s">
        <v>135</v>
      </c>
      <c r="F1" s="15" t="s">
        <v>3</v>
      </c>
      <c r="G1" s="15" t="s">
        <v>4</v>
      </c>
      <c r="H1" s="15" t="s">
        <v>5</v>
      </c>
    </row>
    <row r="2" customFormat="1" ht="23.2" spans="1:8">
      <c r="A2" s="28"/>
      <c r="B2" s="19"/>
      <c r="C2" s="17"/>
      <c r="D2" s="18"/>
      <c r="E2" s="19"/>
      <c r="F2" s="24"/>
      <c r="G2" s="24">
        <f t="shared" ref="G2:G7" si="0">D2*F2</f>
        <v>0</v>
      </c>
      <c r="H2" s="31">
        <f>SUM(G2:G4)</f>
        <v>0</v>
      </c>
    </row>
    <row r="3" customFormat="1" ht="23.2" spans="1:8">
      <c r="A3" s="28"/>
      <c r="B3" s="19"/>
      <c r="C3" s="17"/>
      <c r="D3" s="18"/>
      <c r="E3" s="19"/>
      <c r="F3" s="24"/>
      <c r="G3" s="24">
        <f t="shared" si="0"/>
        <v>0</v>
      </c>
      <c r="H3" s="31"/>
    </row>
    <row r="4" customFormat="1" ht="23.2" spans="1:8">
      <c r="A4" s="28"/>
      <c r="B4" s="19"/>
      <c r="C4" s="17"/>
      <c r="D4" s="18"/>
      <c r="E4" s="19"/>
      <c r="F4" s="24"/>
      <c r="G4" s="24">
        <f t="shared" si="0"/>
        <v>0</v>
      </c>
      <c r="H4" s="31"/>
    </row>
    <row r="5" customFormat="1" ht="23.2" spans="1:8">
      <c r="A5" s="28"/>
      <c r="B5" s="19"/>
      <c r="C5" s="17"/>
      <c r="D5" s="18"/>
      <c r="E5" s="19"/>
      <c r="F5" s="24"/>
      <c r="G5" s="24">
        <f t="shared" si="0"/>
        <v>0</v>
      </c>
      <c r="H5" s="31">
        <f>SUM(G5:G14)</f>
        <v>0</v>
      </c>
    </row>
    <row r="6" customFormat="1" ht="23.2" spans="1:8">
      <c r="A6" s="28"/>
      <c r="B6" s="19"/>
      <c r="C6" s="17"/>
      <c r="D6" s="18"/>
      <c r="E6" s="19"/>
      <c r="F6" s="24"/>
      <c r="G6" s="24">
        <f t="shared" si="0"/>
        <v>0</v>
      </c>
      <c r="H6" s="31"/>
    </row>
    <row r="7" customFormat="1" ht="23.2" spans="1:8">
      <c r="A7" s="28"/>
      <c r="B7" s="19"/>
      <c r="C7" s="17"/>
      <c r="D7" s="18"/>
      <c r="E7" s="19"/>
      <c r="F7" s="24"/>
      <c r="G7" s="24">
        <f t="shared" si="0"/>
        <v>0</v>
      </c>
      <c r="H7" s="31"/>
    </row>
    <row r="8" customFormat="1" ht="23.2" spans="1:8">
      <c r="A8" s="28"/>
      <c r="B8" s="19"/>
      <c r="C8" s="19"/>
      <c r="D8" s="18"/>
      <c r="E8" s="19"/>
      <c r="F8" s="24"/>
      <c r="G8" s="24">
        <f t="shared" ref="G8:G20" si="1">D8*F8</f>
        <v>0</v>
      </c>
      <c r="H8" s="31"/>
    </row>
    <row r="9" customFormat="1" ht="23.2" spans="1:8">
      <c r="A9" s="28"/>
      <c r="B9" s="19"/>
      <c r="C9" s="19"/>
      <c r="D9" s="18"/>
      <c r="E9" s="19"/>
      <c r="F9" s="24"/>
      <c r="G9" s="24">
        <f t="shared" si="1"/>
        <v>0</v>
      </c>
      <c r="H9" s="31"/>
    </row>
    <row r="10" customFormat="1" ht="23.2" spans="1:8">
      <c r="A10" s="28"/>
      <c r="B10" s="19"/>
      <c r="C10" s="19"/>
      <c r="D10" s="18"/>
      <c r="E10" s="19"/>
      <c r="F10" s="24"/>
      <c r="G10" s="24">
        <f t="shared" si="1"/>
        <v>0</v>
      </c>
      <c r="H10" s="31"/>
    </row>
    <row r="11" customFormat="1" ht="23.2" spans="1:8">
      <c r="A11" s="28"/>
      <c r="B11" s="19"/>
      <c r="C11" s="19"/>
      <c r="D11" s="18"/>
      <c r="E11" s="19"/>
      <c r="F11" s="24"/>
      <c r="G11" s="24">
        <f t="shared" si="1"/>
        <v>0</v>
      </c>
      <c r="H11" s="31"/>
    </row>
    <row r="12" customFormat="1" ht="23.2" spans="1:8">
      <c r="A12" s="28"/>
      <c r="B12" s="19"/>
      <c r="C12" s="19"/>
      <c r="D12" s="18"/>
      <c r="E12" s="19"/>
      <c r="F12" s="24"/>
      <c r="G12" s="24">
        <f t="shared" si="1"/>
        <v>0</v>
      </c>
      <c r="H12" s="31"/>
    </row>
    <row r="13" customFormat="1" ht="23.2" spans="1:8">
      <c r="A13" s="28"/>
      <c r="B13" s="19"/>
      <c r="C13" s="19"/>
      <c r="D13" s="18"/>
      <c r="E13" s="19"/>
      <c r="F13" s="24"/>
      <c r="G13" s="24">
        <f t="shared" si="1"/>
        <v>0</v>
      </c>
      <c r="H13" s="31"/>
    </row>
    <row r="14" customFormat="1" ht="23.2" spans="1:8">
      <c r="A14" s="28"/>
      <c r="B14" s="19"/>
      <c r="C14" s="19"/>
      <c r="D14" s="18"/>
      <c r="E14" s="19"/>
      <c r="F14" s="24"/>
      <c r="G14" s="24">
        <f t="shared" si="1"/>
        <v>0</v>
      </c>
      <c r="H14" s="31"/>
    </row>
    <row r="15" customFormat="1" ht="23.2" spans="1:8">
      <c r="A15" s="28"/>
      <c r="B15" s="19"/>
      <c r="C15" s="19"/>
      <c r="D15" s="18"/>
      <c r="E15" s="19"/>
      <c r="F15" s="24"/>
      <c r="G15" s="24">
        <f t="shared" si="1"/>
        <v>0</v>
      </c>
      <c r="H15" s="31">
        <f>SUM(G15:G17)</f>
        <v>0</v>
      </c>
    </row>
    <row r="16" customFormat="1" ht="23.2" spans="1:8">
      <c r="A16" s="28"/>
      <c r="B16" s="19"/>
      <c r="C16" s="19"/>
      <c r="D16" s="18"/>
      <c r="E16" s="19"/>
      <c r="F16" s="24"/>
      <c r="G16" s="24">
        <f t="shared" si="1"/>
        <v>0</v>
      </c>
      <c r="H16" s="31"/>
    </row>
    <row r="17" customFormat="1" ht="23.2" spans="1:8">
      <c r="A17" s="28"/>
      <c r="B17" s="19"/>
      <c r="C17" s="19"/>
      <c r="D17" s="18"/>
      <c r="E17" s="19"/>
      <c r="F17" s="24"/>
      <c r="G17" s="24">
        <f t="shared" si="1"/>
        <v>0</v>
      </c>
      <c r="H17" s="31"/>
    </row>
    <row r="18" customFormat="1" ht="23.2" spans="1:8">
      <c r="A18" s="28"/>
      <c r="B18" s="19"/>
      <c r="C18" s="19"/>
      <c r="D18" s="18"/>
      <c r="E18" s="19"/>
      <c r="F18" s="24"/>
      <c r="G18" s="24">
        <f t="shared" si="1"/>
        <v>0</v>
      </c>
      <c r="H18" s="31">
        <f>SUM(G18:G20)</f>
        <v>0</v>
      </c>
    </row>
    <row r="19" customFormat="1" ht="23.2" spans="1:8">
      <c r="A19" s="28"/>
      <c r="B19" s="19"/>
      <c r="C19" s="19"/>
      <c r="D19" s="18"/>
      <c r="E19" s="19"/>
      <c r="F19" s="24"/>
      <c r="G19" s="24">
        <f t="shared" si="1"/>
        <v>0</v>
      </c>
      <c r="H19" s="31"/>
    </row>
    <row r="20" customFormat="1" ht="23.2" spans="1:8">
      <c r="A20" s="28"/>
      <c r="B20" s="19"/>
      <c r="C20" s="19"/>
      <c r="D20" s="18"/>
      <c r="E20" s="19"/>
      <c r="F20" s="24"/>
      <c r="G20" s="24">
        <f t="shared" si="1"/>
        <v>0</v>
      </c>
      <c r="H20" s="31"/>
    </row>
    <row r="21" customFormat="1" ht="39" customHeight="1" spans="1:11">
      <c r="A21" s="29" t="s">
        <v>171</v>
      </c>
      <c r="B21" s="30"/>
      <c r="C21" s="30"/>
      <c r="D21" s="30"/>
      <c r="E21" s="30"/>
      <c r="F21" s="32">
        <f>SUM(H2:H20)</f>
        <v>0</v>
      </c>
      <c r="G21" s="33"/>
      <c r="H21" s="34"/>
      <c r="K21" s="7"/>
    </row>
  </sheetData>
  <mergeCells count="2">
    <mergeCell ref="A21:E21"/>
    <mergeCell ref="F21:H2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55" zoomScaleNormal="55" workbookViewId="0">
      <pane ySplit="1" topLeftCell="A2" activePane="bottomLeft" state="frozen"/>
      <selection/>
      <selection pane="bottomLeft" activeCell="G21" sqref="G21"/>
    </sheetView>
  </sheetViews>
  <sheetFormatPr defaultColWidth="9.140625" defaultRowHeight="16.8" outlineLevelCol="6"/>
  <cols>
    <col min="1" max="1" width="23.7109375" style="11" customWidth="1"/>
    <col min="2" max="2" width="42.2890625" style="12" customWidth="1"/>
    <col min="3" max="3" width="15.8359375" customWidth="1"/>
    <col min="4" max="4" width="65.703125" customWidth="1"/>
    <col min="5" max="7" width="32.3359375" customWidth="1"/>
    <col min="10" max="10" width="12.859375"/>
  </cols>
  <sheetData>
    <row r="1" s="10" customFormat="1" ht="35" customHeight="1" spans="1:7">
      <c r="A1" s="13" t="s">
        <v>0</v>
      </c>
      <c r="B1" s="14" t="s">
        <v>140</v>
      </c>
      <c r="C1" s="15" t="s">
        <v>152</v>
      </c>
      <c r="D1" s="15" t="s">
        <v>135</v>
      </c>
      <c r="E1" s="15" t="s">
        <v>3</v>
      </c>
      <c r="F1" s="15" t="s">
        <v>4</v>
      </c>
      <c r="G1" s="15" t="s">
        <v>5</v>
      </c>
    </row>
    <row r="2" customFormat="1" ht="23.2" spans="1:7">
      <c r="A2" s="16"/>
      <c r="B2" s="17"/>
      <c r="C2" s="18"/>
      <c r="D2" s="19"/>
      <c r="E2" s="24"/>
      <c r="F2" s="24">
        <f t="shared" ref="F2:F10" si="0">C2*E2</f>
        <v>0</v>
      </c>
      <c r="G2" s="24">
        <f>SUM(F2:F2)</f>
        <v>0</v>
      </c>
    </row>
    <row r="3" customFormat="1" ht="26" spans="1:7">
      <c r="A3" s="20"/>
      <c r="B3" s="21"/>
      <c r="C3" s="21"/>
      <c r="D3" s="21"/>
      <c r="E3" s="21"/>
      <c r="F3" s="24">
        <f t="shared" si="0"/>
        <v>0</v>
      </c>
      <c r="G3" s="25">
        <f>SUM(F3:F8)</f>
        <v>0</v>
      </c>
    </row>
    <row r="4" customFormat="1" ht="26" spans="1:7">
      <c r="A4" s="20"/>
      <c r="B4" s="21"/>
      <c r="C4" s="21"/>
      <c r="D4" s="21"/>
      <c r="E4" s="21"/>
      <c r="F4" s="24">
        <f t="shared" si="0"/>
        <v>0</v>
      </c>
      <c r="G4" s="25"/>
    </row>
    <row r="5" customFormat="1" ht="26" spans="1:7">
      <c r="A5" s="20"/>
      <c r="B5" s="21"/>
      <c r="C5" s="21"/>
      <c r="D5" s="21"/>
      <c r="E5" s="21"/>
      <c r="F5" s="24">
        <f t="shared" si="0"/>
        <v>0</v>
      </c>
      <c r="G5" s="25"/>
    </row>
    <row r="6" customFormat="1" ht="26" spans="1:7">
      <c r="A6" s="20"/>
      <c r="B6" s="21"/>
      <c r="C6" s="21"/>
      <c r="D6" s="21"/>
      <c r="E6" s="21"/>
      <c r="F6" s="24">
        <f t="shared" si="0"/>
        <v>0</v>
      </c>
      <c r="G6" s="25"/>
    </row>
    <row r="7" customFormat="1" ht="26" spans="1:7">
      <c r="A7" s="20"/>
      <c r="B7" s="21"/>
      <c r="C7" s="21"/>
      <c r="D7" s="21"/>
      <c r="E7" s="21"/>
      <c r="F7" s="24">
        <f t="shared" si="0"/>
        <v>0</v>
      </c>
      <c r="G7" s="25"/>
    </row>
    <row r="8" customFormat="1" ht="26" spans="1:7">
      <c r="A8" s="20"/>
      <c r="B8" s="21"/>
      <c r="C8" s="21"/>
      <c r="D8" s="21"/>
      <c r="E8" s="21"/>
      <c r="F8" s="24">
        <f t="shared" si="0"/>
        <v>0</v>
      </c>
      <c r="G8" s="25"/>
    </row>
    <row r="9" customFormat="1" ht="26" spans="1:7">
      <c r="A9" s="20"/>
      <c r="B9" s="21"/>
      <c r="C9" s="21"/>
      <c r="D9" s="21"/>
      <c r="E9" s="21"/>
      <c r="F9" s="24">
        <f t="shared" si="0"/>
        <v>0</v>
      </c>
      <c r="G9" s="25">
        <f>SUM(F9:F10)</f>
        <v>0</v>
      </c>
    </row>
    <row r="10" customFormat="1" ht="26" spans="1:7">
      <c r="A10" s="20"/>
      <c r="B10" s="21"/>
      <c r="C10" s="21"/>
      <c r="D10" s="21"/>
      <c r="E10" s="21"/>
      <c r="F10" s="24">
        <f t="shared" si="0"/>
        <v>0</v>
      </c>
      <c r="G10" s="25"/>
    </row>
    <row r="11" customFormat="1" ht="39" customHeight="1" spans="1:7">
      <c r="A11" s="22" t="s">
        <v>171</v>
      </c>
      <c r="B11" s="21"/>
      <c r="C11" s="23"/>
      <c r="D11" s="23"/>
      <c r="E11" s="23"/>
      <c r="F11" s="26"/>
      <c r="G11" s="25">
        <f>SUM(G2:G10)</f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19" sqref="B19"/>
    </sheetView>
  </sheetViews>
  <sheetFormatPr defaultColWidth="9.140625" defaultRowHeight="16.8" outlineLevelCol="2"/>
  <cols>
    <col min="1" max="1" width="28.5703125" customWidth="1"/>
    <col min="2" max="2" width="16" customWidth="1"/>
    <col min="3" max="3" width="15.4296875"/>
  </cols>
  <sheetData>
    <row r="1" ht="33" customHeight="1" spans="1:2">
      <c r="A1" s="1" t="s">
        <v>172</v>
      </c>
      <c r="B1" s="2" t="s">
        <v>173</v>
      </c>
    </row>
    <row r="2" spans="1:2">
      <c r="A2" s="3" t="s">
        <v>174</v>
      </c>
      <c r="B2" s="4">
        <f>'BUK BUNGA (Groceries)'!F550</f>
        <v>8797600</v>
      </c>
    </row>
    <row r="3" spans="1:2">
      <c r="A3" s="3" t="s">
        <v>175</v>
      </c>
      <c r="B3" s="4">
        <f>'SEDANA JAYA (Groceries)'!G672</f>
        <v>15485310</v>
      </c>
    </row>
    <row r="4" spans="1:2">
      <c r="A4" s="3" t="s">
        <v>176</v>
      </c>
      <c r="B4" s="4">
        <f>'RAFI SEAFOOD (Seafood)'!D61</f>
        <v>8286000</v>
      </c>
    </row>
    <row r="5" spans="1:2">
      <c r="A5" s="3" t="s">
        <v>177</v>
      </c>
      <c r="B5" s="4">
        <f>'MAMA RADA PRODUCTION (Dumpling)'!H12</f>
        <v>0</v>
      </c>
    </row>
    <row r="6" spans="1:2">
      <c r="A6" s="3" t="s">
        <v>178</v>
      </c>
      <c r="B6" s="5">
        <f>'KSP (Chicken)'!H13</f>
        <v>2616350</v>
      </c>
    </row>
    <row r="7" spans="1:2">
      <c r="A7" s="3" t="s">
        <v>179</v>
      </c>
      <c r="B7" s="4">
        <f>'SURYA CIPTA NIAGA BALI (Beef)'!G10</f>
        <v>8553600</v>
      </c>
    </row>
    <row r="8" spans="1:2">
      <c r="A8" s="3" t="s">
        <v>180</v>
      </c>
      <c r="B8" s="4">
        <f>'BAYU AGNI MERTA (Gas)'!E4</f>
        <v>0</v>
      </c>
    </row>
    <row r="9" spans="1:2">
      <c r="A9" s="6" t="s">
        <v>181</v>
      </c>
      <c r="B9" s="5">
        <f>'Joy Green (Mix Berry)'!D3</f>
        <v>0</v>
      </c>
    </row>
    <row r="10" spans="1:3">
      <c r="A10" s="6" t="s">
        <v>182</v>
      </c>
      <c r="B10" s="5">
        <f>'CELEBRITY BAKERY (Bakery)'!E5</f>
        <v>0</v>
      </c>
      <c r="C10" s="7"/>
    </row>
    <row r="11" spans="1:2">
      <c r="A11" s="6" t="s">
        <v>183</v>
      </c>
      <c r="B11" s="5">
        <f>'Krop (Edible flower)'!H10</f>
        <v>0</v>
      </c>
    </row>
    <row r="12" spans="1:3">
      <c r="A12" s="6" t="s">
        <v>184</v>
      </c>
      <c r="B12" s="5">
        <f>'Boiler (Dumplings&amp;Syrniki)'!E5</f>
        <v>0</v>
      </c>
      <c r="C12" s="7"/>
    </row>
    <row r="13" spans="1:2">
      <c r="A13" s="6" t="s">
        <v>185</v>
      </c>
      <c r="B13" s="5">
        <f>'Abdi Jaya (TKW, Vacuum Bag)'!D21</f>
        <v>0</v>
      </c>
    </row>
    <row r="14" spans="1:2">
      <c r="A14" s="6" t="s">
        <v>186</v>
      </c>
      <c r="B14" s="5">
        <f>'Dishy Soap (Chemicals)'!G11</f>
        <v>0</v>
      </c>
    </row>
    <row r="15" spans="1:2">
      <c r="A15" s="8" t="s">
        <v>5</v>
      </c>
      <c r="B15" s="9">
        <f>SUM(B2:B12)</f>
        <v>43738860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BUK BUNGA (Groceries)</vt:lpstr>
      <vt:lpstr>SEDANA JAYA (Groceries)</vt:lpstr>
      <vt:lpstr>AD supplier (Groceries)</vt:lpstr>
      <vt:lpstr>RAFI SEAFOOD (Seafood)</vt:lpstr>
      <vt:lpstr>MAMA RADA PRODUCTION (Dumpling)</vt:lpstr>
      <vt:lpstr>KSP (Chicken)</vt:lpstr>
      <vt:lpstr>SURYA CIPTA NIAGA BALI (Beef)</vt:lpstr>
      <vt:lpstr>BAYU AGNI MERTA (Gas)</vt:lpstr>
      <vt:lpstr>Joy Green (Mix Berry)</vt:lpstr>
      <vt:lpstr>CELEBRITY BAKERY (Bakery)</vt:lpstr>
      <vt:lpstr>Krop (Edible flower)</vt:lpstr>
      <vt:lpstr>Boiler (Dumplings&amp;Syrniki)</vt:lpstr>
      <vt:lpstr>Abdi Jaya (TKW, Vacuum Bag)</vt:lpstr>
      <vt:lpstr>Dishy Soap (Chemicals)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2025-01-25T08:20:00Z</dcterms:created>
  <dcterms:modified xsi:type="dcterms:W3CDTF">2026-02-07T15:31:35Z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C91949E621BE116C42268269BA81609D_43</vt:lpwstr>
  </property>
  <property fmtid="{D5CDD505-2E9C-101B-9397-08002B2CF9AE}" pid="3" name="KSOProductBuildVer">
    <vt:lpwstr>1033-12.1.23155.23155</vt:lpwstr>
  </property>
</Properties>
</file>