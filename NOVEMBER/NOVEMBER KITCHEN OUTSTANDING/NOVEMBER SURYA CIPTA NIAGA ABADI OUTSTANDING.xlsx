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RYA CIPTA NIAGA ABADI (BEEF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2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<sst xmlns="http://schemas.openxmlformats.org/spreadsheetml/2006/main" count="16" uniqueCount="14">
  <si>
    <t>DATE</t>
  </si>
  <si>
    <t>INV NO.</t>
  </si>
  <si>
    <t>DESCRIPTIONS</t>
  </si>
  <si>
    <t>QTY</t>
  </si>
  <si>
    <t>BILLS</t>
  </si>
  <si>
    <t>PRICE</t>
  </si>
  <si>
    <t>SUBTOTAL</t>
  </si>
  <si>
    <t>TOTAL</t>
  </si>
  <si>
    <t>STATUS</t>
  </si>
  <si>
    <t>2511/FK-0104</t>
  </si>
  <si>
    <t>STRIPLOIN ICHI BROWN</t>
  </si>
  <si>
    <t>TOP SIDE BLACK ANGUS GF ONYX</t>
  </si>
  <si>
    <t>2511/FK-1864</t>
  </si>
  <si>
    <t>TOPSIDE WAGYU ONYX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</si>
</sst>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Garamond"/>
      <charset val="134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12" applyNumberFormat="0" applyAlignment="0" applyProtection="0">
      <alignment vertical="center"/>
    </xf>
    <xf numFmtId="0" fontId="13" fillId="7" borderId="13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8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  <xf numFmtId="178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/>
    </xf>
    <xf numFmtId="0" fontId="0" fillId="3" borderId="2" xfId="0" applyNumberFormat="1" applyFill="1" applyBorder="1" applyAlignment="1">
      <alignment horizontal="center" vertical="center"/>
    </xf>
    <xf numFmtId="179" fontId="0" fillId="3" borderId="1" xfId="0" applyNumberFormat="1" applyFill="1" applyBorder="1" applyAlignment="1">
      <alignment vertical="center" wrapText="1"/>
    </xf>
    <xf numFmtId="0" fontId="0" fillId="3" borderId="3" xfId="0" applyNumberForma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79" fontId="0" fillId="3" borderId="1" xfId="0" applyNumberFormat="1" applyFill="1" applyBorder="1" applyAlignment="1">
      <alignment horizontal="left" vertical="center"/>
    </xf>
    <xf numFmtId="179" fontId="0" fillId="3" borderId="4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/>
    </xf>
    <xf numFmtId="0" fontId="0" fillId="3" borderId="5" xfId="0" applyNumberForma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179" fontId="0" fillId="3" borderId="6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vertical="center"/>
    </xf>
    <xf numFmtId="179" fontId="0" fillId="3" borderId="1" xfId="0" applyNumberFormat="1" applyFill="1" applyBorder="1" applyAlignment="1">
      <alignment vertical="center"/>
    </xf>
    <xf numFmtId="178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79" fontId="3" fillId="4" borderId="7" xfId="0" applyNumberFormat="1" applyFont="1" applyFill="1" applyBorder="1" applyAlignment="1">
      <alignment horizontal="center" vertical="center"/>
    </xf>
    <xf numFmtId="179" fontId="3" fillId="4" borderId="3" xfId="0" applyNumberFormat="1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abSelected="1" zoomScale="115" zoomScaleNormal="115" workbookViewId="0">
      <selection activeCell="D7" sqref="D7"/>
    </sheetView>
  </sheetViews>
  <sheetFormatPr defaultColWidth="9.14285714285714" defaultRowHeight="15"/>
  <cols>
    <col min="1" max="1" width="19" style="2" customWidth="1"/>
    <col min="2" max="2" width="13.7142857142857" style="3" customWidth="1"/>
    <col min="3" max="3" width="28.8571428571429" style="1" customWidth="1"/>
    <col min="4" max="4" width="25.4285714285714" style="1" customWidth="1"/>
    <col min="5" max="5" width="36.552380952381" style="1" customWidth="1"/>
    <col min="6" max="7" width="18.7142857142857" style="1" customWidth="1"/>
    <col min="8" max="8" width="22.8571428571429" style="1" customWidth="1"/>
    <col min="9" max="9" width="15.4285714285714" style="1" customWidth="1"/>
    <col min="10" max="16384" width="9.14285714285714" style="1"/>
  </cols>
  <sheetData>
    <row r="1" s="1" customFormat="1" ht="16" customHeight="1" spans="1:9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="1" customFormat="1" ht="55" customHeight="1" spans="1:9">
      <c r="A2" s="7">
        <v>45962</v>
      </c>
      <c r="B2" s="8" t="s">
        <v>9</v>
      </c>
      <c r="C2" s="9" t="s">
        <v>10</v>
      </c>
      <c r="D2" s="10">
        <v>11.79</v>
      </c>
      <c r="E2" s="11" t="str">
        <f>_xlfn.DISPIMG("ID_B7457DA6CFC04C12B9163F9E9156146E",1)</f>
        <v>=DISPIMG("ID_B7457DA6CFC04C12B9163F9E9156146E",1)</v>
      </c>
      <c r="F2" s="12">
        <v>180000</v>
      </c>
      <c r="G2" s="13">
        <f>D2*F2</f>
        <v>2122200</v>
      </c>
      <c r="H2" s="13">
        <f>SUM(G2:G3)</f>
        <v>5277200</v>
      </c>
      <c r="I2" s="27"/>
    </row>
    <row r="3" s="1" customFormat="1" ht="55" customHeight="1" spans="1:9">
      <c r="A3" s="14"/>
      <c r="B3" s="15"/>
      <c r="C3" s="9" t="s">
        <v>11</v>
      </c>
      <c r="D3" s="10">
        <v>12.62</v>
      </c>
      <c r="E3" s="16"/>
      <c r="F3" s="12">
        <v>250000</v>
      </c>
      <c r="G3" s="13">
        <f>D3*F3</f>
        <v>3155000</v>
      </c>
      <c r="H3" s="17"/>
      <c r="I3" s="28"/>
    </row>
    <row r="4" s="1" customFormat="1" ht="55" customHeight="1" spans="1:9">
      <c r="A4" s="7">
        <v>45976</v>
      </c>
      <c r="B4" s="8" t="s">
        <v>12</v>
      </c>
      <c r="C4" s="9" t="s">
        <v>10</v>
      </c>
      <c r="D4" s="10">
        <v>11.28</v>
      </c>
      <c r="E4" s="18" t="str">
        <f>_xlfn.DISPIMG("ID_AD391E00A66A474F8756047855F2805B",1)</f>
        <v>=DISPIMG("ID_AD391E00A66A474F8756047855F2805B",1)</v>
      </c>
      <c r="F4" s="12">
        <v>180000</v>
      </c>
      <c r="G4" s="13">
        <f>D4*F4</f>
        <v>2030400</v>
      </c>
      <c r="H4" s="13">
        <f>SUM(G4:G5)</f>
        <v>8140400</v>
      </c>
      <c r="I4" s="27"/>
    </row>
    <row r="5" s="1" customFormat="1" ht="55" customHeight="1" spans="1:9">
      <c r="A5" s="14"/>
      <c r="B5" s="15"/>
      <c r="C5" s="9" t="s">
        <v>13</v>
      </c>
      <c r="D5" s="10">
        <v>24.44</v>
      </c>
      <c r="E5" s="19"/>
      <c r="F5" s="12">
        <v>250000</v>
      </c>
      <c r="G5" s="13">
        <f>D5*F5</f>
        <v>6110000</v>
      </c>
      <c r="H5" s="17"/>
      <c r="I5" s="28"/>
    </row>
    <row r="6" s="1" customFormat="1" ht="60" customHeight="1" spans="1:9">
      <c r="A6" s="20" t="s">
        <v>7</v>
      </c>
      <c r="B6" s="21"/>
      <c r="C6" s="22"/>
      <c r="D6" s="21"/>
      <c r="E6" s="23"/>
      <c r="F6" s="24"/>
      <c r="G6" s="25"/>
      <c r="H6" s="26">
        <f>SUM(H2:H5)</f>
        <v>13417600</v>
      </c>
      <c r="I6" s="26"/>
    </row>
    <row r="7" s="1" customFormat="1" ht="60" customHeight="1" spans="1:2">
      <c r="A7" s="2"/>
      <c r="B7" s="3"/>
    </row>
    <row r="8" s="1" customFormat="1" ht="180" customHeight="1" spans="1:2">
      <c r="A8" s="2"/>
      <c r="B8" s="3"/>
    </row>
    <row r="9" s="1" customFormat="1" spans="1:2">
      <c r="A9" s="2"/>
      <c r="B9" s="3"/>
    </row>
    <row r="10" s="1" customFormat="1" spans="1:2">
      <c r="A10" s="2"/>
      <c r="B10" s="3"/>
    </row>
    <row r="11" s="1" customFormat="1" spans="1:2">
      <c r="A11" s="2"/>
      <c r="B11" s="3"/>
    </row>
    <row r="12" s="1" customFormat="1" spans="1:2">
      <c r="A12" s="2"/>
      <c r="B12" s="3"/>
    </row>
    <row r="13" s="1" customFormat="1" spans="1:2">
      <c r="A13" s="2"/>
      <c r="B13" s="3"/>
    </row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SURYA CIPTA NIAGA ABADI (BEEF)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2025-12-01T06:56:01Z</dcterms:created>
  <dcterms:modified xsi:type="dcterms:W3CDTF">2025-12-01T07:01:17Z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756277F28B574F62B30CF6F5B9E51196_13</vt:lpwstr>
  </property>
  <property fmtid="{D5CDD505-2E9C-101B-9397-08002B2CF9AE}" pid="3" name="KSOProductBuildVer">
    <vt:lpwstr>1033-12.2.0.23155</vt:lpwstr>
  </property>
</Properties>
</file>