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ELERA OR STIR UP (SYRUP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<sst xmlns="http://schemas.openxmlformats.org/spreadsheetml/2006/main" count="18" uniqueCount="17">
  <si>
    <t>DATE</t>
  </si>
  <si>
    <t>INV NO.</t>
  </si>
  <si>
    <t>DESCRIPTIONS</t>
  </si>
  <si>
    <t>QTY</t>
  </si>
  <si>
    <t>BILLS</t>
  </si>
  <si>
    <t>PRICE</t>
  </si>
  <si>
    <t>SUBTOTAL</t>
  </si>
  <si>
    <t>TOTAL</t>
  </si>
  <si>
    <t>SO-2504340</t>
  </si>
  <si>
    <t>LOYAL LYCHEE PET</t>
  </si>
  <si>
    <t>PARADISE PEACH PET</t>
  </si>
  <si>
    <t>VOILA VANILLA PET</t>
  </si>
  <si>
    <t>CRIMINAL CARAMEL PET</t>
  </si>
  <si>
    <t>GROOVY GRAPE</t>
  </si>
  <si>
    <t>SUB TOTAL</t>
  </si>
  <si>
    <t>PPN (11%)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</si>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</sst>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  <numFmt numFmtId="179" formatCode="_-&quot;Rp&quot;* #,##0_-;\-&quot;Rp&quot;* #,##0_-;_-&quot;Rp&quot;* &quot;-&quot;??_-;_-@_-"/>
    <numFmt numFmtId="180" formatCode="_ [$IDR]\ * #,##0_ ;_ [$IDR]\ * \-#,##0_ ;_ [$IDR]\ * &quot;-&quot;_ ;_ @_ "/>
    <numFmt numFmtId="181" formatCode="[$Rp-421]#,##0.00;[Red][$Rp-421]#,##0.00"/>
    <numFmt numFmtId="182" formatCode="dd\-mmm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</font>
    <font>
      <b/>
      <sz val="16"/>
      <color theme="1"/>
      <name val="Calibri"/>
      <charset val="134"/>
    </font>
    <font>
      <b/>
      <i/>
      <sz val="16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78" fontId="1" fillId="3" borderId="2" xfId="0" applyNumberFormat="1" applyFont="1" applyFill="1" applyBorder="1" applyAlignment="1">
      <alignment horizontal="center" vertical="center"/>
    </xf>
    <xf numFmtId="179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vertical="center"/>
    </xf>
    <xf numFmtId="180" fontId="1" fillId="0" borderId="2" xfId="0" applyNumberFormat="1" applyFont="1" applyFill="1" applyBorder="1" applyAlignment="1">
      <alignment horizontal="center" vertical="center"/>
    </xf>
    <xf numFmtId="178" fontId="1" fillId="3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179" fontId="1" fillId="3" borderId="2" xfId="0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81" fontId="3" fillId="3" borderId="5" xfId="0" applyNumberFormat="1" applyFont="1" applyFill="1" applyBorder="1" applyAlignment="1">
      <alignment horizontal="center" vertical="center"/>
    </xf>
    <xf numFmtId="181" fontId="3" fillId="3" borderId="6" xfId="0" applyNumberFormat="1" applyFont="1" applyFill="1" applyBorder="1" applyAlignment="1">
      <alignment horizontal="center" vertical="center"/>
    </xf>
    <xf numFmtId="181" fontId="3" fillId="3" borderId="7" xfId="0" applyNumberFormat="1" applyFont="1" applyFill="1" applyBorder="1" applyAlignment="1">
      <alignment horizontal="center" vertical="center"/>
    </xf>
    <xf numFmtId="0" fontId="1" fillId="4" borderId="5" xfId="0" applyNumberFormat="1" applyFont="1" applyFill="1" applyBorder="1" applyAlignment="1">
      <alignment horizontal="center" vertical="center"/>
    </xf>
    <xf numFmtId="182" fontId="1" fillId="4" borderId="8" xfId="0" applyNumberFormat="1" applyFont="1" applyFill="1" applyBorder="1" applyAlignment="1">
      <alignment horizontal="center" vertical="center"/>
    </xf>
    <xf numFmtId="182" fontId="1" fillId="4" borderId="7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left" vertical="center"/>
    </xf>
    <xf numFmtId="179" fontId="3" fillId="4" borderId="5" xfId="0" applyNumberFormat="1" applyFont="1" applyFill="1" applyBorder="1" applyAlignment="1">
      <alignment horizontal="center" vertical="center"/>
    </xf>
    <xf numFmtId="179" fontId="3" fillId="4" borderId="8" xfId="0" applyNumberFormat="1" applyFont="1" applyFill="1" applyBorder="1" applyAlignment="1">
      <alignment horizontal="center" vertical="center"/>
    </xf>
    <xf numFmtId="179" fontId="3" fillId="4" borderId="7" xfId="0" applyNumberFormat="1" applyFont="1" applyFill="1" applyBorder="1" applyAlignment="1">
      <alignment horizontal="center" vertical="center"/>
    </xf>
    <xf numFmtId="179" fontId="1" fillId="0" borderId="0" xfId="0" applyNumberFormat="1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93980</xdr:colOff>
      <xdr:row>1</xdr:row>
      <xdr:rowOff>33655</xdr:rowOff>
    </xdr:from>
    <xdr:to>
      <xdr:col>4</xdr:col>
      <xdr:colOff>2926080</xdr:colOff>
      <xdr:row>5</xdr:row>
      <xdr:rowOff>771525</xdr:rowOff>
    </xdr:to>
    <xdr:pic>
      <xdr:nvPicPr>
        <xdr:cNvPr id="3" name="ID_399D7B3B6ABA405FA80A293D71DD58B2" descr="WhatsApp Image 2025-11-05 at 17.37.02_01a8407f"/>
        <xdr:cNvPicPr>
          <a:picLocks noChangeAspect="1"/>
        </xdr:cNvPicPr>
      </xdr:nvPicPr>
      <xdr:blipFill>
        <a:blip r:embed="rId1"/>
        <a:srcRect l="2787" t="8097" r="989" b="16116"/>
        <a:stretch>
          <a:fillRect/>
        </a:stretch>
      </xdr:blipFill>
      <xdr:spPr>
        <a:xfrm>
          <a:off x="4895215" y="465455"/>
          <a:ext cx="2832100" cy="3989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zoomScale="40" zoomScaleNormal="40" workbookViewId="0">
      <selection activeCell="E2" sqref="E2:E6"/>
    </sheetView>
  </sheetViews>
  <sheetFormatPr defaultColWidth="9.14285714285714" defaultRowHeight="21" outlineLevelCol="7"/>
  <cols>
    <col min="1" max="1" width="17" style="2" customWidth="1"/>
    <col min="2" max="2" width="18" style="1" customWidth="1"/>
    <col min="3" max="3" width="24.2857142857143" style="1" customWidth="1"/>
    <col min="4" max="4" width="12.7238095238095" style="1" customWidth="1"/>
    <col min="5" max="5" width="45.2" style="1" customWidth="1"/>
    <col min="6" max="7" width="29.0666666666667" style="1" customWidth="1"/>
    <col min="8" max="8" width="23.1142857142857" style="1" customWidth="1"/>
    <col min="9" max="12" width="9.14285714285714" style="1"/>
    <col min="13" max="13" width="13.1428571428571" style="1" customWidth="1"/>
    <col min="14" max="16384" width="9.14285714285714" style="1"/>
  </cols>
  <sheetData>
    <row r="1" s="1" customFormat="1" ht="34" customHeight="1" spans="1:8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="1" customFormat="1" ht="64" customHeight="1" spans="1:8">
      <c r="A2" s="6">
        <v>45964</v>
      </c>
      <c r="B2" s="6" t="s">
        <v>8</v>
      </c>
      <c r="C2" s="7" t="s">
        <v>9</v>
      </c>
      <c r="D2" s="8">
        <v>3</v>
      </c>
      <c r="E2" s="9"/>
      <c r="F2" s="10">
        <v>100000</v>
      </c>
      <c r="G2" s="11">
        <f t="shared" ref="G2:G6" si="0">D2*F2</f>
        <v>300000</v>
      </c>
      <c r="H2" s="12">
        <f>SUM(G2:G6)</f>
        <v>1500000</v>
      </c>
    </row>
    <row r="3" s="1" customFormat="1" ht="64" customHeight="1" spans="1:8">
      <c r="A3" s="13"/>
      <c r="B3" s="13"/>
      <c r="C3" s="7" t="s">
        <v>10</v>
      </c>
      <c r="D3" s="8">
        <v>4</v>
      </c>
      <c r="E3" s="9"/>
      <c r="F3" s="10">
        <v>100000</v>
      </c>
      <c r="G3" s="11">
        <f t="shared" si="0"/>
        <v>400000</v>
      </c>
      <c r="H3" s="14"/>
    </row>
    <row r="4" s="1" customFormat="1" ht="64" customHeight="1" spans="1:8">
      <c r="A4" s="13"/>
      <c r="B4" s="13"/>
      <c r="C4" s="7" t="s">
        <v>11</v>
      </c>
      <c r="D4" s="8">
        <v>3</v>
      </c>
      <c r="E4" s="9"/>
      <c r="F4" s="10">
        <v>100000</v>
      </c>
      <c r="G4" s="11">
        <f t="shared" si="0"/>
        <v>300000</v>
      </c>
      <c r="H4" s="14"/>
    </row>
    <row r="5" s="1" customFormat="1" ht="64" customHeight="1" spans="1:8">
      <c r="A5" s="13"/>
      <c r="B5" s="13"/>
      <c r="C5" s="7" t="s">
        <v>12</v>
      </c>
      <c r="D5" s="8">
        <v>3</v>
      </c>
      <c r="E5" s="9"/>
      <c r="F5" s="10">
        <v>100000</v>
      </c>
      <c r="G5" s="11">
        <f t="shared" si="0"/>
        <v>300000</v>
      </c>
      <c r="H5" s="14"/>
    </row>
    <row r="6" s="1" customFormat="1" ht="64" customHeight="1" spans="1:8">
      <c r="A6" s="13"/>
      <c r="B6" s="13"/>
      <c r="C6" s="15" t="s">
        <v>13</v>
      </c>
      <c r="D6" s="8">
        <v>2</v>
      </c>
      <c r="E6" s="9"/>
      <c r="F6" s="10">
        <v>100000</v>
      </c>
      <c r="G6" s="11">
        <f t="shared" si="0"/>
        <v>200000</v>
      </c>
      <c r="H6" s="16"/>
    </row>
    <row r="7" s="1" customFormat="1" ht="35" customHeight="1" spans="1:8">
      <c r="A7" s="17" t="s">
        <v>14</v>
      </c>
      <c r="B7" s="17"/>
      <c r="C7" s="17"/>
      <c r="D7" s="8">
        <f>SUM(D2:D6)</f>
        <v>15</v>
      </c>
      <c r="E7" s="18"/>
      <c r="F7" s="19" t="s">
        <v>15</v>
      </c>
      <c r="G7" s="19"/>
      <c r="H7" s="19">
        <f>H2*11%</f>
        <v>165000</v>
      </c>
    </row>
    <row r="8" s="1" customFormat="1" ht="35" customHeight="1" spans="1:8">
      <c r="A8" s="17" t="s">
        <v>7</v>
      </c>
      <c r="B8" s="17"/>
      <c r="C8" s="17"/>
      <c r="D8" s="8"/>
      <c r="E8" s="20">
        <f>SUM(H2:H7)</f>
        <v>1665000</v>
      </c>
      <c r="F8" s="21"/>
      <c r="G8" s="21"/>
      <c r="H8" s="22"/>
    </row>
    <row r="9" s="1" customFormat="1" ht="64" customHeight="1" spans="1:8">
      <c r="A9" s="23"/>
      <c r="B9" s="24"/>
      <c r="C9" s="25"/>
      <c r="D9" s="25"/>
      <c r="E9" s="26" t="s">
        <v>16</v>
      </c>
      <c r="F9" s="27">
        <f>SUM(E8)</f>
        <v>1665000</v>
      </c>
      <c r="G9" s="28"/>
      <c r="H9" s="29"/>
    </row>
    <row r="10" s="1" customFormat="1" ht="64" customHeight="1" spans="1:6">
      <c r="A10" s="2"/>
      <c r="F10" s="30"/>
    </row>
    <row r="11" ht="64" customHeight="1"/>
    <row r="12" ht="64" customHeight="1"/>
    <row r="13" ht="64" customHeight="1"/>
    <row r="14" ht="35" customHeight="1"/>
    <row r="15" ht="35" customHeight="1"/>
    <row r="16" ht="160" customHeight="1"/>
    <row r="17" ht="160" customHeight="1"/>
    <row r="18" ht="35" customHeight="1"/>
    <row r="19" ht="35" customHeight="1"/>
    <row r="20" ht="321" customHeight="1"/>
    <row r="21" ht="34" customHeight="1"/>
    <row r="22" ht="34" customHeight="1"/>
    <row r="23" ht="34" customHeight="1"/>
    <row r="24" ht="58" customHeight="1"/>
    <row r="25" ht="58" customHeight="1"/>
    <row r="26" ht="58" customHeight="1"/>
    <row r="27" ht="58" customHeight="1"/>
    <row r="28" ht="58" customHeight="1"/>
    <row r="29" ht="58" customHeight="1"/>
    <row r="30" ht="58" customHeight="1"/>
    <row r="31" ht="58" customHeight="1"/>
    <row r="32" ht="58" customHeight="1"/>
    <row r="33" ht="58" customHeight="1"/>
  </sheetData>
  <mergeCells count="10">
    <mergeCell ref="A7:C7"/>
    <mergeCell ref="F7:G7"/>
    <mergeCell ref="A8:C8"/>
    <mergeCell ref="E8:H8"/>
    <mergeCell ref="A9:C9"/>
    <mergeCell ref="F9:H9"/>
    <mergeCell ref="A2:A6"/>
    <mergeCell ref="B2:B6"/>
    <mergeCell ref="E2:E6"/>
    <mergeCell ref="H2:H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SELERA OR STIR UP (SYRUP)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2025-12-01T14:05:00Z</dcterms:created>
  <dcterms:modified xsi:type="dcterms:W3CDTF">2025-12-01T14:07:37Z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84E1CB98548349DB8EE1365E42A16D6C_11</vt:lpwstr>
  </property>
  <property fmtid="{D5CDD505-2E9C-101B-9397-08002B2CF9AE}" pid="3" name="KSOProductBuildVer">
    <vt:lpwstr>1033-12.2.0.23155</vt:lpwstr>
  </property>
</Properties>
</file>