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ABDI JAY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4" name="ID_17DCA37126B64375B1E971D9A82062AB" descr="WhatsApp Image 2025-11-25 at 14.35.16_f61a35d9"/>
        <xdr:cNvPicPr>
          <a:picLocks noChangeAspect="1"/>
        </xdr:cNvPicPr>
      </xdr:nvPicPr>
      <xdr:blipFill>
        <a:blip r:embed="rId1"/>
        <a:srcRect t="19516" r="1786" b="12477"/>
        <a:stretch>
          <a:fillRect/>
        </a:stretch>
      </xdr:blipFill>
      <xdr:spPr>
        <a:xfrm rot="16200000">
          <a:off x="6708140" y="264160"/>
          <a:ext cx="3212465" cy="3946525"/>
        </a:xfrm>
        <a:prstGeom prst="rect">
          <a:avLst/>
        </a:prstGeom>
      </xdr:spPr>
    </xdr:pic>
  </etc:cellImage>
  <etc:cellImage>
    <xdr:pic>
      <xdr:nvPicPr>
        <xdr:cNvPr id="8" name="ID_C9ADF786CFF24CE1BB935EEA7A797571" descr="WhatsApp Image 2025-11-07 at 14.53.32_dcbc0f5c"/>
        <xdr:cNvPicPr>
          <a:picLocks noChangeAspect="1"/>
        </xdr:cNvPicPr>
      </xdr:nvPicPr>
      <xdr:blipFill>
        <a:blip r:embed="rId2"/>
        <a:srcRect t="13090" b="15665"/>
        <a:stretch>
          <a:fillRect/>
        </a:stretch>
      </xdr:blipFill>
      <xdr:spPr>
        <a:xfrm rot="16200000">
          <a:off x="7185660" y="711200"/>
          <a:ext cx="3113405" cy="3938905"/>
        </a:xfrm>
        <a:prstGeom prst="rect">
          <a:avLst/>
        </a:prstGeom>
      </xdr:spPr>
    </xdr:pic>
  </etc:cellImage>
  <etc:cellImage>
    <xdr:pic>
      <xdr:nvPicPr>
        <xdr:cNvPr id="25" name="ID_2C31F25015B34051AF8982974BA995BD" descr="WhatsApp Image 2025-11-25 at 14.35.16_0d310843"/>
        <xdr:cNvPicPr>
          <a:picLocks noChangeAspect="1"/>
        </xdr:cNvPicPr>
      </xdr:nvPicPr>
      <xdr:blipFill>
        <a:blip r:embed="rId1"/>
        <a:srcRect t="19098" b="11703"/>
        <a:stretch>
          <a:fillRect/>
        </a:stretch>
      </xdr:blipFill>
      <xdr:spPr>
        <a:xfrm rot="16200000">
          <a:off x="6687185" y="6248400"/>
          <a:ext cx="3089910" cy="377571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<sst xmlns="http://schemas.openxmlformats.org/spreadsheetml/2006/main" count="34" uniqueCount="26">
  <si>
    <t>KITCHEN</t>
  </si>
  <si>
    <t>DATE</t>
  </si>
  <si>
    <t>INV.NO</t>
  </si>
  <si>
    <t>DESCRIPTION</t>
  </si>
  <si>
    <t>QTY</t>
  </si>
  <si>
    <t>BILLS</t>
  </si>
  <si>
    <t>PRICE</t>
  </si>
  <si>
    <t>SUBTOTAL</t>
  </si>
  <si>
    <t>TOTAL</t>
  </si>
  <si>
    <t>LAP MICROFIBER HANAGA</t>
  </si>
  <si>
    <t>BOTOL PEMB 500 ML</t>
  </si>
  <si>
    <t>LUNCH BOX L BROWN</t>
  </si>
  <si>
    <t xml:space="preserve"> LONG HAND TOWEL SEE YOU</t>
  </si>
  <si>
    <t>HAND GLOVE L</t>
  </si>
  <si>
    <t>P KILAT 32</t>
  </si>
  <si>
    <t>GRAND TOTAL</t>
  </si>
  <si>
    <t>FLOOR</t>
  </si>
  <si>
    <t>INV NO.</t>
  </si>
  <si>
    <t>DESCRIPTIONS</t>
  </si>
  <si>
    <t>AMOUNT</t>
  </si>
  <si>
    <t>HAND GLOVES (M)</t>
  </si>
  <si>
    <t>P KILAT 2</t>
  </si>
  <si>
    <t>PAPER BAG L CB08</t>
  </si>
  <si>
    <t>PAPER BAG S CB07</t>
  </si>
  <si>
    <t>BURGER BOX XL</t>
  </si>
  <si>
    <t>ABDI JAYA TOTAL OUTSTANDING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</si>
</sst>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-mmm"/>
    <numFmt numFmtId="179" formatCode="_-&quot;Rp&quot;* #,##0_-;\-&quot;Rp&quot;* #,##0_-;_-&quot;Rp&quot;* &quot;-&quot;??_-;_-@_-"/>
    <numFmt numFmtId="180" formatCode="[$-409]d\-mmm\-yyyy;@"/>
    <numFmt numFmtId="181" formatCode="_ [$IDR]\ * #,##0_ ;_ [$IDR]\ * \-#,##0_ ;_ [$IDR]\ * &quot;-&quot;_ ;_ @_ "/>
  </numFmts>
  <fonts count="29">
    <font>
      <sz val="11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i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10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3" applyNumberFormat="0" applyAlignment="0" applyProtection="0">
      <alignment vertical="center"/>
    </xf>
    <xf numFmtId="0" fontId="19" fillId="7" borderId="14" applyNumberFormat="0" applyAlignment="0" applyProtection="0">
      <alignment vertical="center"/>
    </xf>
    <xf numFmtId="0" fontId="20" fillId="7" borderId="13" applyNumberFormat="0" applyAlignment="0" applyProtection="0">
      <alignment vertical="center"/>
    </xf>
    <xf numFmtId="0" fontId="21" fillId="8" borderId="15" applyNumberFormat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78" fontId="3" fillId="4" borderId="2" xfId="0" applyNumberFormat="1" applyFont="1" applyFill="1" applyBorder="1" applyAlignment="1">
      <alignment horizontal="center" vertical="center"/>
    </xf>
    <xf numFmtId="0" fontId="3" fillId="4" borderId="2" xfId="0" applyNumberFormat="1" applyFont="1" applyFill="1" applyBorder="1" applyAlignment="1">
      <alignment horizontal="center" vertical="center"/>
    </xf>
    <xf numFmtId="179" fontId="3" fillId="4" borderId="3" xfId="0" applyNumberFormat="1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0" fontId="3" fillId="4" borderId="4" xfId="0" applyNumberFormat="1" applyFont="1" applyFill="1" applyBorder="1" applyAlignment="1">
      <alignment horizontal="center" vertical="center"/>
    </xf>
    <xf numFmtId="179" fontId="3" fillId="4" borderId="1" xfId="0" applyNumberFormat="1" applyFont="1" applyFill="1" applyBorder="1" applyAlignment="1">
      <alignment horizontal="left" vertical="center"/>
    </xf>
    <xf numFmtId="179" fontId="3" fillId="4" borderId="5" xfId="0" applyNumberFormat="1" applyFont="1" applyFill="1" applyBorder="1" applyAlignment="1">
      <alignment horizontal="center" vertical="center"/>
    </xf>
    <xf numFmtId="179" fontId="3" fillId="4" borderId="2" xfId="0" applyNumberFormat="1" applyFont="1" applyFill="1" applyBorder="1" applyAlignment="1">
      <alignment horizontal="center" vertical="center"/>
    </xf>
    <xf numFmtId="178" fontId="3" fillId="4" borderId="6" xfId="0" applyNumberFormat="1" applyFont="1" applyFill="1" applyBorder="1" applyAlignment="1">
      <alignment horizontal="center" vertical="center"/>
    </xf>
    <xf numFmtId="0" fontId="3" fillId="4" borderId="6" xfId="0" applyNumberFormat="1" applyFont="1" applyFill="1" applyBorder="1" applyAlignment="1">
      <alignment horizontal="center" vertical="center"/>
    </xf>
    <xf numFmtId="0" fontId="3" fillId="4" borderId="7" xfId="0" applyNumberFormat="1" applyFont="1" applyFill="1" applyBorder="1" applyAlignment="1">
      <alignment horizontal="center" vertical="center"/>
    </xf>
    <xf numFmtId="179" fontId="3" fillId="4" borderId="6" xfId="0" applyNumberFormat="1" applyFont="1" applyFill="1" applyBorder="1" applyAlignment="1">
      <alignment horizontal="center" vertical="center"/>
    </xf>
    <xf numFmtId="178" fontId="3" fillId="4" borderId="1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179" fontId="3" fillId="4" borderId="1" xfId="0" applyNumberFormat="1" applyFont="1" applyFill="1" applyBorder="1" applyAlignment="1">
      <alignment horizontal="center" vertical="center"/>
    </xf>
    <xf numFmtId="0" fontId="3" fillId="4" borderId="8" xfId="0" applyNumberFormat="1" applyFont="1" applyFill="1" applyBorder="1" applyAlignment="1">
      <alignment horizontal="center" vertical="center" wrapText="1"/>
    </xf>
    <xf numFmtId="179" fontId="3" fillId="4" borderId="7" xfId="0" applyNumberFormat="1" applyFont="1" applyFill="1" applyBorder="1" applyAlignment="1">
      <alignment horizontal="center" vertical="center"/>
    </xf>
    <xf numFmtId="0" fontId="4" fillId="4" borderId="5" xfId="0" applyNumberFormat="1" applyFont="1" applyFill="1" applyBorder="1" applyAlignment="1">
      <alignment horizontal="center" vertical="center"/>
    </xf>
    <xf numFmtId="0" fontId="4" fillId="4" borderId="8" xfId="0" applyNumberFormat="1" applyFont="1" applyFill="1" applyBorder="1" applyAlignment="1">
      <alignment horizontal="center" vertical="center"/>
    </xf>
    <xf numFmtId="0" fontId="4" fillId="4" borderId="3" xfId="0" applyNumberFormat="1" applyFont="1" applyFill="1" applyBorder="1" applyAlignment="1">
      <alignment horizontal="center" vertical="center"/>
    </xf>
    <xf numFmtId="179" fontId="5" fillId="4" borderId="8" xfId="0" applyNumberFormat="1" applyFont="1" applyFill="1" applyBorder="1" applyAlignment="1">
      <alignment horizontal="center" vertical="center"/>
    </xf>
    <xf numFmtId="0" fontId="5" fillId="4" borderId="8" xfId="0" applyNumberFormat="1" applyFont="1" applyFill="1" applyBorder="1" applyAlignment="1">
      <alignment horizontal="center" vertical="center"/>
    </xf>
    <xf numFmtId="0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80" fontId="7" fillId="4" borderId="1" xfId="0" applyNumberFormat="1" applyFont="1" applyFill="1" applyBorder="1" applyAlignment="1">
      <alignment horizontal="center" vertical="center"/>
    </xf>
    <xf numFmtId="0" fontId="7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181" fontId="7" fillId="4" borderId="1" xfId="0" applyNumberFormat="1" applyFont="1" applyFill="1" applyBorder="1" applyAlignment="1">
      <alignment horizontal="center" vertical="center"/>
    </xf>
    <xf numFmtId="181" fontId="7" fillId="4" borderId="1" xfId="0" applyNumberFormat="1" applyFont="1" applyFill="1" applyBorder="1" applyAlignment="1">
      <alignment vertical="center"/>
    </xf>
    <xf numFmtId="179" fontId="7" fillId="4" borderId="1" xfId="0" applyNumberFormat="1" applyFont="1" applyFill="1" applyBorder="1" applyAlignment="1">
      <alignment horizontal="center" vertical="center" wrapText="1"/>
    </xf>
    <xf numFmtId="181" fontId="7" fillId="4" borderId="2" xfId="0" applyNumberFormat="1" applyFont="1" applyFill="1" applyBorder="1" applyAlignment="1">
      <alignment horizontal="center" vertical="center"/>
    </xf>
    <xf numFmtId="180" fontId="7" fillId="4" borderId="2" xfId="0" applyNumberFormat="1" applyFont="1" applyFill="1" applyBorder="1" applyAlignment="1">
      <alignment horizontal="center" vertical="center"/>
    </xf>
    <xf numFmtId="0" fontId="7" fillId="4" borderId="2" xfId="0" applyNumberFormat="1" applyFont="1" applyFill="1" applyBorder="1" applyAlignment="1">
      <alignment horizontal="center" vertical="center"/>
    </xf>
    <xf numFmtId="180" fontId="7" fillId="4" borderId="9" xfId="0" applyNumberFormat="1" applyFont="1" applyFill="1" applyBorder="1" applyAlignment="1">
      <alignment horizontal="center" vertical="center"/>
    </xf>
    <xf numFmtId="0" fontId="7" fillId="4" borderId="9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181" fontId="7" fillId="4" borderId="9" xfId="0" applyNumberFormat="1" applyFont="1" applyFill="1" applyBorder="1" applyAlignment="1">
      <alignment horizontal="center" vertical="center"/>
    </xf>
    <xf numFmtId="180" fontId="7" fillId="4" borderId="6" xfId="0" applyNumberFormat="1" applyFont="1" applyFill="1" applyBorder="1" applyAlignment="1">
      <alignment horizontal="center" vertical="center"/>
    </xf>
    <xf numFmtId="0" fontId="7" fillId="4" borderId="6" xfId="0" applyNumberFormat="1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181" fontId="7" fillId="4" borderId="6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179" fontId="9" fillId="0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179" fontId="3" fillId="0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5.jpeg"/><Relationship Id="rId1" Type="http://schemas.openxmlformats.org/officeDocument/2006/relationships/image" Target="media/image4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28257</xdr:colOff>
      <xdr:row>13</xdr:row>
      <xdr:rowOff>21907</xdr:rowOff>
    </xdr:from>
    <xdr:to>
      <xdr:col>4</xdr:col>
      <xdr:colOff>3513772</xdr:colOff>
      <xdr:row>13</xdr:row>
      <xdr:rowOff>2824797</xdr:rowOff>
    </xdr:to>
    <xdr:pic>
      <xdr:nvPicPr>
        <xdr:cNvPr id="9" name="ID_77CE357CEE334F6D961BD6780F917C7B" descr="WhatsApp Image 2025-11-17 at 19.55.24_b4d82a76"/>
        <xdr:cNvPicPr>
          <a:picLocks noChangeAspect="1"/>
        </xdr:cNvPicPr>
      </xdr:nvPicPr>
      <xdr:blipFill>
        <a:blip r:embed="rId1"/>
        <a:srcRect l="2094" t="17062" b="13764"/>
        <a:stretch>
          <a:fillRect/>
        </a:stretch>
      </xdr:blipFill>
      <xdr:spPr>
        <a:xfrm rot="16200000">
          <a:off x="6901180" y="12224385"/>
          <a:ext cx="2802890" cy="3485515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</xdr:colOff>
      <xdr:row>14</xdr:row>
      <xdr:rowOff>22542</xdr:rowOff>
    </xdr:from>
    <xdr:to>
      <xdr:col>4</xdr:col>
      <xdr:colOff>3516312</xdr:colOff>
      <xdr:row>14</xdr:row>
      <xdr:rowOff>2852102</xdr:rowOff>
    </xdr:to>
    <xdr:pic>
      <xdr:nvPicPr>
        <xdr:cNvPr id="10" name="ID_53A5575CEC60468792705E317509501C" descr="WhatsApp Image 2025-11-17 at 19.55.38_dd252dd0"/>
        <xdr:cNvPicPr>
          <a:picLocks noChangeAspect="1"/>
        </xdr:cNvPicPr>
      </xdr:nvPicPr>
      <xdr:blipFill>
        <a:blip r:embed="rId2"/>
        <a:srcRect l="877" t="19263" b="10630"/>
        <a:stretch>
          <a:fillRect/>
        </a:stretch>
      </xdr:blipFill>
      <xdr:spPr>
        <a:xfrm rot="16200000">
          <a:off x="6887845" y="15090775"/>
          <a:ext cx="2829560" cy="3490595"/>
        </a:xfrm>
        <a:prstGeom prst="rect">
          <a:avLst/>
        </a:prstGeom>
      </xdr:spPr>
    </xdr:pic>
    <xdr:clientData/>
  </xdr:twoCellAnchor>
  <xdr:twoCellAnchor editAs="oneCell">
    <xdr:from>
      <xdr:col>4</xdr:col>
      <xdr:colOff>22860</xdr:colOff>
      <xdr:row>15</xdr:row>
      <xdr:rowOff>40640</xdr:rowOff>
    </xdr:from>
    <xdr:to>
      <xdr:col>4</xdr:col>
      <xdr:colOff>3519170</xdr:colOff>
      <xdr:row>17</xdr:row>
      <xdr:rowOff>914400</xdr:rowOff>
    </xdr:to>
    <xdr:pic>
      <xdr:nvPicPr>
        <xdr:cNvPr id="11" name="ID_0EC8FE7F2FDE486BA9DB2B935A916937" descr="WhatsApp Image 2025-11-25 at 10.50.39_ab457d84"/>
        <xdr:cNvPicPr>
          <a:picLocks noChangeAspect="1"/>
        </xdr:cNvPicPr>
      </xdr:nvPicPr>
      <xdr:blipFill>
        <a:blip r:embed="rId3"/>
        <a:srcRect l="1551" t="17216" b="12348"/>
        <a:stretch>
          <a:fillRect/>
        </a:stretch>
      </xdr:blipFill>
      <xdr:spPr>
        <a:xfrm rot="16200000">
          <a:off x="6913880" y="17959070"/>
          <a:ext cx="2778760" cy="3496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zoomScale="70" zoomScaleNormal="70" topLeftCell="A16" workbookViewId="0">
      <selection activeCell="E14" sqref="E14:E18"/>
    </sheetView>
  </sheetViews>
  <sheetFormatPr defaultColWidth="9.14285714285714" defaultRowHeight="15" outlineLevelCol="7"/>
  <cols>
    <col min="1" max="1" width="17.4285714285714" style="2" customWidth="1"/>
    <col min="2" max="2" width="19.0380952380952" style="2" customWidth="1"/>
    <col min="3" max="4" width="30.752380952381" style="2" customWidth="1"/>
    <col min="5" max="5" width="53.1428571428571" style="2" customWidth="1"/>
    <col min="6" max="8" width="32.3333333333333" style="2" customWidth="1"/>
    <col min="9" max="16384" width="9.14285714285714" style="2"/>
  </cols>
  <sheetData>
    <row r="1" ht="33.75" spans="1:8">
      <c r="A1" s="3" t="s">
        <v>0</v>
      </c>
      <c r="B1" s="3"/>
      <c r="C1" s="3"/>
      <c r="D1" s="3"/>
      <c r="E1" s="3"/>
      <c r="F1" s="3"/>
      <c r="G1" s="3"/>
      <c r="H1" s="3"/>
    </row>
    <row r="2" s="1" customFormat="1" ht="35" customHeight="1" spans="1: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s="2" customFormat="1" ht="114" customHeight="1" spans="1:8">
      <c r="A3" s="5">
        <v>45961</v>
      </c>
      <c r="B3" s="6">
        <v>1825</v>
      </c>
      <c r="C3" s="7" t="s">
        <v>9</v>
      </c>
      <c r="D3" s="8">
        <v>5</v>
      </c>
      <c r="E3" s="9" t="str">
        <f>_xlfn.DISPIMG("ID_17DCA37126B64375B1E971D9A82062AB",1)</f>
        <v>=DISPIMG("ID_17DCA37126B64375B1E971D9A82062AB",1)</v>
      </c>
      <c r="F3" s="10">
        <v>25000</v>
      </c>
      <c r="G3" s="11">
        <f t="shared" ref="G3:G8" si="0">D3*F3</f>
        <v>125000</v>
      </c>
      <c r="H3" s="12">
        <f t="shared" ref="H3:H7" si="1">SUM(G3:G4)</f>
        <v>230000</v>
      </c>
    </row>
    <row r="4" s="2" customFormat="1" ht="114" customHeight="1" spans="1:8">
      <c r="A4" s="13"/>
      <c r="B4" s="14"/>
      <c r="C4" s="7" t="s">
        <v>10</v>
      </c>
      <c r="D4" s="8">
        <v>7</v>
      </c>
      <c r="E4" s="15"/>
      <c r="F4" s="10">
        <v>15000</v>
      </c>
      <c r="G4" s="11">
        <f t="shared" si="0"/>
        <v>105000</v>
      </c>
      <c r="H4" s="16"/>
    </row>
    <row r="5" s="2" customFormat="1" ht="114" customHeight="1" spans="1:8">
      <c r="A5" s="17">
        <v>45966</v>
      </c>
      <c r="B5" s="18">
        <v>1919</v>
      </c>
      <c r="C5" s="7" t="s">
        <v>11</v>
      </c>
      <c r="D5" s="8">
        <v>5</v>
      </c>
      <c r="E5" s="9" t="str">
        <f>_xlfn.DISPIMG("ID_C9ADF786CFF24CE1BB935EEA7A797571",1)</f>
        <v>=DISPIMG("ID_C9ADF786CFF24CE1BB935EEA7A797571",1)</v>
      </c>
      <c r="F5" s="10">
        <v>85000</v>
      </c>
      <c r="G5" s="11">
        <f t="shared" si="0"/>
        <v>425000</v>
      </c>
      <c r="H5" s="19">
        <f t="shared" si="1"/>
        <v>595000</v>
      </c>
    </row>
    <row r="6" s="2" customFormat="1" ht="114" customHeight="1" spans="1:8">
      <c r="A6" s="17"/>
      <c r="B6" s="18"/>
      <c r="C6" s="7" t="s">
        <v>12</v>
      </c>
      <c r="D6" s="20">
        <v>1</v>
      </c>
      <c r="E6" s="21"/>
      <c r="F6" s="10">
        <v>170000</v>
      </c>
      <c r="G6" s="11">
        <f t="shared" si="0"/>
        <v>170000</v>
      </c>
      <c r="H6" s="19"/>
    </row>
    <row r="7" s="2" customFormat="1" ht="114" customHeight="1" spans="1:8">
      <c r="A7" s="5">
        <v>45982</v>
      </c>
      <c r="B7" s="6">
        <v>471</v>
      </c>
      <c r="C7" s="7" t="s">
        <v>13</v>
      </c>
      <c r="D7" s="8">
        <v>3</v>
      </c>
      <c r="E7" s="9" t="str">
        <f>_xlfn.DISPIMG("ID_2C31F25015B34051AF8982974BA995BD",1)</f>
        <v>=DISPIMG("ID_2C31F25015B34051AF8982974BA995BD",1)</v>
      </c>
      <c r="F7" s="10">
        <v>55000</v>
      </c>
      <c r="G7" s="11">
        <f t="shared" si="0"/>
        <v>165000</v>
      </c>
      <c r="H7" s="12">
        <f t="shared" si="1"/>
        <v>195000</v>
      </c>
    </row>
    <row r="8" s="2" customFormat="1" ht="114" customHeight="1" spans="1:8">
      <c r="A8" s="13"/>
      <c r="B8" s="14"/>
      <c r="C8" s="7" t="s">
        <v>14</v>
      </c>
      <c r="D8" s="20">
        <v>1</v>
      </c>
      <c r="E8" s="15"/>
      <c r="F8" s="10">
        <v>30000</v>
      </c>
      <c r="G8" s="11">
        <f t="shared" si="0"/>
        <v>30000</v>
      </c>
      <c r="H8" s="16"/>
    </row>
    <row r="9" s="2" customFormat="1" ht="39" customHeight="1" spans="1:8">
      <c r="A9" s="22" t="s">
        <v>15</v>
      </c>
      <c r="B9" s="23"/>
      <c r="C9" s="24"/>
      <c r="D9" s="25">
        <f>SUM(H3:H8)</f>
        <v>1020000</v>
      </c>
      <c r="E9" s="26"/>
      <c r="F9" s="26"/>
      <c r="G9" s="26"/>
      <c r="H9" s="26"/>
    </row>
    <row r="10" s="2" customFormat="1" ht="65" customHeight="1"/>
    <row r="11" s="2" customFormat="1" ht="71" customHeight="1"/>
    <row r="12" ht="33.75" spans="1:8">
      <c r="A12" s="3" t="s">
        <v>16</v>
      </c>
      <c r="B12" s="3"/>
      <c r="C12" s="3"/>
      <c r="D12" s="3"/>
      <c r="E12" s="3"/>
      <c r="F12" s="3"/>
      <c r="G12" s="3"/>
      <c r="H12" s="3"/>
    </row>
    <row r="13" ht="26.25" spans="1:8">
      <c r="A13" s="27" t="s">
        <v>1</v>
      </c>
      <c r="B13" s="28" t="s">
        <v>17</v>
      </c>
      <c r="C13" s="28" t="s">
        <v>18</v>
      </c>
      <c r="D13" s="28" t="s">
        <v>19</v>
      </c>
      <c r="E13" s="28" t="s">
        <v>5</v>
      </c>
      <c r="F13" s="28" t="s">
        <v>6</v>
      </c>
      <c r="G13" s="28" t="s">
        <v>7</v>
      </c>
      <c r="H13" s="28" t="s">
        <v>8</v>
      </c>
    </row>
    <row r="14" ht="224.8" customHeight="1" spans="1:8">
      <c r="A14" s="29">
        <v>45975</v>
      </c>
      <c r="B14" s="30">
        <v>221</v>
      </c>
      <c r="C14" s="31" t="s">
        <v>20</v>
      </c>
      <c r="D14" s="31">
        <v>3</v>
      </c>
      <c r="E14" s="32"/>
      <c r="F14" s="33">
        <v>55000</v>
      </c>
      <c r="G14" s="34">
        <f t="shared" ref="G14:G18" si="2">D14*F14</f>
        <v>165000</v>
      </c>
      <c r="H14" s="33">
        <f>SUM(G14:G14)</f>
        <v>165000</v>
      </c>
    </row>
    <row r="15" ht="226.6" customHeight="1" spans="1:8">
      <c r="A15" s="29">
        <v>45976</v>
      </c>
      <c r="B15" s="30">
        <v>254</v>
      </c>
      <c r="C15" s="35" t="s">
        <v>21</v>
      </c>
      <c r="D15" s="31">
        <v>5</v>
      </c>
      <c r="E15" s="32"/>
      <c r="F15" s="34">
        <v>13000</v>
      </c>
      <c r="G15" s="34">
        <f t="shared" si="2"/>
        <v>65000</v>
      </c>
      <c r="H15" s="36">
        <f>SUM(G15:G15)</f>
        <v>65000</v>
      </c>
    </row>
    <row r="16" ht="75" customHeight="1" spans="1:8">
      <c r="A16" s="37">
        <v>45985</v>
      </c>
      <c r="B16" s="38">
        <v>523</v>
      </c>
      <c r="C16" s="35" t="s">
        <v>22</v>
      </c>
      <c r="D16" s="31">
        <v>200</v>
      </c>
      <c r="E16" s="32"/>
      <c r="F16" s="34">
        <v>2300</v>
      </c>
      <c r="G16" s="34">
        <f t="shared" si="2"/>
        <v>460000</v>
      </c>
      <c r="H16" s="36">
        <f>SUM(G16:G18)</f>
        <v>1335000</v>
      </c>
    </row>
    <row r="17" ht="75" customHeight="1" spans="1:8">
      <c r="A17" s="39"/>
      <c r="B17" s="40"/>
      <c r="C17" s="35" t="s">
        <v>23</v>
      </c>
      <c r="D17" s="41">
        <v>250</v>
      </c>
      <c r="E17" s="42"/>
      <c r="F17" s="36">
        <v>2000</v>
      </c>
      <c r="G17" s="34">
        <f t="shared" si="2"/>
        <v>500000</v>
      </c>
      <c r="H17" s="43"/>
    </row>
    <row r="18" ht="75" customHeight="1" spans="1:8">
      <c r="A18" s="44"/>
      <c r="B18" s="45"/>
      <c r="C18" s="35" t="s">
        <v>24</v>
      </c>
      <c r="D18" s="41">
        <v>150</v>
      </c>
      <c r="E18" s="46"/>
      <c r="F18" s="36">
        <v>2500</v>
      </c>
      <c r="G18" s="34">
        <f t="shared" si="2"/>
        <v>375000</v>
      </c>
      <c r="H18" s="47"/>
    </row>
    <row r="19" ht="23.25" spans="1:8">
      <c r="A19" s="48"/>
      <c r="B19" s="48"/>
      <c r="C19" s="48"/>
      <c r="D19" s="48"/>
      <c r="E19" s="48"/>
      <c r="F19" s="48"/>
      <c r="G19" s="49"/>
      <c r="H19" s="49">
        <f>SUM(H14:H18)</f>
        <v>1565000</v>
      </c>
    </row>
    <row r="22" ht="21" spans="3:4">
      <c r="C22" s="50" t="s">
        <v>25</v>
      </c>
      <c r="D22" s="50"/>
    </row>
    <row r="23" ht="21" spans="3:4">
      <c r="C23" s="51" t="s">
        <v>0</v>
      </c>
      <c r="D23" s="52">
        <f>D9</f>
        <v>1020000</v>
      </c>
    </row>
    <row r="24" ht="21" spans="3:4">
      <c r="C24" s="51" t="s">
        <v>16</v>
      </c>
      <c r="D24" s="52">
        <f>H19</f>
        <v>1565000</v>
      </c>
    </row>
    <row r="25" ht="21" spans="3:4">
      <c r="C25" s="53" t="s">
        <v>8</v>
      </c>
      <c r="D25" s="52">
        <f>SUM(D23:D24)</f>
        <v>2585000</v>
      </c>
    </row>
  </sheetData>
  <mergeCells count="22">
    <mergeCell ref="A1:H1"/>
    <mergeCell ref="A9:C9"/>
    <mergeCell ref="D9:H9"/>
    <mergeCell ref="A12:H12"/>
    <mergeCell ref="A19:E19"/>
    <mergeCell ref="C22:D22"/>
    <mergeCell ref="A3:A4"/>
    <mergeCell ref="A5:A6"/>
    <mergeCell ref="A7:A8"/>
    <mergeCell ref="A16:A18"/>
    <mergeCell ref="B3:B4"/>
    <mergeCell ref="B5:B6"/>
    <mergeCell ref="B7:B8"/>
    <mergeCell ref="B16:B18"/>
    <mergeCell ref="E3:E4"/>
    <mergeCell ref="E5:E6"/>
    <mergeCell ref="E7:E8"/>
    <mergeCell ref="E16:E18"/>
    <mergeCell ref="H3:H4"/>
    <mergeCell ref="H5:H6"/>
    <mergeCell ref="H7:H8"/>
    <mergeCell ref="H16:H18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ABDI JAYA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Balagan Uluwatu</cp:lastModifiedBy>
  <dcterms:created xsi:type="dcterms:W3CDTF">2025-12-01T06:56:00Z</dcterms:created>
  <dcterms:modified xsi:type="dcterms:W3CDTF">2025-12-01T14:38:49Z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ECEB711364FC4C12B7C82A0905CC2A73_13</vt:lpwstr>
  </property>
  <property fmtid="{D5CDD505-2E9C-101B-9397-08002B2CF9AE}" pid="3" name="KSOProductBuildVer">
    <vt:lpwstr>1033-12.2.0.23155</vt:lpwstr>
  </property>
</Properties>
</file>