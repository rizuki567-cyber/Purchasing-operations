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EGETABLE " sheetId="1" r:id="rId1"/>
    <sheet name="GROCERIES " sheetId="4" r:id="rId2"/>
    <sheet name="CHEESE " sheetId="5" r:id="rId3"/>
    <sheet name="MEAT &amp; POULTRY " sheetId="6" r:id="rId4"/>
    <sheet name="BREAD" sheetId="8" r:id="rId5"/>
    <sheet name="COOKED FOOD " sheetId="9" r:id="rId6"/>
    <sheet name="TAKE AYAW BOX " sheetId="7" r:id="rId7"/>
    <sheet name="SUB TOTAL 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<sst xmlns="http://schemas.openxmlformats.org/spreadsheetml/2006/main" count="495" uniqueCount="230">
  <si>
    <t>Monthly Stock Report</t>
  </si>
  <si>
    <t xml:space="preserve">vegetable, fruit and herb </t>
  </si>
  <si>
    <r>
      <rPr>
        <sz val="12"/>
        <color theme="1"/>
        <rFont val="Arial"/>
        <charset val="134"/>
      </rPr>
      <t>Store name</t>
    </r>
    <r>
      <rPr>
        <sz val="12"/>
        <color theme="1"/>
        <rFont val="黑体"/>
        <charset val="134"/>
      </rPr>
      <t>：</t>
    </r>
    <r>
      <rPr>
        <sz val="12"/>
        <color theme="1"/>
        <rFont val="Arial"/>
        <charset val="134"/>
      </rPr>
      <t xml:space="preserve">Balagan Restaurant </t>
    </r>
  </si>
  <si>
    <t>Date: 31 august  2025</t>
  </si>
  <si>
    <t xml:space="preserve">VEGETABLE </t>
  </si>
  <si>
    <t>NO</t>
  </si>
  <si>
    <t>Product name / Item No.</t>
  </si>
  <si>
    <t xml:space="preserve">Unit </t>
  </si>
  <si>
    <t xml:space="preserve">qty </t>
  </si>
  <si>
    <t xml:space="preserve">basic price </t>
  </si>
  <si>
    <t xml:space="preserve">total price </t>
  </si>
  <si>
    <t>Notes</t>
  </si>
  <si>
    <t xml:space="preserve">potato </t>
  </si>
  <si>
    <t>kg</t>
  </si>
  <si>
    <t xml:space="preserve">sweet potato </t>
  </si>
  <si>
    <t xml:space="preserve">onion </t>
  </si>
  <si>
    <t xml:space="preserve">kg </t>
  </si>
  <si>
    <t xml:space="preserve">spinach </t>
  </si>
  <si>
    <t xml:space="preserve">carrot </t>
  </si>
  <si>
    <t xml:space="preserve">tomato </t>
  </si>
  <si>
    <t xml:space="preserve">cucumber </t>
  </si>
  <si>
    <t xml:space="preserve">zukini </t>
  </si>
  <si>
    <t xml:space="preserve">egg plant </t>
  </si>
  <si>
    <t xml:space="preserve">green paprika </t>
  </si>
  <si>
    <t xml:space="preserve">yellow paprika </t>
  </si>
  <si>
    <t xml:space="preserve">red paprika </t>
  </si>
  <si>
    <t xml:space="preserve">asparagus </t>
  </si>
  <si>
    <t xml:space="preserve">mushroom shimeji </t>
  </si>
  <si>
    <t>edamame</t>
  </si>
  <si>
    <t xml:space="preserve">ice berg </t>
  </si>
  <si>
    <t xml:space="preserve">red rolorosa </t>
  </si>
  <si>
    <t xml:space="preserve">wild rocket </t>
  </si>
  <si>
    <t>romain letuce</t>
  </si>
  <si>
    <t xml:space="preserve">total </t>
  </si>
  <si>
    <t xml:space="preserve">HERB </t>
  </si>
  <si>
    <t xml:space="preserve">garlic </t>
  </si>
  <si>
    <t xml:space="preserve">shallot </t>
  </si>
  <si>
    <t xml:space="preserve">chilli big red </t>
  </si>
  <si>
    <t xml:space="preserve">chilli </t>
  </si>
  <si>
    <t xml:space="preserve">rosemary </t>
  </si>
  <si>
    <t xml:space="preserve">thyme </t>
  </si>
  <si>
    <t xml:space="preserve">dill </t>
  </si>
  <si>
    <t xml:space="preserve">spring onion </t>
  </si>
  <si>
    <t xml:space="preserve">leek </t>
  </si>
  <si>
    <t xml:space="preserve">FRUIT </t>
  </si>
  <si>
    <t xml:space="preserve">water melon </t>
  </si>
  <si>
    <t xml:space="preserve">avocado </t>
  </si>
  <si>
    <t xml:space="preserve">mango </t>
  </si>
  <si>
    <t xml:space="preserve">sunkis </t>
  </si>
  <si>
    <t xml:space="preserve">lemon </t>
  </si>
  <si>
    <t xml:space="preserve">apel green </t>
  </si>
  <si>
    <t xml:space="preserve">pineaple </t>
  </si>
  <si>
    <t>pcs</t>
  </si>
  <si>
    <t>Total</t>
  </si>
  <si>
    <t>Date: 31 august 2025</t>
  </si>
  <si>
    <t xml:space="preserve">GROCERIES </t>
  </si>
  <si>
    <t xml:space="preserve">nutella </t>
  </si>
  <si>
    <t xml:space="preserve">btl </t>
  </si>
  <si>
    <t xml:space="preserve">lady finger </t>
  </si>
  <si>
    <t xml:space="preserve">pack </t>
  </si>
  <si>
    <t>roma kelapa</t>
  </si>
  <si>
    <t xml:space="preserve">baking powder </t>
  </si>
  <si>
    <t xml:space="preserve">can </t>
  </si>
  <si>
    <t xml:space="preserve">slice almond </t>
  </si>
  <si>
    <t xml:space="preserve">milk powder </t>
  </si>
  <si>
    <t xml:space="preserve">sugar </t>
  </si>
  <si>
    <t xml:space="preserve">oster sauce </t>
  </si>
  <si>
    <t xml:space="preserve">coconut flakes </t>
  </si>
  <si>
    <t xml:space="preserve">cocoa powder </t>
  </si>
  <si>
    <t xml:space="preserve">cocolate powder </t>
  </si>
  <si>
    <t xml:space="preserve">brown sugar </t>
  </si>
  <si>
    <t>totole *500gr</t>
  </si>
  <si>
    <t>bread omprover</t>
  </si>
  <si>
    <t>tomato peal cirio 2,5kg</t>
  </si>
  <si>
    <t>salad oil 3liter</t>
  </si>
  <si>
    <t>oil pulm ( minyak goreng )</t>
  </si>
  <si>
    <t xml:space="preserve">liter </t>
  </si>
  <si>
    <t xml:space="preserve">baked bean </t>
  </si>
  <si>
    <t xml:space="preserve">black olive </t>
  </si>
  <si>
    <t xml:space="preserve">capers </t>
  </si>
  <si>
    <t xml:space="preserve">pikle cyuri </t>
  </si>
  <si>
    <t xml:space="preserve">vanilla esse </t>
  </si>
  <si>
    <t xml:space="preserve">mustard </t>
  </si>
  <si>
    <t xml:space="preserve">oregano </t>
  </si>
  <si>
    <t xml:space="preserve">mushroom powder </t>
  </si>
  <si>
    <t>garlic powder</t>
  </si>
  <si>
    <t xml:space="preserve">curry powder </t>
  </si>
  <si>
    <t xml:space="preserve">cinamon powder </t>
  </si>
  <si>
    <t xml:space="preserve">food clouring </t>
  </si>
  <si>
    <t xml:space="preserve">rice </t>
  </si>
  <si>
    <t xml:space="preserve">flour ( double zero ) </t>
  </si>
  <si>
    <t xml:space="preserve">flour ( segitiga ) </t>
  </si>
  <si>
    <t xml:space="preserve">flour ( cakra kembar ) </t>
  </si>
  <si>
    <t xml:space="preserve">maizena </t>
  </si>
  <si>
    <t xml:space="preserve">tapioka flour </t>
  </si>
  <si>
    <t xml:space="preserve">sesame dressing </t>
  </si>
  <si>
    <t xml:space="preserve">mayonaise kewpie </t>
  </si>
  <si>
    <t>butter</t>
  </si>
  <si>
    <t xml:space="preserve">jalapeno </t>
  </si>
  <si>
    <t xml:space="preserve">tortilla </t>
  </si>
  <si>
    <t xml:space="preserve">milk  </t>
  </si>
  <si>
    <t xml:space="preserve">peanut butter </t>
  </si>
  <si>
    <t>whip creme ( haan )</t>
  </si>
  <si>
    <t xml:space="preserve">santan </t>
  </si>
  <si>
    <t>semolina flour</t>
  </si>
  <si>
    <t xml:space="preserve">pasta fetuchinne </t>
  </si>
  <si>
    <t xml:space="preserve">pasta spaghetti </t>
  </si>
  <si>
    <t xml:space="preserve">pasta penne </t>
  </si>
  <si>
    <t xml:space="preserve">pasta spaghetti gluten free </t>
  </si>
  <si>
    <t xml:space="preserve">sauce chilli </t>
  </si>
  <si>
    <t xml:space="preserve">sauce tomato </t>
  </si>
  <si>
    <t xml:space="preserve">sauce bbq </t>
  </si>
  <si>
    <t xml:space="preserve">truffle oil </t>
  </si>
  <si>
    <t xml:space="preserve">sweet soya sauce </t>
  </si>
  <si>
    <t>sweet soya</t>
  </si>
  <si>
    <t xml:space="preserve">sesame oil </t>
  </si>
  <si>
    <t xml:space="preserve">oyster sauce </t>
  </si>
  <si>
    <t xml:space="preserve">balsamic </t>
  </si>
  <si>
    <t xml:space="preserve">vinaigrette ( dixi ) </t>
  </si>
  <si>
    <t xml:space="preserve">sauce bangkok </t>
  </si>
  <si>
    <t xml:space="preserve">honey </t>
  </si>
  <si>
    <t xml:space="preserve">tabascho </t>
  </si>
  <si>
    <t xml:space="preserve">olive oil </t>
  </si>
  <si>
    <t xml:space="preserve">white vinegar </t>
  </si>
  <si>
    <t xml:space="preserve">canolla oil </t>
  </si>
  <si>
    <t xml:space="preserve">l&amp;p </t>
  </si>
  <si>
    <t xml:space="preserve">brown rice </t>
  </si>
  <si>
    <t xml:space="preserve">baas mati rice </t>
  </si>
  <si>
    <t xml:space="preserve">yeast </t>
  </si>
  <si>
    <t xml:space="preserve">choco cip </t>
  </si>
  <si>
    <t xml:space="preserve">salt dolpin </t>
  </si>
  <si>
    <t xml:space="preserve">oat meal </t>
  </si>
  <si>
    <t xml:space="preserve">sesame seed black </t>
  </si>
  <si>
    <t xml:space="preserve">sesame seed white </t>
  </si>
  <si>
    <t xml:space="preserve">gelatin </t>
  </si>
  <si>
    <t xml:space="preserve">SEED AND NUTS </t>
  </si>
  <si>
    <t xml:space="preserve">chia seed </t>
  </si>
  <si>
    <t>white bean</t>
  </si>
  <si>
    <t xml:space="preserve">nuts ( kacang tanah ) </t>
  </si>
  <si>
    <t xml:space="preserve">cashew nuts </t>
  </si>
  <si>
    <t xml:space="preserve">black pepper </t>
  </si>
  <si>
    <t xml:space="preserve">granolla mix </t>
  </si>
  <si>
    <t xml:space="preserve">red bean </t>
  </si>
  <si>
    <t xml:space="preserve">pumkin seed </t>
  </si>
  <si>
    <t xml:space="preserve">GRAND TOTAL </t>
  </si>
  <si>
    <t xml:space="preserve">CHEESE </t>
  </si>
  <si>
    <t xml:space="preserve">parmesan blok </t>
  </si>
  <si>
    <t>feta cheese</t>
  </si>
  <si>
    <t>parmesan grated</t>
  </si>
  <si>
    <t xml:space="preserve">cottage cheese </t>
  </si>
  <si>
    <t xml:space="preserve">Brie cheese </t>
  </si>
  <si>
    <t>pack</t>
  </si>
  <si>
    <t xml:space="preserve">gorgonzolaa </t>
  </si>
  <si>
    <t xml:space="preserve">yellow cheedar cheese </t>
  </si>
  <si>
    <t xml:space="preserve">sour creme </t>
  </si>
  <si>
    <t xml:space="preserve">milk </t>
  </si>
  <si>
    <t xml:space="preserve">TOTAL </t>
  </si>
  <si>
    <t>Date: 17 may 2025</t>
  </si>
  <si>
    <t xml:space="preserve">MEAT AND POULTRY </t>
  </si>
  <si>
    <t xml:space="preserve">EGG </t>
  </si>
  <si>
    <t xml:space="preserve">chicken leg </t>
  </si>
  <si>
    <t xml:space="preserve">chicken breast </t>
  </si>
  <si>
    <t xml:space="preserve">chicken wing </t>
  </si>
  <si>
    <t xml:space="preserve">port </t>
  </si>
  <si>
    <t xml:space="preserve">chicken cutles </t>
  </si>
  <si>
    <t xml:space="preserve">rib eye </t>
  </si>
  <si>
    <t xml:space="preserve">strip loin </t>
  </si>
  <si>
    <t xml:space="preserve">beef petty </t>
  </si>
  <si>
    <t xml:space="preserve">tuna </t>
  </si>
  <si>
    <t>mahi - mahi</t>
  </si>
  <si>
    <t xml:space="preserve">tuna krudo </t>
  </si>
  <si>
    <t xml:space="preserve">squid cube </t>
  </si>
  <si>
    <t xml:space="preserve">prawn size 20 </t>
  </si>
  <si>
    <t xml:space="preserve">salmon </t>
  </si>
  <si>
    <t xml:space="preserve">anchofish </t>
  </si>
  <si>
    <t xml:space="preserve">bacon </t>
  </si>
  <si>
    <t xml:space="preserve">ham </t>
  </si>
  <si>
    <t>sausage</t>
  </si>
  <si>
    <t>BREAD</t>
  </si>
  <si>
    <t xml:space="preserve">BURGER BUN </t>
  </si>
  <si>
    <t xml:space="preserve">burger bun mini </t>
  </si>
  <si>
    <t xml:space="preserve">croisant </t>
  </si>
  <si>
    <t xml:space="preserve">sour dough </t>
  </si>
  <si>
    <t xml:space="preserve">loaf </t>
  </si>
  <si>
    <t xml:space="preserve">baquette </t>
  </si>
  <si>
    <t xml:space="preserve">gluten free baquette </t>
  </si>
  <si>
    <t xml:space="preserve">gluten free sourdough </t>
  </si>
  <si>
    <t xml:space="preserve">COOK FOOD </t>
  </si>
  <si>
    <t xml:space="preserve">Pear carmelized </t>
  </si>
  <si>
    <t xml:space="preserve">potato wedges </t>
  </si>
  <si>
    <t xml:space="preserve">potato mash </t>
  </si>
  <si>
    <t xml:space="preserve">potato sweet </t>
  </si>
  <si>
    <t xml:space="preserve">tomato concase </t>
  </si>
  <si>
    <t xml:space="preserve">creme sauce </t>
  </si>
  <si>
    <t xml:space="preserve">pumkin soup </t>
  </si>
  <si>
    <t xml:space="preserve">mushroom soup </t>
  </si>
  <si>
    <t>FF</t>
  </si>
  <si>
    <t xml:space="preserve">mix berry frozen </t>
  </si>
  <si>
    <t xml:space="preserve">strawberry frozen </t>
  </si>
  <si>
    <t xml:space="preserve">smooty bowl </t>
  </si>
  <si>
    <t xml:space="preserve">potato dumpling </t>
  </si>
  <si>
    <t xml:space="preserve">spinach dumpling </t>
  </si>
  <si>
    <t xml:space="preserve">berry dumpling </t>
  </si>
  <si>
    <t xml:space="preserve">falavel </t>
  </si>
  <si>
    <t xml:space="preserve">sirniky </t>
  </si>
  <si>
    <t xml:space="preserve">pcs </t>
  </si>
  <si>
    <t xml:space="preserve">cheese cake </t>
  </si>
  <si>
    <t xml:space="preserve">meat dumpling </t>
  </si>
  <si>
    <t>port</t>
  </si>
  <si>
    <t xml:space="preserve">green peas </t>
  </si>
  <si>
    <t xml:space="preserve">vegan brownies </t>
  </si>
  <si>
    <t xml:space="preserve">BOX TAKE AWAY </t>
  </si>
  <si>
    <t xml:space="preserve">OTHER </t>
  </si>
  <si>
    <t xml:space="preserve">take away pizza </t>
  </si>
  <si>
    <t xml:space="preserve">take away box size M </t>
  </si>
  <si>
    <t>take away box size L</t>
  </si>
  <si>
    <t>take away box size S</t>
  </si>
  <si>
    <t xml:space="preserve">sauce cup 100 ml </t>
  </si>
  <si>
    <t xml:space="preserve">take away bowl 1000ml </t>
  </si>
  <si>
    <t xml:space="preserve">take away bowl 650 ml </t>
  </si>
  <si>
    <t xml:space="preserve">TOTAL PARSTOCK  </t>
  </si>
  <si>
    <t xml:space="preserve">NO </t>
  </si>
  <si>
    <t xml:space="preserve">ITEM </t>
  </si>
  <si>
    <t xml:space="preserve">REMARK </t>
  </si>
  <si>
    <t>CHEESE</t>
  </si>
  <si>
    <t xml:space="preserve">MEAT &amp; POULTRY </t>
  </si>
  <si>
    <t xml:space="preserve">BREAD </t>
  </si>
  <si>
    <t xml:space="preserve">COOKED FOOD </t>
  </si>
  <si>
    <t xml:space="preserve">TAKE AWAY BOX </t>
  </si>
  <si>
    <t xml:space="preserve">GAS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</si>
</sst>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_-[$Rp-3809]* #,##0.00_-;\-[$Rp-3809]* #,##0.00_-;_-[$Rp-3809]* &quot;-&quot;??_-;_-@_-"/>
  </numFmts>
  <fonts count="24">
    <font>
      <sz val="11"/>
      <color theme="1"/>
      <name val="Calibri"/>
      <charset val="134"/>
      <scheme val="minor"/>
    </font>
    <font>
      <sz val="12"/>
      <color theme="1"/>
      <name val="黑体"/>
      <charset val="134"/>
    </font>
    <font>
      <sz val="24"/>
      <color theme="1"/>
      <name val="Arial"/>
      <charset val="134"/>
    </font>
    <font>
      <sz val="12"/>
      <color theme="1"/>
      <name val="Arial"/>
      <charset val="134"/>
    </font>
    <font>
      <b/>
      <sz val="12"/>
      <color theme="1"/>
      <name val="黑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 tint="0.25"/>
      </left>
      <right style="dashed">
        <color theme="0" tint="-0.5"/>
      </right>
      <top/>
      <bottom style="dashed">
        <color theme="0" tint="-0.5"/>
      </bottom>
      <diagonal/>
    </border>
    <border>
      <left style="dashed">
        <color theme="0" tint="-0.5"/>
      </left>
      <right style="dashed">
        <color theme="0" tint="-0.5"/>
      </right>
      <top/>
      <bottom style="dashed">
        <color theme="0" tint="-0.5"/>
      </bottom>
      <diagonal/>
    </border>
    <border>
      <left style="dashed">
        <color theme="0" tint="-0.5"/>
      </left>
      <right style="medium">
        <color theme="1" tint="0.25"/>
      </right>
      <top/>
      <bottom style="dashed">
        <color theme="0" tint="-0.5"/>
      </bottom>
      <diagonal/>
    </border>
    <border>
      <left style="medium">
        <color theme="1" tint="0.2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dashed">
        <color theme="0" tint="-0.5"/>
      </left>
      <right style="medium">
        <color theme="1" tint="0.25"/>
      </right>
      <top style="dashed">
        <color theme="0" tint="-0.5"/>
      </top>
      <bottom style="dashed">
        <color theme="0" tint="-0.5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1" tint="0.25"/>
      </left>
      <right/>
      <top style="dashed">
        <color theme="0" tint="-0.5"/>
      </top>
      <bottom style="medium">
        <color theme="1" tint="0.25"/>
      </bottom>
      <diagonal/>
    </border>
    <border>
      <left/>
      <right style="dashed">
        <color theme="0" tint="-0.5"/>
      </right>
      <top style="dashed">
        <color theme="0" tint="-0.5"/>
      </top>
      <bottom style="medium">
        <color theme="1" tint="0.25"/>
      </bottom>
      <diagonal/>
    </border>
    <border>
      <left/>
      <right/>
      <top style="dashed">
        <color theme="0" tint="-0.5"/>
      </top>
      <bottom style="medium">
        <color theme="1" tint="0.25"/>
      </bottom>
      <diagonal/>
    </border>
    <border>
      <left/>
      <right style="medium">
        <color theme="1" tint="0.25"/>
      </right>
      <top style="dashed">
        <color theme="0" tint="-0.5"/>
      </top>
      <bottom style="medium">
        <color theme="1" tint="0.25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/>
      <diagonal/>
    </border>
    <border>
      <left style="dashed">
        <color theme="0" tint="-0.5"/>
      </left>
      <right style="medium">
        <color theme="1" tint="0.25"/>
      </right>
      <top style="dashed">
        <color theme="0" tint="-0.5"/>
      </top>
      <bottom/>
      <diagonal/>
    </border>
    <border>
      <left style="medium">
        <color theme="1" tint="0.25"/>
      </left>
      <right/>
      <top/>
      <bottom style="dashed">
        <color theme="0" tint="-0.5"/>
      </bottom>
      <diagonal/>
    </border>
    <border>
      <left/>
      <right/>
      <top/>
      <bottom style="dashed">
        <color theme="0" tint="-0.5"/>
      </bottom>
      <diagonal/>
    </border>
    <border>
      <left/>
      <right style="medium">
        <color theme="1" tint="0.25"/>
      </right>
      <top/>
      <bottom style="dashed">
        <color theme="0" tint="-0.5"/>
      </bottom>
      <diagonal/>
    </border>
    <border>
      <left style="medium">
        <color theme="1" tint="0.25"/>
      </left>
      <right style="dashed">
        <color theme="0" tint="-0.5"/>
      </right>
      <top style="medium">
        <color theme="1" tint="0.25"/>
      </top>
      <bottom style="dashed">
        <color theme="0" tint="-0.5"/>
      </bottom>
      <diagonal/>
    </border>
    <border>
      <left style="dashed">
        <color theme="0" tint="-0.5"/>
      </left>
      <right style="dashed">
        <color theme="0" tint="-0.5"/>
      </right>
      <top style="medium">
        <color theme="1" tint="0.25"/>
      </top>
      <bottom style="dashed">
        <color theme="0" tint="-0.5"/>
      </bottom>
      <diagonal/>
    </border>
    <border>
      <left style="dashed">
        <color theme="0" tint="-0.5"/>
      </left>
      <right style="medium">
        <color theme="1" tint="0.25"/>
      </right>
      <top style="medium">
        <color theme="1" tint="0.25"/>
      </top>
      <bottom style="dashed">
        <color theme="0" tint="-0.5"/>
      </bottom>
      <diagonal/>
    </border>
    <border>
      <left style="medium">
        <color theme="1" tint="0.25"/>
      </left>
      <right/>
      <top style="dashed">
        <color theme="0" tint="-0.5"/>
      </top>
      <bottom style="dashed">
        <color theme="0" tint="-0.5"/>
      </bottom>
      <diagonal/>
    </border>
    <border>
      <left/>
      <right/>
      <top style="dashed">
        <color theme="0" tint="-0.5"/>
      </top>
      <bottom style="dashed">
        <color theme="0" tint="-0.5"/>
      </bottom>
      <diagonal/>
    </border>
    <border>
      <left/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medium">
        <color theme="1" tint="0.25"/>
      </left>
      <right style="dashed">
        <color theme="0" tint="-0.5"/>
      </right>
      <top style="dashed">
        <color theme="0" tint="-0.5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dashed">
        <color theme="0" tint="-0.5"/>
      </left>
      <right style="dashed">
        <color theme="0" tint="-0.5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theme="1" tint="0.2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4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9" applyNumberFormat="0" applyFill="0" applyAlignment="0" applyProtection="0">
      <alignment vertical="center"/>
    </xf>
    <xf numFmtId="0" fontId="11" fillId="0" borderId="49" applyNumberFormat="0" applyFill="0" applyAlignment="0" applyProtection="0">
      <alignment vertical="center"/>
    </xf>
    <xf numFmtId="0" fontId="12" fillId="0" borderId="5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1" applyNumberFormat="0" applyAlignment="0" applyProtection="0">
      <alignment vertical="center"/>
    </xf>
    <xf numFmtId="0" fontId="14" fillId="4" borderId="52" applyNumberFormat="0" applyAlignment="0" applyProtection="0">
      <alignment vertical="center"/>
    </xf>
    <xf numFmtId="0" fontId="15" fillId="4" borderId="51" applyNumberFormat="0" applyAlignment="0" applyProtection="0">
      <alignment vertical="center"/>
    </xf>
    <xf numFmtId="0" fontId="16" fillId="5" borderId="53" applyNumberFormat="0" applyAlignment="0" applyProtection="0">
      <alignment vertical="center"/>
    </xf>
    <xf numFmtId="0" fontId="17" fillId="0" borderId="54" applyNumberFormat="0" applyFill="0" applyAlignment="0" applyProtection="0">
      <alignment vertical="center"/>
    </xf>
    <xf numFmtId="0" fontId="18" fillId="0" borderId="55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0" borderId="19" xfId="0" applyNumberFormat="1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4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vertical="center"/>
    </xf>
    <xf numFmtId="0" fontId="3" fillId="0" borderId="5" xfId="0" applyNumberFormat="1" applyFont="1" applyBorder="1" applyAlignment="1">
      <alignment horizontal="center" vertical="center"/>
    </xf>
    <xf numFmtId="0" fontId="3" fillId="0" borderId="8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1" fillId="0" borderId="39" xfId="0" applyNumberFormat="1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0" fontId="1" fillId="0" borderId="42" xfId="0" applyNumberFormat="1" applyFont="1" applyBorder="1" applyAlignment="1">
      <alignment horizontal="center" vertical="center"/>
    </xf>
    <xf numFmtId="0" fontId="1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5" xfId="0" applyNumberFormat="1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4" fillId="0" borderId="33" xfId="0" applyNumberFormat="1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3" fillId="0" borderId="30" xfId="0" applyNumberFormat="1" applyFont="1" applyBorder="1" applyAlignment="1">
      <alignment horizontal="center" vertical="center"/>
    </xf>
    <xf numFmtId="180" fontId="1" fillId="0" borderId="19" xfId="0" applyNumberFormat="1" applyFont="1" applyBorder="1" applyAlignment="1">
      <alignment horizontal="center" vertical="center"/>
    </xf>
    <xf numFmtId="180" fontId="1" fillId="0" borderId="20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showGridLines="0" showZeros="0" tabSelected="1" zoomScale="115" zoomScaleNormal="115" topLeftCell="A46" workbookViewId="0">
      <selection activeCell="B40" sqref="B40:B46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1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52"/>
      <c r="F1" s="6"/>
      <c r="G1" s="6"/>
    </row>
    <row r="2" ht="40" customHeight="1" spans="1:7">
      <c r="A2" s="7" t="s">
        <v>1</v>
      </c>
      <c r="B2" s="7"/>
      <c r="C2" s="7"/>
      <c r="D2" s="6"/>
      <c r="E2" s="52"/>
      <c r="F2" s="6"/>
      <c r="G2" s="6"/>
    </row>
    <row r="3" customHeight="1" spans="1:7">
      <c r="A3" s="8" t="s">
        <v>2</v>
      </c>
      <c r="B3" s="8"/>
      <c r="C3" s="34" t="s">
        <v>3</v>
      </c>
      <c r="D3" s="34"/>
      <c r="E3" s="53"/>
      <c r="F3" s="10"/>
      <c r="G3" s="10"/>
    </row>
    <row r="4" customHeight="1" spans="1:7">
      <c r="A4" s="11" t="s">
        <v>4</v>
      </c>
      <c r="B4" s="12"/>
      <c r="C4" s="12"/>
      <c r="D4" s="12"/>
      <c r="E4" s="54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5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12</v>
      </c>
      <c r="C6" s="18" t="s">
        <v>13</v>
      </c>
      <c r="D6" s="18">
        <v>8</v>
      </c>
      <c r="E6" s="56">
        <v>25000</v>
      </c>
      <c r="F6" s="18">
        <f t="shared" ref="F6:F16" si="0">(D6*E6)</f>
        <v>200000</v>
      </c>
      <c r="G6" s="19"/>
    </row>
    <row r="7" customHeight="1" spans="1:7">
      <c r="A7" s="20">
        <v>2</v>
      </c>
      <c r="B7" s="21" t="s">
        <v>14</v>
      </c>
      <c r="C7" s="21" t="s">
        <v>13</v>
      </c>
      <c r="D7" s="21">
        <v>8</v>
      </c>
      <c r="E7" s="57">
        <v>10000</v>
      </c>
      <c r="F7" s="18">
        <f t="shared" si="0"/>
        <v>80000</v>
      </c>
      <c r="G7" s="22"/>
    </row>
    <row r="8" customHeight="1" spans="1:7">
      <c r="A8" s="20">
        <v>3</v>
      </c>
      <c r="B8" s="21" t="s">
        <v>15</v>
      </c>
      <c r="C8" s="21" t="s">
        <v>16</v>
      </c>
      <c r="D8" s="21">
        <v>3</v>
      </c>
      <c r="E8" s="57">
        <v>40000</v>
      </c>
      <c r="F8" s="18">
        <f t="shared" si="0"/>
        <v>120000</v>
      </c>
      <c r="G8" s="22"/>
    </row>
    <row r="9" customHeight="1" spans="1:7">
      <c r="A9" s="20">
        <v>4</v>
      </c>
      <c r="B9" s="21" t="s">
        <v>17</v>
      </c>
      <c r="C9" s="21" t="s">
        <v>13</v>
      </c>
      <c r="D9" s="21">
        <v>1</v>
      </c>
      <c r="E9" s="57">
        <v>140000</v>
      </c>
      <c r="F9" s="18">
        <f t="shared" si="0"/>
        <v>140000</v>
      </c>
      <c r="G9" s="22"/>
    </row>
    <row r="10" customHeight="1" spans="1:7">
      <c r="A10" s="20">
        <v>5</v>
      </c>
      <c r="B10" s="21" t="s">
        <v>18</v>
      </c>
      <c r="C10" s="21" t="s">
        <v>13</v>
      </c>
      <c r="D10" s="21">
        <v>1</v>
      </c>
      <c r="E10" s="57">
        <v>25000</v>
      </c>
      <c r="F10" s="18">
        <f t="shared" si="0"/>
        <v>25000</v>
      </c>
      <c r="G10" s="22"/>
    </row>
    <row r="11" customHeight="1" spans="1:7">
      <c r="A11" s="20">
        <v>6</v>
      </c>
      <c r="B11" s="21" t="s">
        <v>19</v>
      </c>
      <c r="C11" s="21" t="s">
        <v>13</v>
      </c>
      <c r="D11" s="21">
        <v>0.7</v>
      </c>
      <c r="E11" s="57">
        <v>20000</v>
      </c>
      <c r="F11" s="18">
        <f t="shared" si="0"/>
        <v>14000</v>
      </c>
      <c r="G11" s="22"/>
    </row>
    <row r="12" customHeight="1" spans="1:7">
      <c r="A12" s="20">
        <v>7</v>
      </c>
      <c r="B12" s="21" t="s">
        <v>20</v>
      </c>
      <c r="C12" s="21" t="s">
        <v>13</v>
      </c>
      <c r="D12" s="21">
        <v>2</v>
      </c>
      <c r="E12" s="57">
        <v>12000</v>
      </c>
      <c r="F12" s="18">
        <f t="shared" si="0"/>
        <v>24000</v>
      </c>
      <c r="G12" s="22"/>
    </row>
    <row r="13" customHeight="1" spans="1:7">
      <c r="A13" s="20">
        <v>8</v>
      </c>
      <c r="B13" s="21" t="s">
        <v>21</v>
      </c>
      <c r="C13" s="21" t="s">
        <v>13</v>
      </c>
      <c r="D13" s="21">
        <v>1.5</v>
      </c>
      <c r="E13" s="57">
        <v>65000</v>
      </c>
      <c r="F13" s="18">
        <f t="shared" si="0"/>
        <v>97500</v>
      </c>
      <c r="G13" s="22"/>
    </row>
    <row r="14" customHeight="1" spans="1:7">
      <c r="A14" s="20">
        <v>9</v>
      </c>
      <c r="B14" s="21" t="s">
        <v>22</v>
      </c>
      <c r="C14" s="21" t="s">
        <v>13</v>
      </c>
      <c r="D14" s="21">
        <v>2</v>
      </c>
      <c r="E14" s="57">
        <v>15000</v>
      </c>
      <c r="F14" s="18">
        <f t="shared" si="0"/>
        <v>30000</v>
      </c>
      <c r="G14" s="22"/>
    </row>
    <row r="15" customHeight="1" spans="1:7">
      <c r="A15" s="20"/>
      <c r="B15" s="21" t="s">
        <v>23</v>
      </c>
      <c r="C15" s="21" t="s">
        <v>16</v>
      </c>
      <c r="D15" s="21">
        <v>2</v>
      </c>
      <c r="E15" s="57">
        <v>65000</v>
      </c>
      <c r="F15" s="18">
        <f t="shared" si="0"/>
        <v>130000</v>
      </c>
      <c r="G15" s="22"/>
    </row>
    <row r="16" customHeight="1" spans="1:7">
      <c r="A16" s="20"/>
      <c r="B16" s="21" t="s">
        <v>24</v>
      </c>
      <c r="C16" s="21" t="s">
        <v>16</v>
      </c>
      <c r="D16" s="21">
        <v>1</v>
      </c>
      <c r="E16" s="57">
        <v>100000</v>
      </c>
      <c r="F16" s="18">
        <f t="shared" si="0"/>
        <v>100000</v>
      </c>
      <c r="G16" s="22"/>
    </row>
    <row r="17" customHeight="1" spans="1:7">
      <c r="A17" s="20">
        <v>10</v>
      </c>
      <c r="B17" s="21" t="s">
        <v>25</v>
      </c>
      <c r="C17" s="21" t="s">
        <v>13</v>
      </c>
      <c r="D17" s="21">
        <v>1</v>
      </c>
      <c r="E17" s="57">
        <v>75000</v>
      </c>
      <c r="F17" s="18">
        <f t="shared" ref="F17:F29" si="1">(D17*E17)</f>
        <v>75000</v>
      </c>
      <c r="G17" s="22"/>
    </row>
    <row r="18" customHeight="1" spans="1:7">
      <c r="A18" s="20">
        <v>11</v>
      </c>
      <c r="B18" s="21" t="s">
        <v>26</v>
      </c>
      <c r="C18" s="21" t="s">
        <v>13</v>
      </c>
      <c r="D18" s="21">
        <v>1</v>
      </c>
      <c r="E18" s="57">
        <v>125000</v>
      </c>
      <c r="F18" s="18">
        <f t="shared" si="1"/>
        <v>125000</v>
      </c>
      <c r="G18" s="22"/>
    </row>
    <row r="19" customHeight="1" spans="1:7">
      <c r="A19" s="20">
        <v>12</v>
      </c>
      <c r="B19" s="21" t="s">
        <v>27</v>
      </c>
      <c r="C19" s="21" t="s">
        <v>13</v>
      </c>
      <c r="D19" s="21">
        <v>0.75</v>
      </c>
      <c r="E19" s="57">
        <v>45000</v>
      </c>
      <c r="F19" s="18">
        <f t="shared" si="1"/>
        <v>33750</v>
      </c>
      <c r="G19" s="22"/>
    </row>
    <row r="20" customHeight="1" spans="1:7">
      <c r="A20" s="20">
        <v>13</v>
      </c>
      <c r="B20" s="21" t="s">
        <v>28</v>
      </c>
      <c r="C20" s="21" t="s">
        <v>13</v>
      </c>
      <c r="D20" s="21">
        <v>1</v>
      </c>
      <c r="E20" s="57">
        <v>28000</v>
      </c>
      <c r="F20" s="18">
        <f t="shared" si="1"/>
        <v>28000</v>
      </c>
      <c r="G20" s="22"/>
    </row>
    <row r="21" customHeight="1" spans="1:7">
      <c r="A21" s="20">
        <v>15</v>
      </c>
      <c r="B21" s="21" t="s">
        <v>29</v>
      </c>
      <c r="C21" s="21" t="s">
        <v>16</v>
      </c>
      <c r="D21" s="21">
        <v>1</v>
      </c>
      <c r="E21" s="57">
        <v>95000</v>
      </c>
      <c r="F21" s="18">
        <f t="shared" si="1"/>
        <v>95000</v>
      </c>
      <c r="G21" s="22"/>
    </row>
    <row r="22" customHeight="1" spans="1:7">
      <c r="A22" s="20">
        <v>16</v>
      </c>
      <c r="B22" s="21" t="s">
        <v>30</v>
      </c>
      <c r="C22" s="21" t="s">
        <v>13</v>
      </c>
      <c r="D22" s="21">
        <v>0.3</v>
      </c>
      <c r="E22" s="57">
        <v>350000</v>
      </c>
      <c r="F22" s="18">
        <f t="shared" si="1"/>
        <v>105000</v>
      </c>
      <c r="G22" s="22"/>
    </row>
    <row r="23" customHeight="1" spans="1:7">
      <c r="A23" s="58">
        <v>17</v>
      </c>
      <c r="B23" s="35" t="s">
        <v>31</v>
      </c>
      <c r="C23" s="35" t="s">
        <v>13</v>
      </c>
      <c r="D23" s="35">
        <v>0.5</v>
      </c>
      <c r="E23" s="59">
        <v>150000</v>
      </c>
      <c r="F23" s="18">
        <f t="shared" si="1"/>
        <v>75000</v>
      </c>
      <c r="G23" s="36"/>
    </row>
    <row r="24" customHeight="1" spans="1:7">
      <c r="A24" s="23">
        <v>18</v>
      </c>
      <c r="B24" s="23" t="s">
        <v>32</v>
      </c>
      <c r="C24" s="23" t="s">
        <v>13</v>
      </c>
      <c r="D24" s="23">
        <v>0.5</v>
      </c>
      <c r="E24" s="29">
        <v>65000</v>
      </c>
      <c r="F24" s="18">
        <f t="shared" si="1"/>
        <v>32500</v>
      </c>
      <c r="G24" s="23"/>
    </row>
    <row r="25" customHeight="1" spans="1:7">
      <c r="A25" s="60" t="s">
        <v>33</v>
      </c>
      <c r="B25" s="61"/>
      <c r="C25" s="61"/>
      <c r="D25" s="61"/>
      <c r="E25" s="62"/>
      <c r="F25" s="63">
        <f>SUM(F6:F24)</f>
        <v>1529750</v>
      </c>
      <c r="G25" s="64"/>
    </row>
    <row r="26" customHeight="1" spans="1:7">
      <c r="A26" s="65" t="s">
        <v>34</v>
      </c>
      <c r="B26" s="66"/>
      <c r="C26" s="66"/>
      <c r="D26" s="66"/>
      <c r="E26" s="67"/>
      <c r="F26" s="66"/>
      <c r="G26" s="68"/>
    </row>
    <row r="27" customHeight="1" spans="1:7">
      <c r="A27" s="69" t="s">
        <v>5</v>
      </c>
      <c r="B27" s="70" t="s">
        <v>6</v>
      </c>
      <c r="C27" s="70" t="s">
        <v>7</v>
      </c>
      <c r="D27" s="70" t="s">
        <v>8</v>
      </c>
      <c r="E27" s="71" t="s">
        <v>9</v>
      </c>
      <c r="F27" s="70" t="s">
        <v>10</v>
      </c>
      <c r="G27" s="72" t="s">
        <v>11</v>
      </c>
    </row>
    <row r="28" customHeight="1" spans="1:7">
      <c r="A28" s="17">
        <v>1</v>
      </c>
      <c r="B28" s="18" t="s">
        <v>35</v>
      </c>
      <c r="C28" s="18" t="s">
        <v>16</v>
      </c>
      <c r="D28" s="18">
        <v>0.5</v>
      </c>
      <c r="E28" s="56">
        <v>65000</v>
      </c>
      <c r="F28" s="18">
        <f>(D28*E28)</f>
        <v>32500</v>
      </c>
      <c r="G28" s="19"/>
    </row>
    <row r="29" customHeight="1" spans="1:7">
      <c r="A29" s="20">
        <v>2</v>
      </c>
      <c r="B29" s="21" t="s">
        <v>36</v>
      </c>
      <c r="C29" s="21" t="s">
        <v>16</v>
      </c>
      <c r="D29" s="21">
        <v>0.5</v>
      </c>
      <c r="E29" s="57">
        <v>65000</v>
      </c>
      <c r="F29" s="21">
        <f t="shared" ref="F29:F43" si="2">(D29*E29)</f>
        <v>32500</v>
      </c>
      <c r="G29" s="22"/>
    </row>
    <row r="30" customHeight="1" spans="1:7">
      <c r="A30" s="20">
        <v>3</v>
      </c>
      <c r="B30" s="21" t="s">
        <v>37</v>
      </c>
      <c r="C30" s="21" t="s">
        <v>13</v>
      </c>
      <c r="D30" s="21">
        <v>0.2</v>
      </c>
      <c r="E30" s="57">
        <v>90000</v>
      </c>
      <c r="F30" s="21">
        <f t="shared" si="2"/>
        <v>18000</v>
      </c>
      <c r="G30" s="22"/>
    </row>
    <row r="31" customHeight="1" spans="1:7">
      <c r="A31" s="20">
        <v>4</v>
      </c>
      <c r="B31" s="21" t="s">
        <v>38</v>
      </c>
      <c r="C31" s="21" t="s">
        <v>13</v>
      </c>
      <c r="D31" s="21">
        <v>0.15</v>
      </c>
      <c r="E31" s="57">
        <v>100000</v>
      </c>
      <c r="F31" s="21">
        <f t="shared" si="2"/>
        <v>15000</v>
      </c>
      <c r="G31" s="22"/>
    </row>
    <row r="32" customHeight="1" spans="1:7">
      <c r="A32" s="20">
        <v>5</v>
      </c>
      <c r="B32" s="21" t="s">
        <v>39</v>
      </c>
      <c r="C32" s="21" t="s">
        <v>13</v>
      </c>
      <c r="D32" s="21">
        <v>0.13</v>
      </c>
      <c r="E32" s="57">
        <v>200000</v>
      </c>
      <c r="F32" s="21">
        <f t="shared" si="2"/>
        <v>26000</v>
      </c>
      <c r="G32" s="22"/>
    </row>
    <row r="33" customHeight="1" spans="1:7">
      <c r="A33" s="20">
        <v>6</v>
      </c>
      <c r="B33" s="21" t="s">
        <v>40</v>
      </c>
      <c r="C33" s="21" t="s">
        <v>13</v>
      </c>
      <c r="D33" s="21">
        <v>0.1</v>
      </c>
      <c r="E33" s="57">
        <v>130000</v>
      </c>
      <c r="F33" s="21">
        <f t="shared" si="2"/>
        <v>13000</v>
      </c>
      <c r="G33" s="22"/>
    </row>
    <row r="34" customHeight="1" spans="1:7">
      <c r="A34" s="20">
        <v>7</v>
      </c>
      <c r="B34" s="21" t="s">
        <v>41</v>
      </c>
      <c r="C34" s="21" t="s">
        <v>13</v>
      </c>
      <c r="D34" s="21">
        <v>0.1</v>
      </c>
      <c r="E34" s="57">
        <v>80000</v>
      </c>
      <c r="F34" s="21">
        <f t="shared" si="2"/>
        <v>8000</v>
      </c>
      <c r="G34" s="22"/>
    </row>
    <row r="35" customHeight="1" spans="1:7">
      <c r="A35" s="20">
        <v>8</v>
      </c>
      <c r="B35" s="21" t="s">
        <v>42</v>
      </c>
      <c r="C35" s="21" t="s">
        <v>13</v>
      </c>
      <c r="D35" s="21">
        <v>0.1</v>
      </c>
      <c r="E35" s="57">
        <v>60000</v>
      </c>
      <c r="F35" s="21">
        <f t="shared" si="2"/>
        <v>6000</v>
      </c>
      <c r="G35" s="22"/>
    </row>
    <row r="36" customHeight="1" spans="1:7">
      <c r="A36" s="20">
        <v>9</v>
      </c>
      <c r="B36" s="21" t="s">
        <v>43</v>
      </c>
      <c r="C36" s="21" t="s">
        <v>13</v>
      </c>
      <c r="D36" s="21">
        <v>0.1</v>
      </c>
      <c r="E36" s="57">
        <v>25000</v>
      </c>
      <c r="F36" s="21">
        <f t="shared" si="2"/>
        <v>2500</v>
      </c>
      <c r="G36" s="22"/>
    </row>
    <row r="37" customHeight="1" spans="1:7">
      <c r="A37" s="46" t="s">
        <v>33</v>
      </c>
      <c r="B37" s="47"/>
      <c r="C37" s="47"/>
      <c r="D37" s="47"/>
      <c r="E37" s="48"/>
      <c r="F37" s="49">
        <f>SUM(F28:F36)</f>
        <v>153500</v>
      </c>
      <c r="G37" s="50"/>
    </row>
    <row r="38" customHeight="1" spans="1:7">
      <c r="A38" s="46" t="s">
        <v>44</v>
      </c>
      <c r="B38" s="47"/>
      <c r="C38" s="47"/>
      <c r="D38" s="47"/>
      <c r="E38" s="73"/>
      <c r="F38" s="47"/>
      <c r="G38" s="74"/>
    </row>
    <row r="39" customHeight="1" spans="1:7">
      <c r="A39" s="43" t="s">
        <v>5</v>
      </c>
      <c r="B39" s="44" t="s">
        <v>6</v>
      </c>
      <c r="C39" s="44" t="s">
        <v>7</v>
      </c>
      <c r="D39" s="44" t="s">
        <v>8</v>
      </c>
      <c r="E39" s="75" t="s">
        <v>9</v>
      </c>
      <c r="F39" s="44" t="s">
        <v>10</v>
      </c>
      <c r="G39" s="45" t="s">
        <v>11</v>
      </c>
    </row>
    <row r="40" customHeight="1" spans="1:7">
      <c r="A40" s="20">
        <v>1</v>
      </c>
      <c r="B40" s="21" t="s">
        <v>45</v>
      </c>
      <c r="C40" s="21" t="s">
        <v>13</v>
      </c>
      <c r="D40" s="21">
        <v>15</v>
      </c>
      <c r="E40" s="57">
        <v>15000</v>
      </c>
      <c r="F40" s="21">
        <f>(E40*D40)</f>
        <v>225000</v>
      </c>
      <c r="G40" s="22"/>
    </row>
    <row r="41" customHeight="1" spans="1:7">
      <c r="A41" s="20">
        <v>2</v>
      </c>
      <c r="B41" s="21" t="s">
        <v>46</v>
      </c>
      <c r="C41" s="21" t="s">
        <v>16</v>
      </c>
      <c r="D41" s="21">
        <v>2</v>
      </c>
      <c r="E41" s="57">
        <v>40000</v>
      </c>
      <c r="F41" s="21">
        <f t="shared" ref="F41:F55" si="3">(E41*D41)</f>
        <v>80000</v>
      </c>
      <c r="G41" s="22"/>
    </row>
    <row r="42" customHeight="1" spans="1:7">
      <c r="A42" s="20">
        <v>3</v>
      </c>
      <c r="B42" s="21" t="s">
        <v>47</v>
      </c>
      <c r="C42" s="21" t="s">
        <v>16</v>
      </c>
      <c r="D42" s="21">
        <v>2</v>
      </c>
      <c r="E42" s="57">
        <v>65000</v>
      </c>
      <c r="F42" s="21">
        <f t="shared" si="3"/>
        <v>130000</v>
      </c>
      <c r="G42" s="22"/>
    </row>
    <row r="43" customHeight="1" spans="1:7">
      <c r="A43" s="20">
        <v>4</v>
      </c>
      <c r="B43" s="21" t="s">
        <v>48</v>
      </c>
      <c r="C43" s="21" t="s">
        <v>13</v>
      </c>
      <c r="D43" s="21">
        <v>1</v>
      </c>
      <c r="E43" s="57">
        <v>35000</v>
      </c>
      <c r="F43" s="21">
        <f t="shared" si="3"/>
        <v>35000</v>
      </c>
      <c r="G43" s="22"/>
    </row>
    <row r="44" customHeight="1" spans="1:7">
      <c r="A44" s="20">
        <v>5</v>
      </c>
      <c r="B44" s="21" t="s">
        <v>49</v>
      </c>
      <c r="C44" s="21" t="s">
        <v>13</v>
      </c>
      <c r="D44" s="21">
        <v>1</v>
      </c>
      <c r="E44" s="57">
        <v>35000</v>
      </c>
      <c r="F44" s="21">
        <f t="shared" si="3"/>
        <v>35000</v>
      </c>
      <c r="G44" s="22"/>
    </row>
    <row r="45" customHeight="1" spans="1:7">
      <c r="A45" s="20">
        <v>6</v>
      </c>
      <c r="B45" s="21" t="s">
        <v>50</v>
      </c>
      <c r="C45" s="21" t="s">
        <v>13</v>
      </c>
      <c r="D45" s="21">
        <v>0.8</v>
      </c>
      <c r="E45" s="57">
        <v>35000</v>
      </c>
      <c r="F45" s="21">
        <f t="shared" si="3"/>
        <v>28000</v>
      </c>
      <c r="G45" s="22"/>
    </row>
    <row r="46" customHeight="1" spans="1:7">
      <c r="A46" s="20">
        <v>7</v>
      </c>
      <c r="B46" s="21" t="s">
        <v>51</v>
      </c>
      <c r="C46" s="21" t="s">
        <v>52</v>
      </c>
      <c r="D46" s="21">
        <v>4</v>
      </c>
      <c r="E46" s="57">
        <v>12000</v>
      </c>
      <c r="F46" s="21">
        <f t="shared" si="3"/>
        <v>48000</v>
      </c>
      <c r="G46" s="22"/>
    </row>
    <row r="47" customHeight="1" spans="1:7">
      <c r="A47" s="20"/>
      <c r="B47" s="21"/>
      <c r="C47" s="21"/>
      <c r="D47" s="21"/>
      <c r="E47" s="57"/>
      <c r="F47" s="21">
        <f t="shared" si="3"/>
        <v>0</v>
      </c>
      <c r="G47" s="22"/>
    </row>
    <row r="48" customHeight="1" spans="1:7">
      <c r="A48" s="20"/>
      <c r="B48" s="21"/>
      <c r="C48" s="21"/>
      <c r="D48" s="21"/>
      <c r="E48" s="57"/>
      <c r="F48" s="21">
        <f t="shared" si="3"/>
        <v>0</v>
      </c>
      <c r="G48" s="22"/>
    </row>
    <row r="49" customHeight="1" spans="1:7">
      <c r="A49" s="46" t="s">
        <v>33</v>
      </c>
      <c r="B49" s="47"/>
      <c r="C49" s="47"/>
      <c r="D49" s="47"/>
      <c r="E49" s="48"/>
      <c r="F49" s="57">
        <f>SUM(F40:F46)</f>
        <v>581000</v>
      </c>
      <c r="G49" s="22"/>
    </row>
    <row r="51" customHeight="1" spans="1:7">
      <c r="A51" s="24" t="s">
        <v>53</v>
      </c>
      <c r="B51" s="25"/>
      <c r="C51" s="76">
        <f>SUM(F49,F37,F25)</f>
        <v>2264250</v>
      </c>
      <c r="D51" s="76"/>
      <c r="E51" s="76"/>
      <c r="F51" s="76"/>
      <c r="G51" s="77"/>
    </row>
  </sheetData>
  <mergeCells count="11">
    <mergeCell ref="A1:G1"/>
    <mergeCell ref="A3:B3"/>
    <mergeCell ref="F3:G3"/>
    <mergeCell ref="A4:G4"/>
    <mergeCell ref="A25:E25"/>
    <mergeCell ref="A26:G26"/>
    <mergeCell ref="A37:E37"/>
    <mergeCell ref="A38:G38"/>
    <mergeCell ref="A49:E49"/>
    <mergeCell ref="A51:B51"/>
    <mergeCell ref="C51:G5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3"/>
  <sheetViews>
    <sheetView showGridLines="0" showZeros="0" zoomScale="115" zoomScaleNormal="115" workbookViewId="0">
      <selection activeCell="D95" sqref="D95"/>
    </sheetView>
  </sheetViews>
  <sheetFormatPr defaultColWidth="10.6285714285714" defaultRowHeight="30" customHeight="1" outlineLevelCol="6"/>
  <cols>
    <col min="1" max="1" width="11.2857142857143" style="5" customWidth="1"/>
    <col min="2" max="2" width="31.4285714285714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 t="s">
        <v>1</v>
      </c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34" t="s">
        <v>54</v>
      </c>
      <c r="D3" s="34"/>
      <c r="E3" s="34"/>
      <c r="F3" s="10"/>
      <c r="G3" s="10"/>
    </row>
    <row r="4" customHeight="1" spans="1:7">
      <c r="A4" s="11" t="s">
        <v>55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56</v>
      </c>
      <c r="C6" s="18" t="s">
        <v>57</v>
      </c>
      <c r="D6" s="18">
        <v>2</v>
      </c>
      <c r="E6" s="18">
        <v>178000</v>
      </c>
      <c r="F6" s="18">
        <f>(E6*D6)</f>
        <v>356000</v>
      </c>
      <c r="G6" s="19"/>
    </row>
    <row r="7" customHeight="1" spans="1:7">
      <c r="A7" s="20">
        <v>2</v>
      </c>
      <c r="B7" s="21" t="s">
        <v>58</v>
      </c>
      <c r="C7" s="21" t="s">
        <v>59</v>
      </c>
      <c r="D7" s="21">
        <v>1</v>
      </c>
      <c r="E7" s="21">
        <v>55000</v>
      </c>
      <c r="F7" s="18">
        <f t="shared" ref="F7:F38" si="0">(E7*D7)</f>
        <v>55000</v>
      </c>
      <c r="G7" s="22"/>
    </row>
    <row r="8" customHeight="1" spans="1:7">
      <c r="A8" s="20">
        <v>3</v>
      </c>
      <c r="B8" s="21" t="s">
        <v>60</v>
      </c>
      <c r="C8" s="21" t="s">
        <v>59</v>
      </c>
      <c r="D8" s="21">
        <v>1</v>
      </c>
      <c r="E8" s="21">
        <v>15000</v>
      </c>
      <c r="F8" s="18">
        <f t="shared" si="0"/>
        <v>15000</v>
      </c>
      <c r="G8" s="22"/>
    </row>
    <row r="9" customHeight="1" spans="1:7">
      <c r="A9" s="17">
        <v>4</v>
      </c>
      <c r="B9" s="21" t="s">
        <v>61</v>
      </c>
      <c r="C9" s="21" t="s">
        <v>62</v>
      </c>
      <c r="D9" s="21">
        <v>1</v>
      </c>
      <c r="E9" s="21">
        <v>55000</v>
      </c>
      <c r="F9" s="18">
        <f t="shared" si="0"/>
        <v>55000</v>
      </c>
      <c r="G9" s="22"/>
    </row>
    <row r="10" customHeight="1" spans="1:7">
      <c r="A10" s="20">
        <v>5</v>
      </c>
      <c r="B10" s="21" t="s">
        <v>63</v>
      </c>
      <c r="C10" s="21" t="s">
        <v>13</v>
      </c>
      <c r="D10" s="21">
        <v>1</v>
      </c>
      <c r="E10" s="21">
        <v>80000</v>
      </c>
      <c r="F10" s="18">
        <f t="shared" si="0"/>
        <v>80000</v>
      </c>
      <c r="G10" s="22"/>
    </row>
    <row r="11" customHeight="1" spans="1:7">
      <c r="A11" s="20">
        <v>6</v>
      </c>
      <c r="B11" s="21" t="s">
        <v>64</v>
      </c>
      <c r="C11" s="21" t="s">
        <v>13</v>
      </c>
      <c r="D11" s="21">
        <v>1</v>
      </c>
      <c r="E11" s="21">
        <v>100000</v>
      </c>
      <c r="F11" s="18">
        <f t="shared" si="0"/>
        <v>100000</v>
      </c>
      <c r="G11" s="22"/>
    </row>
    <row r="12" customHeight="1" spans="1:7">
      <c r="A12" s="17">
        <v>7</v>
      </c>
      <c r="B12" s="21" t="s">
        <v>65</v>
      </c>
      <c r="C12" s="21" t="s">
        <v>13</v>
      </c>
      <c r="D12" s="21">
        <v>3</v>
      </c>
      <c r="E12" s="21">
        <v>20000</v>
      </c>
      <c r="F12" s="18">
        <f t="shared" si="0"/>
        <v>60000</v>
      </c>
      <c r="G12" s="22"/>
    </row>
    <row r="13" customHeight="1" spans="1:7">
      <c r="A13" s="20">
        <v>8</v>
      </c>
      <c r="B13" s="21" t="s">
        <v>66</v>
      </c>
      <c r="C13" s="21" t="s">
        <v>57</v>
      </c>
      <c r="D13" s="21">
        <v>1</v>
      </c>
      <c r="E13" s="21">
        <v>60000</v>
      </c>
      <c r="F13" s="18">
        <f t="shared" si="0"/>
        <v>60000</v>
      </c>
      <c r="G13" s="22"/>
    </row>
    <row r="14" customHeight="1" spans="1:7">
      <c r="A14" s="20">
        <v>9</v>
      </c>
      <c r="B14" s="21" t="s">
        <v>67</v>
      </c>
      <c r="C14" s="21" t="s">
        <v>13</v>
      </c>
      <c r="D14" s="21">
        <v>0.2</v>
      </c>
      <c r="E14" s="21">
        <v>120000</v>
      </c>
      <c r="F14" s="18">
        <f t="shared" si="0"/>
        <v>24000</v>
      </c>
      <c r="G14" s="22"/>
    </row>
    <row r="15" customHeight="1" spans="1:7">
      <c r="A15" s="17">
        <v>10</v>
      </c>
      <c r="B15" s="5" t="s">
        <v>68</v>
      </c>
      <c r="C15" s="21" t="s">
        <v>59</v>
      </c>
      <c r="D15" s="21">
        <v>2</v>
      </c>
      <c r="E15" s="21">
        <v>45000</v>
      </c>
      <c r="F15" s="18">
        <f t="shared" si="0"/>
        <v>90000</v>
      </c>
      <c r="G15" s="22"/>
    </row>
    <row r="16" customHeight="1" spans="1:7">
      <c r="A16" s="20">
        <v>11</v>
      </c>
      <c r="B16" s="21" t="s">
        <v>69</v>
      </c>
      <c r="C16" s="21" t="s">
        <v>13</v>
      </c>
      <c r="D16" s="21">
        <v>1</v>
      </c>
      <c r="E16" s="21">
        <v>100000</v>
      </c>
      <c r="F16" s="18">
        <f t="shared" si="0"/>
        <v>100000</v>
      </c>
      <c r="G16" s="22"/>
    </row>
    <row r="17" customHeight="1" spans="1:7">
      <c r="A17" s="20">
        <v>12</v>
      </c>
      <c r="B17" s="21" t="s">
        <v>70</v>
      </c>
      <c r="C17" s="21" t="s">
        <v>13</v>
      </c>
      <c r="D17" s="21">
        <v>1</v>
      </c>
      <c r="E17" s="21">
        <v>30000</v>
      </c>
      <c r="F17" s="18">
        <f t="shared" si="0"/>
        <v>30000</v>
      </c>
      <c r="G17" s="22"/>
    </row>
    <row r="18" customHeight="1" spans="1:7">
      <c r="A18" s="17">
        <v>13</v>
      </c>
      <c r="B18" s="21" t="s">
        <v>71</v>
      </c>
      <c r="C18" s="21" t="s">
        <v>13</v>
      </c>
      <c r="D18" s="21">
        <v>3</v>
      </c>
      <c r="E18" s="21">
        <v>55000</v>
      </c>
      <c r="F18" s="18">
        <f t="shared" si="0"/>
        <v>165000</v>
      </c>
      <c r="G18" s="22"/>
    </row>
    <row r="19" customHeight="1" spans="1:7">
      <c r="A19" s="20">
        <v>14</v>
      </c>
      <c r="B19" s="21" t="s">
        <v>72</v>
      </c>
      <c r="C19" s="21" t="s">
        <v>13</v>
      </c>
      <c r="D19" s="21">
        <v>0.5</v>
      </c>
      <c r="E19" s="21">
        <v>45000</v>
      </c>
      <c r="F19" s="18">
        <f t="shared" si="0"/>
        <v>22500</v>
      </c>
      <c r="G19" s="22"/>
    </row>
    <row r="20" customHeight="1" spans="1:7">
      <c r="A20" s="20">
        <v>15</v>
      </c>
      <c r="B20" s="21" t="s">
        <v>73</v>
      </c>
      <c r="C20" s="21" t="s">
        <v>62</v>
      </c>
      <c r="D20" s="21">
        <v>5</v>
      </c>
      <c r="E20" s="21">
        <v>125000</v>
      </c>
      <c r="F20" s="18">
        <f t="shared" si="0"/>
        <v>625000</v>
      </c>
      <c r="G20" s="22"/>
    </row>
    <row r="21" customHeight="1" spans="1:7">
      <c r="A21" s="17">
        <v>16</v>
      </c>
      <c r="B21" s="21" t="s">
        <v>74</v>
      </c>
      <c r="C21" s="21" t="s">
        <v>62</v>
      </c>
      <c r="D21" s="21">
        <v>2</v>
      </c>
      <c r="E21" s="21">
        <v>175000</v>
      </c>
      <c r="F21" s="18">
        <f t="shared" si="0"/>
        <v>350000</v>
      </c>
      <c r="G21" s="22"/>
    </row>
    <row r="22" customHeight="1" spans="1:7">
      <c r="A22" s="20">
        <v>17</v>
      </c>
      <c r="B22" s="35" t="s">
        <v>75</v>
      </c>
      <c r="C22" s="35" t="s">
        <v>76</v>
      </c>
      <c r="D22" s="35">
        <v>4</v>
      </c>
      <c r="E22" s="35">
        <v>20000</v>
      </c>
      <c r="F22" s="18">
        <f t="shared" si="0"/>
        <v>80000</v>
      </c>
      <c r="G22" s="36"/>
    </row>
    <row r="23" customHeight="1" spans="1:7">
      <c r="A23" s="20">
        <v>18</v>
      </c>
      <c r="B23" s="23" t="s">
        <v>77</v>
      </c>
      <c r="C23" s="23" t="s">
        <v>62</v>
      </c>
      <c r="D23" s="23">
        <v>4</v>
      </c>
      <c r="E23" s="23">
        <v>25000</v>
      </c>
      <c r="F23" s="18">
        <f t="shared" si="0"/>
        <v>100000</v>
      </c>
      <c r="G23" s="23"/>
    </row>
    <row r="24" customHeight="1" spans="1:7">
      <c r="A24" s="17">
        <v>19</v>
      </c>
      <c r="B24" s="23" t="s">
        <v>78</v>
      </c>
      <c r="C24" s="23" t="s">
        <v>62</v>
      </c>
      <c r="D24" s="23">
        <v>2</v>
      </c>
      <c r="E24" s="23">
        <v>55000</v>
      </c>
      <c r="F24" s="18">
        <f t="shared" si="0"/>
        <v>110000</v>
      </c>
      <c r="G24" s="23"/>
    </row>
    <row r="25" customHeight="1" spans="1:7">
      <c r="A25" s="20">
        <v>20</v>
      </c>
      <c r="B25" s="23" t="s">
        <v>79</v>
      </c>
      <c r="C25" s="23" t="s">
        <v>62</v>
      </c>
      <c r="D25" s="23">
        <v>1</v>
      </c>
      <c r="E25" s="23">
        <v>75000</v>
      </c>
      <c r="F25" s="18">
        <f t="shared" si="0"/>
        <v>75000</v>
      </c>
      <c r="G25" s="23"/>
    </row>
    <row r="26" customHeight="1" spans="1:7">
      <c r="A26" s="20">
        <v>21</v>
      </c>
      <c r="B26" s="23" t="s">
        <v>80</v>
      </c>
      <c r="C26" s="23" t="s">
        <v>62</v>
      </c>
      <c r="D26" s="23">
        <v>1</v>
      </c>
      <c r="E26" s="23">
        <v>55000</v>
      </c>
      <c r="F26" s="18">
        <f t="shared" si="0"/>
        <v>55000</v>
      </c>
      <c r="G26" s="23"/>
    </row>
    <row r="27" customHeight="1" spans="1:7">
      <c r="A27" s="17">
        <v>22</v>
      </c>
      <c r="B27" s="23" t="s">
        <v>81</v>
      </c>
      <c r="C27" s="23" t="s">
        <v>57</v>
      </c>
      <c r="D27" s="23">
        <v>2</v>
      </c>
      <c r="E27" s="23">
        <v>20000</v>
      </c>
      <c r="F27" s="18">
        <f t="shared" si="0"/>
        <v>40000</v>
      </c>
      <c r="G27" s="23"/>
    </row>
    <row r="28" customHeight="1" spans="1:7">
      <c r="A28" s="20">
        <v>23</v>
      </c>
      <c r="B28" s="23" t="s">
        <v>82</v>
      </c>
      <c r="C28" s="23" t="s">
        <v>57</v>
      </c>
      <c r="D28" s="23">
        <v>1</v>
      </c>
      <c r="E28" s="23">
        <v>35000</v>
      </c>
      <c r="F28" s="18">
        <f t="shared" si="0"/>
        <v>35000</v>
      </c>
      <c r="G28" s="23"/>
    </row>
    <row r="29" customHeight="1" spans="1:7">
      <c r="A29" s="20">
        <v>24</v>
      </c>
      <c r="B29" s="23" t="s">
        <v>83</v>
      </c>
      <c r="C29" s="23" t="s">
        <v>57</v>
      </c>
      <c r="D29" s="23">
        <v>1</v>
      </c>
      <c r="E29" s="23">
        <v>35000</v>
      </c>
      <c r="F29" s="18">
        <f t="shared" si="0"/>
        <v>35000</v>
      </c>
      <c r="G29" s="23"/>
    </row>
    <row r="30" customHeight="1" spans="1:7">
      <c r="A30" s="17">
        <v>25</v>
      </c>
      <c r="B30" s="23" t="s">
        <v>84</v>
      </c>
      <c r="C30" s="23" t="s">
        <v>57</v>
      </c>
      <c r="D30" s="23">
        <v>1</v>
      </c>
      <c r="E30" s="23">
        <v>55000</v>
      </c>
      <c r="F30" s="18">
        <f t="shared" si="0"/>
        <v>55000</v>
      </c>
      <c r="G30" s="23"/>
    </row>
    <row r="31" customHeight="1" spans="1:7">
      <c r="A31" s="20">
        <v>26</v>
      </c>
      <c r="B31" s="23" t="s">
        <v>85</v>
      </c>
      <c r="C31" s="23" t="s">
        <v>57</v>
      </c>
      <c r="D31" s="23">
        <v>1</v>
      </c>
      <c r="E31" s="23">
        <v>35000</v>
      </c>
      <c r="F31" s="18">
        <f t="shared" si="0"/>
        <v>35000</v>
      </c>
      <c r="G31" s="23"/>
    </row>
    <row r="32" customHeight="1" spans="1:7">
      <c r="A32" s="20">
        <v>27</v>
      </c>
      <c r="B32" s="23" t="s">
        <v>86</v>
      </c>
      <c r="C32" s="23" t="s">
        <v>57</v>
      </c>
      <c r="D32" s="23">
        <v>1</v>
      </c>
      <c r="E32" s="23">
        <v>35000</v>
      </c>
      <c r="F32" s="18">
        <f t="shared" si="0"/>
        <v>35000</v>
      </c>
      <c r="G32" s="23"/>
    </row>
    <row r="33" customHeight="1" spans="1:7">
      <c r="A33" s="17">
        <v>28</v>
      </c>
      <c r="B33" s="23" t="s">
        <v>87</v>
      </c>
      <c r="C33" s="23" t="s">
        <v>57</v>
      </c>
      <c r="D33" s="23">
        <v>1</v>
      </c>
      <c r="E33" s="23">
        <v>35000</v>
      </c>
      <c r="F33" s="18">
        <f t="shared" si="0"/>
        <v>35000</v>
      </c>
      <c r="G33" s="23"/>
    </row>
    <row r="34" customHeight="1" spans="1:7">
      <c r="A34" s="20">
        <v>29</v>
      </c>
      <c r="B34" s="23" t="s">
        <v>88</v>
      </c>
      <c r="C34" s="23" t="s">
        <v>57</v>
      </c>
      <c r="D34" s="23">
        <v>15</v>
      </c>
      <c r="E34" s="23">
        <v>12000</v>
      </c>
      <c r="F34" s="18">
        <f t="shared" si="0"/>
        <v>180000</v>
      </c>
      <c r="G34" s="23"/>
    </row>
    <row r="35" customHeight="1" spans="1:7">
      <c r="A35" s="20">
        <v>30</v>
      </c>
      <c r="B35" s="23" t="s">
        <v>89</v>
      </c>
      <c r="C35" s="23" t="s">
        <v>13</v>
      </c>
      <c r="D35" s="23">
        <v>2</v>
      </c>
      <c r="E35" s="23">
        <v>55000</v>
      </c>
      <c r="F35" s="18">
        <f t="shared" si="0"/>
        <v>110000</v>
      </c>
      <c r="G35" s="23"/>
    </row>
    <row r="36" customHeight="1" spans="1:7">
      <c r="A36" s="17">
        <v>31</v>
      </c>
      <c r="B36" s="23" t="s">
        <v>90</v>
      </c>
      <c r="C36" s="23" t="s">
        <v>16</v>
      </c>
      <c r="D36" s="23">
        <v>15</v>
      </c>
      <c r="E36" s="23">
        <v>20000</v>
      </c>
      <c r="F36" s="18">
        <f t="shared" si="0"/>
        <v>300000</v>
      </c>
      <c r="G36" s="23"/>
    </row>
    <row r="37" customHeight="1" spans="1:7">
      <c r="A37" s="20">
        <v>32</v>
      </c>
      <c r="B37" s="23" t="s">
        <v>91</v>
      </c>
      <c r="C37" s="23" t="s">
        <v>16</v>
      </c>
      <c r="D37" s="23">
        <v>5</v>
      </c>
      <c r="E37" s="23">
        <v>20000</v>
      </c>
      <c r="F37" s="18">
        <f t="shared" si="0"/>
        <v>100000</v>
      </c>
      <c r="G37" s="23"/>
    </row>
    <row r="38" customHeight="1" spans="1:7">
      <c r="A38" s="20">
        <v>33</v>
      </c>
      <c r="B38" s="23" t="s">
        <v>92</v>
      </c>
      <c r="C38" s="23" t="s">
        <v>16</v>
      </c>
      <c r="D38" s="23">
        <v>3</v>
      </c>
      <c r="E38" s="23">
        <v>18000</v>
      </c>
      <c r="F38" s="18">
        <f t="shared" si="0"/>
        <v>54000</v>
      </c>
      <c r="G38" s="23"/>
    </row>
    <row r="39" customHeight="1" spans="1:7">
      <c r="A39" s="17">
        <v>34</v>
      </c>
      <c r="B39" s="23" t="s">
        <v>93</v>
      </c>
      <c r="C39" s="23" t="s">
        <v>16</v>
      </c>
      <c r="D39" s="23">
        <v>1</v>
      </c>
      <c r="E39" s="23">
        <v>27000</v>
      </c>
      <c r="F39" s="18">
        <f t="shared" ref="F39:F80" si="1">(E39*D39)</f>
        <v>27000</v>
      </c>
      <c r="G39" s="23"/>
    </row>
    <row r="40" customHeight="1" spans="1:7">
      <c r="A40" s="20">
        <v>35</v>
      </c>
      <c r="B40" s="23" t="s">
        <v>94</v>
      </c>
      <c r="C40" s="23" t="s">
        <v>16</v>
      </c>
      <c r="D40" s="23">
        <v>2</v>
      </c>
      <c r="E40" s="23">
        <v>20000</v>
      </c>
      <c r="F40" s="18">
        <f t="shared" si="1"/>
        <v>40000</v>
      </c>
      <c r="G40" s="23"/>
    </row>
    <row r="41" customHeight="1" spans="1:7">
      <c r="A41" s="20">
        <v>36</v>
      </c>
      <c r="B41" s="23" t="s">
        <v>95</v>
      </c>
      <c r="C41" s="23" t="s">
        <v>57</v>
      </c>
      <c r="D41" s="23">
        <v>2</v>
      </c>
      <c r="E41" s="23">
        <v>95000</v>
      </c>
      <c r="F41" s="18">
        <f t="shared" si="1"/>
        <v>190000</v>
      </c>
      <c r="G41" s="23"/>
    </row>
    <row r="42" customHeight="1" spans="1:7">
      <c r="A42" s="17">
        <v>37</v>
      </c>
      <c r="B42" s="23" t="s">
        <v>96</v>
      </c>
      <c r="C42" s="23" t="s">
        <v>16</v>
      </c>
      <c r="D42" s="23">
        <v>3</v>
      </c>
      <c r="E42" s="23">
        <v>95000</v>
      </c>
      <c r="F42" s="18">
        <f t="shared" si="1"/>
        <v>285000</v>
      </c>
      <c r="G42" s="23"/>
    </row>
    <row r="43" customHeight="1" spans="1:7">
      <c r="A43" s="20">
        <v>38</v>
      </c>
      <c r="B43" s="23" t="s">
        <v>97</v>
      </c>
      <c r="C43" s="23" t="s">
        <v>16</v>
      </c>
      <c r="D43" s="23">
        <v>2</v>
      </c>
      <c r="E43" s="23">
        <v>24000</v>
      </c>
      <c r="F43" s="18">
        <f t="shared" si="1"/>
        <v>48000</v>
      </c>
      <c r="G43" s="23"/>
    </row>
    <row r="44" customHeight="1" spans="1:7">
      <c r="A44" s="20">
        <v>39</v>
      </c>
      <c r="B44" s="23" t="s">
        <v>98</v>
      </c>
      <c r="C44" s="23" t="s">
        <v>16</v>
      </c>
      <c r="D44" s="23">
        <v>1</v>
      </c>
      <c r="E44" s="23">
        <v>115000</v>
      </c>
      <c r="F44" s="18">
        <f t="shared" si="1"/>
        <v>115000</v>
      </c>
      <c r="G44" s="23"/>
    </row>
    <row r="45" customHeight="1" spans="1:7">
      <c r="A45" s="17">
        <v>40</v>
      </c>
      <c r="B45" s="23" t="s">
        <v>99</v>
      </c>
      <c r="C45" s="23" t="s">
        <v>59</v>
      </c>
      <c r="D45" s="23">
        <v>3</v>
      </c>
      <c r="E45" s="23">
        <v>85000</v>
      </c>
      <c r="F45" s="18">
        <f t="shared" si="1"/>
        <v>255000</v>
      </c>
      <c r="G45" s="23"/>
    </row>
    <row r="46" customHeight="1" spans="1:7">
      <c r="A46" s="20">
        <v>41</v>
      </c>
      <c r="B46" s="23" t="s">
        <v>100</v>
      </c>
      <c r="C46" s="23" t="s">
        <v>59</v>
      </c>
      <c r="D46" s="23">
        <v>7</v>
      </c>
      <c r="E46" s="23">
        <v>24000</v>
      </c>
      <c r="F46" s="18">
        <f t="shared" si="1"/>
        <v>168000</v>
      </c>
      <c r="G46" s="23"/>
    </row>
    <row r="47" customHeight="1" spans="1:7">
      <c r="A47" s="20">
        <v>42</v>
      </c>
      <c r="B47" s="23" t="s">
        <v>101</v>
      </c>
      <c r="C47" s="23" t="s">
        <v>57</v>
      </c>
      <c r="D47" s="23">
        <v>3</v>
      </c>
      <c r="E47" s="23">
        <v>45000</v>
      </c>
      <c r="F47" s="18">
        <f t="shared" si="1"/>
        <v>135000</v>
      </c>
      <c r="G47" s="23"/>
    </row>
    <row r="48" customHeight="1" spans="1:7">
      <c r="A48" s="17">
        <v>43</v>
      </c>
      <c r="B48" s="23" t="s">
        <v>102</v>
      </c>
      <c r="C48" s="23" t="s">
        <v>59</v>
      </c>
      <c r="D48" s="23">
        <v>5</v>
      </c>
      <c r="E48" s="23">
        <v>90000</v>
      </c>
      <c r="F48" s="18">
        <f t="shared" si="1"/>
        <v>450000</v>
      </c>
      <c r="G48" s="23"/>
    </row>
    <row r="49" customHeight="1" spans="1:7">
      <c r="A49" s="20">
        <v>44</v>
      </c>
      <c r="B49" s="23" t="s">
        <v>103</v>
      </c>
      <c r="C49" s="23" t="s">
        <v>59</v>
      </c>
      <c r="D49" s="23">
        <v>4</v>
      </c>
      <c r="E49" s="23">
        <v>75000</v>
      </c>
      <c r="F49" s="18">
        <f t="shared" si="1"/>
        <v>300000</v>
      </c>
      <c r="G49" s="23"/>
    </row>
    <row r="50" customHeight="1" spans="1:7">
      <c r="A50" s="20">
        <v>45</v>
      </c>
      <c r="B50" s="23" t="s">
        <v>104</v>
      </c>
      <c r="C50" s="23" t="s">
        <v>13</v>
      </c>
      <c r="D50" s="23">
        <v>3</v>
      </c>
      <c r="E50" s="23">
        <v>52000</v>
      </c>
      <c r="F50" s="18">
        <f t="shared" si="1"/>
        <v>156000</v>
      </c>
      <c r="G50" s="23"/>
    </row>
    <row r="51" customHeight="1" spans="1:7">
      <c r="A51" s="17">
        <v>46</v>
      </c>
      <c r="B51" s="23" t="s">
        <v>105</v>
      </c>
      <c r="C51" s="23" t="s">
        <v>59</v>
      </c>
      <c r="D51" s="23">
        <v>4</v>
      </c>
      <c r="E51" s="23">
        <v>20000</v>
      </c>
      <c r="F51" s="18">
        <f t="shared" si="1"/>
        <v>80000</v>
      </c>
      <c r="G51" s="23"/>
    </row>
    <row r="52" customHeight="1" spans="1:7">
      <c r="A52" s="20">
        <v>47</v>
      </c>
      <c r="B52" s="23" t="s">
        <v>106</v>
      </c>
      <c r="C52" s="23" t="s">
        <v>59</v>
      </c>
      <c r="D52" s="23">
        <v>5</v>
      </c>
      <c r="E52" s="23">
        <v>20000</v>
      </c>
      <c r="F52" s="18">
        <f t="shared" si="1"/>
        <v>100000</v>
      </c>
      <c r="G52" s="23"/>
    </row>
    <row r="53" customHeight="1" spans="1:7">
      <c r="A53" s="20">
        <v>48</v>
      </c>
      <c r="B53" s="23" t="s">
        <v>107</v>
      </c>
      <c r="C53" s="23" t="s">
        <v>59</v>
      </c>
      <c r="D53" s="23">
        <v>5</v>
      </c>
      <c r="E53" s="23">
        <v>18000</v>
      </c>
      <c r="F53" s="18">
        <f t="shared" si="1"/>
        <v>90000</v>
      </c>
      <c r="G53" s="23"/>
    </row>
    <row r="54" customHeight="1" spans="1:7">
      <c r="A54" s="17">
        <v>49</v>
      </c>
      <c r="B54" s="23" t="s">
        <v>108</v>
      </c>
      <c r="C54" s="23" t="s">
        <v>59</v>
      </c>
      <c r="D54" s="23">
        <v>0</v>
      </c>
      <c r="E54" s="23">
        <v>65000</v>
      </c>
      <c r="F54" s="18">
        <f t="shared" si="1"/>
        <v>0</v>
      </c>
      <c r="G54" s="23"/>
    </row>
    <row r="55" customHeight="1" spans="1:7">
      <c r="A55" s="20">
        <v>50</v>
      </c>
      <c r="B55" s="23" t="s">
        <v>109</v>
      </c>
      <c r="C55" s="23" t="s">
        <v>16</v>
      </c>
      <c r="D55" s="23">
        <v>4</v>
      </c>
      <c r="E55" s="23">
        <v>25000</v>
      </c>
      <c r="F55" s="18">
        <f t="shared" si="1"/>
        <v>100000</v>
      </c>
      <c r="G55" s="23"/>
    </row>
    <row r="56" customHeight="1" spans="1:7">
      <c r="A56" s="20">
        <v>51</v>
      </c>
      <c r="B56" s="23" t="s">
        <v>110</v>
      </c>
      <c r="C56" s="23" t="s">
        <v>13</v>
      </c>
      <c r="D56" s="23">
        <v>4</v>
      </c>
      <c r="E56" s="23">
        <v>25000</v>
      </c>
      <c r="F56" s="18">
        <f t="shared" si="1"/>
        <v>100000</v>
      </c>
      <c r="G56" s="23"/>
    </row>
    <row r="57" customHeight="1" spans="1:7">
      <c r="A57" s="17">
        <v>52</v>
      </c>
      <c r="B57" s="23" t="s">
        <v>111</v>
      </c>
      <c r="C57" s="23" t="s">
        <v>13</v>
      </c>
      <c r="D57" s="23">
        <v>5</v>
      </c>
      <c r="E57" s="23">
        <v>38000</v>
      </c>
      <c r="F57" s="18">
        <f t="shared" si="1"/>
        <v>190000</v>
      </c>
      <c r="G57" s="23"/>
    </row>
    <row r="58" customHeight="1" spans="1:7">
      <c r="A58" s="20">
        <v>53</v>
      </c>
      <c r="B58" s="23" t="s">
        <v>112</v>
      </c>
      <c r="C58" s="23" t="s">
        <v>57</v>
      </c>
      <c r="D58" s="23">
        <v>1</v>
      </c>
      <c r="E58" s="23">
        <v>400000</v>
      </c>
      <c r="F58" s="18">
        <f t="shared" si="1"/>
        <v>400000</v>
      </c>
      <c r="G58" s="23"/>
    </row>
    <row r="59" customHeight="1" spans="1:7">
      <c r="A59" s="20">
        <v>54</v>
      </c>
      <c r="B59" s="23" t="s">
        <v>113</v>
      </c>
      <c r="C59" s="23" t="s">
        <v>57</v>
      </c>
      <c r="D59" s="23">
        <v>2</v>
      </c>
      <c r="E59" s="23">
        <v>35000</v>
      </c>
      <c r="F59" s="18">
        <f t="shared" si="1"/>
        <v>70000</v>
      </c>
      <c r="G59" s="23"/>
    </row>
    <row r="60" customHeight="1" spans="1:7">
      <c r="A60" s="17">
        <v>55</v>
      </c>
      <c r="B60" s="23" t="s">
        <v>114</v>
      </c>
      <c r="C60" s="23" t="s">
        <v>57</v>
      </c>
      <c r="D60" s="23">
        <v>2</v>
      </c>
      <c r="E60" s="23">
        <v>20000</v>
      </c>
      <c r="F60" s="18">
        <f t="shared" si="1"/>
        <v>40000</v>
      </c>
      <c r="G60" s="23"/>
    </row>
    <row r="61" customHeight="1" spans="1:7">
      <c r="A61" s="20">
        <v>56</v>
      </c>
      <c r="B61" s="23" t="s">
        <v>115</v>
      </c>
      <c r="C61" s="23" t="s">
        <v>57</v>
      </c>
      <c r="D61" s="23">
        <v>2</v>
      </c>
      <c r="E61" s="23">
        <v>45000</v>
      </c>
      <c r="F61" s="18">
        <f t="shared" si="1"/>
        <v>90000</v>
      </c>
      <c r="G61" s="23"/>
    </row>
    <row r="62" customHeight="1" spans="1:7">
      <c r="A62" s="20">
        <v>57</v>
      </c>
      <c r="B62" s="23" t="s">
        <v>116</v>
      </c>
      <c r="C62" s="23" t="s">
        <v>57</v>
      </c>
      <c r="D62" s="23">
        <v>1</v>
      </c>
      <c r="E62" s="23">
        <v>60000</v>
      </c>
      <c r="F62" s="18">
        <f t="shared" si="1"/>
        <v>60000</v>
      </c>
      <c r="G62" s="23"/>
    </row>
    <row r="63" customHeight="1" spans="1:7">
      <c r="A63" s="17">
        <v>58</v>
      </c>
      <c r="B63" s="23" t="s">
        <v>117</v>
      </c>
      <c r="C63" s="23" t="s">
        <v>57</v>
      </c>
      <c r="D63" s="23">
        <v>2</v>
      </c>
      <c r="E63" s="23">
        <v>75000</v>
      </c>
      <c r="F63" s="18">
        <f t="shared" si="1"/>
        <v>150000</v>
      </c>
      <c r="G63" s="23"/>
    </row>
    <row r="64" customHeight="1" spans="1:7">
      <c r="A64" s="20">
        <v>59</v>
      </c>
      <c r="B64" s="23" t="s">
        <v>118</v>
      </c>
      <c r="C64" s="23" t="s">
        <v>57</v>
      </c>
      <c r="D64" s="23">
        <v>3</v>
      </c>
      <c r="E64" s="23">
        <v>18000</v>
      </c>
      <c r="F64" s="18">
        <f t="shared" si="1"/>
        <v>54000</v>
      </c>
      <c r="G64" s="23"/>
    </row>
    <row r="65" customHeight="1" spans="1:7">
      <c r="A65" s="20">
        <v>60</v>
      </c>
      <c r="B65" s="23" t="s">
        <v>119</v>
      </c>
      <c r="C65" s="23" t="s">
        <v>57</v>
      </c>
      <c r="D65" s="23">
        <v>3</v>
      </c>
      <c r="E65" s="23">
        <v>20000</v>
      </c>
      <c r="F65" s="18">
        <f t="shared" si="1"/>
        <v>60000</v>
      </c>
      <c r="G65" s="23"/>
    </row>
    <row r="66" customHeight="1" spans="1:7">
      <c r="A66" s="17">
        <v>61</v>
      </c>
      <c r="B66" s="23" t="s">
        <v>120</v>
      </c>
      <c r="C66" s="23" t="s">
        <v>57</v>
      </c>
      <c r="D66" s="23">
        <v>2</v>
      </c>
      <c r="E66" s="23">
        <v>38000</v>
      </c>
      <c r="F66" s="18">
        <f t="shared" si="1"/>
        <v>76000</v>
      </c>
      <c r="G66" s="23"/>
    </row>
    <row r="67" customHeight="1" spans="1:7">
      <c r="A67" s="20">
        <v>62</v>
      </c>
      <c r="B67" s="23" t="s">
        <v>121</v>
      </c>
      <c r="C67" s="23" t="s">
        <v>57</v>
      </c>
      <c r="D67" s="23">
        <v>5</v>
      </c>
      <c r="E67" s="23">
        <v>60000</v>
      </c>
      <c r="F67" s="18">
        <f t="shared" si="1"/>
        <v>300000</v>
      </c>
      <c r="G67" s="23"/>
    </row>
    <row r="68" customHeight="1" spans="1:7">
      <c r="A68" s="20">
        <v>63</v>
      </c>
      <c r="B68" s="23" t="s">
        <v>122</v>
      </c>
      <c r="C68" s="23" t="s">
        <v>57</v>
      </c>
      <c r="D68" s="23">
        <v>1</v>
      </c>
      <c r="E68" s="23">
        <v>360000</v>
      </c>
      <c r="F68" s="18">
        <f t="shared" si="1"/>
        <v>360000</v>
      </c>
      <c r="G68" s="23"/>
    </row>
    <row r="69" customHeight="1" spans="1:7">
      <c r="A69" s="17">
        <v>64</v>
      </c>
      <c r="B69" s="23" t="s">
        <v>123</v>
      </c>
      <c r="C69" s="23" t="s">
        <v>57</v>
      </c>
      <c r="D69" s="23">
        <v>2</v>
      </c>
      <c r="E69" s="23">
        <v>40000</v>
      </c>
      <c r="F69" s="18">
        <f t="shared" si="1"/>
        <v>80000</v>
      </c>
      <c r="G69" s="23"/>
    </row>
    <row r="70" customHeight="1" spans="1:7">
      <c r="A70" s="20">
        <v>65</v>
      </c>
      <c r="B70" s="23" t="s">
        <v>124</v>
      </c>
      <c r="C70" s="23" t="s">
        <v>57</v>
      </c>
      <c r="D70" s="23">
        <v>1</v>
      </c>
      <c r="E70" s="23">
        <v>110000</v>
      </c>
      <c r="F70" s="18">
        <f t="shared" si="1"/>
        <v>110000</v>
      </c>
      <c r="G70" s="23"/>
    </row>
    <row r="71" customHeight="1" spans="1:7">
      <c r="A71" s="20">
        <v>66</v>
      </c>
      <c r="B71" s="23" t="s">
        <v>125</v>
      </c>
      <c r="C71" s="23" t="s">
        <v>57</v>
      </c>
      <c r="D71" s="23">
        <v>1</v>
      </c>
      <c r="E71" s="23">
        <v>50000</v>
      </c>
      <c r="F71" s="18">
        <f t="shared" si="1"/>
        <v>50000</v>
      </c>
      <c r="G71" s="23"/>
    </row>
    <row r="72" customHeight="1" spans="1:7">
      <c r="A72" s="17">
        <v>67</v>
      </c>
      <c r="B72" s="23" t="s">
        <v>126</v>
      </c>
      <c r="C72" s="23" t="s">
        <v>13</v>
      </c>
      <c r="D72" s="23">
        <v>2</v>
      </c>
      <c r="E72" s="23">
        <v>30000</v>
      </c>
      <c r="F72" s="18">
        <f t="shared" si="1"/>
        <v>60000</v>
      </c>
      <c r="G72" s="23"/>
    </row>
    <row r="73" customHeight="1" spans="1:7">
      <c r="A73" s="20">
        <v>68</v>
      </c>
      <c r="B73" s="23" t="s">
        <v>127</v>
      </c>
      <c r="C73" s="23" t="s">
        <v>16</v>
      </c>
      <c r="D73" s="23">
        <v>2</v>
      </c>
      <c r="E73" s="23">
        <v>80000</v>
      </c>
      <c r="F73" s="18">
        <f t="shared" si="1"/>
        <v>160000</v>
      </c>
      <c r="G73" s="23"/>
    </row>
    <row r="74" customHeight="1" spans="1:7">
      <c r="A74" s="20">
        <v>69</v>
      </c>
      <c r="B74" s="23" t="s">
        <v>128</v>
      </c>
      <c r="C74" s="23" t="s">
        <v>59</v>
      </c>
      <c r="D74" s="23">
        <v>1</v>
      </c>
      <c r="E74" s="23">
        <v>45000</v>
      </c>
      <c r="F74" s="18">
        <f t="shared" si="1"/>
        <v>45000</v>
      </c>
      <c r="G74" s="23"/>
    </row>
    <row r="75" customHeight="1" spans="1:7">
      <c r="A75" s="17">
        <v>70</v>
      </c>
      <c r="B75" s="23" t="s">
        <v>129</v>
      </c>
      <c r="C75" s="23" t="s">
        <v>59</v>
      </c>
      <c r="D75" s="23">
        <v>2</v>
      </c>
      <c r="E75" s="23">
        <v>18000</v>
      </c>
      <c r="F75" s="18">
        <f t="shared" si="1"/>
        <v>36000</v>
      </c>
      <c r="G75" s="23"/>
    </row>
    <row r="76" customHeight="1" spans="1:7">
      <c r="A76" s="20">
        <v>71</v>
      </c>
      <c r="B76" s="23" t="s">
        <v>130</v>
      </c>
      <c r="C76" s="23" t="s">
        <v>13</v>
      </c>
      <c r="D76" s="23">
        <v>3</v>
      </c>
      <c r="E76" s="23">
        <v>17000</v>
      </c>
      <c r="F76" s="18">
        <f t="shared" si="1"/>
        <v>51000</v>
      </c>
      <c r="G76" s="23"/>
    </row>
    <row r="77" customHeight="1" spans="1:7">
      <c r="A77" s="20">
        <v>72</v>
      </c>
      <c r="B77" s="23" t="s">
        <v>131</v>
      </c>
      <c r="C77" s="23" t="s">
        <v>16</v>
      </c>
      <c r="D77" s="23">
        <v>2</v>
      </c>
      <c r="E77" s="23">
        <v>45000</v>
      </c>
      <c r="F77" s="18">
        <f t="shared" si="1"/>
        <v>90000</v>
      </c>
      <c r="G77" s="23"/>
    </row>
    <row r="78" customHeight="1" spans="1:7">
      <c r="A78" s="17">
        <v>73</v>
      </c>
      <c r="B78" s="23" t="s">
        <v>132</v>
      </c>
      <c r="C78" s="23" t="s">
        <v>13</v>
      </c>
      <c r="D78" s="23">
        <v>0.3</v>
      </c>
      <c r="E78" s="23">
        <v>100000</v>
      </c>
      <c r="F78" s="18">
        <f t="shared" si="1"/>
        <v>30000</v>
      </c>
      <c r="G78" s="23"/>
    </row>
    <row r="79" customHeight="1" spans="1:7">
      <c r="A79" s="20">
        <v>74</v>
      </c>
      <c r="B79" s="23" t="s">
        <v>133</v>
      </c>
      <c r="C79" s="23" t="s">
        <v>13</v>
      </c>
      <c r="D79" s="23">
        <v>0.3</v>
      </c>
      <c r="E79" s="23">
        <v>65000</v>
      </c>
      <c r="F79" s="18">
        <f t="shared" si="1"/>
        <v>19500</v>
      </c>
      <c r="G79" s="23"/>
    </row>
    <row r="80" customHeight="1" spans="1:7">
      <c r="A80" s="23"/>
      <c r="B80" s="23" t="s">
        <v>134</v>
      </c>
      <c r="C80" s="23" t="s">
        <v>16</v>
      </c>
      <c r="D80" s="23">
        <v>0.1</v>
      </c>
      <c r="E80" s="23">
        <v>150000</v>
      </c>
      <c r="F80" s="18">
        <f t="shared" si="1"/>
        <v>15000</v>
      </c>
      <c r="G80" s="23"/>
    </row>
    <row r="81" customHeight="1" spans="1:7">
      <c r="A81" s="37" t="s">
        <v>33</v>
      </c>
      <c r="B81" s="38"/>
      <c r="C81" s="38"/>
      <c r="D81" s="38"/>
      <c r="E81" s="39"/>
      <c r="F81" s="29">
        <f>SUM(F6:F80)</f>
        <v>8857000</v>
      </c>
      <c r="G81" s="23"/>
    </row>
    <row r="82" customHeight="1" spans="1:7">
      <c r="A82" s="40" t="s">
        <v>135</v>
      </c>
      <c r="B82" s="41"/>
      <c r="C82" s="41"/>
      <c r="D82" s="41"/>
      <c r="E82" s="41"/>
      <c r="F82" s="41"/>
      <c r="G82" s="42"/>
    </row>
    <row r="83" customHeight="1" spans="1:7">
      <c r="A83" s="43" t="s">
        <v>5</v>
      </c>
      <c r="B83" s="44" t="s">
        <v>6</v>
      </c>
      <c r="C83" s="44" t="s">
        <v>7</v>
      </c>
      <c r="D83" s="44" t="s">
        <v>8</v>
      </c>
      <c r="E83" s="44" t="s">
        <v>9</v>
      </c>
      <c r="F83" s="44" t="s">
        <v>10</v>
      </c>
      <c r="G83" s="45" t="s">
        <v>11</v>
      </c>
    </row>
    <row r="84" customHeight="1" spans="1:7">
      <c r="A84" s="20">
        <v>1</v>
      </c>
      <c r="B84" s="21" t="s">
        <v>136</v>
      </c>
      <c r="C84" s="21" t="s">
        <v>16</v>
      </c>
      <c r="D84" s="21">
        <v>0.3</v>
      </c>
      <c r="E84" s="21">
        <v>100000</v>
      </c>
      <c r="F84" s="21">
        <f>(E84*D84)</f>
        <v>30000</v>
      </c>
      <c r="G84" s="22"/>
    </row>
    <row r="85" customHeight="1" spans="1:7">
      <c r="A85" s="20">
        <v>2</v>
      </c>
      <c r="B85" s="21" t="s">
        <v>137</v>
      </c>
      <c r="C85" s="21" t="s">
        <v>16</v>
      </c>
      <c r="D85" s="21">
        <v>1</v>
      </c>
      <c r="E85" s="21">
        <v>30000</v>
      </c>
      <c r="F85" s="21">
        <f t="shared" ref="F85:F91" si="2">(E85*D85)</f>
        <v>30000</v>
      </c>
      <c r="G85" s="22"/>
    </row>
    <row r="86" customHeight="1" spans="1:7">
      <c r="A86" s="20">
        <v>3</v>
      </c>
      <c r="B86" s="21" t="s">
        <v>138</v>
      </c>
      <c r="C86" s="21" t="s">
        <v>13</v>
      </c>
      <c r="D86" s="21">
        <v>1</v>
      </c>
      <c r="E86" s="21">
        <v>40000</v>
      </c>
      <c r="F86" s="21">
        <f t="shared" si="2"/>
        <v>40000</v>
      </c>
      <c r="G86" s="22"/>
    </row>
    <row r="87" customHeight="1" spans="1:7">
      <c r="A87" s="20">
        <v>4</v>
      </c>
      <c r="B87" s="21" t="s">
        <v>139</v>
      </c>
      <c r="C87" s="21" t="s">
        <v>13</v>
      </c>
      <c r="D87" s="21">
        <v>0.3</v>
      </c>
      <c r="E87" s="21">
        <v>150000</v>
      </c>
      <c r="F87" s="21">
        <f t="shared" si="2"/>
        <v>45000</v>
      </c>
      <c r="G87" s="22"/>
    </row>
    <row r="88" customHeight="1" spans="1:7">
      <c r="A88" s="20">
        <v>5</v>
      </c>
      <c r="B88" s="21" t="s">
        <v>140</v>
      </c>
      <c r="C88" s="21" t="s">
        <v>13</v>
      </c>
      <c r="D88" s="21">
        <v>0.3</v>
      </c>
      <c r="E88" s="21">
        <v>160000</v>
      </c>
      <c r="F88" s="21">
        <f t="shared" si="2"/>
        <v>48000</v>
      </c>
      <c r="G88" s="22"/>
    </row>
    <row r="89" customHeight="1" spans="1:7">
      <c r="A89" s="20">
        <v>6</v>
      </c>
      <c r="B89" s="21" t="s">
        <v>141</v>
      </c>
      <c r="C89" s="21" t="s">
        <v>13</v>
      </c>
      <c r="D89" s="21">
        <v>1</v>
      </c>
      <c r="E89" s="21">
        <v>93000</v>
      </c>
      <c r="F89" s="21">
        <f t="shared" si="2"/>
        <v>93000</v>
      </c>
      <c r="G89" s="22"/>
    </row>
    <row r="90" customHeight="1" spans="1:7">
      <c r="A90" s="20">
        <v>7</v>
      </c>
      <c r="B90" s="21" t="s">
        <v>142</v>
      </c>
      <c r="C90" s="21" t="s">
        <v>13</v>
      </c>
      <c r="D90" s="21">
        <v>0.4</v>
      </c>
      <c r="E90" s="21">
        <v>30000</v>
      </c>
      <c r="F90" s="21">
        <f t="shared" si="2"/>
        <v>12000</v>
      </c>
      <c r="G90" s="22"/>
    </row>
    <row r="91" customHeight="1" spans="1:7">
      <c r="A91" s="20">
        <v>8</v>
      </c>
      <c r="B91" s="21" t="s">
        <v>143</v>
      </c>
      <c r="C91" s="21" t="s">
        <v>13</v>
      </c>
      <c r="D91" s="21">
        <v>0.5</v>
      </c>
      <c r="E91" s="21">
        <v>100000</v>
      </c>
      <c r="F91" s="21">
        <f t="shared" si="2"/>
        <v>50000</v>
      </c>
      <c r="G91" s="22"/>
    </row>
    <row r="92" customHeight="1" spans="1:7">
      <c r="A92" s="46" t="s">
        <v>33</v>
      </c>
      <c r="B92" s="47"/>
      <c r="C92" s="47"/>
      <c r="D92" s="47"/>
      <c r="E92" s="48"/>
      <c r="F92" s="49">
        <f>SUM(F84:F91)</f>
        <v>348000</v>
      </c>
      <c r="G92" s="50"/>
    </row>
    <row r="93" customHeight="1" spans="1:7">
      <c r="A93" s="46" t="s">
        <v>144</v>
      </c>
      <c r="B93" s="47"/>
      <c r="C93" s="47"/>
      <c r="D93" s="47"/>
      <c r="E93" s="48"/>
      <c r="F93" s="49">
        <f>SUM(F92,F81)</f>
        <v>9205000</v>
      </c>
      <c r="G93" s="50"/>
    </row>
  </sheetData>
  <mergeCells count="8">
    <mergeCell ref="A1:G1"/>
    <mergeCell ref="A3:B3"/>
    <mergeCell ref="F3:G3"/>
    <mergeCell ref="A4:G4"/>
    <mergeCell ref="A81:E81"/>
    <mergeCell ref="A82:G82"/>
    <mergeCell ref="A92:E92"/>
    <mergeCell ref="A93:E9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showGridLines="0" showZeros="0" zoomScale="115" zoomScaleNormal="115" topLeftCell="A8" workbookViewId="0">
      <selection activeCell="A16" sqref="A16:E16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 t="s">
        <v>145</v>
      </c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9" t="s">
        <v>54</v>
      </c>
      <c r="D3" s="9"/>
      <c r="E3" s="9"/>
      <c r="F3" s="10"/>
      <c r="G3" s="10"/>
    </row>
    <row r="4" customHeight="1" spans="1:7">
      <c r="A4" s="11" t="s">
        <v>145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146</v>
      </c>
      <c r="C6" s="18" t="s">
        <v>13</v>
      </c>
      <c r="D6" s="18">
        <v>1</v>
      </c>
      <c r="E6" s="18">
        <v>135000</v>
      </c>
      <c r="F6" s="18">
        <f>(E6*D6)</f>
        <v>135000</v>
      </c>
      <c r="G6" s="19"/>
    </row>
    <row r="7" customHeight="1" spans="1:7">
      <c r="A7" s="20">
        <v>2</v>
      </c>
      <c r="B7" s="21" t="s">
        <v>147</v>
      </c>
      <c r="C7" s="21" t="s">
        <v>52</v>
      </c>
      <c r="D7" s="21">
        <v>4</v>
      </c>
      <c r="E7" s="21">
        <v>80000</v>
      </c>
      <c r="F7" s="18">
        <f t="shared" ref="F7:F14" si="0">(E7*D7)</f>
        <v>320000</v>
      </c>
      <c r="G7" s="22"/>
    </row>
    <row r="8" customHeight="1" spans="1:7">
      <c r="A8" s="20">
        <v>3</v>
      </c>
      <c r="B8" s="21" t="s">
        <v>148</v>
      </c>
      <c r="C8" s="21" t="s">
        <v>16</v>
      </c>
      <c r="D8" s="21">
        <v>1.5</v>
      </c>
      <c r="E8" s="21">
        <v>135000</v>
      </c>
      <c r="F8" s="18">
        <f t="shared" si="0"/>
        <v>202500</v>
      </c>
      <c r="G8" s="22"/>
    </row>
    <row r="9" customHeight="1" spans="1:7">
      <c r="A9" s="20">
        <v>4</v>
      </c>
      <c r="B9" s="21" t="s">
        <v>149</v>
      </c>
      <c r="C9" s="21" t="s">
        <v>13</v>
      </c>
      <c r="D9" s="21">
        <v>3</v>
      </c>
      <c r="E9" s="21">
        <v>200000</v>
      </c>
      <c r="F9" s="18">
        <f t="shared" si="0"/>
        <v>600000</v>
      </c>
      <c r="G9" s="22"/>
    </row>
    <row r="10" customHeight="1" spans="1:7">
      <c r="A10" s="20">
        <v>5</v>
      </c>
      <c r="B10" s="21" t="s">
        <v>150</v>
      </c>
      <c r="C10" s="21" t="s">
        <v>151</v>
      </c>
      <c r="D10" s="21">
        <v>1</v>
      </c>
      <c r="E10" s="21">
        <v>95000</v>
      </c>
      <c r="F10" s="18">
        <f t="shared" si="0"/>
        <v>95000</v>
      </c>
      <c r="G10" s="22"/>
    </row>
    <row r="11" customHeight="1" spans="1:7">
      <c r="A11" s="20">
        <v>6</v>
      </c>
      <c r="B11" s="21" t="s">
        <v>152</v>
      </c>
      <c r="C11" s="21" t="s">
        <v>151</v>
      </c>
      <c r="D11" s="21">
        <v>1</v>
      </c>
      <c r="E11" s="21">
        <v>185000</v>
      </c>
      <c r="F11" s="18">
        <f t="shared" si="0"/>
        <v>185000</v>
      </c>
      <c r="G11" s="22"/>
    </row>
    <row r="12" customHeight="1" spans="1:7">
      <c r="A12" s="20">
        <v>7</v>
      </c>
      <c r="B12" s="21" t="s">
        <v>153</v>
      </c>
      <c r="C12" s="21" t="s">
        <v>151</v>
      </c>
      <c r="D12" s="21">
        <v>6</v>
      </c>
      <c r="E12" s="21">
        <v>20000</v>
      </c>
      <c r="F12" s="18">
        <f t="shared" si="0"/>
        <v>120000</v>
      </c>
      <c r="G12" s="22"/>
    </row>
    <row r="13" customHeight="1" spans="1:7">
      <c r="A13" s="20">
        <v>8</v>
      </c>
      <c r="B13" s="21" t="s">
        <v>154</v>
      </c>
      <c r="C13" s="21" t="s">
        <v>151</v>
      </c>
      <c r="D13" s="21">
        <v>1.5</v>
      </c>
      <c r="E13" s="21">
        <v>135000</v>
      </c>
      <c r="F13" s="18">
        <f t="shared" si="0"/>
        <v>202500</v>
      </c>
      <c r="G13" s="22"/>
    </row>
    <row r="14" customHeight="1" spans="1:7">
      <c r="A14" s="20">
        <v>9</v>
      </c>
      <c r="B14" s="21" t="s">
        <v>155</v>
      </c>
      <c r="C14" s="21" t="s">
        <v>13</v>
      </c>
      <c r="D14" s="21">
        <v>3</v>
      </c>
      <c r="E14" s="21">
        <v>24000</v>
      </c>
      <c r="F14" s="18">
        <f t="shared" si="0"/>
        <v>72000</v>
      </c>
      <c r="G14" s="22"/>
    </row>
    <row r="15" customHeight="1" spans="1:7">
      <c r="A15" s="23"/>
      <c r="B15" s="23"/>
      <c r="C15" s="23"/>
      <c r="D15" s="23"/>
      <c r="E15" s="23"/>
      <c r="F15" s="23"/>
      <c r="G15" s="23"/>
    </row>
    <row r="16" customHeight="1" spans="1:7">
      <c r="A16" s="31" t="s">
        <v>156</v>
      </c>
      <c r="B16" s="32"/>
      <c r="C16" s="32"/>
      <c r="D16" s="32"/>
      <c r="E16" s="33"/>
      <c r="F16" s="29">
        <f>SUM(F6:F14)</f>
        <v>1932000</v>
      </c>
      <c r="G16" s="23"/>
    </row>
  </sheetData>
  <mergeCells count="6">
    <mergeCell ref="A1:G1"/>
    <mergeCell ref="A3:B3"/>
    <mergeCell ref="C3:D3"/>
    <mergeCell ref="F3:G3"/>
    <mergeCell ref="A4:G4"/>
    <mergeCell ref="A16:E1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showGridLines="0" showZeros="0" zoomScale="115" zoomScaleNormal="115" topLeftCell="A17" workbookViewId="0">
      <selection activeCell="C25" sqref="C25:G25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/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9" t="s">
        <v>157</v>
      </c>
      <c r="D3" s="9"/>
      <c r="E3" s="9"/>
      <c r="F3" s="10"/>
      <c r="G3" s="10"/>
    </row>
    <row r="4" customHeight="1" spans="1:7">
      <c r="A4" s="11" t="s">
        <v>158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159</v>
      </c>
      <c r="C6" s="18" t="s">
        <v>52</v>
      </c>
      <c r="D6" s="18">
        <v>120</v>
      </c>
      <c r="E6" s="18">
        <v>2500</v>
      </c>
      <c r="F6" s="18">
        <f>(E6*D6)</f>
        <v>300000</v>
      </c>
      <c r="G6" s="19"/>
    </row>
    <row r="7" customHeight="1" spans="1:7">
      <c r="A7" s="20">
        <v>2</v>
      </c>
      <c r="B7" s="21" t="s">
        <v>160</v>
      </c>
      <c r="C7" s="21" t="s">
        <v>13</v>
      </c>
      <c r="D7" s="21">
        <v>12</v>
      </c>
      <c r="E7" s="21">
        <v>60000</v>
      </c>
      <c r="F7" s="18">
        <f t="shared" ref="F7:F23" si="0">(E7*D7)</f>
        <v>720000</v>
      </c>
      <c r="G7" s="22"/>
    </row>
    <row r="8" customHeight="1" spans="1:7">
      <c r="A8" s="20">
        <v>3</v>
      </c>
      <c r="B8" s="21" t="s">
        <v>161</v>
      </c>
      <c r="C8" s="21" t="s">
        <v>16</v>
      </c>
      <c r="D8" s="21">
        <v>6</v>
      </c>
      <c r="E8" s="21">
        <v>60000</v>
      </c>
      <c r="F8" s="18">
        <f t="shared" si="0"/>
        <v>360000</v>
      </c>
      <c r="G8" s="22"/>
    </row>
    <row r="9" customHeight="1" spans="1:7">
      <c r="A9" s="20"/>
      <c r="B9" s="21" t="s">
        <v>162</v>
      </c>
      <c r="C9" s="21" t="s">
        <v>163</v>
      </c>
      <c r="D9" s="21">
        <v>10</v>
      </c>
      <c r="E9" s="21">
        <v>20000</v>
      </c>
      <c r="F9" s="18">
        <f t="shared" si="0"/>
        <v>200000</v>
      </c>
      <c r="G9" s="22"/>
    </row>
    <row r="10" customHeight="1" spans="1:7">
      <c r="A10" s="20">
        <v>4</v>
      </c>
      <c r="B10" s="21" t="s">
        <v>164</v>
      </c>
      <c r="C10" s="21" t="s">
        <v>52</v>
      </c>
      <c r="D10" s="21">
        <v>80</v>
      </c>
      <c r="E10" s="21">
        <v>8000</v>
      </c>
      <c r="F10" s="18">
        <f t="shared" si="0"/>
        <v>640000</v>
      </c>
      <c r="G10" s="22"/>
    </row>
    <row r="11" customHeight="1" spans="1:7">
      <c r="A11" s="20">
        <v>5</v>
      </c>
      <c r="B11" s="21" t="s">
        <v>165</v>
      </c>
      <c r="C11" s="21" t="s">
        <v>13</v>
      </c>
      <c r="D11" s="21">
        <v>9</v>
      </c>
      <c r="E11" s="21">
        <v>230000</v>
      </c>
      <c r="F11" s="18">
        <f t="shared" si="0"/>
        <v>2070000</v>
      </c>
      <c r="G11" s="22"/>
    </row>
    <row r="12" customHeight="1" spans="1:7">
      <c r="A12" s="20">
        <v>6</v>
      </c>
      <c r="B12" s="21" t="s">
        <v>166</v>
      </c>
      <c r="C12" s="21" t="s">
        <v>13</v>
      </c>
      <c r="D12" s="21">
        <v>10</v>
      </c>
      <c r="E12" s="21">
        <v>180000</v>
      </c>
      <c r="F12" s="18">
        <f t="shared" si="0"/>
        <v>1800000</v>
      </c>
      <c r="G12" s="22"/>
    </row>
    <row r="13" customHeight="1" spans="1:7">
      <c r="A13" s="20">
        <v>7</v>
      </c>
      <c r="B13" s="21" t="s">
        <v>167</v>
      </c>
      <c r="C13" s="21" t="s">
        <v>13</v>
      </c>
      <c r="D13" s="21">
        <v>5</v>
      </c>
      <c r="E13" s="21">
        <v>120000</v>
      </c>
      <c r="F13" s="18">
        <f t="shared" si="0"/>
        <v>600000</v>
      </c>
      <c r="G13" s="22"/>
    </row>
    <row r="14" customHeight="1" spans="1:7">
      <c r="A14" s="20">
        <v>8</v>
      </c>
      <c r="B14" s="21" t="s">
        <v>168</v>
      </c>
      <c r="C14" s="21" t="s">
        <v>13</v>
      </c>
      <c r="D14" s="21">
        <v>8</v>
      </c>
      <c r="E14" s="21">
        <v>115000</v>
      </c>
      <c r="F14" s="18">
        <f t="shared" si="0"/>
        <v>920000</v>
      </c>
      <c r="G14" s="22"/>
    </row>
    <row r="15" customHeight="1" spans="1:7">
      <c r="A15" s="20">
        <v>9</v>
      </c>
      <c r="B15" s="21" t="s">
        <v>169</v>
      </c>
      <c r="C15" s="21" t="s">
        <v>13</v>
      </c>
      <c r="D15" s="21">
        <v>3</v>
      </c>
      <c r="E15" s="21">
        <v>115000</v>
      </c>
      <c r="F15" s="18">
        <f t="shared" si="0"/>
        <v>345000</v>
      </c>
      <c r="G15" s="22"/>
    </row>
    <row r="16" customHeight="1" spans="1:7">
      <c r="A16" s="20">
        <v>10</v>
      </c>
      <c r="B16" s="21" t="s">
        <v>170</v>
      </c>
      <c r="C16" s="21" t="s">
        <v>13</v>
      </c>
      <c r="D16" s="21">
        <v>1</v>
      </c>
      <c r="E16" s="21">
        <v>115000</v>
      </c>
      <c r="F16" s="18">
        <f t="shared" si="0"/>
        <v>115000</v>
      </c>
      <c r="G16" s="22"/>
    </row>
    <row r="17" customHeight="1" spans="1:7">
      <c r="A17" s="20">
        <v>11</v>
      </c>
      <c r="B17" s="21" t="s">
        <v>171</v>
      </c>
      <c r="C17" s="21" t="s">
        <v>13</v>
      </c>
      <c r="D17" s="21">
        <v>3</v>
      </c>
      <c r="E17" s="21">
        <v>65000</v>
      </c>
      <c r="F17" s="18">
        <f t="shared" si="0"/>
        <v>195000</v>
      </c>
      <c r="G17" s="22"/>
    </row>
    <row r="18" customHeight="1" spans="1:7">
      <c r="A18" s="20">
        <v>12</v>
      </c>
      <c r="B18" s="21" t="s">
        <v>172</v>
      </c>
      <c r="C18" s="21" t="s">
        <v>13</v>
      </c>
      <c r="D18" s="21">
        <v>3</v>
      </c>
      <c r="E18" s="21">
        <v>185000</v>
      </c>
      <c r="F18" s="18">
        <f t="shared" si="0"/>
        <v>555000</v>
      </c>
      <c r="G18" s="22"/>
    </row>
    <row r="19" customHeight="1" spans="1:7">
      <c r="A19" s="20">
        <v>13</v>
      </c>
      <c r="B19" s="21" t="s">
        <v>173</v>
      </c>
      <c r="C19" s="21" t="s">
        <v>13</v>
      </c>
      <c r="D19" s="21">
        <v>3</v>
      </c>
      <c r="E19" s="21">
        <v>370000</v>
      </c>
      <c r="F19" s="18">
        <f t="shared" si="0"/>
        <v>1110000</v>
      </c>
      <c r="G19" s="22"/>
    </row>
    <row r="20" customHeight="1" spans="1:7">
      <c r="A20" s="20">
        <v>14</v>
      </c>
      <c r="B20" s="21" t="s">
        <v>174</v>
      </c>
      <c r="C20" s="21" t="s">
        <v>13</v>
      </c>
      <c r="D20" s="21">
        <v>1</v>
      </c>
      <c r="E20" s="21">
        <v>150000</v>
      </c>
      <c r="F20" s="18">
        <f t="shared" si="0"/>
        <v>150000</v>
      </c>
      <c r="G20" s="22"/>
    </row>
    <row r="21" customHeight="1" spans="1:7">
      <c r="A21" s="23"/>
      <c r="B21" s="23" t="s">
        <v>175</v>
      </c>
      <c r="C21" s="23" t="s">
        <v>13</v>
      </c>
      <c r="D21" s="23">
        <v>1</v>
      </c>
      <c r="E21" s="23">
        <v>150000</v>
      </c>
      <c r="F21" s="18">
        <f t="shared" si="0"/>
        <v>150000</v>
      </c>
      <c r="G21" s="23"/>
    </row>
    <row r="22" customHeight="1" spans="1:7">
      <c r="A22" s="23"/>
      <c r="B22" s="23" t="s">
        <v>176</v>
      </c>
      <c r="C22" s="23" t="s">
        <v>13</v>
      </c>
      <c r="D22" s="23">
        <v>1</v>
      </c>
      <c r="E22" s="23">
        <v>200000</v>
      </c>
      <c r="F22" s="18">
        <f t="shared" si="0"/>
        <v>200000</v>
      </c>
      <c r="G22" s="23"/>
    </row>
    <row r="23" customHeight="1" spans="1:7">
      <c r="A23" s="23"/>
      <c r="B23" s="23" t="s">
        <v>177</v>
      </c>
      <c r="C23" s="23" t="s">
        <v>13</v>
      </c>
      <c r="D23" s="23">
        <v>1</v>
      </c>
      <c r="E23" s="23">
        <v>100000</v>
      </c>
      <c r="F23" s="18">
        <f t="shared" si="0"/>
        <v>100000</v>
      </c>
      <c r="G23" s="23"/>
    </row>
    <row r="25" customHeight="1" spans="1:7">
      <c r="A25" s="24" t="s">
        <v>53</v>
      </c>
      <c r="B25" s="25"/>
      <c r="C25" s="30">
        <f>SUM(F6:F23)</f>
        <v>10530000</v>
      </c>
      <c r="D25" s="26"/>
      <c r="E25" s="26"/>
      <c r="F25" s="26"/>
      <c r="G25" s="27"/>
    </row>
  </sheetData>
  <mergeCells count="7">
    <mergeCell ref="A1:G1"/>
    <mergeCell ref="A3:B3"/>
    <mergeCell ref="C3:D3"/>
    <mergeCell ref="F3:G3"/>
    <mergeCell ref="A4:G4"/>
    <mergeCell ref="A25:B25"/>
    <mergeCell ref="C25:G25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showZeros="0" zoomScale="115" zoomScaleNormal="115" topLeftCell="A7" workbookViewId="0">
      <selection activeCell="C15" sqref="C15:G15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/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9" t="s">
        <v>157</v>
      </c>
      <c r="D3" s="9"/>
      <c r="E3" s="9"/>
      <c r="F3" s="10"/>
      <c r="G3" s="10"/>
    </row>
    <row r="4" customHeight="1" spans="1:7">
      <c r="A4" s="11" t="s">
        <v>178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179</v>
      </c>
      <c r="C6" s="18" t="s">
        <v>52</v>
      </c>
      <c r="D6" s="18">
        <v>30</v>
      </c>
      <c r="E6" s="18">
        <v>8000</v>
      </c>
      <c r="F6" s="18">
        <f>(E6*D6)</f>
        <v>240000</v>
      </c>
      <c r="G6" s="19"/>
    </row>
    <row r="7" customHeight="1" spans="1:7">
      <c r="A7" s="20">
        <v>2</v>
      </c>
      <c r="B7" s="21" t="s">
        <v>180</v>
      </c>
      <c r="C7" s="21" t="s">
        <v>52</v>
      </c>
      <c r="D7" s="21">
        <v>0</v>
      </c>
      <c r="E7" s="21">
        <v>10000</v>
      </c>
      <c r="F7" s="18">
        <f t="shared" ref="F7:F13" si="0">(E7*D7)</f>
        <v>0</v>
      </c>
      <c r="G7" s="22"/>
    </row>
    <row r="8" customHeight="1" spans="1:7">
      <c r="A8" s="20">
        <v>3</v>
      </c>
      <c r="B8" s="21" t="s">
        <v>181</v>
      </c>
      <c r="C8" s="21" t="s">
        <v>52</v>
      </c>
      <c r="D8" s="21">
        <v>12</v>
      </c>
      <c r="E8" s="21">
        <v>22000</v>
      </c>
      <c r="F8" s="18">
        <f t="shared" si="0"/>
        <v>264000</v>
      </c>
      <c r="G8" s="22"/>
    </row>
    <row r="9" customHeight="1" spans="1:7">
      <c r="A9" s="20">
        <v>4</v>
      </c>
      <c r="B9" s="21" t="s">
        <v>182</v>
      </c>
      <c r="C9" s="21" t="s">
        <v>183</v>
      </c>
      <c r="D9" s="21">
        <v>6</v>
      </c>
      <c r="E9" s="21">
        <v>100000</v>
      </c>
      <c r="F9" s="18">
        <f t="shared" si="0"/>
        <v>600000</v>
      </c>
      <c r="G9" s="22"/>
    </row>
    <row r="10" customHeight="1" spans="1:7">
      <c r="A10" s="20">
        <v>5</v>
      </c>
      <c r="B10" s="21" t="s">
        <v>184</v>
      </c>
      <c r="C10" s="21" t="s">
        <v>183</v>
      </c>
      <c r="D10" s="21">
        <v>6</v>
      </c>
      <c r="E10" s="21">
        <v>30000</v>
      </c>
      <c r="F10" s="18">
        <f t="shared" si="0"/>
        <v>180000</v>
      </c>
      <c r="G10" s="22"/>
    </row>
    <row r="11" customHeight="1" spans="1:7">
      <c r="A11" s="20">
        <v>6</v>
      </c>
      <c r="B11" s="21" t="s">
        <v>185</v>
      </c>
      <c r="C11" s="21" t="s">
        <v>183</v>
      </c>
      <c r="D11" s="21">
        <v>1</v>
      </c>
      <c r="E11" s="21">
        <v>55000</v>
      </c>
      <c r="F11" s="18">
        <f t="shared" si="0"/>
        <v>55000</v>
      </c>
      <c r="G11" s="22"/>
    </row>
    <row r="12" customHeight="1" spans="1:7">
      <c r="A12" s="20">
        <v>7</v>
      </c>
      <c r="B12" s="21" t="s">
        <v>186</v>
      </c>
      <c r="C12" s="21" t="s">
        <v>183</v>
      </c>
      <c r="D12" s="21">
        <v>1</v>
      </c>
      <c r="E12" s="21">
        <v>55000</v>
      </c>
      <c r="F12" s="18">
        <f t="shared" si="0"/>
        <v>55000</v>
      </c>
      <c r="G12" s="22"/>
    </row>
    <row r="13" customHeight="1" spans="1:7">
      <c r="A13" s="20">
        <v>8</v>
      </c>
      <c r="B13" s="21" t="s">
        <v>99</v>
      </c>
      <c r="C13" s="21" t="s">
        <v>59</v>
      </c>
      <c r="D13" s="21">
        <v>3</v>
      </c>
      <c r="E13" s="21">
        <v>85000</v>
      </c>
      <c r="F13" s="18">
        <f t="shared" si="0"/>
        <v>255000</v>
      </c>
      <c r="G13" s="22"/>
    </row>
    <row r="15" customHeight="1" spans="1:7">
      <c r="A15" s="24" t="s">
        <v>53</v>
      </c>
      <c r="B15" s="25"/>
      <c r="C15" s="30">
        <f>SUM(F6:F13)</f>
        <v>1649000</v>
      </c>
      <c r="D15" s="26"/>
      <c r="E15" s="26"/>
      <c r="F15" s="26"/>
      <c r="G15" s="27"/>
    </row>
  </sheetData>
  <mergeCells count="7">
    <mergeCell ref="A1:G1"/>
    <mergeCell ref="A3:B3"/>
    <mergeCell ref="C3:D3"/>
    <mergeCell ref="F3:G3"/>
    <mergeCell ref="A4:G4"/>
    <mergeCell ref="A15:B15"/>
    <mergeCell ref="C15:G15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showGridLines="0" showZeros="0" zoomScale="115" zoomScaleNormal="115" topLeftCell="A20" workbookViewId="0">
      <selection activeCell="D28" sqref="D28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/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9" t="s">
        <v>157</v>
      </c>
      <c r="D3" s="9"/>
      <c r="E3" s="9"/>
      <c r="F3" s="10"/>
      <c r="G3" s="10"/>
    </row>
    <row r="4" customHeight="1" spans="1:7">
      <c r="A4" s="11" t="s">
        <v>187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188</v>
      </c>
      <c r="C6" s="18" t="s">
        <v>13</v>
      </c>
      <c r="D6" s="18">
        <v>1</v>
      </c>
      <c r="E6" s="18">
        <v>80000</v>
      </c>
      <c r="F6" s="18">
        <f>(E6*D6)</f>
        <v>80000</v>
      </c>
      <c r="G6" s="19"/>
    </row>
    <row r="7" customHeight="1" spans="1:7">
      <c r="A7" s="20">
        <v>2</v>
      </c>
      <c r="B7" s="21" t="s">
        <v>189</v>
      </c>
      <c r="C7" s="21" t="s">
        <v>13</v>
      </c>
      <c r="D7" s="21">
        <v>5</v>
      </c>
      <c r="E7" s="21">
        <v>60000</v>
      </c>
      <c r="F7" s="18">
        <f t="shared" ref="F7:F26" si="0">(E7*D7)</f>
        <v>300000</v>
      </c>
      <c r="G7" s="22"/>
    </row>
    <row r="8" customHeight="1" spans="1:7">
      <c r="A8" s="20">
        <v>3</v>
      </c>
      <c r="B8" s="21" t="s">
        <v>190</v>
      </c>
      <c r="C8" s="21" t="s">
        <v>13</v>
      </c>
      <c r="D8" s="21">
        <v>5</v>
      </c>
      <c r="E8" s="21">
        <v>60000</v>
      </c>
      <c r="F8" s="18">
        <f t="shared" si="0"/>
        <v>300000</v>
      </c>
      <c r="G8" s="22"/>
    </row>
    <row r="9" customHeight="1" spans="1:7">
      <c r="A9" s="17">
        <v>4</v>
      </c>
      <c r="B9" s="21" t="s">
        <v>191</v>
      </c>
      <c r="C9" s="21" t="s">
        <v>13</v>
      </c>
      <c r="D9" s="21">
        <v>4</v>
      </c>
      <c r="E9" s="21">
        <v>30000</v>
      </c>
      <c r="F9" s="18">
        <f t="shared" si="0"/>
        <v>120000</v>
      </c>
      <c r="G9" s="22"/>
    </row>
    <row r="10" customHeight="1" spans="1:7">
      <c r="A10" s="20">
        <v>5</v>
      </c>
      <c r="B10" s="21" t="s">
        <v>192</v>
      </c>
      <c r="C10" s="21" t="s">
        <v>62</v>
      </c>
      <c r="D10" s="21">
        <v>3</v>
      </c>
      <c r="E10" s="21">
        <v>130000</v>
      </c>
      <c r="F10" s="18">
        <f t="shared" si="0"/>
        <v>390000</v>
      </c>
      <c r="G10" s="22"/>
    </row>
    <row r="11" customHeight="1" spans="1:7">
      <c r="A11" s="20">
        <v>6</v>
      </c>
      <c r="B11" s="21" t="s">
        <v>193</v>
      </c>
      <c r="C11" s="21" t="s">
        <v>16</v>
      </c>
      <c r="D11" s="21">
        <v>1</v>
      </c>
      <c r="E11" s="21">
        <v>80000</v>
      </c>
      <c r="F11" s="18">
        <f t="shared" si="0"/>
        <v>80000</v>
      </c>
      <c r="G11" s="22"/>
    </row>
    <row r="12" customHeight="1" spans="1:7">
      <c r="A12" s="17">
        <v>7</v>
      </c>
      <c r="B12" s="21" t="s">
        <v>194</v>
      </c>
      <c r="C12" s="21" t="s">
        <v>163</v>
      </c>
      <c r="D12" s="21">
        <v>8</v>
      </c>
      <c r="E12" s="21">
        <v>15000</v>
      </c>
      <c r="F12" s="18">
        <f t="shared" si="0"/>
        <v>120000</v>
      </c>
      <c r="G12" s="22"/>
    </row>
    <row r="13" customHeight="1" spans="1:7">
      <c r="A13" s="20">
        <v>8</v>
      </c>
      <c r="B13" s="21" t="s">
        <v>195</v>
      </c>
      <c r="C13" s="21" t="s">
        <v>163</v>
      </c>
      <c r="D13" s="21">
        <v>12</v>
      </c>
      <c r="E13" s="21">
        <v>20000</v>
      </c>
      <c r="F13" s="18">
        <f t="shared" si="0"/>
        <v>240000</v>
      </c>
      <c r="G13" s="22"/>
    </row>
    <row r="14" customHeight="1" spans="1:7">
      <c r="A14" s="20">
        <v>9</v>
      </c>
      <c r="B14" s="21" t="s">
        <v>196</v>
      </c>
      <c r="C14" s="21" t="s">
        <v>13</v>
      </c>
      <c r="D14" s="21">
        <v>4</v>
      </c>
      <c r="E14" s="21">
        <v>50000</v>
      </c>
      <c r="F14" s="18">
        <f t="shared" si="0"/>
        <v>200000</v>
      </c>
      <c r="G14" s="22"/>
    </row>
    <row r="15" customHeight="1" spans="1:7">
      <c r="A15" s="17">
        <v>10</v>
      </c>
      <c r="B15" s="21" t="s">
        <v>197</v>
      </c>
      <c r="C15" s="21" t="s">
        <v>13</v>
      </c>
      <c r="D15" s="5">
        <v>4</v>
      </c>
      <c r="E15" s="21">
        <v>100000</v>
      </c>
      <c r="F15" s="18">
        <f t="shared" si="0"/>
        <v>400000</v>
      </c>
      <c r="G15" s="22"/>
    </row>
    <row r="16" customHeight="1" spans="1:7">
      <c r="A16" s="20">
        <v>11</v>
      </c>
      <c r="B16" s="21" t="s">
        <v>198</v>
      </c>
      <c r="C16" s="21" t="s">
        <v>13</v>
      </c>
      <c r="D16" s="21">
        <v>2</v>
      </c>
      <c r="E16" s="21">
        <v>50000</v>
      </c>
      <c r="F16" s="18">
        <f t="shared" si="0"/>
        <v>100000</v>
      </c>
      <c r="G16" s="22"/>
    </row>
    <row r="17" customHeight="1" spans="1:7">
      <c r="A17" s="20">
        <v>12</v>
      </c>
      <c r="B17" s="21" t="s">
        <v>199</v>
      </c>
      <c r="C17" s="21" t="s">
        <v>163</v>
      </c>
      <c r="D17" s="21">
        <v>14</v>
      </c>
      <c r="E17" s="21">
        <v>20000</v>
      </c>
      <c r="F17" s="18">
        <f t="shared" si="0"/>
        <v>280000</v>
      </c>
      <c r="G17" s="22"/>
    </row>
    <row r="18" customHeight="1" spans="1:7">
      <c r="A18" s="17">
        <v>13</v>
      </c>
      <c r="B18" s="21" t="s">
        <v>200</v>
      </c>
      <c r="C18" s="21" t="s">
        <v>59</v>
      </c>
      <c r="D18" s="21">
        <v>2</v>
      </c>
      <c r="E18" s="21">
        <v>120000</v>
      </c>
      <c r="F18" s="18">
        <f t="shared" si="0"/>
        <v>240000</v>
      </c>
      <c r="G18" s="22"/>
    </row>
    <row r="19" customHeight="1" spans="1:7">
      <c r="A19" s="20">
        <v>14</v>
      </c>
      <c r="B19" s="21" t="s">
        <v>201</v>
      </c>
      <c r="C19" s="21" t="s">
        <v>59</v>
      </c>
      <c r="D19" s="21">
        <v>2</v>
      </c>
      <c r="E19" s="21">
        <v>180000</v>
      </c>
      <c r="F19" s="18">
        <f t="shared" si="0"/>
        <v>360000</v>
      </c>
      <c r="G19" s="22"/>
    </row>
    <row r="20" customHeight="1" spans="1:7">
      <c r="A20" s="20">
        <v>15</v>
      </c>
      <c r="B20" s="23" t="s">
        <v>202</v>
      </c>
      <c r="C20" s="23" t="s">
        <v>59</v>
      </c>
      <c r="D20" s="23">
        <v>2</v>
      </c>
      <c r="E20" s="23">
        <v>210000</v>
      </c>
      <c r="F20" s="18">
        <f t="shared" si="0"/>
        <v>420000</v>
      </c>
      <c r="G20" s="23"/>
    </row>
    <row r="21" customHeight="1" spans="1:7">
      <c r="A21" s="17">
        <v>16</v>
      </c>
      <c r="B21" s="23" t="s">
        <v>203</v>
      </c>
      <c r="C21" s="23" t="s">
        <v>163</v>
      </c>
      <c r="D21" s="23">
        <v>11</v>
      </c>
      <c r="E21" s="23">
        <v>20000</v>
      </c>
      <c r="F21" s="18">
        <f t="shared" si="0"/>
        <v>220000</v>
      </c>
      <c r="G21" s="23"/>
    </row>
    <row r="22" customHeight="1" spans="1:7">
      <c r="A22" s="20">
        <v>17</v>
      </c>
      <c r="B22" s="23" t="s">
        <v>204</v>
      </c>
      <c r="C22" s="23" t="s">
        <v>205</v>
      </c>
      <c r="D22" s="23">
        <v>150</v>
      </c>
      <c r="E22" s="23">
        <v>12000</v>
      </c>
      <c r="F22" s="18">
        <f t="shared" si="0"/>
        <v>1800000</v>
      </c>
      <c r="G22" s="23"/>
    </row>
    <row r="23" customHeight="1" spans="1:7">
      <c r="A23" s="20">
        <v>18</v>
      </c>
      <c r="B23" s="23" t="s">
        <v>206</v>
      </c>
      <c r="C23" s="23" t="s">
        <v>163</v>
      </c>
      <c r="D23" s="23">
        <v>17</v>
      </c>
      <c r="E23" s="23">
        <v>22000</v>
      </c>
      <c r="F23" s="18">
        <f t="shared" si="0"/>
        <v>374000</v>
      </c>
      <c r="G23" s="23"/>
    </row>
    <row r="24" customHeight="1" spans="1:7">
      <c r="A24" s="17">
        <v>19</v>
      </c>
      <c r="B24" s="23" t="s">
        <v>207</v>
      </c>
      <c r="C24" s="23" t="s">
        <v>208</v>
      </c>
      <c r="D24" s="23">
        <v>9</v>
      </c>
      <c r="E24" s="23">
        <v>20000</v>
      </c>
      <c r="F24" s="18">
        <f t="shared" si="0"/>
        <v>180000</v>
      </c>
      <c r="G24" s="23"/>
    </row>
    <row r="25" customHeight="1" spans="1:7">
      <c r="A25" s="20">
        <v>20</v>
      </c>
      <c r="B25" s="23" t="s">
        <v>209</v>
      </c>
      <c r="C25" s="23" t="s">
        <v>16</v>
      </c>
      <c r="D25" s="23">
        <v>1.5</v>
      </c>
      <c r="E25" s="23">
        <v>30000</v>
      </c>
      <c r="F25" s="18">
        <f t="shared" si="0"/>
        <v>45000</v>
      </c>
      <c r="G25" s="23"/>
    </row>
    <row r="26" customHeight="1" spans="1:7">
      <c r="A26" s="20">
        <v>21</v>
      </c>
      <c r="B26" s="23" t="s">
        <v>210</v>
      </c>
      <c r="C26" s="23" t="s">
        <v>163</v>
      </c>
      <c r="D26" s="23">
        <v>16</v>
      </c>
      <c r="E26" s="23">
        <v>15000</v>
      </c>
      <c r="F26" s="18">
        <f t="shared" si="0"/>
        <v>240000</v>
      </c>
      <c r="G26" s="23"/>
    </row>
    <row r="27" customHeight="1" spans="1:7">
      <c r="A27" s="23"/>
      <c r="B27" s="28" t="s">
        <v>33</v>
      </c>
      <c r="C27" s="23"/>
      <c r="D27" s="23"/>
      <c r="E27" s="23"/>
      <c r="F27" s="29">
        <f>SUM(F6:F26)</f>
        <v>6489000</v>
      </c>
      <c r="G27" s="23"/>
    </row>
    <row r="49" customHeight="1" spans="1:7">
      <c r="A49" s="24" t="s">
        <v>53</v>
      </c>
      <c r="B49" s="25"/>
      <c r="C49" s="26"/>
      <c r="D49" s="26"/>
      <c r="E49" s="26"/>
      <c r="F49" s="26"/>
      <c r="G49" s="27"/>
    </row>
  </sheetData>
  <mergeCells count="7">
    <mergeCell ref="A1:G1"/>
    <mergeCell ref="A3:B3"/>
    <mergeCell ref="C3:D3"/>
    <mergeCell ref="F3:G3"/>
    <mergeCell ref="A4:G4"/>
    <mergeCell ref="A49:B49"/>
    <mergeCell ref="C49:G4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showGridLines="0" showZeros="0" zoomScale="115" zoomScaleNormal="115" topLeftCell="A7" workbookViewId="0">
      <selection activeCell="I14" sqref="I14"/>
    </sheetView>
  </sheetViews>
  <sheetFormatPr defaultColWidth="10.6285714285714" defaultRowHeight="30" customHeight="1" outlineLevelCol="6"/>
  <cols>
    <col min="1" max="1" width="11.2857142857143" style="5" customWidth="1"/>
    <col min="2" max="2" width="28" style="5" customWidth="1"/>
    <col min="3" max="3" width="7.78095238095238" style="5" customWidth="1"/>
    <col min="4" max="4" width="14.4285714285714" style="5" customWidth="1"/>
    <col min="5" max="5" width="25.3333333333333" style="5" customWidth="1"/>
    <col min="6" max="6" width="19.3333333333333" style="5" customWidth="1"/>
    <col min="7" max="16382" width="10.6285714285714" style="5" customWidth="1"/>
    <col min="16383" max="16384" width="10.6285714285714" style="5"/>
  </cols>
  <sheetData>
    <row r="1" ht="40" customHeight="1" spans="1:7">
      <c r="A1" s="6" t="s">
        <v>0</v>
      </c>
      <c r="B1" s="6"/>
      <c r="C1" s="6"/>
      <c r="D1" s="6"/>
      <c r="E1" s="6"/>
      <c r="F1" s="6"/>
      <c r="G1" s="6"/>
    </row>
    <row r="2" ht="40" customHeight="1" spans="1:7">
      <c r="A2" s="7" t="s">
        <v>211</v>
      </c>
      <c r="B2" s="7"/>
      <c r="C2" s="7"/>
      <c r="D2" s="6"/>
      <c r="E2" s="6"/>
      <c r="F2" s="6"/>
      <c r="G2" s="6"/>
    </row>
    <row r="3" customHeight="1" spans="1:7">
      <c r="A3" s="8" t="s">
        <v>2</v>
      </c>
      <c r="B3" s="8"/>
      <c r="C3" s="9" t="s">
        <v>157</v>
      </c>
      <c r="D3" s="9"/>
      <c r="E3" s="9"/>
      <c r="F3" s="10"/>
      <c r="G3" s="10"/>
    </row>
    <row r="4" customHeight="1" spans="1:7">
      <c r="A4" s="11" t="s">
        <v>212</v>
      </c>
      <c r="B4" s="12"/>
      <c r="C4" s="12"/>
      <c r="D4" s="12"/>
      <c r="E4" s="12"/>
      <c r="F4" s="12"/>
      <c r="G4" s="13"/>
    </row>
    <row r="5" customHeight="1" spans="1:7">
      <c r="A5" s="14" t="s">
        <v>5</v>
      </c>
      <c r="B5" s="15" t="s">
        <v>6</v>
      </c>
      <c r="C5" s="15" t="s">
        <v>7</v>
      </c>
      <c r="D5" s="15" t="s">
        <v>8</v>
      </c>
      <c r="E5" s="15" t="s">
        <v>9</v>
      </c>
      <c r="F5" s="15" t="s">
        <v>10</v>
      </c>
      <c r="G5" s="16" t="s">
        <v>11</v>
      </c>
    </row>
    <row r="6" customHeight="1" spans="1:7">
      <c r="A6" s="17">
        <v>1</v>
      </c>
      <c r="B6" s="18" t="s">
        <v>213</v>
      </c>
      <c r="C6" s="18" t="s">
        <v>52</v>
      </c>
      <c r="D6" s="18">
        <v>1500</v>
      </c>
      <c r="E6" s="18">
        <v>5000</v>
      </c>
      <c r="F6" s="18"/>
      <c r="G6" s="19"/>
    </row>
    <row r="7" customHeight="1" spans="1:7">
      <c r="A7" s="20">
        <v>2</v>
      </c>
      <c r="B7" s="21" t="s">
        <v>214</v>
      </c>
      <c r="C7" s="21" t="s">
        <v>52</v>
      </c>
      <c r="D7" s="21"/>
      <c r="E7" s="21"/>
      <c r="F7" s="21"/>
      <c r="G7" s="22"/>
    </row>
    <row r="8" customHeight="1" spans="1:7">
      <c r="A8" s="20">
        <v>3</v>
      </c>
      <c r="B8" s="21" t="s">
        <v>215</v>
      </c>
      <c r="C8" s="21" t="s">
        <v>16</v>
      </c>
      <c r="D8" s="21"/>
      <c r="E8" s="21"/>
      <c r="F8" s="21"/>
      <c r="G8" s="22"/>
    </row>
    <row r="9" customHeight="1" spans="1:7">
      <c r="A9" s="20">
        <v>4</v>
      </c>
      <c r="B9" s="21" t="s">
        <v>216</v>
      </c>
      <c r="C9" s="21" t="s">
        <v>13</v>
      </c>
      <c r="D9" s="21"/>
      <c r="E9" s="21"/>
      <c r="F9" s="21"/>
      <c r="G9" s="22"/>
    </row>
    <row r="10" customHeight="1" spans="1:7">
      <c r="A10" s="20">
        <v>5</v>
      </c>
      <c r="B10" s="21" t="s">
        <v>217</v>
      </c>
      <c r="C10" s="21" t="s">
        <v>13</v>
      </c>
      <c r="D10" s="21"/>
      <c r="E10" s="21"/>
      <c r="F10" s="21"/>
      <c r="G10" s="22"/>
    </row>
    <row r="11" customHeight="1" spans="1:7">
      <c r="A11" s="20">
        <v>6</v>
      </c>
      <c r="B11" s="21" t="s">
        <v>218</v>
      </c>
      <c r="C11" s="21" t="s">
        <v>13</v>
      </c>
      <c r="D11" s="21"/>
      <c r="E11" s="21"/>
      <c r="F11" s="21"/>
      <c r="G11" s="22"/>
    </row>
    <row r="12" customHeight="1" spans="1:7">
      <c r="A12" s="20">
        <v>7</v>
      </c>
      <c r="B12" s="21" t="s">
        <v>219</v>
      </c>
      <c r="C12" s="21" t="s">
        <v>13</v>
      </c>
      <c r="D12" s="21"/>
      <c r="E12" s="21"/>
      <c r="F12" s="21"/>
      <c r="G12" s="22"/>
    </row>
    <row r="13" customHeight="1" spans="1:7">
      <c r="A13" s="20">
        <v>8</v>
      </c>
      <c r="B13" s="21"/>
      <c r="C13" s="21" t="s">
        <v>13</v>
      </c>
      <c r="D13" s="21"/>
      <c r="E13" s="21"/>
      <c r="F13" s="21"/>
      <c r="G13" s="22"/>
    </row>
    <row r="14" customHeight="1" spans="1:7">
      <c r="A14" s="23"/>
      <c r="B14" s="23"/>
      <c r="C14" s="23"/>
      <c r="D14" s="23"/>
      <c r="E14" s="23"/>
      <c r="F14" s="23"/>
      <c r="G14" s="23"/>
    </row>
    <row r="15" customHeight="1" spans="1:7">
      <c r="A15" s="24" t="s">
        <v>53</v>
      </c>
      <c r="B15" s="25"/>
      <c r="C15" s="26"/>
      <c r="D15" s="26"/>
      <c r="E15" s="26"/>
      <c r="F15" s="26"/>
      <c r="G15" s="27"/>
    </row>
  </sheetData>
  <mergeCells count="7">
    <mergeCell ref="A1:G1"/>
    <mergeCell ref="A3:B3"/>
    <mergeCell ref="C3:D3"/>
    <mergeCell ref="F3:G3"/>
    <mergeCell ref="A4:G4"/>
    <mergeCell ref="A15:B15"/>
    <mergeCell ref="C15:G15"/>
  </mergeCells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14"/>
  <sheetViews>
    <sheetView workbookViewId="0">
      <selection activeCell="B8" sqref="B8"/>
    </sheetView>
  </sheetViews>
  <sheetFormatPr defaultColWidth="9.14285714285714" defaultRowHeight="15" outlineLevelCol="3"/>
  <cols>
    <col min="1" max="1" width="5.85714285714286" customWidth="1"/>
    <col min="2" max="2" width="21.1428571428571" customWidth="1"/>
    <col min="3" max="3" width="18.5714285714286" customWidth="1"/>
    <col min="4" max="4" width="11.1428571428571" customWidth="1"/>
  </cols>
  <sheetData>
    <row r="2" spans="1:1">
      <c r="A2" t="s">
        <v>220</v>
      </c>
    </row>
    <row r="4" spans="1:4">
      <c r="A4" s="1" t="s">
        <v>221</v>
      </c>
      <c r="B4" s="1" t="s">
        <v>222</v>
      </c>
      <c r="C4" s="1" t="s">
        <v>156</v>
      </c>
      <c r="D4" s="1" t="s">
        <v>223</v>
      </c>
    </row>
    <row r="5" spans="1:4">
      <c r="A5" s="1">
        <v>1</v>
      </c>
      <c r="B5" s="1" t="s">
        <v>4</v>
      </c>
      <c r="C5" s="2">
        <v>2264250</v>
      </c>
      <c r="D5" s="1"/>
    </row>
    <row r="6" spans="1:4">
      <c r="A6" s="1">
        <v>2</v>
      </c>
      <c r="B6" s="1" t="s">
        <v>55</v>
      </c>
      <c r="C6" s="2">
        <v>9205000</v>
      </c>
      <c r="D6" s="1"/>
    </row>
    <row r="7" spans="1:4">
      <c r="A7" s="1">
        <v>3</v>
      </c>
      <c r="B7" s="1" t="s">
        <v>224</v>
      </c>
      <c r="C7" s="2">
        <v>1932000</v>
      </c>
      <c r="D7" s="1"/>
    </row>
    <row r="8" spans="1:4">
      <c r="A8" s="1">
        <v>4</v>
      </c>
      <c r="B8" s="1" t="s">
        <v>225</v>
      </c>
      <c r="C8" s="2">
        <v>10530000</v>
      </c>
      <c r="D8" s="1"/>
    </row>
    <row r="9" spans="1:4">
      <c r="A9" s="1">
        <v>5</v>
      </c>
      <c r="B9" s="1" t="s">
        <v>226</v>
      </c>
      <c r="C9" s="2">
        <v>164900</v>
      </c>
      <c r="D9" s="1"/>
    </row>
    <row r="10" spans="1:4">
      <c r="A10" s="1">
        <v>6</v>
      </c>
      <c r="B10" s="1" t="s">
        <v>227</v>
      </c>
      <c r="C10" s="2">
        <v>6489000</v>
      </c>
      <c r="D10" s="1"/>
    </row>
    <row r="11" spans="1:4">
      <c r="A11" s="1">
        <v>7</v>
      </c>
      <c r="B11" s="1" t="s">
        <v>228</v>
      </c>
      <c r="C11" s="2">
        <v>2000000</v>
      </c>
      <c r="D11" s="1"/>
    </row>
    <row r="12" spans="1:4">
      <c r="A12" s="1">
        <v>8</v>
      </c>
      <c r="B12" s="1" t="s">
        <v>229</v>
      </c>
      <c r="C12" s="2">
        <v>3800000</v>
      </c>
      <c r="D12" s="1"/>
    </row>
    <row r="13" spans="1:4">
      <c r="A13" s="1"/>
      <c r="B13" s="1"/>
      <c r="C13" s="2"/>
      <c r="D13" s="1"/>
    </row>
    <row r="14" spans="1:4">
      <c r="A14" s="3" t="s">
        <v>156</v>
      </c>
      <c r="B14" s="4"/>
      <c r="C14" s="2">
        <f>SUM(C5:C12)</f>
        <v>36385150</v>
      </c>
      <c r="D14" s="1"/>
    </row>
  </sheetData>
  <mergeCells count="1">
    <mergeCell ref="A14:B1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VEGETABLE </vt:lpstr>
      <vt:lpstr>GROCERIES </vt:lpstr>
      <vt:lpstr>CHEESE </vt:lpstr>
      <vt:lpstr>MEAT &amp; POULTRY </vt:lpstr>
      <vt:lpstr>BREAD</vt:lpstr>
      <vt:lpstr>COOKED FOOD </vt:lpstr>
      <vt:lpstr>TAKE AYAW BOX </vt:lpstr>
      <vt:lpstr>SUB TOTAL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Balagan Uluwatu</cp:lastModifiedBy>
  <dcterms:created xsi:type="dcterms:W3CDTF">2019-11-10T08:57:00Z</dcterms:created>
  <dcterms:modified xsi:type="dcterms:W3CDTF">2025-11-27T08:48:58Z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8BE5DDEE77D64716813035FBCC066147_13</vt:lpwstr>
  </property>
  <property fmtid="{D5CDD505-2E9C-101B-9397-08002B2CF9AE}" pid="3" name="KSOProductBuildVer">
    <vt:lpwstr>1033-12.2.0.23155</vt:lpwstr>
  </property>
</Properties>
</file>