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KSP (Chicke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<sst xmlns="http://schemas.openxmlformats.org/spreadsheetml/2006/main" count="30" uniqueCount="18">
  <si>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</si>
  <si>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</si>
  <si>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</si>
  <si>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</si>
  <si>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</si>
  <si>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</si>
  <si>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</si>
  <si>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</si>
  <si>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BO0365/PRN-R/2026</t>
  </si>
  <si>
    <t>BONELESS BREAST TK SP</t>
  </si>
  <si>
    <t>BONELESS LEG TK SP</t>
  </si>
  <si>
    <t>BO0412/PRN-R/2026</t>
  </si>
  <si>
    <t>BO0482/PRN-R/2026</t>
  </si>
  <si>
    <t>WINGS TD</t>
  </si>
  <si>
    <t>BO0557/PRN-R/2026</t>
  </si>
  <si>
    <t>BO0646/PRN-R/2026</t>
  </si>
  <si>
    <t>BO0707/PRN-R/2026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</si>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</sst>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dd\-mmm"/>
    <numFmt numFmtId="179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8" fontId="0" fillId="3" borderId="2" xfId="0" applyNumberForma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0" fillId="3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vertical="center"/>
    </xf>
    <xf numFmtId="177" fontId="0" fillId="3" borderId="3" xfId="0" applyNumberForma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/>
    </xf>
    <xf numFmtId="178" fontId="0" fillId="3" borderId="4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176" fontId="0" fillId="3" borderId="3" xfId="0" applyNumberFormat="1" applyFill="1" applyBorder="1" applyAlignment="1">
      <alignment vertical="center"/>
    </xf>
    <xf numFmtId="178" fontId="0" fillId="3" borderId="3" xfId="0" applyNumberFormat="1" applyFill="1" applyBorder="1" applyAlignment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179" fontId="0" fillId="0" borderId="1" xfId="0" applyNumberFormat="1" applyBorder="1" applyAlignment="1">
      <alignment vertical="center"/>
    </xf>
    <xf numFmtId="179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center"/>
    </xf>
    <xf numFmtId="0" fontId="0" fillId="0" borderId="4" xfId="0" applyNumberFormat="1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vertical="center"/>
    </xf>
    <xf numFmtId="0" fontId="0" fillId="0" borderId="4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177" fontId="0" fillId="0" borderId="3" xfId="0" applyNumberFormat="1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47942</xdr:colOff>
      <xdr:row>1</xdr:row>
      <xdr:rowOff>25082</xdr:rowOff>
    </xdr:from>
    <xdr:to>
      <xdr:col>4</xdr:col>
      <xdr:colOff>2815272</xdr:colOff>
      <xdr:row>2</xdr:row>
      <xdr:rowOff>1008062</xdr:rowOff>
    </xdr:to>
    <xdr:pic>
      <xdr:nvPicPr>
        <xdr:cNvPr id="2" name="ID_4B5C3A118E93457890BE43FDD3621726" descr="PHOTO-2026-02-03-23-56-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289675" y="-155575"/>
          <a:ext cx="1998980" cy="276669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3</xdr:row>
      <xdr:rowOff>46355</xdr:rowOff>
    </xdr:from>
    <xdr:to>
      <xdr:col>4</xdr:col>
      <xdr:colOff>2837815</xdr:colOff>
      <xdr:row>4</xdr:row>
      <xdr:rowOff>848995</xdr:rowOff>
    </xdr:to>
    <xdr:pic>
      <xdr:nvPicPr>
        <xdr:cNvPr id="3" name="ID_2EBB1BBD77A04910995658200A91ED32" descr="PHOTO-2026-02-06-18-12-5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 rot="16200000">
          <a:off x="6443345" y="1720850"/>
          <a:ext cx="1691640" cy="2813050"/>
        </a:xfrm>
        <a:prstGeom prst="rect">
          <a:avLst/>
        </a:prstGeom>
      </xdr:spPr>
    </xdr:pic>
    <xdr:clientData/>
  </xdr:twoCellAnchor>
  <xdr:twoCellAnchor editAs="oneCell">
    <xdr:from>
      <xdr:col>4</xdr:col>
      <xdr:colOff>25082</xdr:colOff>
      <xdr:row>5</xdr:row>
      <xdr:rowOff>71437</xdr:rowOff>
    </xdr:from>
    <xdr:to>
      <xdr:col>4</xdr:col>
      <xdr:colOff>2837497</xdr:colOff>
      <xdr:row>7</xdr:row>
      <xdr:rowOff>575627</xdr:rowOff>
    </xdr:to>
    <xdr:pic>
      <xdr:nvPicPr>
        <xdr:cNvPr id="4" name="ID_EF83982E7F67466594FDDD0952FC8644" descr="PHOTO-2026-02-11-15-47-4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6401435" y="3564890"/>
          <a:ext cx="1774190" cy="2812415"/>
        </a:xfrm>
        <a:prstGeom prst="rect">
          <a:avLst/>
        </a:prstGeom>
      </xdr:spPr>
    </xdr:pic>
    <xdr:clientData/>
  </xdr:twoCellAnchor>
  <xdr:twoCellAnchor editAs="oneCell">
    <xdr:from>
      <xdr:col>4</xdr:col>
      <xdr:colOff>39370</xdr:colOff>
      <xdr:row>8</xdr:row>
      <xdr:rowOff>24765</xdr:rowOff>
    </xdr:from>
    <xdr:to>
      <xdr:col>4</xdr:col>
      <xdr:colOff>2823210</xdr:colOff>
      <xdr:row>10</xdr:row>
      <xdr:rowOff>559435</xdr:rowOff>
    </xdr:to>
    <xdr:pic>
      <xdr:nvPicPr>
        <xdr:cNvPr id="5" name="ID_A96076AC3EFB42C5BCD4635C0260742C" descr="PHOTO-2026-02-17-10-23-0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6450330" y="5389880"/>
          <a:ext cx="1677670" cy="278384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</xdr:colOff>
      <xdr:row>11</xdr:row>
      <xdr:rowOff>46990</xdr:rowOff>
    </xdr:from>
    <xdr:to>
      <xdr:col>4</xdr:col>
      <xdr:colOff>2839085</xdr:colOff>
      <xdr:row>12</xdr:row>
      <xdr:rowOff>849630</xdr:rowOff>
    </xdr:to>
    <xdr:pic>
      <xdr:nvPicPr>
        <xdr:cNvPr id="6" name="ID_4C0BBE49A38C4910A7259113ED80F2A3" descr="PHOTO-2026-02-24-18-41-0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882640" y="7679690"/>
          <a:ext cx="2814320" cy="1691640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</xdr:colOff>
      <xdr:row>13</xdr:row>
      <xdr:rowOff>112712</xdr:rowOff>
    </xdr:from>
    <xdr:to>
      <xdr:col>4</xdr:col>
      <xdr:colOff>2838132</xdr:colOff>
      <xdr:row>15</xdr:row>
      <xdr:rowOff>534352</xdr:rowOff>
    </xdr:to>
    <xdr:pic>
      <xdr:nvPicPr>
        <xdr:cNvPr id="7" name="ID_042B826A382149509C7396D3D6927D8C" descr="PHOTO-2026-02-27-15-49-4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rot="16200000">
          <a:off x="6442710" y="8961755"/>
          <a:ext cx="1691640" cy="28136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zoomScale="85" zoomScaleNormal="85" topLeftCell="D1" workbookViewId="0">
      <pane ySplit="1" topLeftCell="A12" activePane="bottomLeft" state="frozen"/>
      <selection/>
      <selection pane="bottomLeft" activeCell="H2" sqref="H2:H3"/>
    </sheetView>
  </sheetViews>
  <sheetFormatPr defaultColWidth="9.140625" defaultRowHeight="16.8"/>
  <cols>
    <col min="1" max="1" width="12.0625" style="1" customWidth="1"/>
    <col min="2" max="2" width="20.140625" customWidth="1"/>
    <col min="3" max="3" width="25.140625" style="2" customWidth="1"/>
    <col min="4" max="4" width="14.7265625" style="3" customWidth="1"/>
    <col min="5" max="5" width="35.125" customWidth="1"/>
    <col min="6" max="8" width="20.9921875" customWidth="1"/>
    <col min="9" max="9" width="12.859375"/>
  </cols>
  <sheetData>
    <row r="1" ht="16" customHeight="1" spans="1:8">
      <c r="A1" s="4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ht="80" customHeight="1" spans="1:12">
      <c r="A2" s="7">
        <v>46056</v>
      </c>
      <c r="B2" s="8" t="s">
        <v>8</v>
      </c>
      <c r="C2" s="9" t="s">
        <v>9</v>
      </c>
      <c r="D2" s="10">
        <v>10.2</v>
      </c>
      <c r="E2" s="28"/>
      <c r="F2" s="29">
        <v>52000</v>
      </c>
      <c r="G2" s="29">
        <f t="shared" ref="G2:G8" si="0">SUM(D2*F2)</f>
        <v>530400</v>
      </c>
      <c r="H2" s="30">
        <f>SUM(G2:G3)</f>
        <v>1555500</v>
      </c>
      <c r="L2" s="48"/>
    </row>
    <row r="3" ht="80" customHeight="1" spans="1:11">
      <c r="A3" s="11"/>
      <c r="B3" s="12"/>
      <c r="C3" s="13" t="s">
        <v>10</v>
      </c>
      <c r="D3" s="14">
        <v>20.1</v>
      </c>
      <c r="E3" s="31"/>
      <c r="F3" s="29">
        <v>51000</v>
      </c>
      <c r="G3" s="29">
        <f t="shared" si="0"/>
        <v>1025100</v>
      </c>
      <c r="H3" s="32"/>
      <c r="K3" s="48"/>
    </row>
    <row r="4" ht="70" customHeight="1" spans="1:11">
      <c r="A4" s="7">
        <v>46059</v>
      </c>
      <c r="B4" s="8" t="s">
        <v>11</v>
      </c>
      <c r="C4" s="13" t="s">
        <v>9</v>
      </c>
      <c r="D4" s="14">
        <v>5.1</v>
      </c>
      <c r="E4" s="28"/>
      <c r="F4" s="29">
        <v>52500</v>
      </c>
      <c r="G4" s="29">
        <f t="shared" si="0"/>
        <v>267750</v>
      </c>
      <c r="H4" s="30">
        <f>SUM(G4:G5)</f>
        <v>1060850</v>
      </c>
      <c r="K4" s="48"/>
    </row>
    <row r="5" ht="70" customHeight="1" spans="1:11">
      <c r="A5" s="11"/>
      <c r="B5" s="12"/>
      <c r="C5" s="13" t="s">
        <v>10</v>
      </c>
      <c r="D5" s="14">
        <v>15.4</v>
      </c>
      <c r="E5" s="31"/>
      <c r="F5" s="29">
        <v>51500</v>
      </c>
      <c r="G5" s="29">
        <f t="shared" si="0"/>
        <v>793100</v>
      </c>
      <c r="H5" s="32"/>
      <c r="K5" s="48"/>
    </row>
    <row r="6" ht="50" customHeight="1" spans="1:8">
      <c r="A6" s="7">
        <v>46064</v>
      </c>
      <c r="B6" s="8" t="s">
        <v>12</v>
      </c>
      <c r="C6" s="13" t="s">
        <v>9</v>
      </c>
      <c r="D6" s="14">
        <v>9.7</v>
      </c>
      <c r="E6" s="28"/>
      <c r="F6" s="33">
        <v>55500</v>
      </c>
      <c r="G6" s="29">
        <f t="shared" si="0"/>
        <v>538350</v>
      </c>
      <c r="H6" s="30">
        <f>SUM(G6:G8)</f>
        <v>1295150</v>
      </c>
    </row>
    <row r="7" ht="50" customHeight="1" spans="1:8">
      <c r="A7" s="15"/>
      <c r="B7" s="16"/>
      <c r="C7" s="17" t="s">
        <v>10</v>
      </c>
      <c r="D7" s="14">
        <v>9.9</v>
      </c>
      <c r="E7" s="34"/>
      <c r="F7" s="33">
        <v>54500</v>
      </c>
      <c r="G7" s="29">
        <f t="shared" si="0"/>
        <v>539550</v>
      </c>
      <c r="H7" s="35"/>
    </row>
    <row r="8" ht="50" customHeight="1" spans="1:8">
      <c r="A8" s="11"/>
      <c r="B8" s="12"/>
      <c r="C8" s="17" t="s">
        <v>13</v>
      </c>
      <c r="D8" s="14">
        <v>5.5</v>
      </c>
      <c r="E8" s="31"/>
      <c r="F8" s="33">
        <v>39500</v>
      </c>
      <c r="G8" s="29">
        <f t="shared" si="0"/>
        <v>217250</v>
      </c>
      <c r="H8" s="32"/>
    </row>
    <row r="9" ht="45" customHeight="1" spans="1:11">
      <c r="A9" s="7">
        <v>46070</v>
      </c>
      <c r="B9" s="8" t="s">
        <v>14</v>
      </c>
      <c r="C9" s="13" t="s">
        <v>9</v>
      </c>
      <c r="D9" s="14">
        <v>5.1</v>
      </c>
      <c r="E9" s="28"/>
      <c r="F9" s="33">
        <v>56000</v>
      </c>
      <c r="G9" s="33">
        <f t="shared" ref="G9:G16" si="1">D9*F9</f>
        <v>285600</v>
      </c>
      <c r="H9" s="36">
        <f>SUM(G9:G11)</f>
        <v>1030850</v>
      </c>
      <c r="K9" s="48"/>
    </row>
    <row r="10" ht="45" customHeight="1" spans="1:11">
      <c r="A10" s="15"/>
      <c r="B10" s="16"/>
      <c r="C10" s="13" t="s">
        <v>10</v>
      </c>
      <c r="D10" s="14">
        <v>9.5</v>
      </c>
      <c r="E10" s="34"/>
      <c r="F10" s="33">
        <v>55000</v>
      </c>
      <c r="G10" s="33">
        <f t="shared" si="1"/>
        <v>522500</v>
      </c>
      <c r="H10" s="37"/>
      <c r="K10" s="48"/>
    </row>
    <row r="11" ht="45" customHeight="1" spans="1:11">
      <c r="A11" s="11"/>
      <c r="B11" s="12"/>
      <c r="C11" s="13" t="s">
        <v>13</v>
      </c>
      <c r="D11" s="14">
        <v>5.5</v>
      </c>
      <c r="E11" s="31"/>
      <c r="F11" s="33">
        <v>40500</v>
      </c>
      <c r="G11" s="33">
        <f t="shared" si="1"/>
        <v>222750</v>
      </c>
      <c r="H11" s="38"/>
      <c r="K11" s="48"/>
    </row>
    <row r="12" ht="70" customHeight="1" spans="1:11">
      <c r="A12" s="15">
        <v>46077</v>
      </c>
      <c r="B12" s="16" t="s">
        <v>15</v>
      </c>
      <c r="C12" s="18" t="s">
        <v>9</v>
      </c>
      <c r="D12" s="19">
        <v>4.9</v>
      </c>
      <c r="E12" s="34"/>
      <c r="F12" s="39">
        <v>54000</v>
      </c>
      <c r="G12" s="33">
        <f t="shared" si="1"/>
        <v>264600</v>
      </c>
      <c r="H12" s="37">
        <f>SUM(G12:G13)</f>
        <v>1074600</v>
      </c>
      <c r="K12" s="48"/>
    </row>
    <row r="13" ht="70" customHeight="1" spans="1:11">
      <c r="A13" s="11"/>
      <c r="B13" s="12"/>
      <c r="C13" s="18" t="s">
        <v>10</v>
      </c>
      <c r="D13" s="19">
        <v>15</v>
      </c>
      <c r="E13" s="31"/>
      <c r="F13" s="39">
        <v>54000</v>
      </c>
      <c r="G13" s="33">
        <f t="shared" si="1"/>
        <v>810000</v>
      </c>
      <c r="H13" s="38"/>
      <c r="K13" s="48"/>
    </row>
    <row r="14" ht="50" customHeight="1" spans="1:11">
      <c r="A14" s="20">
        <v>46080</v>
      </c>
      <c r="B14" s="21" t="s">
        <v>16</v>
      </c>
      <c r="C14" s="18" t="s">
        <v>9</v>
      </c>
      <c r="D14" s="19">
        <v>5.3</v>
      </c>
      <c r="E14" s="40"/>
      <c r="F14" s="39">
        <v>54000</v>
      </c>
      <c r="G14" s="33">
        <f t="shared" si="1"/>
        <v>286200</v>
      </c>
      <c r="H14" s="41">
        <f>SUM(G14:G16)</f>
        <v>1302000</v>
      </c>
      <c r="K14" s="48"/>
    </row>
    <row r="15" ht="50" customHeight="1" spans="1:11">
      <c r="A15" s="20"/>
      <c r="B15" s="21"/>
      <c r="C15" s="18" t="s">
        <v>10</v>
      </c>
      <c r="D15" s="19">
        <v>15.2</v>
      </c>
      <c r="E15" s="40"/>
      <c r="F15" s="39">
        <v>54000</v>
      </c>
      <c r="G15" s="33">
        <f t="shared" si="1"/>
        <v>820800</v>
      </c>
      <c r="H15" s="41"/>
      <c r="K15" s="48"/>
    </row>
    <row r="16" ht="50" customHeight="1" spans="1:11">
      <c r="A16" s="22"/>
      <c r="B16" s="23"/>
      <c r="C16" s="18" t="s">
        <v>13</v>
      </c>
      <c r="D16" s="19">
        <v>5</v>
      </c>
      <c r="E16" s="42"/>
      <c r="F16" s="39">
        <v>39000</v>
      </c>
      <c r="G16" s="33">
        <f t="shared" si="1"/>
        <v>195000</v>
      </c>
      <c r="H16" s="43"/>
      <c r="K16" s="48"/>
    </row>
    <row r="17" spans="1:11">
      <c r="A17" s="24"/>
      <c r="B17" s="25"/>
      <c r="C17" s="18"/>
      <c r="D17" s="19"/>
      <c r="E17" s="44"/>
      <c r="F17" s="39"/>
      <c r="G17" s="45"/>
      <c r="H17" s="39"/>
      <c r="K17" s="48"/>
    </row>
    <row r="18" spans="1:11">
      <c r="A18" s="24"/>
      <c r="B18" s="25"/>
      <c r="C18" s="18"/>
      <c r="D18" s="19"/>
      <c r="E18" s="44"/>
      <c r="F18" s="39"/>
      <c r="G18" s="45"/>
      <c r="H18" s="39"/>
      <c r="K18" s="48"/>
    </row>
    <row r="19" spans="1:11">
      <c r="A19" s="24"/>
      <c r="B19" s="25"/>
      <c r="C19" s="18"/>
      <c r="D19" s="19"/>
      <c r="E19" s="44"/>
      <c r="F19" s="39"/>
      <c r="G19" s="45"/>
      <c r="H19" s="39"/>
      <c r="K19" s="48"/>
    </row>
    <row r="20" spans="1:11">
      <c r="A20" s="24"/>
      <c r="B20" s="25"/>
      <c r="C20" s="18"/>
      <c r="D20" s="19"/>
      <c r="E20" s="44"/>
      <c r="F20" s="39"/>
      <c r="G20" s="45"/>
      <c r="H20" s="39"/>
      <c r="K20" s="48"/>
    </row>
    <row r="21" spans="1:11">
      <c r="A21" s="24"/>
      <c r="B21" s="25"/>
      <c r="C21" s="18"/>
      <c r="D21" s="19"/>
      <c r="E21" s="44"/>
      <c r="F21" s="39"/>
      <c r="G21" s="45"/>
      <c r="H21" s="39"/>
      <c r="K21" s="48"/>
    </row>
    <row r="22" spans="1:11">
      <c r="A22" s="24"/>
      <c r="B22" s="25"/>
      <c r="C22" s="18"/>
      <c r="D22" s="19"/>
      <c r="E22" s="44"/>
      <c r="F22" s="39"/>
      <c r="G22" s="45"/>
      <c r="H22" s="39"/>
      <c r="K22" s="48"/>
    </row>
    <row r="23" spans="1:11">
      <c r="A23" s="24"/>
      <c r="B23" s="25"/>
      <c r="C23" s="18"/>
      <c r="D23" s="19"/>
      <c r="E23" s="44"/>
      <c r="F23" s="39"/>
      <c r="G23" s="45"/>
      <c r="H23" s="39"/>
      <c r="K23" s="48"/>
    </row>
    <row r="24" spans="1:11">
      <c r="A24" s="24"/>
      <c r="B24" s="25"/>
      <c r="C24" s="18"/>
      <c r="D24" s="19"/>
      <c r="E24" s="44"/>
      <c r="F24" s="39"/>
      <c r="G24" s="39"/>
      <c r="H24" s="39"/>
      <c r="K24" s="48"/>
    </row>
    <row r="25" spans="1:11">
      <c r="A25" s="24"/>
      <c r="B25" s="25"/>
      <c r="C25" s="18"/>
      <c r="D25" s="19"/>
      <c r="E25" s="44"/>
      <c r="F25" s="39"/>
      <c r="G25" s="39"/>
      <c r="H25" s="39"/>
      <c r="K25" s="48"/>
    </row>
    <row r="26" ht="15" customHeight="1" spans="1:8">
      <c r="A26" s="26" t="s">
        <v>17</v>
      </c>
      <c r="B26" s="27"/>
      <c r="C26" s="27"/>
      <c r="D26" s="27"/>
      <c r="E26" s="46"/>
      <c r="F26" s="47"/>
      <c r="G26" s="33"/>
      <c r="H26" s="47">
        <f>SUM(H2:H25)</f>
        <v>7318950</v>
      </c>
    </row>
  </sheetData>
  <mergeCells count="25">
    <mergeCell ref="A26:E26"/>
    <mergeCell ref="A2:A3"/>
    <mergeCell ref="A4:A5"/>
    <mergeCell ref="A6:A8"/>
    <mergeCell ref="A9:A11"/>
    <mergeCell ref="A12:A13"/>
    <mergeCell ref="A14:A16"/>
    <mergeCell ref="B2:B3"/>
    <mergeCell ref="B4:B5"/>
    <mergeCell ref="B6:B8"/>
    <mergeCell ref="B9:B11"/>
    <mergeCell ref="B12:B13"/>
    <mergeCell ref="B14:B16"/>
    <mergeCell ref="E2:E3"/>
    <mergeCell ref="E4:E5"/>
    <mergeCell ref="E6:E8"/>
    <mergeCell ref="E9:E11"/>
    <mergeCell ref="E12:E13"/>
    <mergeCell ref="E14:E16"/>
    <mergeCell ref="H2:H3"/>
    <mergeCell ref="H4:H5"/>
    <mergeCell ref="H6:H8"/>
    <mergeCell ref="H9:H11"/>
    <mergeCell ref="H12:H13"/>
    <mergeCell ref="H14:H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KSP (Chicken)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2026-03-01T05:03:49Z</dcterms:created>
  <dcterms:modified xsi:type="dcterms:W3CDTF">2026-03-01T05:04:34Z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56805CCD6B29A9AB3558A36951E2D569_41</vt:lpwstr>
  </property>
  <property fmtid="{D5CDD505-2E9C-101B-9397-08002B2CF9AE}" pid="3" name="KSOProductBuildVer">
    <vt:lpwstr>1033-12.1.23155.23155</vt:lpwstr>
  </property>
</Properties>
</file>