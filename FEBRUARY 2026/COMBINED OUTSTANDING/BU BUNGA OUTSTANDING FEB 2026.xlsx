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/>
  <mc:AlternateContent xmlns:mc="http://schemas.openxmlformats.org/markup-compatibility/2006">
    <mc:Choice Requires="x15">
      <x15ac:absPath xmlns:x15ac="http://schemas.microsoft.com/office/spreadsheetml/2010/11/ac" url="/Users/andreal/Documents/GitHub/Purchasing-operations/FEBRUARY 2026/COMBINED OUTSTANDING/"/>
    </mc:Choice>
  </mc:AlternateContent>
  <xr:revisionPtr revIDLastSave="0" documentId="13_ncr:1_{2FFC770F-4177-C242-9463-6A091CFFF7C1}" xr6:coauthVersionLast="47" xr6:coauthVersionMax="47" xr10:uidLastSave="{00000000-0000-0000-0000-000000000000}"/>
  <bookViews>
    <workbookView xWindow="0" yWindow="780" windowWidth="16140" windowHeight="17020" xr2:uid="{00000000-000D-0000-FFFF-FFFF00000000}"/>
  </bookViews>
  <sheets>
    <sheet name="BUK BUNGA (Groceries)" sheetId="1" r:id="rId1"/>
  </sheets>
  <definedNames>
    <definedName name="_xlnm._FilterDatabase" localSheetId="0" hidden="1">'BUK BUNGA (Groceries)'!$A$1:$F$499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56" i="1" l="1"/>
  <c r="O309" i="1"/>
  <c r="O286" i="1"/>
  <c r="O284" i="1"/>
  <c r="O283" i="1"/>
  <c r="O282" i="1"/>
  <c r="O281" i="1"/>
  <c r="O280" i="1"/>
  <c r="O279" i="1"/>
  <c r="O278" i="1"/>
  <c r="O276" i="1"/>
  <c r="O275" i="1"/>
  <c r="O274" i="1"/>
  <c r="P273" i="1"/>
  <c r="O273" i="1"/>
  <c r="O272" i="1"/>
  <c r="O271" i="1"/>
  <c r="O270" i="1"/>
  <c r="O269" i="1"/>
  <c r="P267" i="1"/>
  <c r="O267" i="1"/>
  <c r="O266" i="1"/>
  <c r="O265" i="1"/>
  <c r="O264" i="1"/>
  <c r="O263" i="1"/>
  <c r="O261" i="1"/>
  <c r="O260" i="1"/>
  <c r="O258" i="1"/>
  <c r="O257" i="1"/>
  <c r="O256" i="1"/>
  <c r="P255" i="1"/>
  <c r="O255" i="1"/>
  <c r="O254" i="1"/>
  <c r="O253" i="1"/>
  <c r="O252" i="1"/>
  <c r="O251" i="1"/>
  <c r="O249" i="1"/>
  <c r="P248" i="1"/>
  <c r="O248" i="1"/>
  <c r="O247" i="1"/>
  <c r="O246" i="1"/>
  <c r="O245" i="1"/>
  <c r="O244" i="1"/>
  <c r="O243" i="1"/>
  <c r="O242" i="1"/>
  <c r="O240" i="1"/>
  <c r="O239" i="1"/>
  <c r="O238" i="1"/>
  <c r="O237" i="1"/>
  <c r="O236" i="1"/>
  <c r="P235" i="1"/>
  <c r="O235" i="1"/>
  <c r="O233" i="1"/>
  <c r="O232" i="1"/>
  <c r="P231" i="1"/>
  <c r="O231" i="1"/>
  <c r="O230" i="1"/>
  <c r="O229" i="1"/>
  <c r="O228" i="1"/>
  <c r="O227" i="1"/>
  <c r="O226" i="1"/>
  <c r="O225" i="1"/>
  <c r="O223" i="1"/>
  <c r="O222" i="1"/>
  <c r="O221" i="1"/>
  <c r="P220" i="1"/>
  <c r="O220" i="1"/>
  <c r="E220" i="1"/>
  <c r="O219" i="1"/>
  <c r="E219" i="1"/>
  <c r="O218" i="1"/>
  <c r="E218" i="1"/>
  <c r="O217" i="1"/>
  <c r="E217" i="1"/>
  <c r="E216" i="1"/>
  <c r="O215" i="1"/>
  <c r="F215" i="1"/>
  <c r="O214" i="1"/>
  <c r="E214" i="1"/>
  <c r="O213" i="1"/>
  <c r="F213" i="1"/>
  <c r="E213" i="1"/>
  <c r="O212" i="1"/>
  <c r="E212" i="1"/>
  <c r="P211" i="1"/>
  <c r="O211" i="1"/>
  <c r="E211" i="1"/>
  <c r="O210" i="1"/>
  <c r="E210" i="1"/>
  <c r="O209" i="1"/>
  <c r="E209" i="1"/>
  <c r="O208" i="1"/>
  <c r="E208" i="1"/>
  <c r="O207" i="1"/>
  <c r="E207" i="1"/>
  <c r="O206" i="1"/>
  <c r="E206" i="1"/>
  <c r="O205" i="1"/>
  <c r="F205" i="1"/>
  <c r="E205" i="1"/>
  <c r="O204" i="1"/>
  <c r="E204" i="1"/>
  <c r="O203" i="1"/>
  <c r="E203" i="1"/>
  <c r="O202" i="1"/>
  <c r="E202" i="1"/>
  <c r="P201" i="1"/>
  <c r="O201" i="1"/>
  <c r="E201" i="1"/>
  <c r="O200" i="1"/>
  <c r="E200" i="1"/>
  <c r="O199" i="1"/>
  <c r="E199" i="1"/>
  <c r="O198" i="1"/>
  <c r="E198" i="1"/>
  <c r="O197" i="1"/>
  <c r="E197" i="1"/>
  <c r="O196" i="1"/>
  <c r="E196" i="1"/>
  <c r="E195" i="1"/>
  <c r="O194" i="1"/>
  <c r="E194" i="1"/>
  <c r="E193" i="1"/>
  <c r="O192" i="1"/>
  <c r="F192" i="1"/>
  <c r="E192" i="1"/>
  <c r="O191" i="1"/>
  <c r="E191" i="1"/>
  <c r="O190" i="1"/>
  <c r="E190" i="1"/>
  <c r="P189" i="1"/>
  <c r="O189" i="1"/>
  <c r="E189" i="1"/>
  <c r="O188" i="1"/>
  <c r="O187" i="1"/>
  <c r="E187" i="1"/>
  <c r="O186" i="1"/>
  <c r="E186" i="1"/>
  <c r="O185" i="1"/>
  <c r="E185" i="1"/>
  <c r="O184" i="1"/>
  <c r="E184" i="1"/>
  <c r="O183" i="1"/>
  <c r="E183" i="1"/>
  <c r="O182" i="1"/>
  <c r="E182" i="1"/>
  <c r="O181" i="1"/>
  <c r="E181" i="1"/>
  <c r="O180" i="1"/>
  <c r="E180" i="1"/>
  <c r="O179" i="1"/>
  <c r="F179" i="1"/>
  <c r="E179" i="1"/>
  <c r="O178" i="1"/>
  <c r="E178" i="1"/>
  <c r="O177" i="1"/>
  <c r="E177" i="1"/>
  <c r="O176" i="1"/>
  <c r="E176" i="1"/>
  <c r="P175" i="1"/>
  <c r="O175" i="1"/>
  <c r="E175" i="1"/>
  <c r="O174" i="1"/>
  <c r="E174" i="1"/>
  <c r="O173" i="1"/>
  <c r="F173" i="1"/>
  <c r="E173" i="1"/>
  <c r="O172" i="1"/>
  <c r="E172" i="1"/>
  <c r="O171" i="1"/>
  <c r="E171" i="1"/>
  <c r="O170" i="1"/>
  <c r="F170" i="1"/>
  <c r="E170" i="1"/>
  <c r="P169" i="1"/>
  <c r="O169" i="1"/>
  <c r="F169" i="1"/>
  <c r="E169" i="1"/>
  <c r="O168" i="1"/>
  <c r="E168" i="1"/>
  <c r="O167" i="1"/>
  <c r="E167" i="1"/>
  <c r="O166" i="1"/>
  <c r="E166" i="1"/>
  <c r="O165" i="1"/>
  <c r="E165" i="1"/>
  <c r="O164" i="1"/>
  <c r="E164" i="1"/>
  <c r="O163" i="1"/>
  <c r="E163" i="1"/>
  <c r="E162" i="1"/>
  <c r="O161" i="1"/>
  <c r="E161" i="1"/>
  <c r="E160" i="1"/>
  <c r="O159" i="1"/>
  <c r="E159" i="1"/>
  <c r="O158" i="1"/>
  <c r="F158" i="1"/>
  <c r="E158" i="1"/>
  <c r="O157" i="1"/>
  <c r="E157" i="1"/>
  <c r="O156" i="1"/>
  <c r="E156" i="1"/>
  <c r="O155" i="1"/>
  <c r="E155" i="1"/>
  <c r="O154" i="1"/>
  <c r="E154" i="1"/>
  <c r="P153" i="1"/>
  <c r="O153" i="1"/>
  <c r="O152" i="1"/>
  <c r="E152" i="1"/>
  <c r="O151" i="1"/>
  <c r="F151" i="1"/>
  <c r="E151" i="1"/>
  <c r="O150" i="1"/>
  <c r="E150" i="1"/>
  <c r="O149" i="1"/>
  <c r="E149" i="1"/>
  <c r="E148" i="1"/>
  <c r="O147" i="1"/>
  <c r="E147" i="1"/>
  <c r="P146" i="1"/>
  <c r="O146" i="1"/>
  <c r="E146" i="1"/>
  <c r="O145" i="1"/>
  <c r="E145" i="1"/>
  <c r="O144" i="1"/>
  <c r="E144" i="1"/>
  <c r="E143" i="1"/>
  <c r="E141" i="1"/>
  <c r="O140" i="1"/>
  <c r="E140" i="1"/>
  <c r="P139" i="1"/>
  <c r="O139" i="1"/>
  <c r="F139" i="1"/>
  <c r="E139" i="1"/>
  <c r="O138" i="1"/>
  <c r="E138" i="1"/>
  <c r="O137" i="1"/>
  <c r="F137" i="1"/>
  <c r="E137" i="1"/>
  <c r="O136" i="1"/>
  <c r="F136" i="1"/>
  <c r="E136" i="1"/>
  <c r="O135" i="1"/>
  <c r="E135" i="1"/>
  <c r="O134" i="1"/>
  <c r="E134" i="1"/>
  <c r="O133" i="1"/>
  <c r="E133" i="1"/>
  <c r="O132" i="1"/>
  <c r="E132" i="1"/>
  <c r="O131" i="1"/>
  <c r="E131" i="1"/>
  <c r="P130" i="1"/>
  <c r="E130" i="1"/>
  <c r="O129" i="1"/>
  <c r="F129" i="1"/>
  <c r="E129" i="1"/>
  <c r="O128" i="1"/>
  <c r="E128" i="1"/>
  <c r="O127" i="1"/>
  <c r="E127" i="1"/>
  <c r="O126" i="1"/>
  <c r="E126" i="1"/>
  <c r="O125" i="1"/>
  <c r="E125" i="1"/>
  <c r="O124" i="1"/>
  <c r="F124" i="1"/>
  <c r="E124" i="1"/>
  <c r="P123" i="1"/>
  <c r="O123" i="1"/>
  <c r="E123" i="1"/>
  <c r="O122" i="1"/>
  <c r="E122" i="1"/>
  <c r="O121" i="1"/>
  <c r="E121" i="1"/>
  <c r="E120" i="1"/>
  <c r="O119" i="1"/>
  <c r="E119" i="1"/>
  <c r="O118" i="1"/>
  <c r="E118" i="1"/>
  <c r="E117" i="1"/>
  <c r="O116" i="1"/>
  <c r="F116" i="1"/>
  <c r="E116" i="1"/>
  <c r="O115" i="1"/>
  <c r="E115" i="1"/>
  <c r="P114" i="1"/>
  <c r="O114" i="1"/>
  <c r="E114" i="1"/>
  <c r="O113" i="1"/>
  <c r="E113" i="1"/>
  <c r="O112" i="1"/>
  <c r="E112" i="1"/>
  <c r="O111" i="1"/>
  <c r="F111" i="1"/>
  <c r="E111" i="1"/>
  <c r="O110" i="1"/>
  <c r="E110" i="1"/>
  <c r="O109" i="1"/>
  <c r="O108" i="1"/>
  <c r="E108" i="1"/>
  <c r="O107" i="1"/>
  <c r="E107" i="1"/>
  <c r="P106" i="1"/>
  <c r="O106" i="1"/>
  <c r="E106" i="1"/>
  <c r="O105" i="1"/>
  <c r="E105" i="1"/>
  <c r="P104" i="1"/>
  <c r="O104" i="1"/>
  <c r="F104" i="1"/>
  <c r="E104" i="1"/>
  <c r="O103" i="1"/>
  <c r="E103" i="1"/>
  <c r="O102" i="1"/>
  <c r="E102" i="1"/>
  <c r="O101" i="1"/>
  <c r="E101" i="1"/>
  <c r="O100" i="1"/>
  <c r="F100" i="1"/>
  <c r="E100" i="1"/>
  <c r="O99" i="1"/>
  <c r="E99" i="1"/>
  <c r="O98" i="1"/>
  <c r="E98" i="1"/>
  <c r="O97" i="1"/>
  <c r="E97" i="1"/>
  <c r="O96" i="1"/>
  <c r="E96" i="1"/>
  <c r="O95" i="1"/>
  <c r="E95" i="1"/>
  <c r="E94" i="1"/>
  <c r="O93" i="1"/>
  <c r="E93" i="1"/>
  <c r="O92" i="1"/>
  <c r="E92" i="1"/>
  <c r="O91" i="1"/>
  <c r="F91" i="1"/>
  <c r="E91" i="1"/>
  <c r="O90" i="1"/>
  <c r="F90" i="1"/>
  <c r="E90" i="1"/>
  <c r="O89" i="1"/>
  <c r="F89" i="1"/>
  <c r="E89" i="1"/>
  <c r="O88" i="1"/>
  <c r="E88" i="1"/>
  <c r="P87" i="1"/>
  <c r="O87" i="1"/>
  <c r="O86" i="1"/>
  <c r="E86" i="1"/>
  <c r="O85" i="1"/>
  <c r="E85" i="1"/>
  <c r="O84" i="1"/>
  <c r="E84" i="1"/>
  <c r="O83" i="1"/>
  <c r="F83" i="1"/>
  <c r="E83" i="1"/>
  <c r="O82" i="1"/>
  <c r="O81" i="1"/>
  <c r="E81" i="1"/>
  <c r="P80" i="1"/>
  <c r="O80" i="1"/>
  <c r="E80" i="1"/>
  <c r="O79" i="1"/>
  <c r="E79" i="1"/>
  <c r="E78" i="1"/>
  <c r="O77" i="1"/>
  <c r="E77" i="1"/>
  <c r="O76" i="1"/>
  <c r="E76" i="1"/>
  <c r="O75" i="1"/>
  <c r="E75" i="1"/>
  <c r="O74" i="1"/>
  <c r="E74" i="1"/>
  <c r="O73" i="1"/>
  <c r="E73" i="1"/>
  <c r="O72" i="1"/>
  <c r="E72" i="1"/>
  <c r="O71" i="1"/>
  <c r="E71" i="1"/>
  <c r="E70" i="1"/>
  <c r="O69" i="1"/>
  <c r="E69" i="1"/>
  <c r="O68" i="1"/>
  <c r="F68" i="1"/>
  <c r="E68" i="1"/>
  <c r="E67" i="1"/>
  <c r="O66" i="1"/>
  <c r="E66" i="1"/>
  <c r="P65" i="1"/>
  <c r="O65" i="1"/>
  <c r="E65" i="1"/>
  <c r="P64" i="1"/>
  <c r="O64" i="1"/>
  <c r="E64" i="1"/>
  <c r="O63" i="1"/>
  <c r="E63" i="1"/>
  <c r="O62" i="1"/>
  <c r="E62" i="1"/>
  <c r="O61" i="1"/>
  <c r="E61" i="1"/>
  <c r="O60" i="1"/>
  <c r="F60" i="1"/>
  <c r="E60" i="1"/>
  <c r="O59" i="1"/>
  <c r="E59" i="1"/>
  <c r="O58" i="1"/>
  <c r="E58" i="1"/>
  <c r="O57" i="1"/>
  <c r="E57" i="1"/>
  <c r="O56" i="1"/>
  <c r="E56" i="1"/>
  <c r="O55" i="1"/>
  <c r="E55" i="1"/>
  <c r="O54" i="1"/>
  <c r="E54" i="1"/>
  <c r="O53" i="1"/>
  <c r="F53" i="1"/>
  <c r="E53" i="1"/>
  <c r="P52" i="1"/>
  <c r="E52" i="1"/>
  <c r="O51" i="1"/>
  <c r="E51" i="1"/>
  <c r="F50" i="1"/>
  <c r="E50" i="1"/>
  <c r="O49" i="1"/>
  <c r="O48" i="1"/>
  <c r="F48" i="1"/>
  <c r="E48" i="1"/>
  <c r="E47" i="1"/>
  <c r="O46" i="1"/>
  <c r="E46" i="1"/>
  <c r="O45" i="1"/>
  <c r="E45" i="1"/>
  <c r="O44" i="1"/>
  <c r="F44" i="1"/>
  <c r="E44" i="1"/>
  <c r="O43" i="1"/>
  <c r="F43" i="1"/>
  <c r="E43" i="1"/>
  <c r="P42" i="1"/>
  <c r="O42" i="1"/>
  <c r="F42" i="1"/>
  <c r="E42" i="1"/>
  <c r="O41" i="1"/>
  <c r="E41" i="1"/>
  <c r="E40" i="1"/>
  <c r="O39" i="1"/>
  <c r="E39" i="1"/>
  <c r="O38" i="1"/>
  <c r="E38" i="1"/>
  <c r="O37" i="1"/>
  <c r="E37" i="1"/>
  <c r="O36" i="1"/>
  <c r="E36" i="1"/>
  <c r="O35" i="1"/>
  <c r="E35" i="1"/>
  <c r="E34" i="1"/>
  <c r="O33" i="1"/>
  <c r="F33" i="1"/>
  <c r="E33" i="1"/>
  <c r="O32" i="1"/>
  <c r="O31" i="1"/>
  <c r="E31" i="1"/>
  <c r="O30" i="1"/>
  <c r="E30" i="1"/>
  <c r="O29" i="1"/>
  <c r="E29" i="1"/>
  <c r="E28" i="1"/>
  <c r="O27" i="1"/>
  <c r="E27" i="1"/>
  <c r="O26" i="1"/>
  <c r="E26" i="1"/>
  <c r="P25" i="1"/>
  <c r="O25" i="1"/>
  <c r="E25" i="1"/>
  <c r="O24" i="1"/>
  <c r="E24" i="1"/>
  <c r="O23" i="1"/>
  <c r="E23" i="1"/>
  <c r="O22" i="1"/>
  <c r="E22" i="1"/>
  <c r="O21" i="1"/>
  <c r="E21" i="1"/>
  <c r="O20" i="1"/>
  <c r="E20" i="1"/>
  <c r="O19" i="1"/>
  <c r="E19" i="1"/>
  <c r="O18" i="1"/>
  <c r="E18" i="1"/>
  <c r="O17" i="1"/>
  <c r="P16" i="1"/>
  <c r="O16" i="1"/>
  <c r="E16" i="1"/>
  <c r="O15" i="1"/>
  <c r="E15" i="1"/>
  <c r="O14" i="1"/>
  <c r="E14" i="1"/>
  <c r="O13" i="1"/>
  <c r="E13" i="1"/>
  <c r="O12" i="1"/>
  <c r="E12" i="1"/>
  <c r="O11" i="1"/>
  <c r="H11" i="1"/>
  <c r="E11" i="1"/>
  <c r="O10" i="1"/>
  <c r="E10" i="1"/>
  <c r="O9" i="1"/>
  <c r="I9" i="1"/>
  <c r="H9" i="1"/>
  <c r="F9" i="1"/>
  <c r="E9" i="1"/>
  <c r="O8" i="1"/>
  <c r="E8" i="1"/>
  <c r="E7" i="1"/>
  <c r="O6" i="1"/>
  <c r="E6" i="1"/>
  <c r="O5" i="1"/>
  <c r="E5" i="1"/>
  <c r="O4" i="1"/>
  <c r="E4" i="1"/>
  <c r="O3" i="1"/>
  <c r="E3" i="1"/>
  <c r="P2" i="1"/>
  <c r="O2" i="1"/>
  <c r="F2" i="1"/>
  <c r="E2" i="1"/>
  <c r="Q1" i="1"/>
  <c r="G1" i="1"/>
</calcChain>
</file>

<file path=xl/sharedStrings.xml><?xml version="1.0" encoding="utf-8"?>
<sst xmlns="http://schemas.openxmlformats.org/spreadsheetml/2006/main" count="520" uniqueCount="141">
  <si>
    <t>DATE</t>
  </si>
  <si>
    <t>ITEM</t>
  </si>
  <si>
    <t>QYT</t>
  </si>
  <si>
    <t>PRICE</t>
  </si>
  <si>
    <t>SUBTOTAL</t>
  </si>
  <si>
    <t>TOTAL</t>
  </si>
  <si>
    <t>SUB TOTAL</t>
  </si>
  <si>
    <t>MILAC WHIPPING CREAM</t>
  </si>
  <si>
    <t>HONEY PINEAPPLE</t>
  </si>
  <si>
    <t>FRESH MILK (DIAMOND)</t>
  </si>
  <si>
    <t>IMPORTED LEMON</t>
  </si>
  <si>
    <t>CREAM CHEESE</t>
  </si>
  <si>
    <t>KINTAMANI ORANGE</t>
  </si>
  <si>
    <t>PARMESAN GRATED</t>
  </si>
  <si>
    <t>CUCUMBER</t>
  </si>
  <si>
    <t>BBQ SAUCE</t>
  </si>
  <si>
    <t>GREEN APPLE</t>
  </si>
  <si>
    <t>LOLLO ROSSO</t>
  </si>
  <si>
    <t>WATERMELON</t>
  </si>
  <si>
    <t>FOOD COLORING</t>
  </si>
  <si>
    <t>KITCHEN</t>
  </si>
  <si>
    <t>BAR</t>
  </si>
  <si>
    <t>GREEN MUSTARD</t>
  </si>
  <si>
    <t>BABY CUCUMBER</t>
  </si>
  <si>
    <t>LIME</t>
  </si>
  <si>
    <t>MUSHROOM BUTTON</t>
  </si>
  <si>
    <t>COMBINED TOTAL</t>
  </si>
  <si>
    <t>MINT LEAVES</t>
  </si>
  <si>
    <t>DILL</t>
  </si>
  <si>
    <t>MANGO</t>
  </si>
  <si>
    <t>SUNKIST</t>
  </si>
  <si>
    <t>STRAWBERRY</t>
  </si>
  <si>
    <t>AVOCADO</t>
  </si>
  <si>
    <t>FRESH MILK (GREENFIELDS)</t>
  </si>
  <si>
    <t>SALAD OIL</t>
  </si>
  <si>
    <t>OAT MILK</t>
  </si>
  <si>
    <t>OREGANO</t>
  </si>
  <si>
    <t>SUGAR</t>
  </si>
  <si>
    <t>DRAGON FRUIT</t>
  </si>
  <si>
    <t>YEAST</t>
  </si>
  <si>
    <t>HONEY BLOSSOM</t>
  </si>
  <si>
    <t>CARROT</t>
  </si>
  <si>
    <t>ONION</t>
  </si>
  <si>
    <t>AMANDA BUTTER</t>
  </si>
  <si>
    <t>ALMOND MILK</t>
  </si>
  <si>
    <t>QUAIL EGG</t>
  </si>
  <si>
    <t>CANNED PEELED TOMATO</t>
  </si>
  <si>
    <t>SARIWANGI</t>
  </si>
  <si>
    <t>KARA (200)</t>
  </si>
  <si>
    <t>BACON (1KG)</t>
  </si>
  <si>
    <t>KEWPIE MAYONNAISE</t>
  </si>
  <si>
    <t>BASIL</t>
  </si>
  <si>
    <t>PARMESAN BLOCK</t>
  </si>
  <si>
    <t>SEMOLINA</t>
  </si>
  <si>
    <t>EDAMAME</t>
  </si>
  <si>
    <t>OIL (18 L)</t>
  </si>
  <si>
    <t>CASHEW NUT</t>
  </si>
  <si>
    <t>ROSEMARY</t>
  </si>
  <si>
    <t>SESAME DRESSING</t>
  </si>
  <si>
    <t>DOUBLE ZERO</t>
  </si>
  <si>
    <t>JALAPENO</t>
  </si>
  <si>
    <t>GORGONZOLA CHEESE</t>
  </si>
  <si>
    <t>ENGLISH SPINACH</t>
  </si>
  <si>
    <t>FRENCH FRIES</t>
  </si>
  <si>
    <t>KG PLASTIC</t>
  </si>
  <si>
    <t>SOUR CREAM</t>
  </si>
  <si>
    <t>GREEN BEAN</t>
  </si>
  <si>
    <t>LADY FINGER</t>
  </si>
  <si>
    <t>GINGER</t>
  </si>
  <si>
    <t>BANANA</t>
  </si>
  <si>
    <t>LEMON</t>
  </si>
  <si>
    <t>TOMATO</t>
  </si>
  <si>
    <t>FETA CHEESE</t>
  </si>
  <si>
    <t>MAESTRO MAYONNAISE</t>
  </si>
  <si>
    <t>VANILLA ESSENCE (KOEPOE2)</t>
  </si>
  <si>
    <t>BRIE CHEESE</t>
  </si>
  <si>
    <t>RUM (BUTTERFLY)</t>
  </si>
  <si>
    <t>HYDRO COCO 500 ML</t>
  </si>
  <si>
    <t>COCONUT CREAM KARA (200)</t>
  </si>
  <si>
    <t>YAKULT</t>
  </si>
  <si>
    <t>TOMATO SAUCE (1KG)</t>
  </si>
  <si>
    <t>CHILI</t>
  </si>
  <si>
    <t>CHILI SAUCE</t>
  </si>
  <si>
    <t>BANGKOK SAUCE</t>
  </si>
  <si>
    <t>ROMA KELAPA</t>
  </si>
  <si>
    <t>MOZARELLA</t>
  </si>
  <si>
    <t>ANCHOVY</t>
  </si>
  <si>
    <t>HAM</t>
  </si>
  <si>
    <t>QUAKER OATMEAL</t>
  </si>
  <si>
    <t>CHILI FLAKES</t>
  </si>
  <si>
    <t>ACID CITRUN (GADJAH)</t>
  </si>
  <si>
    <t>BANGKOK CHILI SAUCE</t>
  </si>
  <si>
    <t>DIXI VINEGAR</t>
  </si>
  <si>
    <t>PINEAPPLE</t>
  </si>
  <si>
    <t>BIG RED CHILI</t>
  </si>
  <si>
    <t>PUMPKIN</t>
  </si>
  <si>
    <t>CHILLI</t>
  </si>
  <si>
    <t>SOUR CREAM TATUA</t>
  </si>
  <si>
    <t>COCOA POWDER (165)</t>
  </si>
  <si>
    <t>CHERRY CAN</t>
  </si>
  <si>
    <t>BABY ROMAINE</t>
  </si>
  <si>
    <t>NUTELLA</t>
  </si>
  <si>
    <t>PEANUT BUTTER</t>
  </si>
  <si>
    <t>DARK CHOCOLATE COMPOUND (COLATTA 1 KG)</t>
  </si>
  <si>
    <t>ASPARAGUS</t>
  </si>
  <si>
    <t>GREEN PEAS</t>
  </si>
  <si>
    <t>WILD ROCKET</t>
  </si>
  <si>
    <t>MAIZENA FLOUR</t>
  </si>
  <si>
    <t>PLAIN AGAR-AGAR</t>
  </si>
  <si>
    <t>MIX BERRY</t>
  </si>
  <si>
    <t>YELLOW CHEDDAR SLICE</t>
  </si>
  <si>
    <t>TORTILLA</t>
  </si>
  <si>
    <t>WHOLE WHEAT FLOUR</t>
  </si>
  <si>
    <t>COCOA POWDER</t>
  </si>
  <si>
    <t>BLACK OLIVE</t>
  </si>
  <si>
    <t>CAPERS</t>
  </si>
  <si>
    <t>FERMIPAN YEAST</t>
  </si>
  <si>
    <t>YOGHURT</t>
  </si>
  <si>
    <t>PARSLEY</t>
  </si>
  <si>
    <t>BEETROOT</t>
  </si>
  <si>
    <t>LYCHEE CAN</t>
  </si>
  <si>
    <t>ICEBERG</t>
  </si>
  <si>
    <t>SOY MILK</t>
  </si>
  <si>
    <t>SPAGHETTI</t>
  </si>
  <si>
    <t>BAKING POWDER</t>
  </si>
  <si>
    <t>SANTAN KARA (200)</t>
  </si>
  <si>
    <t>SAUSAGE SAGE (250)</t>
  </si>
  <si>
    <t>WILD ROCKET/ ARUGULA</t>
  </si>
  <si>
    <t>PISANG</t>
  </si>
  <si>
    <t>BAKED BEAN</t>
  </si>
  <si>
    <t>APPLE VINEGAR</t>
  </si>
  <si>
    <t>COCONUT FLAKES</t>
  </si>
  <si>
    <t>COCONUT CREAM POWDER</t>
  </si>
  <si>
    <t>OATMEAL</t>
  </si>
  <si>
    <t>WHITE PEAR</t>
  </si>
  <si>
    <t>BLACK PEPPER</t>
  </si>
  <si>
    <t>CORIANDER</t>
  </si>
  <si>
    <t>CELERY</t>
  </si>
  <si>
    <t>BROWN SUGAR</t>
  </si>
  <si>
    <t>CANNED RED CHERRY</t>
  </si>
  <si>
    <t>BACON (250 GR)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</si>
</sst>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8" formatCode="[$-409]d\-mmm\-yyyy;@"/>
    <numFmt numFmtId="169" formatCode="_-&quot;Rp&quot;* #,##0_-;\-&quot;Rp&quot;* #,##0_-;_-&quot;Rp&quot;* &quot;-&quot;??_-;_-@_-"/>
    <numFmt numFmtId="170" formatCode="[$Rp-421]#,##0;[Red][$Rp-421]#,##0"/>
  </numFmts>
  <fonts count="8" x14ac:knownFonts="1">
    <font>
      <sz val="11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mbria"/>
      <family val="1"/>
    </font>
    <font>
      <sz val="12"/>
      <color theme="1"/>
      <name val="Cambria"/>
      <family val="1"/>
    </font>
    <font>
      <b/>
      <sz val="11"/>
      <color theme="1"/>
      <name val="Calibri"/>
      <family val="2"/>
      <scheme val="minor"/>
    </font>
    <font>
      <sz val="11"/>
      <color theme="1"/>
      <name val="Cambria"/>
      <family val="1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168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68" fontId="2" fillId="2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1" xfId="0" applyBorder="1" applyAlignment="1">
      <alignment horizontal="center" vertical="center"/>
    </xf>
    <xf numFmtId="169" fontId="0" fillId="3" borderId="3" xfId="0" applyNumberFormat="1" applyFill="1" applyBorder="1">
      <alignment vertical="center"/>
    </xf>
    <xf numFmtId="168" fontId="1" fillId="0" borderId="7" xfId="0" applyNumberFormat="1" applyFont="1" applyBorder="1" applyAlignment="1">
      <alignment horizontal="center" vertical="center"/>
    </xf>
    <xf numFmtId="168" fontId="1" fillId="0" borderId="1" xfId="0" applyNumberFormat="1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70" fontId="4" fillId="4" borderId="0" xfId="0" applyNumberFormat="1" applyFont="1" applyFill="1">
      <alignment vertical="center"/>
    </xf>
    <xf numFmtId="169" fontId="0" fillId="3" borderId="1" xfId="0" applyNumberFormat="1" applyFill="1" applyBorder="1">
      <alignment vertical="center"/>
    </xf>
    <xf numFmtId="0" fontId="0" fillId="5" borderId="1" xfId="0" applyFill="1" applyBorder="1">
      <alignment vertical="center"/>
    </xf>
    <xf numFmtId="170" fontId="0" fillId="3" borderId="1" xfId="0" applyNumberFormat="1" applyFill="1" applyBorder="1">
      <alignment vertical="center"/>
    </xf>
    <xf numFmtId="169" fontId="0" fillId="0" borderId="1" xfId="0" applyNumberFormat="1" applyBorder="1">
      <alignment vertical="center"/>
    </xf>
    <xf numFmtId="168" fontId="3" fillId="2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6" borderId="1" xfId="0" applyFill="1" applyBorder="1">
      <alignment vertical="center"/>
    </xf>
    <xf numFmtId="169" fontId="0" fillId="3" borderId="3" xfId="0" applyNumberFormat="1" applyFill="1" applyBorder="1" applyAlignment="1">
      <alignment horizontal="center" vertical="center"/>
    </xf>
    <xf numFmtId="169" fontId="0" fillId="0" borderId="0" xfId="0" applyNumberFormat="1">
      <alignment vertical="center"/>
    </xf>
    <xf numFmtId="168" fontId="1" fillId="3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9" fontId="0" fillId="0" borderId="7" xfId="0" applyNumberFormat="1" applyBorder="1">
      <alignment vertical="center"/>
    </xf>
    <xf numFmtId="0" fontId="0" fillId="0" borderId="2" xfId="0" applyBorder="1">
      <alignment vertical="center"/>
    </xf>
    <xf numFmtId="170" fontId="0" fillId="0" borderId="0" xfId="0" applyNumberFormat="1">
      <alignment vertical="center"/>
    </xf>
    <xf numFmtId="0" fontId="0" fillId="0" borderId="4" xfId="0" applyBorder="1">
      <alignment vertical="center"/>
    </xf>
    <xf numFmtId="0" fontId="0" fillId="0" borderId="4" xfId="0" applyBorder="1" applyAlignment="1">
      <alignment horizontal="center" vertical="center"/>
    </xf>
    <xf numFmtId="169" fontId="0" fillId="3" borderId="4" xfId="0" applyNumberFormat="1" applyFill="1" applyBorder="1">
      <alignment vertical="center"/>
    </xf>
    <xf numFmtId="168" fontId="0" fillId="0" borderId="0" xfId="0" applyNumberFormat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6" fillId="0" borderId="5" xfId="0" applyFont="1" applyBorder="1">
      <alignment vertical="center"/>
    </xf>
    <xf numFmtId="169" fontId="6" fillId="3" borderId="3" xfId="0" applyNumberFormat="1" applyFont="1" applyFill="1" applyBorder="1">
      <alignment vertical="center"/>
    </xf>
    <xf numFmtId="169" fontId="0" fillId="0" borderId="5" xfId="0" applyNumberFormat="1" applyBorder="1">
      <alignment vertical="center"/>
    </xf>
    <xf numFmtId="169" fontId="6" fillId="0" borderId="1" xfId="0" applyNumberFormat="1" applyFont="1" applyBorder="1">
      <alignment vertical="center"/>
    </xf>
    <xf numFmtId="0" fontId="0" fillId="0" borderId="1" xfId="0" applyBorder="1" applyAlignment="1">
      <alignment horizontal="left" vertical="center"/>
    </xf>
    <xf numFmtId="169" fontId="0" fillId="0" borderId="4" xfId="0" applyNumberFormat="1" applyBorder="1">
      <alignment vertical="center"/>
    </xf>
    <xf numFmtId="0" fontId="0" fillId="2" borderId="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9" fontId="0" fillId="3" borderId="5" xfId="0" applyNumberFormat="1" applyFill="1" applyBorder="1" applyAlignment="1">
      <alignment horizontal="center" vertical="center"/>
    </xf>
    <xf numFmtId="169" fontId="0" fillId="3" borderId="3" xfId="0" applyNumberFormat="1" applyFill="1" applyBorder="1" applyAlignment="1">
      <alignment horizontal="center" vertical="center"/>
    </xf>
    <xf numFmtId="169" fontId="0" fillId="3" borderId="8" xfId="0" applyNumberFormat="1" applyFill="1" applyBorder="1" applyAlignment="1">
      <alignment horizontal="center" vertical="center"/>
    </xf>
    <xf numFmtId="169" fontId="0" fillId="3" borderId="0" xfId="0" applyNumberFormat="1" applyFill="1" applyAlignment="1">
      <alignment horizontal="center" vertical="center"/>
    </xf>
    <xf numFmtId="168" fontId="1" fillId="0" borderId="4" xfId="0" applyNumberFormat="1" applyFont="1" applyBorder="1" applyAlignment="1">
      <alignment horizontal="center" vertical="center"/>
    </xf>
    <xf numFmtId="168" fontId="1" fillId="0" borderId="6" xfId="0" applyNumberFormat="1" applyFont="1" applyBorder="1" applyAlignment="1">
      <alignment horizontal="center" vertical="center"/>
    </xf>
    <xf numFmtId="168" fontId="1" fillId="0" borderId="7" xfId="0" applyNumberFormat="1" applyFont="1" applyBorder="1" applyAlignment="1">
      <alignment horizontal="center" vertical="center"/>
    </xf>
    <xf numFmtId="169" fontId="0" fillId="0" borderId="4" xfId="0" applyNumberFormat="1" applyBorder="1" applyAlignment="1">
      <alignment horizontal="center" vertical="center"/>
    </xf>
    <xf numFmtId="169" fontId="0" fillId="0" borderId="6" xfId="0" applyNumberFormat="1" applyBorder="1" applyAlignment="1">
      <alignment horizontal="center" vertical="center"/>
    </xf>
    <xf numFmtId="169" fontId="0" fillId="0" borderId="7" xfId="0" applyNumberFormat="1" applyBorder="1" applyAlignment="1">
      <alignment horizontal="center" vertical="center"/>
    </xf>
    <xf numFmtId="168" fontId="1" fillId="3" borderId="4" xfId="0" applyNumberFormat="1" applyFont="1" applyFill="1" applyBorder="1" applyAlignment="1">
      <alignment horizontal="center" vertical="center"/>
    </xf>
    <xf numFmtId="168" fontId="1" fillId="3" borderId="6" xfId="0" applyNumberFormat="1" applyFont="1" applyFill="1" applyBorder="1" applyAlignment="1">
      <alignment horizontal="center" vertical="center"/>
    </xf>
    <xf numFmtId="168" fontId="1" fillId="3" borderId="7" xfId="0" applyNumberFormat="1" applyFont="1" applyFill="1" applyBorder="1" applyAlignment="1">
      <alignment horizontal="center" vertical="center"/>
    </xf>
    <xf numFmtId="168" fontId="1" fillId="3" borderId="1" xfId="0" applyNumberFormat="1" applyFont="1" applyFill="1" applyBorder="1" applyAlignment="1">
      <alignment horizontal="center" vertical="center"/>
    </xf>
    <xf numFmtId="169" fontId="0" fillId="3" borderId="4" xfId="0" applyNumberFormat="1" applyFill="1" applyBorder="1" applyAlignment="1">
      <alignment horizontal="center" vertical="center"/>
    </xf>
    <xf numFmtId="169" fontId="0" fillId="3" borderId="6" xfId="0" applyNumberFormat="1" applyFill="1" applyBorder="1" applyAlignment="1">
      <alignment horizontal="center" vertical="center"/>
    </xf>
    <xf numFmtId="169" fontId="0" fillId="3" borderId="7" xfId="0" applyNumberFormat="1" applyFill="1" applyBorder="1" applyAlignment="1">
      <alignment horizontal="center" vertical="center"/>
    </xf>
    <xf numFmtId="169" fontId="0" fillId="3" borderId="1" xfId="0" applyNumberFormat="1" applyFill="1" applyBorder="1" applyAlignment="1">
      <alignment horizontal="center" vertical="center"/>
    </xf>
    <xf numFmtId="0" fontId="7" fillId="0" borderId="5" xfId="0" applyFont="1" applyBorder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56"/>
  <sheetViews>
    <sheetView tabSelected="1" zoomScale="125" zoomScaleNormal="89" workbookViewId="0">
      <pane xSplit="1" ySplit="1" topLeftCell="B158" activePane="bottomRight" state="frozen"/>
      <selection pane="topRight"/>
      <selection pane="bottomLeft"/>
      <selection pane="bottomRight" activeCell="B177" sqref="B177"/>
    </sheetView>
  </sheetViews>
  <sheetFormatPr baseColWidth="10" defaultColWidth="9.1640625" defaultRowHeight="16" x14ac:dyDescent="0.2"/>
  <cols>
    <col min="1" max="1" width="13" style="1" customWidth="1"/>
    <col min="2" max="2" width="41.1640625" style="2" customWidth="1"/>
    <col min="3" max="3" width="10.83203125" style="3" customWidth="1"/>
    <col min="4" max="4" width="12.1640625" customWidth="1"/>
    <col min="5" max="5" width="15.5" customWidth="1"/>
    <col min="6" max="6" width="15.83203125" customWidth="1"/>
    <col min="7" max="7" width="15.83203125"/>
    <col min="8" max="10" width="22.6640625" customWidth="1"/>
    <col min="11" max="11" width="12.6640625"/>
    <col min="14" max="14" width="11.33203125" customWidth="1"/>
    <col min="15" max="15" width="11.5" customWidth="1"/>
    <col min="16" max="16" width="13" customWidth="1"/>
    <col min="17" max="17" width="13.1640625" customWidth="1"/>
  </cols>
  <sheetData>
    <row r="1" spans="1:17" ht="22" customHeight="1" x14ac:dyDescent="0.2">
      <c r="A1" s="4" t="s">
        <v>0</v>
      </c>
      <c r="B1" s="5" t="s">
        <v>1</v>
      </c>
      <c r="C1" s="6" t="s">
        <v>2</v>
      </c>
      <c r="D1" s="7" t="s">
        <v>3</v>
      </c>
      <c r="E1" s="13" t="s">
        <v>4</v>
      </c>
      <c r="F1" s="6" t="s">
        <v>5</v>
      </c>
      <c r="G1" s="14">
        <f>SUM(F:F)</f>
        <v>29329000</v>
      </c>
      <c r="K1" s="19" t="s">
        <v>0</v>
      </c>
      <c r="L1" s="6" t="s">
        <v>1</v>
      </c>
      <c r="M1" s="6" t="s">
        <v>2</v>
      </c>
      <c r="N1" s="6" t="s">
        <v>3</v>
      </c>
      <c r="O1" s="6" t="s">
        <v>6</v>
      </c>
      <c r="P1" s="25" t="s">
        <v>5</v>
      </c>
      <c r="Q1" s="14">
        <f>SUM(P:P)</f>
        <v>17802000</v>
      </c>
    </row>
    <row r="2" spans="1:17" ht="15" x14ac:dyDescent="0.2">
      <c r="A2" s="46">
        <v>46054</v>
      </c>
      <c r="B2" s="8" t="s">
        <v>7</v>
      </c>
      <c r="C2" s="9">
        <v>6</v>
      </c>
      <c r="D2" s="10">
        <v>95000</v>
      </c>
      <c r="E2" s="15">
        <f t="shared" ref="E2:E16" si="0">D2*C2</f>
        <v>570000</v>
      </c>
      <c r="F2" s="49">
        <f>SUM(E2:E8)</f>
        <v>1257000</v>
      </c>
      <c r="K2" s="52">
        <v>46054</v>
      </c>
      <c r="L2" s="20" t="s">
        <v>8</v>
      </c>
      <c r="M2" s="9">
        <v>15</v>
      </c>
      <c r="N2" s="15">
        <v>10000</v>
      </c>
      <c r="O2" s="15">
        <f t="shared" ref="O2:O6" si="1">SUM(M2*N2)</f>
        <v>150000</v>
      </c>
      <c r="P2" s="56">
        <f>SUM(O2:O15)</f>
        <v>974000</v>
      </c>
    </row>
    <row r="3" spans="1:17" ht="15" x14ac:dyDescent="0.2">
      <c r="A3" s="47"/>
      <c r="B3" s="8" t="s">
        <v>9</v>
      </c>
      <c r="C3" s="9">
        <v>4</v>
      </c>
      <c r="D3" s="10">
        <v>22000</v>
      </c>
      <c r="E3" s="15">
        <f t="shared" si="0"/>
        <v>88000</v>
      </c>
      <c r="F3" s="50"/>
      <c r="K3" s="53"/>
      <c r="L3" s="20" t="s">
        <v>10</v>
      </c>
      <c r="M3" s="9">
        <v>3</v>
      </c>
      <c r="N3" s="15">
        <v>70000</v>
      </c>
      <c r="O3" s="15">
        <f t="shared" si="1"/>
        <v>210000</v>
      </c>
      <c r="P3" s="57"/>
    </row>
    <row r="4" spans="1:17" ht="15" x14ac:dyDescent="0.2">
      <c r="A4" s="47"/>
      <c r="B4" s="8" t="s">
        <v>11</v>
      </c>
      <c r="C4" s="9">
        <v>1</v>
      </c>
      <c r="D4" s="10">
        <v>170000</v>
      </c>
      <c r="E4" s="15">
        <f t="shared" si="0"/>
        <v>170000</v>
      </c>
      <c r="F4" s="50"/>
      <c r="K4" s="53"/>
      <c r="L4" s="20" t="s">
        <v>12</v>
      </c>
      <c r="M4" s="9">
        <v>5</v>
      </c>
      <c r="N4" s="15">
        <v>25000</v>
      </c>
      <c r="O4" s="15">
        <f t="shared" si="1"/>
        <v>125000</v>
      </c>
      <c r="P4" s="57"/>
    </row>
    <row r="5" spans="1:17" ht="15" x14ac:dyDescent="0.2">
      <c r="A5" s="47"/>
      <c r="B5" s="8" t="s">
        <v>13</v>
      </c>
      <c r="C5" s="9">
        <v>1</v>
      </c>
      <c r="D5" s="10">
        <v>270000</v>
      </c>
      <c r="E5" s="15">
        <f t="shared" si="0"/>
        <v>270000</v>
      </c>
      <c r="F5" s="50"/>
      <c r="K5" s="53"/>
      <c r="L5" s="20" t="s">
        <v>14</v>
      </c>
      <c r="M5" s="9">
        <v>1</v>
      </c>
      <c r="N5" s="15">
        <v>15000</v>
      </c>
      <c r="O5" s="15">
        <f t="shared" si="1"/>
        <v>15000</v>
      </c>
      <c r="P5" s="57"/>
    </row>
    <row r="6" spans="1:17" ht="15" x14ac:dyDescent="0.2">
      <c r="A6" s="47"/>
      <c r="B6" s="8" t="s">
        <v>15</v>
      </c>
      <c r="C6" s="9">
        <v>3</v>
      </c>
      <c r="D6" s="10">
        <v>40000</v>
      </c>
      <c r="E6" s="15">
        <f t="shared" si="0"/>
        <v>120000</v>
      </c>
      <c r="F6" s="50"/>
      <c r="K6" s="53"/>
      <c r="L6" s="20" t="s">
        <v>16</v>
      </c>
      <c r="M6" s="9">
        <v>1</v>
      </c>
      <c r="N6" s="15">
        <v>48000</v>
      </c>
      <c r="O6" s="15">
        <f t="shared" si="1"/>
        <v>48000</v>
      </c>
      <c r="P6" s="57"/>
    </row>
    <row r="7" spans="1:17" ht="15" x14ac:dyDescent="0.2">
      <c r="A7" s="47"/>
      <c r="B7" s="8" t="s">
        <v>17</v>
      </c>
      <c r="C7" s="9">
        <v>0.3</v>
      </c>
      <c r="D7" s="10">
        <v>80000</v>
      </c>
      <c r="E7" s="15">
        <f t="shared" si="0"/>
        <v>24000</v>
      </c>
      <c r="F7" s="50"/>
      <c r="K7" s="53"/>
      <c r="L7" s="20" t="s">
        <v>18</v>
      </c>
      <c r="M7" s="9">
        <v>7.74</v>
      </c>
      <c r="N7" s="15">
        <v>15000</v>
      </c>
      <c r="O7" s="15">
        <v>116000</v>
      </c>
      <c r="P7" s="57"/>
    </row>
    <row r="8" spans="1:17" ht="15" x14ac:dyDescent="0.2">
      <c r="A8" s="48"/>
      <c r="B8" s="8" t="s">
        <v>19</v>
      </c>
      <c r="C8" s="9">
        <v>1</v>
      </c>
      <c r="D8" s="10">
        <v>15000</v>
      </c>
      <c r="E8" s="15">
        <f t="shared" si="0"/>
        <v>15000</v>
      </c>
      <c r="F8" s="51"/>
      <c r="H8" s="16" t="s">
        <v>20</v>
      </c>
      <c r="I8" s="21" t="s">
        <v>21</v>
      </c>
      <c r="K8" s="53"/>
      <c r="L8" s="20" t="s">
        <v>22</v>
      </c>
      <c r="M8" s="9">
        <v>0.5</v>
      </c>
      <c r="N8" s="15">
        <v>20000</v>
      </c>
      <c r="O8" s="15">
        <f t="shared" ref="O8:O27" si="2">SUM(M8*N8)</f>
        <v>10000</v>
      </c>
      <c r="P8" s="57"/>
    </row>
    <row r="9" spans="1:17" ht="15" x14ac:dyDescent="0.2">
      <c r="A9" s="46">
        <v>46055</v>
      </c>
      <c r="B9" s="8" t="s">
        <v>23</v>
      </c>
      <c r="C9" s="9">
        <v>0.5</v>
      </c>
      <c r="D9" s="10">
        <v>90000</v>
      </c>
      <c r="E9" s="15">
        <f t="shared" si="0"/>
        <v>45000</v>
      </c>
      <c r="F9" s="49">
        <f>SUM(E9:E32)</f>
        <v>2575000</v>
      </c>
      <c r="H9" s="17">
        <f>G1</f>
        <v>29329000</v>
      </c>
      <c r="I9" s="17">
        <f>Q1</f>
        <v>17802000</v>
      </c>
      <c r="K9" s="53"/>
      <c r="L9" s="20" t="s">
        <v>24</v>
      </c>
      <c r="M9" s="9">
        <v>0.5</v>
      </c>
      <c r="N9" s="15">
        <v>30000</v>
      </c>
      <c r="O9" s="15">
        <f t="shared" si="2"/>
        <v>15000</v>
      </c>
      <c r="P9" s="57"/>
    </row>
    <row r="10" spans="1:17" ht="15" x14ac:dyDescent="0.2">
      <c r="A10" s="47"/>
      <c r="B10" s="8" t="s">
        <v>25</v>
      </c>
      <c r="C10" s="9">
        <v>2</v>
      </c>
      <c r="D10" s="10">
        <v>48000</v>
      </c>
      <c r="E10" s="15">
        <f t="shared" si="0"/>
        <v>96000</v>
      </c>
      <c r="F10" s="50"/>
      <c r="H10" s="40" t="s">
        <v>26</v>
      </c>
      <c r="I10" s="41"/>
      <c r="K10" s="53"/>
      <c r="L10" s="20" t="s">
        <v>27</v>
      </c>
      <c r="M10" s="9">
        <v>0.3</v>
      </c>
      <c r="N10" s="15">
        <v>80000</v>
      </c>
      <c r="O10" s="15">
        <f t="shared" si="2"/>
        <v>24000</v>
      </c>
      <c r="P10" s="57"/>
    </row>
    <row r="11" spans="1:17" ht="15" x14ac:dyDescent="0.2">
      <c r="A11" s="47"/>
      <c r="B11" s="8" t="s">
        <v>28</v>
      </c>
      <c r="C11" s="9">
        <v>1</v>
      </c>
      <c r="D11" s="10">
        <v>110000</v>
      </c>
      <c r="E11" s="15">
        <f t="shared" si="0"/>
        <v>110000</v>
      </c>
      <c r="F11" s="50"/>
      <c r="H11" s="42">
        <f>SUM(H9:I9)</f>
        <v>47131000</v>
      </c>
      <c r="I11" s="43"/>
      <c r="J11" s="23"/>
      <c r="K11" s="53"/>
      <c r="L11" s="20" t="s">
        <v>29</v>
      </c>
      <c r="M11" s="9">
        <v>1</v>
      </c>
      <c r="N11" s="15">
        <v>40000</v>
      </c>
      <c r="O11" s="15">
        <f t="shared" si="2"/>
        <v>40000</v>
      </c>
      <c r="P11" s="57"/>
    </row>
    <row r="12" spans="1:17" ht="15" x14ac:dyDescent="0.2">
      <c r="A12" s="47"/>
      <c r="B12" s="8" t="s">
        <v>30</v>
      </c>
      <c r="C12" s="9">
        <v>1</v>
      </c>
      <c r="D12" s="10">
        <v>38000</v>
      </c>
      <c r="E12" s="15">
        <f t="shared" si="0"/>
        <v>38000</v>
      </c>
      <c r="F12" s="50"/>
      <c r="K12" s="53"/>
      <c r="L12" s="20" t="s">
        <v>31</v>
      </c>
      <c r="M12" s="9">
        <v>0.25</v>
      </c>
      <c r="N12" s="15">
        <v>100000</v>
      </c>
      <c r="O12" s="15">
        <f t="shared" si="2"/>
        <v>25000</v>
      </c>
      <c r="P12" s="57"/>
    </row>
    <row r="13" spans="1:17" ht="15" x14ac:dyDescent="0.2">
      <c r="A13" s="47"/>
      <c r="B13" s="8" t="s">
        <v>32</v>
      </c>
      <c r="C13" s="9">
        <v>1</v>
      </c>
      <c r="D13" s="10">
        <v>40000</v>
      </c>
      <c r="E13" s="15">
        <f t="shared" si="0"/>
        <v>40000</v>
      </c>
      <c r="F13" s="50"/>
      <c r="K13" s="53"/>
      <c r="L13" s="20" t="s">
        <v>33</v>
      </c>
      <c r="M13" s="9">
        <v>4</v>
      </c>
      <c r="N13" s="15">
        <v>24000</v>
      </c>
      <c r="O13" s="15">
        <f t="shared" si="2"/>
        <v>96000</v>
      </c>
      <c r="P13" s="57"/>
    </row>
    <row r="14" spans="1:17" ht="15" x14ac:dyDescent="0.2">
      <c r="A14" s="47"/>
      <c r="B14" s="8" t="s">
        <v>34</v>
      </c>
      <c r="C14" s="9">
        <v>1</v>
      </c>
      <c r="D14" s="10">
        <v>210000</v>
      </c>
      <c r="E14" s="15">
        <f t="shared" si="0"/>
        <v>210000</v>
      </c>
      <c r="F14" s="50"/>
      <c r="K14" s="53"/>
      <c r="L14" s="20" t="s">
        <v>35</v>
      </c>
      <c r="M14" s="9">
        <v>1</v>
      </c>
      <c r="N14" s="15">
        <v>40000</v>
      </c>
      <c r="O14" s="15">
        <f t="shared" si="2"/>
        <v>40000</v>
      </c>
      <c r="P14" s="57"/>
    </row>
    <row r="15" spans="1:17" ht="15" x14ac:dyDescent="0.2">
      <c r="A15" s="47"/>
      <c r="B15" s="8" t="s">
        <v>36</v>
      </c>
      <c r="C15" s="9">
        <v>2</v>
      </c>
      <c r="D15" s="10">
        <v>30000</v>
      </c>
      <c r="E15" s="15">
        <f t="shared" si="0"/>
        <v>60000</v>
      </c>
      <c r="F15" s="50"/>
      <c r="K15" s="54"/>
      <c r="L15" s="20" t="s">
        <v>37</v>
      </c>
      <c r="M15" s="9">
        <v>3</v>
      </c>
      <c r="N15" s="15">
        <v>20000</v>
      </c>
      <c r="O15" s="15">
        <f t="shared" si="2"/>
        <v>60000</v>
      </c>
      <c r="P15" s="58"/>
    </row>
    <row r="16" spans="1:17" ht="15" x14ac:dyDescent="0.2">
      <c r="A16" s="47"/>
      <c r="B16" s="8" t="s">
        <v>10</v>
      </c>
      <c r="C16" s="9">
        <v>1</v>
      </c>
      <c r="D16" s="10">
        <v>70000</v>
      </c>
      <c r="E16" s="15">
        <f t="shared" si="0"/>
        <v>70000</v>
      </c>
      <c r="F16" s="50"/>
      <c r="K16" s="52">
        <v>46055</v>
      </c>
      <c r="L16" s="20" t="s">
        <v>8</v>
      </c>
      <c r="M16" s="9">
        <v>3</v>
      </c>
      <c r="N16" s="15">
        <v>10000</v>
      </c>
      <c r="O16" s="15">
        <f t="shared" si="2"/>
        <v>30000</v>
      </c>
      <c r="P16" s="56">
        <f>SUM(O16:O24)</f>
        <v>524000</v>
      </c>
    </row>
    <row r="17" spans="1:16" ht="15" x14ac:dyDescent="0.2">
      <c r="A17" s="47"/>
      <c r="B17" s="8" t="s">
        <v>38</v>
      </c>
      <c r="C17" s="9">
        <v>2.1800000000000002</v>
      </c>
      <c r="D17" s="10">
        <v>25000</v>
      </c>
      <c r="E17" s="15">
        <v>55000</v>
      </c>
      <c r="F17" s="50"/>
      <c r="K17" s="53"/>
      <c r="L17" s="20" t="s">
        <v>12</v>
      </c>
      <c r="M17" s="9">
        <v>4</v>
      </c>
      <c r="N17" s="15">
        <v>25000</v>
      </c>
      <c r="O17" s="15">
        <f t="shared" si="2"/>
        <v>100000</v>
      </c>
      <c r="P17" s="57"/>
    </row>
    <row r="18" spans="1:16" ht="15" x14ac:dyDescent="0.2">
      <c r="A18" s="47"/>
      <c r="B18" s="8" t="s">
        <v>39</v>
      </c>
      <c r="C18" s="9">
        <v>1</v>
      </c>
      <c r="D18" s="10">
        <v>70000</v>
      </c>
      <c r="E18" s="15">
        <f t="shared" ref="E18:E31" si="3">D18*C18</f>
        <v>70000</v>
      </c>
      <c r="F18" s="50"/>
      <c r="K18" s="53"/>
      <c r="L18" s="20" t="s">
        <v>10</v>
      </c>
      <c r="M18" s="9">
        <v>2</v>
      </c>
      <c r="N18" s="15">
        <v>70000</v>
      </c>
      <c r="O18" s="15">
        <f t="shared" si="2"/>
        <v>140000</v>
      </c>
      <c r="P18" s="57"/>
    </row>
    <row r="19" spans="1:16" ht="15" x14ac:dyDescent="0.2">
      <c r="A19" s="47"/>
      <c r="B19" s="8" t="s">
        <v>40</v>
      </c>
      <c r="C19" s="9">
        <v>1</v>
      </c>
      <c r="D19" s="10">
        <v>35000</v>
      </c>
      <c r="E19" s="15">
        <f t="shared" si="3"/>
        <v>35000</v>
      </c>
      <c r="F19" s="50"/>
      <c r="K19" s="53"/>
      <c r="L19" s="20" t="s">
        <v>41</v>
      </c>
      <c r="M19" s="9">
        <v>1</v>
      </c>
      <c r="N19" s="15">
        <v>30000</v>
      </c>
      <c r="O19" s="15">
        <f t="shared" si="2"/>
        <v>30000</v>
      </c>
      <c r="P19" s="57"/>
    </row>
    <row r="20" spans="1:16" ht="15" x14ac:dyDescent="0.2">
      <c r="A20" s="47"/>
      <c r="B20" s="8" t="s">
        <v>42</v>
      </c>
      <c r="C20" s="9">
        <v>1</v>
      </c>
      <c r="D20" s="10">
        <v>40000</v>
      </c>
      <c r="E20" s="15">
        <f t="shared" si="3"/>
        <v>40000</v>
      </c>
      <c r="F20" s="50"/>
      <c r="K20" s="53"/>
      <c r="L20" s="20" t="s">
        <v>24</v>
      </c>
      <c r="M20" s="9">
        <v>0.5</v>
      </c>
      <c r="N20" s="15">
        <v>30000</v>
      </c>
      <c r="O20" s="15">
        <f t="shared" si="2"/>
        <v>15000</v>
      </c>
      <c r="P20" s="57"/>
    </row>
    <row r="21" spans="1:16" ht="15" x14ac:dyDescent="0.2">
      <c r="A21" s="47"/>
      <c r="B21" s="8" t="s">
        <v>24</v>
      </c>
      <c r="C21" s="9">
        <v>0.2</v>
      </c>
      <c r="D21" s="10">
        <v>30000</v>
      </c>
      <c r="E21" s="15">
        <f t="shared" si="3"/>
        <v>6000</v>
      </c>
      <c r="F21" s="50"/>
      <c r="K21" s="53"/>
      <c r="L21" s="20" t="s">
        <v>33</v>
      </c>
      <c r="M21" s="9">
        <v>4</v>
      </c>
      <c r="N21" s="15">
        <v>24000</v>
      </c>
      <c r="O21" s="15">
        <f t="shared" si="2"/>
        <v>96000</v>
      </c>
      <c r="P21" s="57"/>
    </row>
    <row r="22" spans="1:16" ht="15" x14ac:dyDescent="0.2">
      <c r="A22" s="47"/>
      <c r="B22" s="8" t="s">
        <v>43</v>
      </c>
      <c r="C22" s="9">
        <v>2</v>
      </c>
      <c r="D22" s="10">
        <v>25000</v>
      </c>
      <c r="E22" s="15">
        <f t="shared" si="3"/>
        <v>50000</v>
      </c>
      <c r="F22" s="50"/>
      <c r="K22" s="53"/>
      <c r="L22" s="20" t="s">
        <v>44</v>
      </c>
      <c r="M22" s="9">
        <v>1</v>
      </c>
      <c r="N22" s="15">
        <v>48000</v>
      </c>
      <c r="O22" s="15">
        <f t="shared" si="2"/>
        <v>48000</v>
      </c>
      <c r="P22" s="57"/>
    </row>
    <row r="23" spans="1:16" ht="15" x14ac:dyDescent="0.2">
      <c r="A23" s="47"/>
      <c r="B23" s="8" t="s">
        <v>45</v>
      </c>
      <c r="C23" s="9">
        <v>30</v>
      </c>
      <c r="D23" s="10">
        <v>1000</v>
      </c>
      <c r="E23" s="15">
        <f t="shared" si="3"/>
        <v>30000</v>
      </c>
      <c r="F23" s="50"/>
      <c r="K23" s="53"/>
      <c r="L23" s="20" t="s">
        <v>35</v>
      </c>
      <c r="M23" s="9">
        <v>1</v>
      </c>
      <c r="N23" s="15">
        <v>40000</v>
      </c>
      <c r="O23" s="15">
        <f t="shared" si="2"/>
        <v>40000</v>
      </c>
      <c r="P23" s="57"/>
    </row>
    <row r="24" spans="1:16" ht="15" x14ac:dyDescent="0.2">
      <c r="A24" s="47"/>
      <c r="B24" s="8" t="s">
        <v>46</v>
      </c>
      <c r="C24" s="9">
        <v>1</v>
      </c>
      <c r="D24" s="10">
        <v>120000</v>
      </c>
      <c r="E24" s="15">
        <f t="shared" si="3"/>
        <v>120000</v>
      </c>
      <c r="F24" s="50"/>
      <c r="K24" s="54"/>
      <c r="L24" s="20" t="s">
        <v>47</v>
      </c>
      <c r="M24" s="9">
        <v>1</v>
      </c>
      <c r="N24" s="15">
        <v>25000</v>
      </c>
      <c r="O24" s="15">
        <f t="shared" si="2"/>
        <v>25000</v>
      </c>
      <c r="P24" s="58"/>
    </row>
    <row r="25" spans="1:16" ht="15" x14ac:dyDescent="0.2">
      <c r="A25" s="47"/>
      <c r="B25" s="8" t="s">
        <v>48</v>
      </c>
      <c r="C25" s="9">
        <v>1</v>
      </c>
      <c r="D25" s="10">
        <v>230000</v>
      </c>
      <c r="E25" s="15">
        <f t="shared" si="3"/>
        <v>230000</v>
      </c>
      <c r="F25" s="50"/>
      <c r="K25" s="52">
        <v>46056</v>
      </c>
      <c r="L25" s="20" t="s">
        <v>10</v>
      </c>
      <c r="M25" s="9">
        <v>1</v>
      </c>
      <c r="N25" s="15">
        <v>70000</v>
      </c>
      <c r="O25" s="15">
        <f t="shared" si="2"/>
        <v>70000</v>
      </c>
      <c r="P25" s="56">
        <f>SUM(O25:O41)</f>
        <v>918000</v>
      </c>
    </row>
    <row r="26" spans="1:16" ht="15" x14ac:dyDescent="0.2">
      <c r="A26" s="47"/>
      <c r="B26" s="8" t="s">
        <v>49</v>
      </c>
      <c r="C26" s="9">
        <v>3</v>
      </c>
      <c r="D26" s="10">
        <v>170000</v>
      </c>
      <c r="E26" s="15">
        <f t="shared" si="3"/>
        <v>510000</v>
      </c>
      <c r="F26" s="50"/>
      <c r="K26" s="53"/>
      <c r="L26" s="20" t="s">
        <v>12</v>
      </c>
      <c r="M26" s="9">
        <v>3</v>
      </c>
      <c r="N26" s="15">
        <v>25000</v>
      </c>
      <c r="O26" s="15">
        <f t="shared" si="2"/>
        <v>75000</v>
      </c>
      <c r="P26" s="57"/>
    </row>
    <row r="27" spans="1:16" ht="15" x14ac:dyDescent="0.2">
      <c r="A27" s="47"/>
      <c r="B27" s="8" t="s">
        <v>50</v>
      </c>
      <c r="C27" s="9">
        <v>1</v>
      </c>
      <c r="D27" s="10">
        <v>100000</v>
      </c>
      <c r="E27" s="15">
        <f t="shared" si="3"/>
        <v>100000</v>
      </c>
      <c r="F27" s="50"/>
      <c r="K27" s="53"/>
      <c r="L27" s="20" t="s">
        <v>51</v>
      </c>
      <c r="M27" s="9">
        <v>0.3</v>
      </c>
      <c r="N27" s="15">
        <v>80000</v>
      </c>
      <c r="O27" s="15">
        <f t="shared" si="2"/>
        <v>24000</v>
      </c>
      <c r="P27" s="57"/>
    </row>
    <row r="28" spans="1:16" ht="15" x14ac:dyDescent="0.2">
      <c r="A28" s="47"/>
      <c r="B28" s="8" t="s">
        <v>7</v>
      </c>
      <c r="C28" s="9">
        <v>2</v>
      </c>
      <c r="D28" s="10">
        <v>95000</v>
      </c>
      <c r="E28" s="15">
        <f t="shared" si="3"/>
        <v>190000</v>
      </c>
      <c r="F28" s="50"/>
      <c r="K28" s="53"/>
      <c r="L28" s="20" t="s">
        <v>18</v>
      </c>
      <c r="M28" s="9">
        <v>3.415</v>
      </c>
      <c r="N28" s="15">
        <v>15000</v>
      </c>
      <c r="O28" s="15">
        <v>51000</v>
      </c>
      <c r="P28" s="57"/>
    </row>
    <row r="29" spans="1:16" ht="15" x14ac:dyDescent="0.2">
      <c r="A29" s="47"/>
      <c r="B29" s="8" t="s">
        <v>52</v>
      </c>
      <c r="C29" s="9">
        <v>1</v>
      </c>
      <c r="D29" s="10">
        <v>275000</v>
      </c>
      <c r="E29" s="15">
        <f t="shared" si="3"/>
        <v>275000</v>
      </c>
      <c r="F29" s="50"/>
      <c r="K29" s="53"/>
      <c r="L29" s="20" t="s">
        <v>14</v>
      </c>
      <c r="M29" s="9">
        <v>1</v>
      </c>
      <c r="N29" s="15">
        <v>15000</v>
      </c>
      <c r="O29" s="15">
        <f t="shared" ref="O29:O33" si="4">SUM(M29*N29)</f>
        <v>15000</v>
      </c>
      <c r="P29" s="57"/>
    </row>
    <row r="30" spans="1:16" ht="15" x14ac:dyDescent="0.2">
      <c r="A30" s="47"/>
      <c r="B30" s="8" t="s">
        <v>53</v>
      </c>
      <c r="C30" s="9">
        <v>2</v>
      </c>
      <c r="D30" s="10">
        <v>55000</v>
      </c>
      <c r="E30" s="15">
        <f t="shared" si="3"/>
        <v>110000</v>
      </c>
      <c r="F30" s="50"/>
      <c r="K30" s="53"/>
      <c r="L30" s="20" t="s">
        <v>41</v>
      </c>
      <c r="M30" s="9">
        <v>1</v>
      </c>
      <c r="N30" s="15">
        <v>30000</v>
      </c>
      <c r="O30" s="15">
        <f t="shared" si="4"/>
        <v>30000</v>
      </c>
      <c r="P30" s="57"/>
    </row>
    <row r="31" spans="1:16" ht="15" x14ac:dyDescent="0.2">
      <c r="A31" s="47"/>
      <c r="B31" s="8" t="s">
        <v>54</v>
      </c>
      <c r="C31" s="9">
        <v>1</v>
      </c>
      <c r="D31" s="10">
        <v>30000</v>
      </c>
      <c r="E31" s="15">
        <f t="shared" si="3"/>
        <v>30000</v>
      </c>
      <c r="F31" s="50"/>
      <c r="K31" s="53"/>
      <c r="L31" s="20" t="s">
        <v>16</v>
      </c>
      <c r="M31" s="9">
        <v>2</v>
      </c>
      <c r="N31" s="15">
        <v>48000</v>
      </c>
      <c r="O31" s="15">
        <f t="shared" si="4"/>
        <v>96000</v>
      </c>
      <c r="P31" s="57"/>
    </row>
    <row r="32" spans="1:16" ht="15" x14ac:dyDescent="0.2">
      <c r="A32" s="48"/>
      <c r="B32" s="8" t="s">
        <v>18</v>
      </c>
      <c r="C32" s="9">
        <v>3.65</v>
      </c>
      <c r="D32" s="10">
        <v>15000</v>
      </c>
      <c r="E32" s="15">
        <v>55000</v>
      </c>
      <c r="F32" s="51"/>
      <c r="K32" s="53"/>
      <c r="L32" s="20" t="s">
        <v>8</v>
      </c>
      <c r="M32" s="9">
        <v>8</v>
      </c>
      <c r="N32" s="15">
        <v>10000</v>
      </c>
      <c r="O32" s="15">
        <f t="shared" si="4"/>
        <v>80000</v>
      </c>
      <c r="P32" s="57"/>
    </row>
    <row r="33" spans="1:16" ht="15" x14ac:dyDescent="0.2">
      <c r="A33" s="47">
        <v>46056</v>
      </c>
      <c r="B33" s="8" t="s">
        <v>55</v>
      </c>
      <c r="C33" s="9">
        <v>1</v>
      </c>
      <c r="D33" s="10">
        <v>395000</v>
      </c>
      <c r="E33" s="15">
        <f t="shared" ref="E33:E48" si="5">D33*C33</f>
        <v>395000</v>
      </c>
      <c r="F33" s="50">
        <f>SUM(E33:E41)</f>
        <v>1915000</v>
      </c>
      <c r="K33" s="53"/>
      <c r="L33" s="20" t="s">
        <v>31</v>
      </c>
      <c r="M33" s="9">
        <v>0.75</v>
      </c>
      <c r="N33" s="15">
        <v>100000</v>
      </c>
      <c r="O33" s="15">
        <f t="shared" si="4"/>
        <v>75000</v>
      </c>
      <c r="P33" s="57"/>
    </row>
    <row r="34" spans="1:16" ht="15" x14ac:dyDescent="0.2">
      <c r="A34" s="47"/>
      <c r="B34" s="8" t="s">
        <v>56</v>
      </c>
      <c r="C34" s="9">
        <v>1</v>
      </c>
      <c r="D34" s="10">
        <v>160000</v>
      </c>
      <c r="E34" s="15">
        <f t="shared" si="5"/>
        <v>160000</v>
      </c>
      <c r="F34" s="50"/>
      <c r="K34" s="53"/>
      <c r="L34" s="20" t="s">
        <v>57</v>
      </c>
      <c r="M34" s="9">
        <v>0.05</v>
      </c>
      <c r="N34" s="15">
        <v>150000</v>
      </c>
      <c r="O34" s="15">
        <v>8000</v>
      </c>
      <c r="P34" s="57"/>
    </row>
    <row r="35" spans="1:16" ht="15" x14ac:dyDescent="0.2">
      <c r="A35" s="47"/>
      <c r="B35" s="8" t="s">
        <v>15</v>
      </c>
      <c r="C35" s="9">
        <v>3</v>
      </c>
      <c r="D35" s="10">
        <v>40000</v>
      </c>
      <c r="E35" s="15">
        <f t="shared" si="5"/>
        <v>120000</v>
      </c>
      <c r="F35" s="50"/>
      <c r="K35" s="53"/>
      <c r="L35" s="20" t="s">
        <v>33</v>
      </c>
      <c r="M35" s="9">
        <v>6</v>
      </c>
      <c r="N35" s="15">
        <v>24000</v>
      </c>
      <c r="O35" s="15">
        <f t="shared" ref="O35:O39" si="6">SUM(M35*N35)</f>
        <v>144000</v>
      </c>
      <c r="P35" s="57"/>
    </row>
    <row r="36" spans="1:16" ht="15" x14ac:dyDescent="0.2">
      <c r="A36" s="47"/>
      <c r="B36" s="8" t="s">
        <v>58</v>
      </c>
      <c r="C36" s="9">
        <v>2</v>
      </c>
      <c r="D36" s="10">
        <v>120000</v>
      </c>
      <c r="E36" s="15">
        <f t="shared" si="5"/>
        <v>240000</v>
      </c>
      <c r="F36" s="50"/>
      <c r="K36" s="53"/>
      <c r="L36" s="20" t="s">
        <v>35</v>
      </c>
      <c r="M36" s="9">
        <v>2</v>
      </c>
      <c r="N36" s="15">
        <v>40000</v>
      </c>
      <c r="O36" s="15">
        <f t="shared" si="6"/>
        <v>80000</v>
      </c>
      <c r="P36" s="57"/>
    </row>
    <row r="37" spans="1:16" ht="15" x14ac:dyDescent="0.2">
      <c r="A37" s="47"/>
      <c r="B37" s="8" t="s">
        <v>59</v>
      </c>
      <c r="C37" s="9">
        <v>1</v>
      </c>
      <c r="D37" s="10">
        <v>220000</v>
      </c>
      <c r="E37" s="15">
        <f t="shared" si="5"/>
        <v>220000</v>
      </c>
      <c r="F37" s="50"/>
      <c r="K37" s="53"/>
      <c r="L37" s="20" t="s">
        <v>44</v>
      </c>
      <c r="M37" s="9">
        <v>1</v>
      </c>
      <c r="N37" s="15">
        <v>49000</v>
      </c>
      <c r="O37" s="15">
        <f t="shared" si="6"/>
        <v>49000</v>
      </c>
      <c r="P37" s="57"/>
    </row>
    <row r="38" spans="1:16" ht="15" x14ac:dyDescent="0.2">
      <c r="A38" s="47"/>
      <c r="B38" s="8" t="s">
        <v>7</v>
      </c>
      <c r="C38" s="9">
        <v>3</v>
      </c>
      <c r="D38" s="10">
        <v>95000</v>
      </c>
      <c r="E38" s="15">
        <f t="shared" si="5"/>
        <v>285000</v>
      </c>
      <c r="F38" s="50"/>
      <c r="K38" s="53"/>
      <c r="L38" s="20" t="s">
        <v>22</v>
      </c>
      <c r="M38" s="9">
        <v>0.5</v>
      </c>
      <c r="N38" s="15">
        <v>20000</v>
      </c>
      <c r="O38" s="15">
        <f t="shared" si="6"/>
        <v>10000</v>
      </c>
      <c r="P38" s="57"/>
    </row>
    <row r="39" spans="1:16" ht="15" x14ac:dyDescent="0.2">
      <c r="A39" s="47"/>
      <c r="B39" s="8" t="s">
        <v>60</v>
      </c>
      <c r="C39" s="9">
        <v>1</v>
      </c>
      <c r="D39" s="10">
        <v>120000</v>
      </c>
      <c r="E39" s="15">
        <f t="shared" si="5"/>
        <v>120000</v>
      </c>
      <c r="F39" s="50"/>
      <c r="K39" s="53"/>
      <c r="L39" s="20" t="s">
        <v>29</v>
      </c>
      <c r="M39" s="9">
        <v>1</v>
      </c>
      <c r="N39" s="15">
        <v>40000</v>
      </c>
      <c r="O39" s="15">
        <f t="shared" si="6"/>
        <v>40000</v>
      </c>
      <c r="P39" s="57"/>
    </row>
    <row r="40" spans="1:16" ht="15" x14ac:dyDescent="0.2">
      <c r="A40" s="47"/>
      <c r="B40" s="8" t="s">
        <v>61</v>
      </c>
      <c r="C40" s="9">
        <v>1</v>
      </c>
      <c r="D40" s="10">
        <v>195000</v>
      </c>
      <c r="E40" s="15">
        <f t="shared" si="5"/>
        <v>195000</v>
      </c>
      <c r="F40" s="50"/>
      <c r="K40" s="53"/>
      <c r="L40" s="20" t="s">
        <v>62</v>
      </c>
      <c r="M40" s="9">
        <v>0.3</v>
      </c>
      <c r="N40" s="15">
        <v>35000</v>
      </c>
      <c r="O40" s="15">
        <v>11000</v>
      </c>
      <c r="P40" s="57"/>
    </row>
    <row r="41" spans="1:16" ht="15" x14ac:dyDescent="0.2">
      <c r="A41" s="48"/>
      <c r="B41" s="8" t="s">
        <v>63</v>
      </c>
      <c r="C41" s="9">
        <v>4</v>
      </c>
      <c r="D41" s="10">
        <v>45000</v>
      </c>
      <c r="E41" s="15">
        <f t="shared" si="5"/>
        <v>180000</v>
      </c>
      <c r="F41" s="51"/>
      <c r="K41" s="54"/>
      <c r="L41" s="20" t="s">
        <v>41</v>
      </c>
      <c r="M41" s="9">
        <v>2</v>
      </c>
      <c r="N41" s="15">
        <v>30000</v>
      </c>
      <c r="O41" s="15">
        <f t="shared" ref="O41:O46" si="7">SUM(M41*N41)</f>
        <v>60000</v>
      </c>
      <c r="P41" s="58"/>
    </row>
    <row r="42" spans="1:16" x14ac:dyDescent="0.2">
      <c r="A42" s="12">
        <v>46056</v>
      </c>
      <c r="B42" s="8" t="s">
        <v>32</v>
      </c>
      <c r="C42" s="9">
        <v>2</v>
      </c>
      <c r="D42" s="10">
        <v>40000</v>
      </c>
      <c r="E42" s="15">
        <f t="shared" si="5"/>
        <v>80000</v>
      </c>
      <c r="F42" s="18">
        <f>SUM(E42)</f>
        <v>80000</v>
      </c>
      <c r="K42" s="52">
        <v>46057</v>
      </c>
      <c r="L42" s="20" t="s">
        <v>40</v>
      </c>
      <c r="M42" s="9">
        <v>1</v>
      </c>
      <c r="N42" s="15">
        <v>35000</v>
      </c>
      <c r="O42" s="15">
        <f t="shared" si="7"/>
        <v>35000</v>
      </c>
      <c r="P42" s="56">
        <f>SUM(O42:O51)</f>
        <v>594000</v>
      </c>
    </row>
    <row r="43" spans="1:16" x14ac:dyDescent="0.2">
      <c r="A43" s="12">
        <v>46057</v>
      </c>
      <c r="B43" s="8" t="s">
        <v>64</v>
      </c>
      <c r="C43" s="9">
        <v>2</v>
      </c>
      <c r="D43" s="10">
        <v>30000</v>
      </c>
      <c r="E43" s="15">
        <f t="shared" si="5"/>
        <v>60000</v>
      </c>
      <c r="F43" s="18">
        <f>SUM(E43)</f>
        <v>60000</v>
      </c>
      <c r="K43" s="53"/>
      <c r="L43" s="20" t="s">
        <v>33</v>
      </c>
      <c r="M43" s="9">
        <v>5</v>
      </c>
      <c r="N43" s="15">
        <v>24000</v>
      </c>
      <c r="O43" s="15">
        <f t="shared" si="7"/>
        <v>120000</v>
      </c>
      <c r="P43" s="57"/>
    </row>
    <row r="44" spans="1:16" ht="15" x14ac:dyDescent="0.2">
      <c r="A44" s="46">
        <v>46057</v>
      </c>
      <c r="B44" s="8" t="s">
        <v>65</v>
      </c>
      <c r="C44" s="9">
        <v>1</v>
      </c>
      <c r="D44" s="10">
        <v>170000</v>
      </c>
      <c r="E44" s="15">
        <f t="shared" si="5"/>
        <v>170000</v>
      </c>
      <c r="F44" s="49">
        <f>SUM(E44:E47)</f>
        <v>423000</v>
      </c>
      <c r="K44" s="53"/>
      <c r="L44" s="20" t="s">
        <v>35</v>
      </c>
      <c r="M44" s="9">
        <v>3</v>
      </c>
      <c r="N44" s="15">
        <v>40000</v>
      </c>
      <c r="O44" s="15">
        <f t="shared" si="7"/>
        <v>120000</v>
      </c>
      <c r="P44" s="57"/>
    </row>
    <row r="45" spans="1:16" ht="15" x14ac:dyDescent="0.2">
      <c r="A45" s="47"/>
      <c r="B45" s="8" t="s">
        <v>7</v>
      </c>
      <c r="C45" s="9">
        <v>2</v>
      </c>
      <c r="D45" s="10">
        <v>95000</v>
      </c>
      <c r="E45" s="15">
        <f t="shared" si="5"/>
        <v>190000</v>
      </c>
      <c r="F45" s="50"/>
      <c r="K45" s="53"/>
      <c r="L45" s="20" t="s">
        <v>44</v>
      </c>
      <c r="M45" s="9">
        <v>1</v>
      </c>
      <c r="N45" s="15">
        <v>49000</v>
      </c>
      <c r="O45" s="15">
        <f t="shared" si="7"/>
        <v>49000</v>
      </c>
      <c r="P45" s="57"/>
    </row>
    <row r="46" spans="1:16" ht="15" x14ac:dyDescent="0.2">
      <c r="A46" s="47"/>
      <c r="B46" s="8" t="s">
        <v>66</v>
      </c>
      <c r="C46" s="9">
        <v>0.4</v>
      </c>
      <c r="D46" s="10">
        <v>20000</v>
      </c>
      <c r="E46" s="15">
        <f t="shared" si="5"/>
        <v>8000</v>
      </c>
      <c r="F46" s="50"/>
      <c r="K46" s="53"/>
      <c r="L46" s="20" t="s">
        <v>24</v>
      </c>
      <c r="M46" s="9">
        <v>0.5</v>
      </c>
      <c r="N46" s="15">
        <v>30000</v>
      </c>
      <c r="O46" s="15">
        <f t="shared" si="7"/>
        <v>15000</v>
      </c>
      <c r="P46" s="57"/>
    </row>
    <row r="47" spans="1:16" ht="15" x14ac:dyDescent="0.2">
      <c r="A47" s="48"/>
      <c r="B47" s="8" t="s">
        <v>67</v>
      </c>
      <c r="C47" s="9">
        <v>1</v>
      </c>
      <c r="D47" s="10">
        <v>55000</v>
      </c>
      <c r="E47" s="15">
        <f t="shared" si="5"/>
        <v>55000</v>
      </c>
      <c r="F47" s="51"/>
      <c r="K47" s="53"/>
      <c r="L47" s="20" t="s">
        <v>68</v>
      </c>
      <c r="M47" s="9">
        <v>0.5</v>
      </c>
      <c r="N47" s="15">
        <v>35000</v>
      </c>
      <c r="O47" s="15">
        <v>18000</v>
      </c>
      <c r="P47" s="57"/>
    </row>
    <row r="48" spans="1:16" ht="15" x14ac:dyDescent="0.2">
      <c r="A48" s="46">
        <v>46057</v>
      </c>
      <c r="B48" s="8" t="s">
        <v>10</v>
      </c>
      <c r="C48" s="9">
        <v>1</v>
      </c>
      <c r="D48" s="10">
        <v>70000</v>
      </c>
      <c r="E48" s="15">
        <f t="shared" si="5"/>
        <v>70000</v>
      </c>
      <c r="F48" s="49">
        <f>SUM(E48:E49)</f>
        <v>145000</v>
      </c>
      <c r="K48" s="53"/>
      <c r="L48" s="20" t="s">
        <v>69</v>
      </c>
      <c r="M48" s="9">
        <v>16</v>
      </c>
      <c r="N48" s="15">
        <v>2000</v>
      </c>
      <c r="O48" s="15">
        <f t="shared" ref="O48:O51" si="8">SUM(M48*N48)</f>
        <v>32000</v>
      </c>
      <c r="P48" s="57"/>
    </row>
    <row r="49" spans="1:16" ht="15" x14ac:dyDescent="0.2">
      <c r="A49" s="48"/>
      <c r="B49" s="8" t="s">
        <v>29</v>
      </c>
      <c r="C49" s="9">
        <v>1.865</v>
      </c>
      <c r="D49" s="10">
        <v>40000</v>
      </c>
      <c r="E49" s="15">
        <v>75000</v>
      </c>
      <c r="F49" s="51"/>
      <c r="K49" s="53"/>
      <c r="L49" s="20" t="s">
        <v>12</v>
      </c>
      <c r="M49" s="9">
        <v>5</v>
      </c>
      <c r="N49" s="15">
        <v>25000</v>
      </c>
      <c r="O49" s="15">
        <f t="shared" si="8"/>
        <v>125000</v>
      </c>
      <c r="P49" s="57"/>
    </row>
    <row r="50" spans="1:16" ht="15" x14ac:dyDescent="0.2">
      <c r="A50" s="46">
        <v>46058</v>
      </c>
      <c r="B50" s="8" t="s">
        <v>61</v>
      </c>
      <c r="C50" s="9">
        <v>2</v>
      </c>
      <c r="D50" s="10">
        <v>195000</v>
      </c>
      <c r="E50" s="15">
        <f t="shared" ref="E50:E81" si="9">D50*C50</f>
        <v>390000</v>
      </c>
      <c r="F50" s="49">
        <f>SUM(E50:E52)</f>
        <v>760000</v>
      </c>
      <c r="K50" s="53"/>
      <c r="L50" s="20" t="s">
        <v>30</v>
      </c>
      <c r="M50" s="9">
        <v>0.65</v>
      </c>
      <c r="N50" s="15">
        <v>38000</v>
      </c>
      <c r="O50" s="15">
        <v>25000</v>
      </c>
      <c r="P50" s="57"/>
    </row>
    <row r="51" spans="1:16" ht="15" x14ac:dyDescent="0.2">
      <c r="A51" s="47"/>
      <c r="B51" s="8" t="s">
        <v>65</v>
      </c>
      <c r="C51" s="9">
        <v>2</v>
      </c>
      <c r="D51" s="10">
        <v>170000</v>
      </c>
      <c r="E51" s="15">
        <f t="shared" si="9"/>
        <v>340000</v>
      </c>
      <c r="F51" s="50"/>
      <c r="K51" s="54"/>
      <c r="L51" s="20" t="s">
        <v>70</v>
      </c>
      <c r="M51" s="9">
        <v>1</v>
      </c>
      <c r="N51" s="15">
        <v>55000</v>
      </c>
      <c r="O51" s="15">
        <f t="shared" si="8"/>
        <v>55000</v>
      </c>
      <c r="P51" s="58"/>
    </row>
    <row r="52" spans="1:16" ht="15" x14ac:dyDescent="0.2">
      <c r="A52" s="48"/>
      <c r="B52" s="8" t="s">
        <v>71</v>
      </c>
      <c r="C52" s="9">
        <v>2</v>
      </c>
      <c r="D52" s="10">
        <v>15000</v>
      </c>
      <c r="E52" s="15">
        <f t="shared" si="9"/>
        <v>30000</v>
      </c>
      <c r="F52" s="51"/>
      <c r="K52" s="52">
        <v>46058</v>
      </c>
      <c r="L52" s="20" t="s">
        <v>10</v>
      </c>
      <c r="M52" s="9">
        <v>1.0900000000000001</v>
      </c>
      <c r="N52" s="15">
        <v>70000</v>
      </c>
      <c r="O52" s="15">
        <v>76000</v>
      </c>
      <c r="P52" s="56">
        <f>SUM(O52:O63)</f>
        <v>538000</v>
      </c>
    </row>
    <row r="53" spans="1:16" ht="15" x14ac:dyDescent="0.2">
      <c r="A53" s="46">
        <v>46059</v>
      </c>
      <c r="B53" s="8" t="s">
        <v>15</v>
      </c>
      <c r="C53" s="9">
        <v>3</v>
      </c>
      <c r="D53" s="10">
        <v>40000</v>
      </c>
      <c r="E53" s="15">
        <f t="shared" si="9"/>
        <v>120000</v>
      </c>
      <c r="F53" s="49">
        <f>SUM(E53:E59)</f>
        <v>965000</v>
      </c>
      <c r="K53" s="53"/>
      <c r="L53" s="20" t="s">
        <v>12</v>
      </c>
      <c r="M53" s="9">
        <v>3</v>
      </c>
      <c r="N53" s="15">
        <v>25000</v>
      </c>
      <c r="O53" s="15">
        <f t="shared" ref="O53:O66" si="10">SUM(M53*N53)</f>
        <v>75000</v>
      </c>
      <c r="P53" s="57"/>
    </row>
    <row r="54" spans="1:16" ht="15" x14ac:dyDescent="0.2">
      <c r="A54" s="47"/>
      <c r="B54" s="8" t="s">
        <v>72</v>
      </c>
      <c r="C54" s="9">
        <v>1</v>
      </c>
      <c r="D54" s="10">
        <v>90000</v>
      </c>
      <c r="E54" s="15">
        <f t="shared" si="9"/>
        <v>90000</v>
      </c>
      <c r="F54" s="50"/>
      <c r="K54" s="53"/>
      <c r="L54" s="20" t="s">
        <v>14</v>
      </c>
      <c r="M54" s="9">
        <v>1</v>
      </c>
      <c r="N54" s="15">
        <v>15000</v>
      </c>
      <c r="O54" s="15">
        <f t="shared" si="10"/>
        <v>15000</v>
      </c>
      <c r="P54" s="57"/>
    </row>
    <row r="55" spans="1:16" ht="15" x14ac:dyDescent="0.2">
      <c r="A55" s="47"/>
      <c r="B55" s="8" t="s">
        <v>52</v>
      </c>
      <c r="C55" s="9">
        <v>1</v>
      </c>
      <c r="D55" s="10">
        <v>275000</v>
      </c>
      <c r="E55" s="15">
        <f t="shared" si="9"/>
        <v>275000</v>
      </c>
      <c r="F55" s="50"/>
      <c r="K55" s="53"/>
      <c r="L55" s="20" t="s">
        <v>41</v>
      </c>
      <c r="M55" s="9">
        <v>1</v>
      </c>
      <c r="N55" s="15">
        <v>30000</v>
      </c>
      <c r="O55" s="15">
        <f t="shared" si="10"/>
        <v>30000</v>
      </c>
      <c r="P55" s="57"/>
    </row>
    <row r="56" spans="1:16" ht="15" x14ac:dyDescent="0.2">
      <c r="A56" s="47"/>
      <c r="B56" s="8" t="s">
        <v>7</v>
      </c>
      <c r="C56" s="9">
        <v>3</v>
      </c>
      <c r="D56" s="10">
        <v>95000</v>
      </c>
      <c r="E56" s="15">
        <f t="shared" si="9"/>
        <v>285000</v>
      </c>
      <c r="F56" s="50"/>
      <c r="K56" s="53"/>
      <c r="L56" s="20" t="s">
        <v>16</v>
      </c>
      <c r="M56" s="9">
        <v>1</v>
      </c>
      <c r="N56" s="15">
        <v>48000</v>
      </c>
      <c r="O56" s="15">
        <f t="shared" si="10"/>
        <v>48000</v>
      </c>
      <c r="P56" s="57"/>
    </row>
    <row r="57" spans="1:16" ht="15" x14ac:dyDescent="0.2">
      <c r="A57" s="47"/>
      <c r="B57" s="8" t="s">
        <v>73</v>
      </c>
      <c r="C57" s="9">
        <v>1</v>
      </c>
      <c r="D57" s="10">
        <v>35000</v>
      </c>
      <c r="E57" s="15">
        <f t="shared" si="9"/>
        <v>35000</v>
      </c>
      <c r="F57" s="50"/>
      <c r="K57" s="53"/>
      <c r="L57" s="20" t="s">
        <v>24</v>
      </c>
      <c r="M57" s="9">
        <v>0.5</v>
      </c>
      <c r="N57" s="15">
        <v>30000</v>
      </c>
      <c r="O57" s="15">
        <f t="shared" si="10"/>
        <v>15000</v>
      </c>
      <c r="P57" s="57"/>
    </row>
    <row r="58" spans="1:16" ht="15" x14ac:dyDescent="0.2">
      <c r="A58" s="47"/>
      <c r="B58" s="8" t="s">
        <v>50</v>
      </c>
      <c r="C58" s="9">
        <v>1</v>
      </c>
      <c r="D58" s="10">
        <v>100000</v>
      </c>
      <c r="E58" s="15">
        <f t="shared" si="9"/>
        <v>100000</v>
      </c>
      <c r="F58" s="50"/>
      <c r="K58" s="53"/>
      <c r="L58" s="20" t="s">
        <v>31</v>
      </c>
      <c r="M58" s="9">
        <v>0.75</v>
      </c>
      <c r="N58" s="15">
        <v>100000</v>
      </c>
      <c r="O58" s="15">
        <f t="shared" si="10"/>
        <v>75000</v>
      </c>
      <c r="P58" s="57"/>
    </row>
    <row r="59" spans="1:16" ht="15" x14ac:dyDescent="0.2">
      <c r="A59" s="48"/>
      <c r="B59" s="8" t="s">
        <v>74</v>
      </c>
      <c r="C59" s="9">
        <v>4</v>
      </c>
      <c r="D59" s="10">
        <v>15000</v>
      </c>
      <c r="E59" s="15">
        <f t="shared" si="9"/>
        <v>60000</v>
      </c>
      <c r="F59" s="51"/>
      <c r="K59" s="53"/>
      <c r="L59" s="20" t="s">
        <v>29</v>
      </c>
      <c r="M59" s="9">
        <v>1</v>
      </c>
      <c r="N59" s="15">
        <v>40000</v>
      </c>
      <c r="O59" s="15">
        <f t="shared" si="10"/>
        <v>40000</v>
      </c>
      <c r="P59" s="57"/>
    </row>
    <row r="60" spans="1:16" ht="15" x14ac:dyDescent="0.2">
      <c r="A60" s="46">
        <v>46060</v>
      </c>
      <c r="B60" s="8" t="s">
        <v>75</v>
      </c>
      <c r="C60" s="9">
        <v>2</v>
      </c>
      <c r="D60" s="10">
        <v>110000</v>
      </c>
      <c r="E60" s="15">
        <f t="shared" si="9"/>
        <v>220000</v>
      </c>
      <c r="F60" s="49">
        <f>SUM(E60:E67)</f>
        <v>1415000</v>
      </c>
      <c r="K60" s="53"/>
      <c r="L60" s="20" t="s">
        <v>32</v>
      </c>
      <c r="M60" s="9">
        <v>1</v>
      </c>
      <c r="N60" s="15">
        <v>40000</v>
      </c>
      <c r="O60" s="15">
        <f t="shared" si="10"/>
        <v>40000</v>
      </c>
      <c r="P60" s="57"/>
    </row>
    <row r="61" spans="1:16" ht="15" x14ac:dyDescent="0.2">
      <c r="A61" s="47"/>
      <c r="B61" s="8" t="s">
        <v>76</v>
      </c>
      <c r="C61" s="9">
        <v>2</v>
      </c>
      <c r="D61" s="10">
        <v>20000</v>
      </c>
      <c r="E61" s="15">
        <f t="shared" si="9"/>
        <v>40000</v>
      </c>
      <c r="F61" s="50"/>
      <c r="K61" s="53"/>
      <c r="L61" s="20" t="s">
        <v>77</v>
      </c>
      <c r="M61" s="9">
        <v>4</v>
      </c>
      <c r="N61" s="15">
        <v>17000</v>
      </c>
      <c r="O61" s="15">
        <f t="shared" si="10"/>
        <v>68000</v>
      </c>
      <c r="P61" s="57"/>
    </row>
    <row r="62" spans="1:16" ht="15" x14ac:dyDescent="0.2">
      <c r="A62" s="47"/>
      <c r="B62" s="8" t="s">
        <v>78</v>
      </c>
      <c r="C62" s="9">
        <v>2</v>
      </c>
      <c r="D62" s="10">
        <v>200000</v>
      </c>
      <c r="E62" s="15">
        <f t="shared" si="9"/>
        <v>400000</v>
      </c>
      <c r="F62" s="50"/>
      <c r="K62" s="53"/>
      <c r="L62" s="20" t="s">
        <v>79</v>
      </c>
      <c r="M62" s="9">
        <v>1</v>
      </c>
      <c r="N62" s="15">
        <v>20000</v>
      </c>
      <c r="O62" s="15">
        <f t="shared" si="10"/>
        <v>20000</v>
      </c>
      <c r="P62" s="57"/>
    </row>
    <row r="63" spans="1:16" ht="15" x14ac:dyDescent="0.2">
      <c r="A63" s="47"/>
      <c r="B63" s="8" t="s">
        <v>80</v>
      </c>
      <c r="C63" s="9">
        <v>2</v>
      </c>
      <c r="D63" s="10">
        <v>20000</v>
      </c>
      <c r="E63" s="15">
        <f t="shared" si="9"/>
        <v>40000</v>
      </c>
      <c r="F63" s="50"/>
      <c r="K63" s="54"/>
      <c r="L63" s="20" t="s">
        <v>81</v>
      </c>
      <c r="M63" s="9">
        <v>0.4</v>
      </c>
      <c r="N63" s="15">
        <v>90000</v>
      </c>
      <c r="O63" s="15">
        <f t="shared" si="10"/>
        <v>36000</v>
      </c>
      <c r="P63" s="58"/>
    </row>
    <row r="64" spans="1:16" x14ac:dyDescent="0.2">
      <c r="A64" s="47"/>
      <c r="B64" s="8" t="s">
        <v>82</v>
      </c>
      <c r="C64" s="9">
        <v>2</v>
      </c>
      <c r="D64" s="10">
        <v>25000</v>
      </c>
      <c r="E64" s="15">
        <f t="shared" si="9"/>
        <v>50000</v>
      </c>
      <c r="F64" s="50"/>
      <c r="K64" s="24">
        <v>46058</v>
      </c>
      <c r="L64" s="20" t="s">
        <v>22</v>
      </c>
      <c r="M64" s="9">
        <v>0.5</v>
      </c>
      <c r="N64" s="15">
        <v>20000</v>
      </c>
      <c r="O64" s="15">
        <f t="shared" si="10"/>
        <v>10000</v>
      </c>
      <c r="P64" s="15">
        <f>SUM(O64)</f>
        <v>10000</v>
      </c>
    </row>
    <row r="65" spans="1:16" ht="15" x14ac:dyDescent="0.2">
      <c r="A65" s="47"/>
      <c r="B65" s="8" t="s">
        <v>83</v>
      </c>
      <c r="C65" s="9">
        <v>2</v>
      </c>
      <c r="D65" s="10">
        <v>20000</v>
      </c>
      <c r="E65" s="15">
        <f t="shared" si="9"/>
        <v>40000</v>
      </c>
      <c r="F65" s="50"/>
      <c r="K65" s="52">
        <v>46059</v>
      </c>
      <c r="L65" s="20" t="s">
        <v>8</v>
      </c>
      <c r="M65" s="9">
        <v>15</v>
      </c>
      <c r="N65" s="15">
        <v>10000</v>
      </c>
      <c r="O65" s="15">
        <f t="shared" si="10"/>
        <v>150000</v>
      </c>
      <c r="P65" s="56">
        <f>SUM(O65:O79)</f>
        <v>979000</v>
      </c>
    </row>
    <row r="66" spans="1:16" ht="15" x14ac:dyDescent="0.2">
      <c r="A66" s="47"/>
      <c r="B66" s="8" t="s">
        <v>49</v>
      </c>
      <c r="C66" s="9">
        <v>2</v>
      </c>
      <c r="D66" s="10">
        <v>170000</v>
      </c>
      <c r="E66" s="15">
        <f t="shared" si="9"/>
        <v>340000</v>
      </c>
      <c r="F66" s="50"/>
      <c r="K66" s="53"/>
      <c r="L66" s="20" t="s">
        <v>12</v>
      </c>
      <c r="M66" s="9">
        <v>4</v>
      </c>
      <c r="N66" s="15">
        <v>25000</v>
      </c>
      <c r="O66" s="15">
        <f t="shared" si="10"/>
        <v>100000</v>
      </c>
      <c r="P66" s="57"/>
    </row>
    <row r="67" spans="1:16" ht="15" x14ac:dyDescent="0.2">
      <c r="A67" s="48"/>
      <c r="B67" s="8" t="s">
        <v>7</v>
      </c>
      <c r="C67" s="9">
        <v>3</v>
      </c>
      <c r="D67" s="10">
        <v>95000</v>
      </c>
      <c r="E67" s="15">
        <f t="shared" si="9"/>
        <v>285000</v>
      </c>
      <c r="F67" s="51"/>
      <c r="K67" s="53"/>
      <c r="L67" s="20" t="s">
        <v>30</v>
      </c>
      <c r="M67" s="9">
        <v>0.89</v>
      </c>
      <c r="N67" s="15">
        <v>38000</v>
      </c>
      <c r="O67" s="15">
        <v>34000</v>
      </c>
      <c r="P67" s="57"/>
    </row>
    <row r="68" spans="1:16" ht="15" x14ac:dyDescent="0.2">
      <c r="A68" s="46">
        <v>46061</v>
      </c>
      <c r="B68" s="8" t="s">
        <v>84</v>
      </c>
      <c r="C68" s="9">
        <v>1</v>
      </c>
      <c r="D68" s="10">
        <v>15000</v>
      </c>
      <c r="E68" s="15">
        <f t="shared" si="9"/>
        <v>15000</v>
      </c>
      <c r="F68" s="49">
        <f>SUM(E68:E82)</f>
        <v>1759000</v>
      </c>
      <c r="K68" s="53"/>
      <c r="L68" s="20" t="s">
        <v>14</v>
      </c>
      <c r="M68" s="9">
        <v>2</v>
      </c>
      <c r="N68" s="15">
        <v>15000</v>
      </c>
      <c r="O68" s="15">
        <f t="shared" ref="O68:O77" si="11">SUM(M68*N68)</f>
        <v>30000</v>
      </c>
      <c r="P68" s="57"/>
    </row>
    <row r="69" spans="1:16" ht="15" x14ac:dyDescent="0.2">
      <c r="A69" s="47"/>
      <c r="B69" s="8" t="s">
        <v>85</v>
      </c>
      <c r="C69" s="9">
        <v>1</v>
      </c>
      <c r="D69" s="10">
        <v>330000</v>
      </c>
      <c r="E69" s="15">
        <f t="shared" si="9"/>
        <v>330000</v>
      </c>
      <c r="F69" s="50"/>
      <c r="K69" s="53"/>
      <c r="L69" s="20" t="s">
        <v>10</v>
      </c>
      <c r="M69" s="9">
        <v>2</v>
      </c>
      <c r="N69" s="15">
        <v>70000</v>
      </c>
      <c r="O69" s="15">
        <f t="shared" si="11"/>
        <v>140000</v>
      </c>
      <c r="P69" s="57"/>
    </row>
    <row r="70" spans="1:16" ht="15" x14ac:dyDescent="0.2">
      <c r="A70" s="47"/>
      <c r="B70" s="8" t="s">
        <v>11</v>
      </c>
      <c r="C70" s="9">
        <v>1</v>
      </c>
      <c r="D70" s="10">
        <v>170000</v>
      </c>
      <c r="E70" s="15">
        <f t="shared" si="9"/>
        <v>170000</v>
      </c>
      <c r="F70" s="50"/>
      <c r="K70" s="53"/>
      <c r="L70" s="20" t="s">
        <v>18</v>
      </c>
      <c r="M70" s="9">
        <v>3.19</v>
      </c>
      <c r="N70" s="15">
        <v>15000</v>
      </c>
      <c r="O70" s="15">
        <v>48000</v>
      </c>
      <c r="P70" s="57"/>
    </row>
    <row r="71" spans="1:16" ht="15" x14ac:dyDescent="0.2">
      <c r="A71" s="47"/>
      <c r="B71" s="8" t="s">
        <v>7</v>
      </c>
      <c r="C71" s="9">
        <v>4</v>
      </c>
      <c r="D71" s="10">
        <v>95000</v>
      </c>
      <c r="E71" s="15">
        <f t="shared" si="9"/>
        <v>380000</v>
      </c>
      <c r="F71" s="50"/>
      <c r="K71" s="53"/>
      <c r="L71" s="20" t="s">
        <v>27</v>
      </c>
      <c r="M71" s="9">
        <v>0.5</v>
      </c>
      <c r="N71" s="15">
        <v>70000</v>
      </c>
      <c r="O71" s="15">
        <f t="shared" si="11"/>
        <v>35000</v>
      </c>
      <c r="P71" s="57"/>
    </row>
    <row r="72" spans="1:16" ht="15" x14ac:dyDescent="0.2">
      <c r="A72" s="47"/>
      <c r="B72" s="8" t="s">
        <v>86</v>
      </c>
      <c r="C72" s="9">
        <v>1</v>
      </c>
      <c r="D72" s="10">
        <v>215000</v>
      </c>
      <c r="E72" s="15">
        <f t="shared" si="9"/>
        <v>215000</v>
      </c>
      <c r="F72" s="50"/>
      <c r="K72" s="53"/>
      <c r="L72" s="20" t="s">
        <v>24</v>
      </c>
      <c r="M72" s="9">
        <v>0.5</v>
      </c>
      <c r="N72" s="15">
        <v>30000</v>
      </c>
      <c r="O72" s="15">
        <f t="shared" si="11"/>
        <v>15000</v>
      </c>
      <c r="P72" s="57"/>
    </row>
    <row r="73" spans="1:16" ht="15" x14ac:dyDescent="0.2">
      <c r="A73" s="47"/>
      <c r="B73" s="8" t="s">
        <v>49</v>
      </c>
      <c r="C73" s="9">
        <v>1</v>
      </c>
      <c r="D73" s="10">
        <v>45000</v>
      </c>
      <c r="E73" s="15">
        <f t="shared" si="9"/>
        <v>45000</v>
      </c>
      <c r="F73" s="50"/>
      <c r="K73" s="53"/>
      <c r="L73" s="20" t="s">
        <v>16</v>
      </c>
      <c r="M73" s="9">
        <v>1</v>
      </c>
      <c r="N73" s="15">
        <v>48000</v>
      </c>
      <c r="O73" s="15">
        <f t="shared" si="11"/>
        <v>48000</v>
      </c>
      <c r="P73" s="57"/>
    </row>
    <row r="74" spans="1:16" ht="15" x14ac:dyDescent="0.2">
      <c r="A74" s="47"/>
      <c r="B74" s="8" t="s">
        <v>87</v>
      </c>
      <c r="C74" s="9">
        <v>1</v>
      </c>
      <c r="D74" s="10">
        <v>170000</v>
      </c>
      <c r="E74" s="15">
        <f t="shared" si="9"/>
        <v>170000</v>
      </c>
      <c r="F74" s="50"/>
      <c r="K74" s="53"/>
      <c r="L74" s="20" t="s">
        <v>33</v>
      </c>
      <c r="M74" s="9">
        <v>7</v>
      </c>
      <c r="N74" s="15">
        <v>24000</v>
      </c>
      <c r="O74" s="15">
        <f t="shared" si="11"/>
        <v>168000</v>
      </c>
      <c r="P74" s="57"/>
    </row>
    <row r="75" spans="1:16" ht="15" x14ac:dyDescent="0.2">
      <c r="A75" s="47"/>
      <c r="B75" s="8" t="s">
        <v>88</v>
      </c>
      <c r="C75" s="9">
        <v>3</v>
      </c>
      <c r="D75" s="10">
        <v>55000</v>
      </c>
      <c r="E75" s="15">
        <f t="shared" si="9"/>
        <v>165000</v>
      </c>
      <c r="F75" s="50"/>
      <c r="K75" s="53"/>
      <c r="L75" s="20" t="s">
        <v>35</v>
      </c>
      <c r="M75" s="9">
        <v>2</v>
      </c>
      <c r="N75" s="15">
        <v>40000</v>
      </c>
      <c r="O75" s="15">
        <f t="shared" si="11"/>
        <v>80000</v>
      </c>
      <c r="P75" s="57"/>
    </row>
    <row r="76" spans="1:16" ht="15" x14ac:dyDescent="0.2">
      <c r="A76" s="47"/>
      <c r="B76" s="8" t="s">
        <v>89</v>
      </c>
      <c r="C76" s="9">
        <v>2</v>
      </c>
      <c r="D76" s="10">
        <v>30000</v>
      </c>
      <c r="E76" s="15">
        <f t="shared" si="9"/>
        <v>60000</v>
      </c>
      <c r="F76" s="50"/>
      <c r="K76" s="53"/>
      <c r="L76" s="20" t="s">
        <v>31</v>
      </c>
      <c r="M76" s="9">
        <v>0.5</v>
      </c>
      <c r="N76" s="15">
        <v>100000</v>
      </c>
      <c r="O76" s="15">
        <f t="shared" si="11"/>
        <v>50000</v>
      </c>
      <c r="P76" s="57"/>
    </row>
    <row r="77" spans="1:16" ht="15" x14ac:dyDescent="0.2">
      <c r="A77" s="47"/>
      <c r="B77" s="8" t="s">
        <v>90</v>
      </c>
      <c r="C77" s="9">
        <v>5</v>
      </c>
      <c r="D77" s="10">
        <v>5000</v>
      </c>
      <c r="E77" s="15">
        <f t="shared" si="9"/>
        <v>25000</v>
      </c>
      <c r="F77" s="50"/>
      <c r="K77" s="53"/>
      <c r="L77" s="20" t="s">
        <v>22</v>
      </c>
      <c r="M77" s="9">
        <v>0.5</v>
      </c>
      <c r="N77" s="15">
        <v>20000</v>
      </c>
      <c r="O77" s="15">
        <f t="shared" si="11"/>
        <v>10000</v>
      </c>
      <c r="P77" s="57"/>
    </row>
    <row r="78" spans="1:16" ht="15" x14ac:dyDescent="0.2">
      <c r="A78" s="47"/>
      <c r="B78" s="8" t="s">
        <v>82</v>
      </c>
      <c r="C78" s="9">
        <v>2</v>
      </c>
      <c r="D78" s="10">
        <v>25000</v>
      </c>
      <c r="E78" s="15">
        <f t="shared" si="9"/>
        <v>50000</v>
      </c>
      <c r="F78" s="50"/>
      <c r="K78" s="53"/>
      <c r="L78" s="20" t="s">
        <v>68</v>
      </c>
      <c r="M78" s="9">
        <v>0.3</v>
      </c>
      <c r="N78" s="15">
        <v>35000</v>
      </c>
      <c r="O78" s="15">
        <v>11000</v>
      </c>
      <c r="P78" s="57"/>
    </row>
    <row r="79" spans="1:16" ht="15" x14ac:dyDescent="0.2">
      <c r="A79" s="47"/>
      <c r="B79" s="8" t="s">
        <v>91</v>
      </c>
      <c r="C79" s="9">
        <v>1</v>
      </c>
      <c r="D79" s="10">
        <v>20000</v>
      </c>
      <c r="E79" s="15">
        <f t="shared" si="9"/>
        <v>20000</v>
      </c>
      <c r="F79" s="50"/>
      <c r="K79" s="53"/>
      <c r="L79" s="20" t="s">
        <v>37</v>
      </c>
      <c r="M79" s="9">
        <v>3</v>
      </c>
      <c r="N79" s="15">
        <v>20000</v>
      </c>
      <c r="O79" s="15">
        <f>SUM(M79*N79)</f>
        <v>60000</v>
      </c>
      <c r="P79" s="58"/>
    </row>
    <row r="80" spans="1:16" ht="15" x14ac:dyDescent="0.2">
      <c r="A80" s="47"/>
      <c r="B80" s="8" t="s">
        <v>92</v>
      </c>
      <c r="C80" s="9">
        <v>3</v>
      </c>
      <c r="D80" s="10">
        <v>20000</v>
      </c>
      <c r="E80" s="15">
        <f t="shared" si="9"/>
        <v>60000</v>
      </c>
      <c r="F80" s="50"/>
      <c r="K80" s="55">
        <v>46060</v>
      </c>
      <c r="L80" s="27" t="s">
        <v>93</v>
      </c>
      <c r="M80" s="9">
        <v>10</v>
      </c>
      <c r="N80" s="10">
        <v>10000</v>
      </c>
      <c r="O80" s="15">
        <f t="shared" ref="O80:O93" si="12">N80*M80</f>
        <v>100000</v>
      </c>
      <c r="P80" s="56">
        <f>SUM(O80:O86)</f>
        <v>618000</v>
      </c>
    </row>
    <row r="81" spans="1:16" ht="15" x14ac:dyDescent="0.2">
      <c r="A81" s="47"/>
      <c r="B81" s="8" t="s">
        <v>71</v>
      </c>
      <c r="C81" s="9">
        <v>2</v>
      </c>
      <c r="D81" s="10">
        <v>20000</v>
      </c>
      <c r="E81" s="15">
        <f t="shared" si="9"/>
        <v>40000</v>
      </c>
      <c r="F81" s="50"/>
      <c r="K81" s="55"/>
      <c r="L81" s="27" t="s">
        <v>12</v>
      </c>
      <c r="M81" s="9">
        <v>4</v>
      </c>
      <c r="N81" s="10">
        <v>25000</v>
      </c>
      <c r="O81" s="15">
        <f t="shared" si="12"/>
        <v>100000</v>
      </c>
      <c r="P81" s="57"/>
    </row>
    <row r="82" spans="1:16" ht="15" x14ac:dyDescent="0.2">
      <c r="A82" s="48"/>
      <c r="B82" s="8" t="s">
        <v>94</v>
      </c>
      <c r="C82" s="9">
        <v>0.3</v>
      </c>
      <c r="D82" s="10">
        <v>45000</v>
      </c>
      <c r="E82" s="15">
        <v>14000</v>
      </c>
      <c r="F82" s="51"/>
      <c r="K82" s="55"/>
      <c r="L82" s="27" t="s">
        <v>10</v>
      </c>
      <c r="M82" s="9">
        <v>2</v>
      </c>
      <c r="N82" s="10">
        <v>70000</v>
      </c>
      <c r="O82" s="15">
        <f t="shared" si="12"/>
        <v>140000</v>
      </c>
      <c r="P82" s="57"/>
    </row>
    <row r="83" spans="1:16" ht="15" x14ac:dyDescent="0.2">
      <c r="A83" s="47">
        <v>46062</v>
      </c>
      <c r="B83" s="8" t="s">
        <v>36</v>
      </c>
      <c r="C83" s="9">
        <v>2</v>
      </c>
      <c r="D83" s="10">
        <v>30000</v>
      </c>
      <c r="E83" s="15">
        <f t="shared" ref="E83:E86" si="13">D83*C83</f>
        <v>60000</v>
      </c>
      <c r="F83" s="50">
        <f>SUM(E83:E87)</f>
        <v>432000</v>
      </c>
      <c r="K83" s="55"/>
      <c r="L83" s="27" t="s">
        <v>16</v>
      </c>
      <c r="M83" s="9">
        <v>1</v>
      </c>
      <c r="N83" s="10">
        <v>48000</v>
      </c>
      <c r="O83" s="15">
        <f t="shared" si="12"/>
        <v>48000</v>
      </c>
      <c r="P83" s="57"/>
    </row>
    <row r="84" spans="1:16" ht="15" x14ac:dyDescent="0.2">
      <c r="A84" s="47"/>
      <c r="B84" s="8" t="s">
        <v>65</v>
      </c>
      <c r="C84" s="9">
        <v>1</v>
      </c>
      <c r="D84" s="10">
        <v>170000</v>
      </c>
      <c r="E84" s="15">
        <f t="shared" si="13"/>
        <v>170000</v>
      </c>
      <c r="F84" s="50"/>
      <c r="K84" s="55"/>
      <c r="L84" s="27" t="s">
        <v>22</v>
      </c>
      <c r="M84" s="9">
        <v>0.3</v>
      </c>
      <c r="N84" s="10">
        <v>20000</v>
      </c>
      <c r="O84" s="15">
        <f t="shared" si="12"/>
        <v>6000</v>
      </c>
      <c r="P84" s="57"/>
    </row>
    <row r="85" spans="1:16" ht="15" x14ac:dyDescent="0.2">
      <c r="A85" s="47"/>
      <c r="B85" s="8" t="s">
        <v>25</v>
      </c>
      <c r="C85" s="9">
        <v>2</v>
      </c>
      <c r="D85" s="10">
        <v>48000</v>
      </c>
      <c r="E85" s="15">
        <f t="shared" si="13"/>
        <v>96000</v>
      </c>
      <c r="F85" s="50"/>
      <c r="K85" s="55"/>
      <c r="L85" s="27" t="s">
        <v>9</v>
      </c>
      <c r="M85" s="9">
        <v>6</v>
      </c>
      <c r="N85" s="10">
        <v>24000</v>
      </c>
      <c r="O85" s="15">
        <f t="shared" si="12"/>
        <v>144000</v>
      </c>
      <c r="P85" s="57"/>
    </row>
    <row r="86" spans="1:16" ht="15" x14ac:dyDescent="0.2">
      <c r="A86" s="47"/>
      <c r="B86" s="8" t="s">
        <v>95</v>
      </c>
      <c r="C86" s="9">
        <v>2</v>
      </c>
      <c r="D86" s="10">
        <v>40000</v>
      </c>
      <c r="E86" s="15">
        <f t="shared" si="13"/>
        <v>80000</v>
      </c>
      <c r="F86" s="50"/>
      <c r="K86" s="55"/>
      <c r="L86" s="27" t="s">
        <v>35</v>
      </c>
      <c r="M86" s="9">
        <v>2</v>
      </c>
      <c r="N86" s="10">
        <v>40000</v>
      </c>
      <c r="O86" s="15">
        <f t="shared" si="12"/>
        <v>80000</v>
      </c>
      <c r="P86" s="58"/>
    </row>
    <row r="87" spans="1:16" ht="15" x14ac:dyDescent="0.2">
      <c r="A87" s="48"/>
      <c r="B87" s="8" t="s">
        <v>96</v>
      </c>
      <c r="C87" s="9">
        <v>0.3</v>
      </c>
      <c r="D87" s="10">
        <v>85000</v>
      </c>
      <c r="E87" s="15">
        <v>26000</v>
      </c>
      <c r="F87" s="51"/>
      <c r="K87" s="53">
        <v>46061</v>
      </c>
      <c r="L87" s="20" t="s">
        <v>8</v>
      </c>
      <c r="M87" s="9">
        <v>5</v>
      </c>
      <c r="N87" s="15">
        <v>10000</v>
      </c>
      <c r="O87" s="15">
        <f t="shared" si="12"/>
        <v>50000</v>
      </c>
      <c r="P87" s="56">
        <f>SUM(O87:O103)</f>
        <v>1349000</v>
      </c>
    </row>
    <row r="88" spans="1:16" x14ac:dyDescent="0.2">
      <c r="A88" s="11">
        <v>46062</v>
      </c>
      <c r="B88" s="8" t="s">
        <v>29</v>
      </c>
      <c r="C88" s="9">
        <v>2.2549999999999999</v>
      </c>
      <c r="D88" s="10">
        <v>50000</v>
      </c>
      <c r="E88" s="15">
        <f t="shared" ref="E88:E108" si="14">D88*C88</f>
        <v>112750</v>
      </c>
      <c r="F88" s="26">
        <v>113000</v>
      </c>
      <c r="K88" s="53"/>
      <c r="L88" s="20" t="s">
        <v>10</v>
      </c>
      <c r="M88" s="9">
        <v>2</v>
      </c>
      <c r="N88" s="15">
        <v>70000</v>
      </c>
      <c r="O88" s="15">
        <f t="shared" si="12"/>
        <v>140000</v>
      </c>
      <c r="P88" s="57"/>
    </row>
    <row r="89" spans="1:16" x14ac:dyDescent="0.2">
      <c r="A89" s="11">
        <v>46062</v>
      </c>
      <c r="B89" s="8" t="s">
        <v>71</v>
      </c>
      <c r="C89" s="9">
        <v>3</v>
      </c>
      <c r="D89" s="10">
        <v>20000</v>
      </c>
      <c r="E89" s="15">
        <f t="shared" si="14"/>
        <v>60000</v>
      </c>
      <c r="F89" s="26">
        <f>SUM(E89)</f>
        <v>60000</v>
      </c>
      <c r="K89" s="53"/>
      <c r="L89" s="20" t="s">
        <v>12</v>
      </c>
      <c r="M89" s="9">
        <v>4</v>
      </c>
      <c r="N89" s="15">
        <v>35000</v>
      </c>
      <c r="O89" s="15">
        <f t="shared" si="12"/>
        <v>140000</v>
      </c>
      <c r="P89" s="57"/>
    </row>
    <row r="90" spans="1:16" x14ac:dyDescent="0.2">
      <c r="A90" s="12">
        <v>46063</v>
      </c>
      <c r="B90" s="8" t="s">
        <v>97</v>
      </c>
      <c r="C90" s="9">
        <v>3</v>
      </c>
      <c r="D90" s="10">
        <v>170000</v>
      </c>
      <c r="E90" s="15">
        <f t="shared" si="14"/>
        <v>510000</v>
      </c>
      <c r="F90" s="18">
        <f>SUM(E90)</f>
        <v>510000</v>
      </c>
      <c r="K90" s="53"/>
      <c r="L90" s="20" t="s">
        <v>29</v>
      </c>
      <c r="M90" s="9">
        <v>1</v>
      </c>
      <c r="N90" s="15">
        <v>50000</v>
      </c>
      <c r="O90" s="15">
        <f t="shared" si="12"/>
        <v>50000</v>
      </c>
      <c r="P90" s="57"/>
    </row>
    <row r="91" spans="1:16" ht="15" x14ac:dyDescent="0.2">
      <c r="A91" s="46">
        <v>46064</v>
      </c>
      <c r="B91" s="8" t="s">
        <v>85</v>
      </c>
      <c r="C91" s="9">
        <v>1</v>
      </c>
      <c r="D91" s="10">
        <v>300000</v>
      </c>
      <c r="E91" s="15">
        <f t="shared" si="14"/>
        <v>300000</v>
      </c>
      <c r="F91" s="49">
        <f>SUM(E91:E99)</f>
        <v>1850000</v>
      </c>
      <c r="K91" s="53"/>
      <c r="L91" s="20" t="s">
        <v>14</v>
      </c>
      <c r="M91" s="9">
        <v>1</v>
      </c>
      <c r="N91" s="15">
        <v>15000</v>
      </c>
      <c r="O91" s="15">
        <f t="shared" si="12"/>
        <v>15000</v>
      </c>
      <c r="P91" s="57"/>
    </row>
    <row r="92" spans="1:16" ht="15" x14ac:dyDescent="0.2">
      <c r="A92" s="47"/>
      <c r="B92" s="8" t="s">
        <v>59</v>
      </c>
      <c r="C92" s="9">
        <v>1</v>
      </c>
      <c r="D92" s="10">
        <v>220000</v>
      </c>
      <c r="E92" s="15">
        <f t="shared" si="14"/>
        <v>220000</v>
      </c>
      <c r="F92" s="50"/>
      <c r="K92" s="53"/>
      <c r="L92" s="20" t="s">
        <v>22</v>
      </c>
      <c r="M92" s="9">
        <v>0.4</v>
      </c>
      <c r="N92" s="15">
        <v>20000</v>
      </c>
      <c r="O92" s="15">
        <f t="shared" si="12"/>
        <v>8000</v>
      </c>
      <c r="P92" s="57"/>
    </row>
    <row r="93" spans="1:16" ht="15" x14ac:dyDescent="0.2">
      <c r="A93" s="47"/>
      <c r="B93" s="8" t="s">
        <v>72</v>
      </c>
      <c r="C93" s="9">
        <v>2</v>
      </c>
      <c r="D93" s="10">
        <v>90000</v>
      </c>
      <c r="E93" s="15">
        <f t="shared" si="14"/>
        <v>180000</v>
      </c>
      <c r="F93" s="50"/>
      <c r="K93" s="53"/>
      <c r="L93" s="20" t="s">
        <v>16</v>
      </c>
      <c r="M93" s="9">
        <v>1</v>
      </c>
      <c r="N93" s="15">
        <v>48000</v>
      </c>
      <c r="O93" s="15">
        <f t="shared" si="12"/>
        <v>48000</v>
      </c>
      <c r="P93" s="57"/>
    </row>
    <row r="94" spans="1:16" ht="15" x14ac:dyDescent="0.2">
      <c r="A94" s="47"/>
      <c r="B94" s="8" t="s">
        <v>7</v>
      </c>
      <c r="C94" s="9">
        <v>2</v>
      </c>
      <c r="D94" s="10">
        <v>95000</v>
      </c>
      <c r="E94" s="15">
        <f t="shared" si="14"/>
        <v>190000</v>
      </c>
      <c r="F94" s="50"/>
      <c r="K94" s="53"/>
      <c r="L94" s="20" t="s">
        <v>18</v>
      </c>
      <c r="M94" s="9">
        <v>3.23</v>
      </c>
      <c r="N94" s="15">
        <v>15000</v>
      </c>
      <c r="O94" s="15">
        <v>48000</v>
      </c>
      <c r="P94" s="57"/>
    </row>
    <row r="95" spans="1:16" ht="15" x14ac:dyDescent="0.2">
      <c r="A95" s="47"/>
      <c r="B95" s="8" t="s">
        <v>49</v>
      </c>
      <c r="C95" s="9">
        <v>1</v>
      </c>
      <c r="D95" s="10">
        <v>170000</v>
      </c>
      <c r="E95" s="15">
        <f t="shared" si="14"/>
        <v>170000</v>
      </c>
      <c r="F95" s="50"/>
      <c r="K95" s="53"/>
      <c r="L95" s="20" t="s">
        <v>24</v>
      </c>
      <c r="M95" s="9">
        <v>0.4</v>
      </c>
      <c r="N95" s="15">
        <v>30000</v>
      </c>
      <c r="O95" s="15">
        <f t="shared" ref="O95:O116" si="15">N95*M95</f>
        <v>12000</v>
      </c>
      <c r="P95" s="57"/>
    </row>
    <row r="96" spans="1:16" ht="15" x14ac:dyDescent="0.2">
      <c r="A96" s="47"/>
      <c r="B96" s="8" t="s">
        <v>34</v>
      </c>
      <c r="C96" s="9">
        <v>1</v>
      </c>
      <c r="D96" s="10">
        <v>210000</v>
      </c>
      <c r="E96" s="15">
        <f t="shared" si="14"/>
        <v>210000</v>
      </c>
      <c r="F96" s="50"/>
      <c r="K96" s="53"/>
      <c r="L96" s="20" t="s">
        <v>30</v>
      </c>
      <c r="M96" s="9">
        <v>1</v>
      </c>
      <c r="N96" s="15">
        <v>38000</v>
      </c>
      <c r="O96" s="15">
        <f t="shared" si="15"/>
        <v>38000</v>
      </c>
      <c r="P96" s="57"/>
    </row>
    <row r="97" spans="1:16" ht="15" x14ac:dyDescent="0.2">
      <c r="A97" s="47"/>
      <c r="B97" s="8" t="s">
        <v>58</v>
      </c>
      <c r="C97" s="9">
        <v>3</v>
      </c>
      <c r="D97" s="10">
        <v>120000</v>
      </c>
      <c r="E97" s="15">
        <f t="shared" si="14"/>
        <v>360000</v>
      </c>
      <c r="F97" s="50"/>
      <c r="K97" s="53"/>
      <c r="L97" s="20" t="s">
        <v>33</v>
      </c>
      <c r="M97" s="9">
        <v>4</v>
      </c>
      <c r="N97" s="15">
        <v>24000</v>
      </c>
      <c r="O97" s="15">
        <f t="shared" si="15"/>
        <v>96000</v>
      </c>
      <c r="P97" s="57"/>
    </row>
    <row r="98" spans="1:16" ht="15" x14ac:dyDescent="0.2">
      <c r="A98" s="47"/>
      <c r="B98" s="8" t="s">
        <v>98</v>
      </c>
      <c r="C98" s="9">
        <v>3</v>
      </c>
      <c r="D98" s="10">
        <v>50000</v>
      </c>
      <c r="E98" s="15">
        <f t="shared" si="14"/>
        <v>150000</v>
      </c>
      <c r="F98" s="50"/>
      <c r="K98" s="53"/>
      <c r="L98" s="20" t="s">
        <v>99</v>
      </c>
      <c r="M98" s="9">
        <v>1</v>
      </c>
      <c r="N98" s="15">
        <v>70000</v>
      </c>
      <c r="O98" s="15">
        <f t="shared" si="15"/>
        <v>70000</v>
      </c>
      <c r="P98" s="57"/>
    </row>
    <row r="99" spans="1:16" ht="15" x14ac:dyDescent="0.2">
      <c r="A99" s="48"/>
      <c r="B99" s="8" t="s">
        <v>100</v>
      </c>
      <c r="C99" s="9">
        <v>1</v>
      </c>
      <c r="D99" s="10">
        <v>70000</v>
      </c>
      <c r="E99" s="15">
        <f t="shared" si="14"/>
        <v>70000</v>
      </c>
      <c r="F99" s="51"/>
      <c r="K99" s="53"/>
      <c r="L99" s="20" t="s">
        <v>31</v>
      </c>
      <c r="M99" s="9">
        <v>0.5</v>
      </c>
      <c r="N99" s="15">
        <v>100000</v>
      </c>
      <c r="O99" s="15">
        <f t="shared" si="15"/>
        <v>50000</v>
      </c>
      <c r="P99" s="57"/>
    </row>
    <row r="100" spans="1:16" ht="15" x14ac:dyDescent="0.2">
      <c r="A100" s="46">
        <v>46065</v>
      </c>
      <c r="B100" s="8" t="s">
        <v>56</v>
      </c>
      <c r="C100" s="9">
        <v>1</v>
      </c>
      <c r="D100" s="10">
        <v>160000</v>
      </c>
      <c r="E100" s="15">
        <f t="shared" si="14"/>
        <v>160000</v>
      </c>
      <c r="F100" s="49">
        <f>SUM(E100:E103)</f>
        <v>840000</v>
      </c>
      <c r="K100" s="53"/>
      <c r="L100" s="20" t="s">
        <v>40</v>
      </c>
      <c r="M100" s="9">
        <v>2</v>
      </c>
      <c r="N100" s="15">
        <v>35000</v>
      </c>
      <c r="O100" s="15">
        <f t="shared" si="15"/>
        <v>70000</v>
      </c>
      <c r="P100" s="57"/>
    </row>
    <row r="101" spans="1:16" ht="15" x14ac:dyDescent="0.2">
      <c r="A101" s="47"/>
      <c r="B101" s="8" t="s">
        <v>49</v>
      </c>
      <c r="C101" s="9">
        <v>1</v>
      </c>
      <c r="D101" s="10">
        <v>170000</v>
      </c>
      <c r="E101" s="15">
        <f t="shared" si="14"/>
        <v>170000</v>
      </c>
      <c r="F101" s="50"/>
      <c r="K101" s="53"/>
      <c r="L101" s="20" t="s">
        <v>33</v>
      </c>
      <c r="M101" s="9">
        <v>6</v>
      </c>
      <c r="N101" s="15">
        <v>24000</v>
      </c>
      <c r="O101" s="15">
        <f t="shared" si="15"/>
        <v>144000</v>
      </c>
      <c r="P101" s="57"/>
    </row>
    <row r="102" spans="1:16" ht="15" x14ac:dyDescent="0.2">
      <c r="A102" s="47"/>
      <c r="B102" s="8" t="s">
        <v>7</v>
      </c>
      <c r="C102" s="9">
        <v>2</v>
      </c>
      <c r="D102" s="10">
        <v>95000</v>
      </c>
      <c r="E102" s="15">
        <f t="shared" si="14"/>
        <v>190000</v>
      </c>
      <c r="F102" s="50"/>
      <c r="K102" s="53"/>
      <c r="L102" s="20" t="s">
        <v>35</v>
      </c>
      <c r="M102" s="9">
        <v>2</v>
      </c>
      <c r="N102" s="15">
        <v>40000</v>
      </c>
      <c r="O102" s="15">
        <f t="shared" si="15"/>
        <v>80000</v>
      </c>
      <c r="P102" s="57"/>
    </row>
    <row r="103" spans="1:16" ht="15" x14ac:dyDescent="0.2">
      <c r="A103" s="48"/>
      <c r="B103" s="8" t="s">
        <v>101</v>
      </c>
      <c r="C103" s="9">
        <v>2</v>
      </c>
      <c r="D103" s="10">
        <v>160000</v>
      </c>
      <c r="E103" s="15">
        <f t="shared" si="14"/>
        <v>320000</v>
      </c>
      <c r="F103" s="51"/>
      <c r="K103" s="54"/>
      <c r="L103" s="20" t="s">
        <v>102</v>
      </c>
      <c r="M103" s="9">
        <v>2</v>
      </c>
      <c r="N103" s="15">
        <v>145000</v>
      </c>
      <c r="O103" s="15">
        <f t="shared" si="15"/>
        <v>290000</v>
      </c>
      <c r="P103" s="58"/>
    </row>
    <row r="104" spans="1:16" ht="15" x14ac:dyDescent="0.2">
      <c r="A104" s="46">
        <v>46066</v>
      </c>
      <c r="B104" s="8" t="s">
        <v>19</v>
      </c>
      <c r="C104" s="9">
        <v>3</v>
      </c>
      <c r="D104" s="10">
        <v>5000</v>
      </c>
      <c r="E104" s="15">
        <f t="shared" si="14"/>
        <v>15000</v>
      </c>
      <c r="F104" s="49">
        <f>SUM(E104:E110)</f>
        <v>669000</v>
      </c>
      <c r="K104" s="52">
        <v>46062</v>
      </c>
      <c r="L104" s="20" t="s">
        <v>12</v>
      </c>
      <c r="M104" s="9">
        <v>4</v>
      </c>
      <c r="N104" s="15">
        <v>35000</v>
      </c>
      <c r="O104" s="15">
        <f t="shared" si="15"/>
        <v>140000</v>
      </c>
      <c r="P104" s="56">
        <f>SUM(O104:O105)</f>
        <v>280000</v>
      </c>
    </row>
    <row r="105" spans="1:16" ht="15" x14ac:dyDescent="0.2">
      <c r="A105" s="47"/>
      <c r="B105" s="8" t="s">
        <v>74</v>
      </c>
      <c r="C105" s="9">
        <v>4</v>
      </c>
      <c r="D105" s="10">
        <v>15000</v>
      </c>
      <c r="E105" s="15">
        <f t="shared" si="14"/>
        <v>60000</v>
      </c>
      <c r="F105" s="50"/>
      <c r="K105" s="54"/>
      <c r="L105" s="20" t="s">
        <v>10</v>
      </c>
      <c r="M105" s="9">
        <v>2</v>
      </c>
      <c r="N105" s="15">
        <v>70000</v>
      </c>
      <c r="O105" s="15">
        <f t="shared" si="15"/>
        <v>140000</v>
      </c>
      <c r="P105" s="58"/>
    </row>
    <row r="106" spans="1:16" ht="15" x14ac:dyDescent="0.2">
      <c r="A106" s="47"/>
      <c r="B106" s="8" t="s">
        <v>50</v>
      </c>
      <c r="C106" s="9">
        <v>3</v>
      </c>
      <c r="D106" s="10">
        <v>100000</v>
      </c>
      <c r="E106" s="15">
        <f t="shared" si="14"/>
        <v>300000</v>
      </c>
      <c r="F106" s="50"/>
      <c r="K106" s="52">
        <v>46063</v>
      </c>
      <c r="L106" s="20" t="s">
        <v>8</v>
      </c>
      <c r="M106" s="9">
        <v>7</v>
      </c>
      <c r="N106" s="15">
        <v>10000</v>
      </c>
      <c r="O106" s="15">
        <f t="shared" si="15"/>
        <v>70000</v>
      </c>
      <c r="P106" s="56">
        <f>SUM(O106:O113)</f>
        <v>448000</v>
      </c>
    </row>
    <row r="107" spans="1:16" ht="15" x14ac:dyDescent="0.2">
      <c r="A107" s="47"/>
      <c r="B107" s="8" t="s">
        <v>73</v>
      </c>
      <c r="C107" s="9">
        <v>2</v>
      </c>
      <c r="D107" s="10">
        <v>35000</v>
      </c>
      <c r="E107" s="15">
        <f t="shared" si="14"/>
        <v>70000</v>
      </c>
      <c r="F107" s="50"/>
      <c r="K107" s="53"/>
      <c r="L107" s="20" t="s">
        <v>69</v>
      </c>
      <c r="M107" s="9">
        <v>17</v>
      </c>
      <c r="N107" s="15">
        <v>2000</v>
      </c>
      <c r="O107" s="15">
        <f t="shared" si="15"/>
        <v>34000</v>
      </c>
      <c r="P107" s="57"/>
    </row>
    <row r="108" spans="1:16" ht="15" x14ac:dyDescent="0.2">
      <c r="A108" s="47"/>
      <c r="B108" s="8" t="s">
        <v>103</v>
      </c>
      <c r="C108" s="9">
        <v>1</v>
      </c>
      <c r="D108" s="10">
        <v>75000</v>
      </c>
      <c r="E108" s="15">
        <f t="shared" si="14"/>
        <v>75000</v>
      </c>
      <c r="F108" s="50"/>
      <c r="K108" s="53"/>
      <c r="L108" s="20" t="s">
        <v>24</v>
      </c>
      <c r="M108" s="9">
        <v>0.5</v>
      </c>
      <c r="N108" s="15">
        <v>30000</v>
      </c>
      <c r="O108" s="15">
        <f t="shared" si="15"/>
        <v>15000</v>
      </c>
      <c r="P108" s="57"/>
    </row>
    <row r="109" spans="1:16" ht="15" x14ac:dyDescent="0.2">
      <c r="A109" s="47"/>
      <c r="B109" s="8" t="s">
        <v>31</v>
      </c>
      <c r="C109" s="9">
        <v>0.42499999999999999</v>
      </c>
      <c r="D109" s="10">
        <v>115000</v>
      </c>
      <c r="E109" s="15">
        <v>49000</v>
      </c>
      <c r="F109" s="50"/>
      <c r="K109" s="53"/>
      <c r="L109" s="20" t="s">
        <v>22</v>
      </c>
      <c r="M109" s="9">
        <v>0.3</v>
      </c>
      <c r="N109" s="15">
        <v>20000</v>
      </c>
      <c r="O109" s="15">
        <f t="shared" si="15"/>
        <v>6000</v>
      </c>
      <c r="P109" s="57"/>
    </row>
    <row r="110" spans="1:16" ht="15" x14ac:dyDescent="0.2">
      <c r="A110" s="48"/>
      <c r="B110" s="8" t="s">
        <v>104</v>
      </c>
      <c r="C110" s="9">
        <v>1</v>
      </c>
      <c r="D110" s="10">
        <v>100000</v>
      </c>
      <c r="E110" s="15">
        <f t="shared" ref="E110:E141" si="16">D110*C110</f>
        <v>100000</v>
      </c>
      <c r="F110" s="51"/>
      <c r="K110" s="53"/>
      <c r="L110" s="20" t="s">
        <v>33</v>
      </c>
      <c r="M110" s="9">
        <v>5</v>
      </c>
      <c r="N110" s="15">
        <v>24000</v>
      </c>
      <c r="O110" s="15">
        <f t="shared" si="15"/>
        <v>120000</v>
      </c>
      <c r="P110" s="57"/>
    </row>
    <row r="111" spans="1:16" ht="15" x14ac:dyDescent="0.2">
      <c r="A111" s="46">
        <v>46067</v>
      </c>
      <c r="B111" s="8" t="s">
        <v>105</v>
      </c>
      <c r="C111" s="9">
        <v>2</v>
      </c>
      <c r="D111" s="10">
        <v>75000</v>
      </c>
      <c r="E111" s="15">
        <f t="shared" si="16"/>
        <v>150000</v>
      </c>
      <c r="F111" s="49">
        <f>SUM(E111:E115)</f>
        <v>466000</v>
      </c>
      <c r="K111" s="53"/>
      <c r="L111" s="20" t="s">
        <v>35</v>
      </c>
      <c r="M111" s="9">
        <v>2</v>
      </c>
      <c r="N111" s="15">
        <v>40000</v>
      </c>
      <c r="O111" s="15">
        <f t="shared" si="15"/>
        <v>80000</v>
      </c>
      <c r="P111" s="57"/>
    </row>
    <row r="112" spans="1:16" ht="15" x14ac:dyDescent="0.2">
      <c r="A112" s="47"/>
      <c r="B112" s="8" t="s">
        <v>106</v>
      </c>
      <c r="C112" s="9">
        <v>0.3</v>
      </c>
      <c r="D112" s="10">
        <v>150000</v>
      </c>
      <c r="E112" s="15">
        <f t="shared" si="16"/>
        <v>45000</v>
      </c>
      <c r="F112" s="50"/>
      <c r="K112" s="53"/>
      <c r="L112" s="20" t="s">
        <v>44</v>
      </c>
      <c r="M112" s="9">
        <v>2</v>
      </c>
      <c r="N112" s="15">
        <v>49000</v>
      </c>
      <c r="O112" s="15">
        <f t="shared" si="15"/>
        <v>98000</v>
      </c>
      <c r="P112" s="57"/>
    </row>
    <row r="113" spans="1:17" ht="15" x14ac:dyDescent="0.2">
      <c r="A113" s="47"/>
      <c r="B113" s="8" t="s">
        <v>31</v>
      </c>
      <c r="C113" s="9">
        <v>0.4</v>
      </c>
      <c r="D113" s="10">
        <v>100000</v>
      </c>
      <c r="E113" s="15">
        <f t="shared" si="16"/>
        <v>40000</v>
      </c>
      <c r="F113" s="50"/>
      <c r="K113" s="54"/>
      <c r="L113" s="20" t="s">
        <v>47</v>
      </c>
      <c r="M113" s="9">
        <v>1</v>
      </c>
      <c r="N113" s="15">
        <v>25000</v>
      </c>
      <c r="O113" s="15">
        <f t="shared" si="15"/>
        <v>25000</v>
      </c>
      <c r="P113" s="58"/>
    </row>
    <row r="114" spans="1:17" ht="15" x14ac:dyDescent="0.2">
      <c r="A114" s="47"/>
      <c r="B114" s="8" t="s">
        <v>9</v>
      </c>
      <c r="C114" s="9">
        <v>3</v>
      </c>
      <c r="D114" s="10">
        <v>22000</v>
      </c>
      <c r="E114" s="15">
        <f t="shared" si="16"/>
        <v>66000</v>
      </c>
      <c r="F114" s="50"/>
      <c r="K114" s="52">
        <v>46064</v>
      </c>
      <c r="L114" s="20" t="s">
        <v>8</v>
      </c>
      <c r="M114" s="9">
        <v>10</v>
      </c>
      <c r="N114" s="15">
        <v>10000</v>
      </c>
      <c r="O114" s="15">
        <f t="shared" si="15"/>
        <v>100000</v>
      </c>
      <c r="P114" s="56">
        <f>SUM(O114:O122)</f>
        <v>641000</v>
      </c>
    </row>
    <row r="115" spans="1:17" ht="15" x14ac:dyDescent="0.2">
      <c r="A115" s="48"/>
      <c r="B115" s="8" t="s">
        <v>67</v>
      </c>
      <c r="C115" s="9">
        <v>3</v>
      </c>
      <c r="D115" s="10">
        <v>55000</v>
      </c>
      <c r="E115" s="15">
        <f t="shared" si="16"/>
        <v>165000</v>
      </c>
      <c r="F115" s="51"/>
      <c r="K115" s="53"/>
      <c r="L115" s="20" t="s">
        <v>12</v>
      </c>
      <c r="M115" s="9">
        <v>4</v>
      </c>
      <c r="N115" s="15">
        <v>35000</v>
      </c>
      <c r="O115" s="15">
        <f t="shared" si="15"/>
        <v>140000</v>
      </c>
      <c r="P115" s="57"/>
    </row>
    <row r="116" spans="1:17" ht="15" x14ac:dyDescent="0.2">
      <c r="A116" s="46">
        <v>46068</v>
      </c>
      <c r="B116" s="8" t="s">
        <v>107</v>
      </c>
      <c r="C116" s="9">
        <v>1</v>
      </c>
      <c r="D116" s="10">
        <v>27000</v>
      </c>
      <c r="E116" s="15">
        <f t="shared" si="16"/>
        <v>27000</v>
      </c>
      <c r="F116" s="49">
        <f>SUM(E116:E123)</f>
        <v>621000</v>
      </c>
      <c r="K116" s="53"/>
      <c r="L116" s="20" t="s">
        <v>16</v>
      </c>
      <c r="M116" s="9">
        <v>1</v>
      </c>
      <c r="N116" s="15">
        <v>48000</v>
      </c>
      <c r="O116" s="15">
        <f t="shared" si="15"/>
        <v>48000</v>
      </c>
      <c r="P116" s="57"/>
    </row>
    <row r="117" spans="1:17" ht="15" x14ac:dyDescent="0.2">
      <c r="A117" s="47"/>
      <c r="B117" s="8" t="s">
        <v>71</v>
      </c>
      <c r="C117" s="9">
        <v>1</v>
      </c>
      <c r="D117" s="10">
        <v>20000</v>
      </c>
      <c r="E117" s="15">
        <f t="shared" si="16"/>
        <v>20000</v>
      </c>
      <c r="F117" s="50"/>
      <c r="K117" s="53"/>
      <c r="L117" s="20" t="s">
        <v>14</v>
      </c>
      <c r="M117" s="9">
        <v>2.1</v>
      </c>
      <c r="N117" s="15">
        <v>15000</v>
      </c>
      <c r="O117" s="15">
        <v>32000</v>
      </c>
      <c r="P117" s="57"/>
    </row>
    <row r="118" spans="1:17" ht="15" x14ac:dyDescent="0.2">
      <c r="A118" s="47"/>
      <c r="B118" s="8" t="s">
        <v>108</v>
      </c>
      <c r="C118" s="9">
        <v>1</v>
      </c>
      <c r="D118" s="10">
        <v>60000</v>
      </c>
      <c r="E118" s="15">
        <f t="shared" si="16"/>
        <v>60000</v>
      </c>
      <c r="F118" s="50"/>
      <c r="K118" s="53"/>
      <c r="L118" s="20" t="s">
        <v>27</v>
      </c>
      <c r="M118" s="9">
        <v>0.3</v>
      </c>
      <c r="N118" s="15">
        <v>70000</v>
      </c>
      <c r="O118" s="15">
        <f t="shared" ref="O118:O129" si="17">N118*M118</f>
        <v>21000</v>
      </c>
      <c r="P118" s="57"/>
    </row>
    <row r="119" spans="1:17" ht="15" x14ac:dyDescent="0.2">
      <c r="A119" s="47"/>
      <c r="B119" s="8" t="s">
        <v>109</v>
      </c>
      <c r="C119" s="9">
        <v>1</v>
      </c>
      <c r="D119" s="10">
        <v>130000</v>
      </c>
      <c r="E119" s="15">
        <f t="shared" si="16"/>
        <v>130000</v>
      </c>
      <c r="F119" s="50"/>
      <c r="K119" s="53"/>
      <c r="L119" s="20" t="s">
        <v>24</v>
      </c>
      <c r="M119" s="9">
        <v>0.5</v>
      </c>
      <c r="N119" s="15">
        <v>30000</v>
      </c>
      <c r="O119" s="15">
        <f t="shared" si="17"/>
        <v>15000</v>
      </c>
      <c r="P119" s="57"/>
    </row>
    <row r="120" spans="1:17" ht="15" x14ac:dyDescent="0.2">
      <c r="A120" s="47"/>
      <c r="B120" s="8" t="s">
        <v>43</v>
      </c>
      <c r="C120" s="9">
        <v>1</v>
      </c>
      <c r="D120" s="10">
        <v>25000</v>
      </c>
      <c r="E120" s="15">
        <f t="shared" si="16"/>
        <v>25000</v>
      </c>
      <c r="F120" s="50"/>
      <c r="K120" s="53"/>
      <c r="L120" s="20" t="s">
        <v>18</v>
      </c>
      <c r="M120" s="9">
        <v>6.4749999999999996</v>
      </c>
      <c r="N120" s="15">
        <v>15000</v>
      </c>
      <c r="O120" s="15">
        <v>97000</v>
      </c>
      <c r="P120" s="57"/>
    </row>
    <row r="121" spans="1:17" ht="15" x14ac:dyDescent="0.2">
      <c r="A121" s="47"/>
      <c r="B121" s="8" t="s">
        <v>69</v>
      </c>
      <c r="C121" s="9">
        <v>18</v>
      </c>
      <c r="D121" s="10">
        <v>2000</v>
      </c>
      <c r="E121" s="15">
        <f t="shared" si="16"/>
        <v>36000</v>
      </c>
      <c r="F121" s="50"/>
      <c r="K121" s="53"/>
      <c r="L121" s="20" t="s">
        <v>33</v>
      </c>
      <c r="M121" s="9">
        <v>2</v>
      </c>
      <c r="N121" s="15">
        <v>24000</v>
      </c>
      <c r="O121" s="15">
        <f t="shared" si="17"/>
        <v>48000</v>
      </c>
      <c r="P121" s="57"/>
    </row>
    <row r="122" spans="1:17" ht="15" x14ac:dyDescent="0.2">
      <c r="A122" s="47"/>
      <c r="B122" s="8" t="s">
        <v>52</v>
      </c>
      <c r="C122" s="9">
        <v>1</v>
      </c>
      <c r="D122" s="10">
        <v>275000</v>
      </c>
      <c r="E122" s="15">
        <f t="shared" si="16"/>
        <v>275000</v>
      </c>
      <c r="F122" s="50"/>
      <c r="K122" s="54"/>
      <c r="L122" s="20" t="s">
        <v>10</v>
      </c>
      <c r="M122" s="9">
        <v>2</v>
      </c>
      <c r="N122" s="15">
        <v>70000</v>
      </c>
      <c r="O122" s="15">
        <f t="shared" si="17"/>
        <v>140000</v>
      </c>
      <c r="P122" s="58"/>
    </row>
    <row r="123" spans="1:17" ht="15" x14ac:dyDescent="0.2">
      <c r="A123" s="48"/>
      <c r="B123" s="8" t="s">
        <v>25</v>
      </c>
      <c r="C123" s="9">
        <v>1</v>
      </c>
      <c r="D123" s="10">
        <v>48000</v>
      </c>
      <c r="E123" s="15">
        <f t="shared" si="16"/>
        <v>48000</v>
      </c>
      <c r="F123" s="51"/>
      <c r="K123" s="52">
        <v>46065</v>
      </c>
      <c r="L123" s="20" t="s">
        <v>29</v>
      </c>
      <c r="M123" s="9">
        <v>1.34</v>
      </c>
      <c r="N123" s="15">
        <v>50000</v>
      </c>
      <c r="O123" s="15">
        <f t="shared" si="17"/>
        <v>67000</v>
      </c>
      <c r="P123" s="56">
        <f>SUM(O123:O129)</f>
        <v>745000</v>
      </c>
      <c r="Q123" s="23"/>
    </row>
    <row r="124" spans="1:17" ht="15" x14ac:dyDescent="0.2">
      <c r="A124" s="46">
        <v>46069</v>
      </c>
      <c r="B124" s="8" t="s">
        <v>25</v>
      </c>
      <c r="C124" s="9">
        <v>1</v>
      </c>
      <c r="D124" s="10">
        <v>48000</v>
      </c>
      <c r="E124" s="15">
        <f t="shared" si="16"/>
        <v>48000</v>
      </c>
      <c r="F124" s="49">
        <f>SUM(E124:E128)</f>
        <v>568000</v>
      </c>
      <c r="K124" s="53"/>
      <c r="L124" s="20" t="s">
        <v>12</v>
      </c>
      <c r="M124" s="9">
        <v>3</v>
      </c>
      <c r="N124" s="15">
        <v>35000</v>
      </c>
      <c r="O124" s="15">
        <f t="shared" si="17"/>
        <v>105000</v>
      </c>
      <c r="P124" s="57"/>
    </row>
    <row r="125" spans="1:17" ht="15" x14ac:dyDescent="0.2">
      <c r="A125" s="47"/>
      <c r="B125" s="8" t="s">
        <v>69</v>
      </c>
      <c r="C125" s="9">
        <v>15</v>
      </c>
      <c r="D125" s="10">
        <v>2000</v>
      </c>
      <c r="E125" s="15">
        <f t="shared" si="16"/>
        <v>30000</v>
      </c>
      <c r="F125" s="50"/>
      <c r="K125" s="53"/>
      <c r="L125" s="20" t="s">
        <v>41</v>
      </c>
      <c r="M125" s="9">
        <v>1</v>
      </c>
      <c r="N125" s="15">
        <v>25000</v>
      </c>
      <c r="O125" s="15">
        <f t="shared" si="17"/>
        <v>25000</v>
      </c>
      <c r="P125" s="57"/>
    </row>
    <row r="126" spans="1:17" ht="15" x14ac:dyDescent="0.2">
      <c r="A126" s="47"/>
      <c r="B126" s="8" t="s">
        <v>110</v>
      </c>
      <c r="C126" s="9">
        <v>2</v>
      </c>
      <c r="D126" s="10">
        <v>15000</v>
      </c>
      <c r="E126" s="15">
        <f t="shared" si="16"/>
        <v>30000</v>
      </c>
      <c r="F126" s="50"/>
      <c r="K126" s="53"/>
      <c r="L126" s="20" t="s">
        <v>33</v>
      </c>
      <c r="M126" s="9">
        <v>12</v>
      </c>
      <c r="N126" s="15">
        <v>24000</v>
      </c>
      <c r="O126" s="15">
        <f t="shared" si="17"/>
        <v>288000</v>
      </c>
      <c r="P126" s="57"/>
    </row>
    <row r="127" spans="1:17" ht="15" x14ac:dyDescent="0.2">
      <c r="A127" s="47"/>
      <c r="B127" s="8" t="s">
        <v>111</v>
      </c>
      <c r="C127" s="9">
        <v>2</v>
      </c>
      <c r="D127" s="10">
        <v>90000</v>
      </c>
      <c r="E127" s="15">
        <f t="shared" si="16"/>
        <v>180000</v>
      </c>
      <c r="F127" s="50"/>
      <c r="K127" s="53"/>
      <c r="L127" s="20" t="s">
        <v>35</v>
      </c>
      <c r="M127" s="9">
        <v>2</v>
      </c>
      <c r="N127" s="15">
        <v>40000</v>
      </c>
      <c r="O127" s="15">
        <f t="shared" si="17"/>
        <v>80000</v>
      </c>
      <c r="P127" s="57"/>
    </row>
    <row r="128" spans="1:17" ht="15" x14ac:dyDescent="0.2">
      <c r="A128" s="48"/>
      <c r="B128" s="8" t="s">
        <v>112</v>
      </c>
      <c r="C128" s="9">
        <v>4</v>
      </c>
      <c r="D128" s="10">
        <v>70000</v>
      </c>
      <c r="E128" s="15">
        <f t="shared" si="16"/>
        <v>280000</v>
      </c>
      <c r="F128" s="51"/>
      <c r="K128" s="53"/>
      <c r="L128" s="20" t="s">
        <v>113</v>
      </c>
      <c r="M128" s="9">
        <v>1</v>
      </c>
      <c r="N128" s="15">
        <v>50000</v>
      </c>
      <c r="O128" s="15">
        <f t="shared" si="17"/>
        <v>50000</v>
      </c>
      <c r="P128" s="57"/>
    </row>
    <row r="129" spans="1:16" ht="15" x14ac:dyDescent="0.2">
      <c r="A129" s="46">
        <v>46071</v>
      </c>
      <c r="B129" s="8" t="s">
        <v>114</v>
      </c>
      <c r="C129" s="9">
        <v>2</v>
      </c>
      <c r="D129" s="10">
        <v>75000</v>
      </c>
      <c r="E129" s="15">
        <f t="shared" si="16"/>
        <v>150000</v>
      </c>
      <c r="F129" s="49">
        <f>SUM(E129:E135)</f>
        <v>1385000</v>
      </c>
      <c r="K129" s="54"/>
      <c r="L129" s="20" t="s">
        <v>109</v>
      </c>
      <c r="M129" s="9">
        <v>1</v>
      </c>
      <c r="N129" s="15">
        <v>130000</v>
      </c>
      <c r="O129" s="15">
        <f t="shared" si="17"/>
        <v>130000</v>
      </c>
      <c r="P129" s="58"/>
    </row>
    <row r="130" spans="1:16" ht="15" x14ac:dyDescent="0.2">
      <c r="A130" s="47"/>
      <c r="B130" s="8" t="s">
        <v>115</v>
      </c>
      <c r="C130" s="9">
        <v>2</v>
      </c>
      <c r="D130" s="10">
        <v>95000</v>
      </c>
      <c r="E130" s="15">
        <f t="shared" si="16"/>
        <v>190000</v>
      </c>
      <c r="F130" s="50"/>
      <c r="K130" s="52">
        <v>46066</v>
      </c>
      <c r="L130" s="20" t="s">
        <v>30</v>
      </c>
      <c r="M130" s="9">
        <v>1.17</v>
      </c>
      <c r="N130" s="15">
        <v>38000</v>
      </c>
      <c r="O130" s="15">
        <v>44000</v>
      </c>
      <c r="P130" s="56">
        <f>SUM(O130:O138)</f>
        <v>507000</v>
      </c>
    </row>
    <row r="131" spans="1:16" ht="15" x14ac:dyDescent="0.2">
      <c r="A131" s="47"/>
      <c r="B131" s="8" t="s">
        <v>36</v>
      </c>
      <c r="C131" s="9">
        <v>2</v>
      </c>
      <c r="D131" s="10">
        <v>30000</v>
      </c>
      <c r="E131" s="15">
        <f t="shared" si="16"/>
        <v>60000</v>
      </c>
      <c r="F131" s="50"/>
      <c r="K131" s="53"/>
      <c r="L131" s="20" t="s">
        <v>10</v>
      </c>
      <c r="M131" s="9">
        <v>1</v>
      </c>
      <c r="N131" s="15">
        <v>70000</v>
      </c>
      <c r="O131" s="15">
        <f t="shared" ref="O131:O140" si="18">N131*M131</f>
        <v>70000</v>
      </c>
      <c r="P131" s="57"/>
    </row>
    <row r="132" spans="1:16" ht="15" x14ac:dyDescent="0.2">
      <c r="A132" s="47"/>
      <c r="B132" s="8" t="s">
        <v>7</v>
      </c>
      <c r="C132" s="9">
        <v>3</v>
      </c>
      <c r="D132" s="10">
        <v>95000</v>
      </c>
      <c r="E132" s="15">
        <f t="shared" si="16"/>
        <v>285000</v>
      </c>
      <c r="F132" s="50"/>
      <c r="K132" s="53"/>
      <c r="L132" s="20" t="s">
        <v>12</v>
      </c>
      <c r="M132" s="9">
        <v>2</v>
      </c>
      <c r="N132" s="15">
        <v>35000</v>
      </c>
      <c r="O132" s="15">
        <f t="shared" si="18"/>
        <v>70000</v>
      </c>
      <c r="P132" s="57"/>
    </row>
    <row r="133" spans="1:16" ht="15" x14ac:dyDescent="0.2">
      <c r="A133" s="47"/>
      <c r="B133" s="8" t="s">
        <v>59</v>
      </c>
      <c r="C133" s="9">
        <v>1</v>
      </c>
      <c r="D133" s="10">
        <v>220000</v>
      </c>
      <c r="E133" s="15">
        <f t="shared" si="16"/>
        <v>220000</v>
      </c>
      <c r="F133" s="50"/>
      <c r="K133" s="53"/>
      <c r="L133" s="20" t="s">
        <v>24</v>
      </c>
      <c r="M133" s="9">
        <v>0.5</v>
      </c>
      <c r="N133" s="15">
        <v>30000</v>
      </c>
      <c r="O133" s="15">
        <f t="shared" si="18"/>
        <v>15000</v>
      </c>
      <c r="P133" s="57"/>
    </row>
    <row r="134" spans="1:16" ht="15" x14ac:dyDescent="0.2">
      <c r="A134" s="47"/>
      <c r="B134" s="8" t="s">
        <v>10</v>
      </c>
      <c r="C134" s="9">
        <v>2</v>
      </c>
      <c r="D134" s="10">
        <v>70000</v>
      </c>
      <c r="E134" s="15">
        <f t="shared" si="16"/>
        <v>140000</v>
      </c>
      <c r="F134" s="50"/>
      <c r="K134" s="53"/>
      <c r="L134" s="20" t="s">
        <v>22</v>
      </c>
      <c r="M134" s="9">
        <v>0.5</v>
      </c>
      <c r="N134" s="15">
        <v>20000</v>
      </c>
      <c r="O134" s="15">
        <f t="shared" si="18"/>
        <v>10000</v>
      </c>
      <c r="P134" s="57"/>
    </row>
    <row r="135" spans="1:16" ht="15" x14ac:dyDescent="0.2">
      <c r="A135" s="48"/>
      <c r="B135" s="8" t="s">
        <v>87</v>
      </c>
      <c r="C135" s="9">
        <v>2</v>
      </c>
      <c r="D135" s="10">
        <v>170000</v>
      </c>
      <c r="E135" s="15">
        <f t="shared" si="16"/>
        <v>340000</v>
      </c>
      <c r="F135" s="51"/>
      <c r="K135" s="53"/>
      <c r="L135" s="20" t="s">
        <v>37</v>
      </c>
      <c r="M135" s="9">
        <v>4</v>
      </c>
      <c r="N135" s="15">
        <v>20000</v>
      </c>
      <c r="O135" s="15">
        <f t="shared" si="18"/>
        <v>80000</v>
      </c>
      <c r="P135" s="57"/>
    </row>
    <row r="136" spans="1:16" x14ac:dyDescent="0.2">
      <c r="A136" s="12">
        <v>46071</v>
      </c>
      <c r="B136" s="8" t="s">
        <v>116</v>
      </c>
      <c r="C136" s="9">
        <v>1</v>
      </c>
      <c r="D136" s="10">
        <v>70000</v>
      </c>
      <c r="E136" s="15">
        <f t="shared" si="16"/>
        <v>70000</v>
      </c>
      <c r="F136" s="18">
        <f>SUM(E136)</f>
        <v>70000</v>
      </c>
      <c r="K136" s="53"/>
      <c r="L136" s="20" t="s">
        <v>117</v>
      </c>
      <c r="M136" s="9">
        <v>1</v>
      </c>
      <c r="N136" s="15">
        <v>90000</v>
      </c>
      <c r="O136" s="15">
        <f t="shared" si="18"/>
        <v>90000</v>
      </c>
      <c r="P136" s="57"/>
    </row>
    <row r="137" spans="1:16" ht="15" x14ac:dyDescent="0.2">
      <c r="A137" s="46">
        <v>46072</v>
      </c>
      <c r="B137" s="8" t="s">
        <v>118</v>
      </c>
      <c r="C137" s="9">
        <v>0.1</v>
      </c>
      <c r="D137" s="10">
        <v>70000</v>
      </c>
      <c r="E137" s="15">
        <f t="shared" si="16"/>
        <v>7000</v>
      </c>
      <c r="F137" s="49">
        <f>SUM(E137:E138)</f>
        <v>27000</v>
      </c>
      <c r="K137" s="53"/>
      <c r="L137" s="20" t="s">
        <v>33</v>
      </c>
      <c r="M137" s="9">
        <v>2</v>
      </c>
      <c r="N137" s="15">
        <v>24000</v>
      </c>
      <c r="O137" s="15">
        <f t="shared" si="18"/>
        <v>48000</v>
      </c>
      <c r="P137" s="57"/>
    </row>
    <row r="138" spans="1:16" ht="15" x14ac:dyDescent="0.2">
      <c r="A138" s="48"/>
      <c r="B138" s="8" t="s">
        <v>31</v>
      </c>
      <c r="C138" s="9">
        <v>0.2</v>
      </c>
      <c r="D138" s="10">
        <v>100000</v>
      </c>
      <c r="E138" s="15">
        <f t="shared" si="16"/>
        <v>20000</v>
      </c>
      <c r="F138" s="51"/>
      <c r="K138" s="54"/>
      <c r="L138" s="20" t="s">
        <v>35</v>
      </c>
      <c r="M138" s="9">
        <v>2</v>
      </c>
      <c r="N138" s="15">
        <v>40000</v>
      </c>
      <c r="O138" s="15">
        <f t="shared" si="18"/>
        <v>80000</v>
      </c>
      <c r="P138" s="58"/>
    </row>
    <row r="139" spans="1:16" ht="15" x14ac:dyDescent="0.2">
      <c r="A139" s="46">
        <v>46073</v>
      </c>
      <c r="B139" s="8" t="s">
        <v>52</v>
      </c>
      <c r="C139" s="9">
        <v>1</v>
      </c>
      <c r="D139" s="10">
        <v>275000</v>
      </c>
      <c r="E139" s="15">
        <f t="shared" si="16"/>
        <v>275000</v>
      </c>
      <c r="F139" s="49">
        <f>SUM(E139:E150)</f>
        <v>1691000</v>
      </c>
      <c r="G139" s="23"/>
      <c r="K139" s="52">
        <v>46067</v>
      </c>
      <c r="L139" s="20" t="s">
        <v>8</v>
      </c>
      <c r="M139" s="9">
        <v>2</v>
      </c>
      <c r="N139" s="15">
        <v>10000</v>
      </c>
      <c r="O139" s="15">
        <f t="shared" si="18"/>
        <v>20000</v>
      </c>
      <c r="P139" s="56">
        <f>SUM(O139:O145)</f>
        <v>190000</v>
      </c>
    </row>
    <row r="140" spans="1:16" ht="15" x14ac:dyDescent="0.2">
      <c r="A140" s="47"/>
      <c r="B140" s="8" t="s">
        <v>7</v>
      </c>
      <c r="C140" s="9">
        <v>3</v>
      </c>
      <c r="D140" s="10">
        <v>95000</v>
      </c>
      <c r="E140" s="15">
        <f t="shared" si="16"/>
        <v>285000</v>
      </c>
      <c r="F140" s="50"/>
      <c r="G140" s="23"/>
      <c r="K140" s="53"/>
      <c r="L140" s="20" t="s">
        <v>41</v>
      </c>
      <c r="M140" s="9">
        <v>0.5</v>
      </c>
      <c r="N140" s="15">
        <v>30000</v>
      </c>
      <c r="O140" s="15">
        <f t="shared" si="18"/>
        <v>15000</v>
      </c>
      <c r="P140" s="57"/>
    </row>
    <row r="141" spans="1:16" ht="15" x14ac:dyDescent="0.2">
      <c r="A141" s="47"/>
      <c r="B141" s="8" t="s">
        <v>97</v>
      </c>
      <c r="C141" s="9">
        <v>1</v>
      </c>
      <c r="D141" s="10">
        <v>170000</v>
      </c>
      <c r="E141" s="15">
        <f t="shared" si="16"/>
        <v>170000</v>
      </c>
      <c r="F141" s="50"/>
      <c r="G141" s="23"/>
      <c r="K141" s="53"/>
      <c r="L141" s="20" t="s">
        <v>14</v>
      </c>
      <c r="M141" s="9">
        <v>0.5</v>
      </c>
      <c r="N141" s="15">
        <v>15000</v>
      </c>
      <c r="O141" s="15">
        <v>8000</v>
      </c>
      <c r="P141" s="57"/>
    </row>
    <row r="142" spans="1:16" ht="15" x14ac:dyDescent="0.2">
      <c r="A142" s="47"/>
      <c r="B142" s="8" t="s">
        <v>28</v>
      </c>
      <c r="C142" s="9">
        <v>7.0000000000000007E-2</v>
      </c>
      <c r="D142" s="10">
        <v>90000</v>
      </c>
      <c r="E142" s="15">
        <v>6000</v>
      </c>
      <c r="F142" s="50"/>
      <c r="G142" s="23"/>
      <c r="K142" s="53"/>
      <c r="L142" s="20" t="s">
        <v>16</v>
      </c>
      <c r="M142" s="9">
        <v>0.5</v>
      </c>
      <c r="N142" s="15">
        <v>48000</v>
      </c>
      <c r="O142" s="15">
        <v>27000</v>
      </c>
      <c r="P142" s="57"/>
    </row>
    <row r="143" spans="1:16" ht="15" x14ac:dyDescent="0.2">
      <c r="A143" s="47"/>
      <c r="B143" s="8" t="s">
        <v>34</v>
      </c>
      <c r="C143" s="9">
        <v>1</v>
      </c>
      <c r="D143" s="10">
        <v>210000</v>
      </c>
      <c r="E143" s="15">
        <f t="shared" ref="E143:E152" si="19">D143*C143</f>
        <v>210000</v>
      </c>
      <c r="F143" s="50"/>
      <c r="G143" s="23"/>
      <c r="K143" s="53"/>
      <c r="L143" s="20" t="s">
        <v>119</v>
      </c>
      <c r="M143" s="9">
        <v>0.5</v>
      </c>
      <c r="N143" s="15">
        <v>45000</v>
      </c>
      <c r="O143" s="15">
        <v>23000</v>
      </c>
      <c r="P143" s="57"/>
    </row>
    <row r="144" spans="1:16" ht="15" x14ac:dyDescent="0.2">
      <c r="A144" s="47"/>
      <c r="B144" s="8" t="s">
        <v>82</v>
      </c>
      <c r="C144" s="9">
        <v>2</v>
      </c>
      <c r="D144" s="10">
        <v>30000</v>
      </c>
      <c r="E144" s="15">
        <f t="shared" si="19"/>
        <v>60000</v>
      </c>
      <c r="F144" s="50"/>
      <c r="G144" s="23"/>
      <c r="K144" s="53"/>
      <c r="L144" s="20" t="s">
        <v>33</v>
      </c>
      <c r="M144" s="9">
        <v>2</v>
      </c>
      <c r="N144" s="15">
        <v>24000</v>
      </c>
      <c r="O144" s="15">
        <f t="shared" ref="O144:O147" si="20">N144*M144</f>
        <v>48000</v>
      </c>
      <c r="P144" s="57"/>
    </row>
    <row r="145" spans="1:16" ht="15" x14ac:dyDescent="0.2">
      <c r="A145" s="47"/>
      <c r="B145" s="8" t="s">
        <v>15</v>
      </c>
      <c r="C145" s="9">
        <v>3</v>
      </c>
      <c r="D145" s="10">
        <v>40000</v>
      </c>
      <c r="E145" s="15">
        <f t="shared" si="19"/>
        <v>120000</v>
      </c>
      <c r="F145" s="50"/>
      <c r="G145" s="23"/>
      <c r="K145" s="54"/>
      <c r="L145" s="20" t="s">
        <v>44</v>
      </c>
      <c r="M145" s="9">
        <v>1</v>
      </c>
      <c r="N145" s="15">
        <v>49000</v>
      </c>
      <c r="O145" s="15">
        <f t="shared" si="20"/>
        <v>49000</v>
      </c>
      <c r="P145" s="58"/>
    </row>
    <row r="146" spans="1:16" ht="15" x14ac:dyDescent="0.2">
      <c r="A146" s="47"/>
      <c r="B146" s="8" t="s">
        <v>92</v>
      </c>
      <c r="C146" s="9">
        <v>3</v>
      </c>
      <c r="D146" s="10">
        <v>20000</v>
      </c>
      <c r="E146" s="15">
        <f t="shared" si="19"/>
        <v>60000</v>
      </c>
      <c r="F146" s="50"/>
      <c r="G146" s="23"/>
      <c r="K146" s="52">
        <v>46068</v>
      </c>
      <c r="L146" s="20" t="s">
        <v>8</v>
      </c>
      <c r="M146" s="9">
        <v>2</v>
      </c>
      <c r="N146" s="15">
        <v>10000</v>
      </c>
      <c r="O146" s="15">
        <f t="shared" si="20"/>
        <v>20000</v>
      </c>
      <c r="P146" s="56">
        <f>SUM(O146:O152)</f>
        <v>393000</v>
      </c>
    </row>
    <row r="147" spans="1:16" ht="15" x14ac:dyDescent="0.2">
      <c r="A147" s="47"/>
      <c r="B147" s="8" t="s">
        <v>91</v>
      </c>
      <c r="C147" s="9">
        <v>3</v>
      </c>
      <c r="D147" s="10">
        <v>20000</v>
      </c>
      <c r="E147" s="15">
        <f t="shared" si="19"/>
        <v>60000</v>
      </c>
      <c r="F147" s="50"/>
      <c r="G147" s="23"/>
      <c r="K147" s="53"/>
      <c r="L147" s="20" t="s">
        <v>12</v>
      </c>
      <c r="M147" s="9">
        <v>3</v>
      </c>
      <c r="N147" s="15">
        <v>35000</v>
      </c>
      <c r="O147" s="15">
        <f t="shared" si="20"/>
        <v>105000</v>
      </c>
      <c r="P147" s="57"/>
    </row>
    <row r="148" spans="1:16" ht="15" x14ac:dyDescent="0.2">
      <c r="A148" s="47"/>
      <c r="B148" s="8" t="s">
        <v>50</v>
      </c>
      <c r="C148" s="9">
        <v>1</v>
      </c>
      <c r="D148" s="10">
        <v>120000</v>
      </c>
      <c r="E148" s="15">
        <f t="shared" si="19"/>
        <v>120000</v>
      </c>
      <c r="F148" s="50"/>
      <c r="G148" s="23"/>
      <c r="K148" s="53"/>
      <c r="L148" s="20" t="s">
        <v>10</v>
      </c>
      <c r="M148" s="9">
        <v>1.1200000000000001</v>
      </c>
      <c r="N148" s="15">
        <v>70000</v>
      </c>
      <c r="O148" s="15">
        <v>78000</v>
      </c>
      <c r="P148" s="57"/>
    </row>
    <row r="149" spans="1:16" ht="15" x14ac:dyDescent="0.2">
      <c r="A149" s="47"/>
      <c r="B149" s="8" t="s">
        <v>10</v>
      </c>
      <c r="C149" s="9">
        <v>1.5</v>
      </c>
      <c r="D149" s="10">
        <v>70000</v>
      </c>
      <c r="E149" s="15">
        <f t="shared" si="19"/>
        <v>105000</v>
      </c>
      <c r="F149" s="50"/>
      <c r="G149" s="23"/>
      <c r="K149" s="53"/>
      <c r="L149" s="20" t="s">
        <v>24</v>
      </c>
      <c r="M149" s="9">
        <v>0.3</v>
      </c>
      <c r="N149" s="15">
        <v>30000</v>
      </c>
      <c r="O149" s="15">
        <f t="shared" ref="O149:O159" si="21">N149*M149</f>
        <v>9000</v>
      </c>
      <c r="P149" s="57"/>
    </row>
    <row r="150" spans="1:16" ht="15" x14ac:dyDescent="0.2">
      <c r="A150" s="48"/>
      <c r="B150" s="8" t="s">
        <v>59</v>
      </c>
      <c r="C150" s="9">
        <v>1</v>
      </c>
      <c r="D150" s="10">
        <v>220000</v>
      </c>
      <c r="E150" s="15">
        <f t="shared" si="19"/>
        <v>220000</v>
      </c>
      <c r="F150" s="51"/>
      <c r="G150" s="23"/>
      <c r="K150" s="53"/>
      <c r="L150" s="20" t="s">
        <v>33</v>
      </c>
      <c r="M150" s="9">
        <v>2</v>
      </c>
      <c r="N150" s="15">
        <v>24000</v>
      </c>
      <c r="O150" s="15">
        <f t="shared" si="21"/>
        <v>48000</v>
      </c>
      <c r="P150" s="57"/>
    </row>
    <row r="151" spans="1:16" ht="15" x14ac:dyDescent="0.2">
      <c r="A151" s="46">
        <v>46074</v>
      </c>
      <c r="B151" s="8" t="s">
        <v>52</v>
      </c>
      <c r="C151" s="9">
        <v>1</v>
      </c>
      <c r="D151" s="10">
        <v>275000</v>
      </c>
      <c r="E151" s="15">
        <f t="shared" si="19"/>
        <v>275000</v>
      </c>
      <c r="F151" s="49">
        <f>SUM(E151:E157)</f>
        <v>1301000</v>
      </c>
      <c r="G151" s="23"/>
      <c r="K151" s="53"/>
      <c r="L151" s="20" t="s">
        <v>44</v>
      </c>
      <c r="M151" s="9">
        <v>2</v>
      </c>
      <c r="N151" s="15">
        <v>49000</v>
      </c>
      <c r="O151" s="15">
        <f t="shared" si="21"/>
        <v>98000</v>
      </c>
      <c r="P151" s="57"/>
    </row>
    <row r="152" spans="1:16" ht="15" x14ac:dyDescent="0.2">
      <c r="A152" s="47"/>
      <c r="B152" s="8" t="s">
        <v>7</v>
      </c>
      <c r="C152" s="9">
        <v>3</v>
      </c>
      <c r="D152" s="10">
        <v>95000</v>
      </c>
      <c r="E152" s="15">
        <f t="shared" si="19"/>
        <v>285000</v>
      </c>
      <c r="F152" s="50"/>
      <c r="G152" s="23"/>
      <c r="K152" s="54"/>
      <c r="L152" s="20" t="s">
        <v>120</v>
      </c>
      <c r="M152" s="9">
        <v>1</v>
      </c>
      <c r="N152" s="15">
        <v>35000</v>
      </c>
      <c r="O152" s="15">
        <f t="shared" si="21"/>
        <v>35000</v>
      </c>
      <c r="P152" s="58"/>
    </row>
    <row r="153" spans="1:16" ht="15" x14ac:dyDescent="0.2">
      <c r="A153" s="47"/>
      <c r="B153" s="8" t="s">
        <v>28</v>
      </c>
      <c r="C153" s="9">
        <v>7.0000000000000007E-2</v>
      </c>
      <c r="D153" s="10">
        <v>90000</v>
      </c>
      <c r="E153" s="15">
        <v>6000</v>
      </c>
      <c r="F153" s="50"/>
      <c r="G153" s="23"/>
      <c r="K153" s="52">
        <v>46069</v>
      </c>
      <c r="L153" s="20" t="s">
        <v>33</v>
      </c>
      <c r="M153" s="9">
        <v>4</v>
      </c>
      <c r="N153" s="15">
        <v>24000</v>
      </c>
      <c r="O153" s="15">
        <f t="shared" si="21"/>
        <v>96000</v>
      </c>
      <c r="P153" s="56">
        <f>SUM(O153:O168)</f>
        <v>838000</v>
      </c>
    </row>
    <row r="154" spans="1:16" ht="15" x14ac:dyDescent="0.2">
      <c r="A154" s="47"/>
      <c r="B154" s="8" t="s">
        <v>63</v>
      </c>
      <c r="C154" s="9">
        <v>6</v>
      </c>
      <c r="D154" s="10">
        <v>50000</v>
      </c>
      <c r="E154" s="15">
        <f t="shared" ref="E154:E187" si="22">D154*C154</f>
        <v>300000</v>
      </c>
      <c r="F154" s="50"/>
      <c r="G154" s="23"/>
      <c r="K154" s="53"/>
      <c r="L154" s="20" t="s">
        <v>44</v>
      </c>
      <c r="M154" s="9">
        <v>1</v>
      </c>
      <c r="N154" s="15">
        <v>49000</v>
      </c>
      <c r="O154" s="15">
        <f t="shared" si="21"/>
        <v>49000</v>
      </c>
      <c r="P154" s="57"/>
    </row>
    <row r="155" spans="1:16" ht="15" x14ac:dyDescent="0.2">
      <c r="A155" s="47"/>
      <c r="B155" s="8" t="s">
        <v>10</v>
      </c>
      <c r="C155" s="9">
        <v>1</v>
      </c>
      <c r="D155" s="10">
        <v>70000</v>
      </c>
      <c r="E155" s="15">
        <f t="shared" si="22"/>
        <v>70000</v>
      </c>
      <c r="F155" s="50"/>
      <c r="G155" s="23"/>
      <c r="K155" s="53"/>
      <c r="L155" s="20" t="s">
        <v>35</v>
      </c>
      <c r="M155" s="9">
        <v>1</v>
      </c>
      <c r="N155" s="15">
        <v>40000</v>
      </c>
      <c r="O155" s="15">
        <f t="shared" si="21"/>
        <v>40000</v>
      </c>
      <c r="P155" s="57"/>
    </row>
    <row r="156" spans="1:16" ht="15" x14ac:dyDescent="0.2">
      <c r="A156" s="47"/>
      <c r="B156" s="8" t="s">
        <v>121</v>
      </c>
      <c r="C156" s="9">
        <v>0.5</v>
      </c>
      <c r="D156" s="10">
        <v>50000</v>
      </c>
      <c r="E156" s="15">
        <f t="shared" si="22"/>
        <v>25000</v>
      </c>
      <c r="F156" s="50"/>
      <c r="G156" s="23"/>
      <c r="K156" s="53"/>
      <c r="L156" s="20" t="s">
        <v>122</v>
      </c>
      <c r="M156" s="9">
        <v>1</v>
      </c>
      <c r="N156" s="15">
        <v>45000</v>
      </c>
      <c r="O156" s="15">
        <f t="shared" si="21"/>
        <v>45000</v>
      </c>
      <c r="P156" s="57"/>
    </row>
    <row r="157" spans="1:16" ht="15" x14ac:dyDescent="0.2">
      <c r="A157" s="48"/>
      <c r="B157" s="8" t="s">
        <v>11</v>
      </c>
      <c r="C157" s="9">
        <v>2</v>
      </c>
      <c r="D157" s="10">
        <v>170000</v>
      </c>
      <c r="E157" s="15">
        <f t="shared" si="22"/>
        <v>340000</v>
      </c>
      <c r="F157" s="51"/>
      <c r="G157" s="23"/>
      <c r="K157" s="53"/>
      <c r="L157" s="20" t="s">
        <v>31</v>
      </c>
      <c r="M157" s="9">
        <v>0.5</v>
      </c>
      <c r="N157" s="15">
        <v>100000</v>
      </c>
      <c r="O157" s="15">
        <f t="shared" si="21"/>
        <v>50000</v>
      </c>
      <c r="P157" s="57"/>
    </row>
    <row r="158" spans="1:16" ht="15" x14ac:dyDescent="0.2">
      <c r="A158" s="46">
        <v>46075</v>
      </c>
      <c r="B158" s="8" t="s">
        <v>123</v>
      </c>
      <c r="C158" s="9">
        <v>2</v>
      </c>
      <c r="D158" s="10">
        <v>25000</v>
      </c>
      <c r="E158" s="15">
        <f t="shared" si="22"/>
        <v>50000</v>
      </c>
      <c r="F158" s="49">
        <f>SUM(E158:E168)</f>
        <v>1064000</v>
      </c>
      <c r="G158" s="23"/>
      <c r="K158" s="53"/>
      <c r="L158" s="20" t="s">
        <v>24</v>
      </c>
      <c r="M158" s="9">
        <v>0.3</v>
      </c>
      <c r="N158" s="15">
        <v>30000</v>
      </c>
      <c r="O158" s="15">
        <f t="shared" si="21"/>
        <v>9000</v>
      </c>
      <c r="P158" s="57"/>
    </row>
    <row r="159" spans="1:16" ht="15" x14ac:dyDescent="0.2">
      <c r="A159" s="47"/>
      <c r="B159" s="8" t="s">
        <v>11</v>
      </c>
      <c r="C159" s="9">
        <v>1</v>
      </c>
      <c r="D159" s="10">
        <v>170000</v>
      </c>
      <c r="E159" s="15">
        <f t="shared" si="22"/>
        <v>170000</v>
      </c>
      <c r="F159" s="50"/>
      <c r="G159" s="23"/>
      <c r="K159" s="53"/>
      <c r="L159" s="20" t="s">
        <v>41</v>
      </c>
      <c r="M159" s="9">
        <v>0.5</v>
      </c>
      <c r="N159" s="15">
        <v>30000</v>
      </c>
      <c r="O159" s="15">
        <f t="shared" si="21"/>
        <v>15000</v>
      </c>
      <c r="P159" s="57"/>
    </row>
    <row r="160" spans="1:16" ht="15" x14ac:dyDescent="0.2">
      <c r="A160" s="47"/>
      <c r="B160" s="8" t="s">
        <v>7</v>
      </c>
      <c r="C160" s="9">
        <v>2</v>
      </c>
      <c r="D160" s="10">
        <v>95000</v>
      </c>
      <c r="E160" s="15">
        <f t="shared" si="22"/>
        <v>190000</v>
      </c>
      <c r="F160" s="50"/>
      <c r="G160" s="23"/>
      <c r="K160" s="53"/>
      <c r="L160" s="20" t="s">
        <v>14</v>
      </c>
      <c r="M160" s="9">
        <v>0.64</v>
      </c>
      <c r="N160" s="15">
        <v>10000</v>
      </c>
      <c r="O160" s="15">
        <v>6000</v>
      </c>
      <c r="P160" s="57"/>
    </row>
    <row r="161" spans="1:16" ht="15" x14ac:dyDescent="0.2">
      <c r="A161" s="47"/>
      <c r="B161" s="8" t="s">
        <v>15</v>
      </c>
      <c r="C161" s="9">
        <v>2</v>
      </c>
      <c r="D161" s="10">
        <v>40000</v>
      </c>
      <c r="E161" s="15">
        <f t="shared" si="22"/>
        <v>80000</v>
      </c>
      <c r="F161" s="50"/>
      <c r="G161" s="23"/>
      <c r="K161" s="53"/>
      <c r="L161" s="20" t="s">
        <v>16</v>
      </c>
      <c r="M161" s="9">
        <v>1</v>
      </c>
      <c r="N161" s="15">
        <v>50000</v>
      </c>
      <c r="O161" s="15">
        <f t="shared" ref="O161:O192" si="23">N161*M161</f>
        <v>50000</v>
      </c>
      <c r="P161" s="57"/>
    </row>
    <row r="162" spans="1:16" ht="15" x14ac:dyDescent="0.2">
      <c r="A162" s="47"/>
      <c r="B162" s="8" t="s">
        <v>124</v>
      </c>
      <c r="C162" s="9">
        <v>2</v>
      </c>
      <c r="D162" s="10">
        <v>40000</v>
      </c>
      <c r="E162" s="15">
        <f t="shared" si="22"/>
        <v>80000</v>
      </c>
      <c r="F162" s="50"/>
      <c r="G162" s="23"/>
      <c r="K162" s="53"/>
      <c r="L162" s="20" t="s">
        <v>18</v>
      </c>
      <c r="M162" s="9">
        <v>3.93</v>
      </c>
      <c r="N162" s="15">
        <v>16000</v>
      </c>
      <c r="O162" s="15">
        <v>63000</v>
      </c>
      <c r="P162" s="57"/>
    </row>
    <row r="163" spans="1:16" ht="15" x14ac:dyDescent="0.2">
      <c r="A163" s="47"/>
      <c r="B163" s="8" t="s">
        <v>125</v>
      </c>
      <c r="C163" s="9">
        <v>1</v>
      </c>
      <c r="D163" s="10">
        <v>230000</v>
      </c>
      <c r="E163" s="15">
        <f t="shared" si="22"/>
        <v>230000</v>
      </c>
      <c r="F163" s="50"/>
      <c r="G163" s="23"/>
      <c r="K163" s="53"/>
      <c r="L163" s="20" t="s">
        <v>57</v>
      </c>
      <c r="M163" s="9">
        <v>0.3</v>
      </c>
      <c r="N163" s="15">
        <v>150000</v>
      </c>
      <c r="O163" s="15">
        <f t="shared" si="23"/>
        <v>45000</v>
      </c>
      <c r="P163" s="57"/>
    </row>
    <row r="164" spans="1:16" ht="15" x14ac:dyDescent="0.2">
      <c r="A164" s="47"/>
      <c r="B164" s="8" t="s">
        <v>126</v>
      </c>
      <c r="C164" s="9">
        <v>3</v>
      </c>
      <c r="D164" s="10">
        <v>45000</v>
      </c>
      <c r="E164" s="15">
        <f t="shared" si="22"/>
        <v>135000</v>
      </c>
      <c r="F164" s="50"/>
      <c r="G164" s="23"/>
      <c r="K164" s="53"/>
      <c r="L164" s="20" t="s">
        <v>29</v>
      </c>
      <c r="M164" s="9">
        <v>2.14</v>
      </c>
      <c r="N164" s="15">
        <v>50000</v>
      </c>
      <c r="O164" s="15">
        <f t="shared" si="23"/>
        <v>107000</v>
      </c>
      <c r="P164" s="57"/>
    </row>
    <row r="165" spans="1:16" ht="15" x14ac:dyDescent="0.2">
      <c r="A165" s="47"/>
      <c r="B165" s="8" t="s">
        <v>10</v>
      </c>
      <c r="C165" s="9">
        <v>1</v>
      </c>
      <c r="D165" s="10">
        <v>70000</v>
      </c>
      <c r="E165" s="15">
        <f t="shared" si="22"/>
        <v>70000</v>
      </c>
      <c r="F165" s="50"/>
      <c r="K165" s="53"/>
      <c r="L165" s="20" t="s">
        <v>12</v>
      </c>
      <c r="M165" s="9">
        <v>3</v>
      </c>
      <c r="N165" s="15">
        <v>35000</v>
      </c>
      <c r="O165" s="15">
        <f t="shared" si="23"/>
        <v>105000</v>
      </c>
      <c r="P165" s="57"/>
    </row>
    <row r="166" spans="1:16" ht="15" x14ac:dyDescent="0.2">
      <c r="A166" s="47"/>
      <c r="B166" s="8" t="s">
        <v>24</v>
      </c>
      <c r="C166" s="9">
        <v>0.3</v>
      </c>
      <c r="D166" s="10">
        <v>30000</v>
      </c>
      <c r="E166" s="15">
        <f t="shared" si="22"/>
        <v>9000</v>
      </c>
      <c r="F166" s="50"/>
      <c r="K166" s="53"/>
      <c r="L166" s="20" t="s">
        <v>10</v>
      </c>
      <c r="M166" s="9">
        <v>1</v>
      </c>
      <c r="N166" s="15">
        <v>70000</v>
      </c>
      <c r="O166" s="15">
        <f t="shared" si="23"/>
        <v>70000</v>
      </c>
      <c r="P166" s="57"/>
    </row>
    <row r="167" spans="1:16" ht="15" x14ac:dyDescent="0.2">
      <c r="A167" s="47"/>
      <c r="B167" s="8" t="s">
        <v>45</v>
      </c>
      <c r="C167" s="9">
        <v>20</v>
      </c>
      <c r="D167" s="10">
        <v>1000</v>
      </c>
      <c r="E167" s="15">
        <f t="shared" si="22"/>
        <v>20000</v>
      </c>
      <c r="F167" s="50"/>
      <c r="K167" s="53"/>
      <c r="L167" s="20" t="s">
        <v>8</v>
      </c>
      <c r="M167" s="9">
        <v>6</v>
      </c>
      <c r="N167" s="15">
        <v>10000</v>
      </c>
      <c r="O167" s="15">
        <f t="shared" si="23"/>
        <v>60000</v>
      </c>
      <c r="P167" s="57"/>
    </row>
    <row r="168" spans="1:16" ht="15" x14ac:dyDescent="0.2">
      <c r="A168" s="48"/>
      <c r="B168" s="8" t="s">
        <v>127</v>
      </c>
      <c r="C168" s="9">
        <v>0.2</v>
      </c>
      <c r="D168" s="10">
        <v>150000</v>
      </c>
      <c r="E168" s="15">
        <f t="shared" si="22"/>
        <v>30000</v>
      </c>
      <c r="F168" s="51"/>
      <c r="K168" s="54"/>
      <c r="L168" s="20" t="s">
        <v>69</v>
      </c>
      <c r="M168" s="9">
        <v>14</v>
      </c>
      <c r="N168" s="15">
        <v>2000</v>
      </c>
      <c r="O168" s="15">
        <f t="shared" si="23"/>
        <v>28000</v>
      </c>
      <c r="P168" s="58"/>
    </row>
    <row r="169" spans="1:16" x14ac:dyDescent="0.2">
      <c r="A169" s="12">
        <v>46075</v>
      </c>
      <c r="B169" s="8" t="s">
        <v>65</v>
      </c>
      <c r="C169" s="9">
        <v>2</v>
      </c>
      <c r="D169" s="10">
        <v>170000</v>
      </c>
      <c r="E169" s="15">
        <f t="shared" si="22"/>
        <v>340000</v>
      </c>
      <c r="F169" s="18">
        <f>SUM(E169)</f>
        <v>340000</v>
      </c>
      <c r="K169" s="52">
        <v>46070</v>
      </c>
      <c r="L169" s="20" t="s">
        <v>8</v>
      </c>
      <c r="M169" s="9">
        <v>4</v>
      </c>
      <c r="N169" s="15">
        <v>10000</v>
      </c>
      <c r="O169" s="15">
        <f t="shared" si="23"/>
        <v>40000</v>
      </c>
      <c r="P169" s="56">
        <f>SUM(O169:O174)</f>
        <v>458000</v>
      </c>
    </row>
    <row r="170" spans="1:16" ht="15" x14ac:dyDescent="0.2">
      <c r="A170" s="46">
        <v>46076</v>
      </c>
      <c r="B170" s="8" t="s">
        <v>50</v>
      </c>
      <c r="C170" s="9">
        <v>2</v>
      </c>
      <c r="D170" s="10">
        <v>95000</v>
      </c>
      <c r="E170" s="15">
        <f t="shared" si="22"/>
        <v>190000</v>
      </c>
      <c r="F170" s="49">
        <f>SUM(E170:E172)</f>
        <v>474000</v>
      </c>
      <c r="K170" s="53"/>
      <c r="L170" s="20" t="s">
        <v>18</v>
      </c>
      <c r="M170" s="9">
        <v>8</v>
      </c>
      <c r="N170" s="15">
        <v>16000</v>
      </c>
      <c r="O170" s="15">
        <f t="shared" si="23"/>
        <v>128000</v>
      </c>
      <c r="P170" s="57"/>
    </row>
    <row r="171" spans="1:16" ht="15" x14ac:dyDescent="0.2">
      <c r="A171" s="47"/>
      <c r="B171" s="8" t="s">
        <v>58</v>
      </c>
      <c r="C171" s="9">
        <v>2</v>
      </c>
      <c r="D171" s="10">
        <v>120000</v>
      </c>
      <c r="E171" s="15">
        <f t="shared" si="22"/>
        <v>240000</v>
      </c>
      <c r="F171" s="50"/>
      <c r="K171" s="53"/>
      <c r="L171" s="20" t="s">
        <v>12</v>
      </c>
      <c r="M171" s="9">
        <v>3</v>
      </c>
      <c r="N171" s="15">
        <v>35000</v>
      </c>
      <c r="O171" s="15">
        <f t="shared" si="23"/>
        <v>105000</v>
      </c>
      <c r="P171" s="57"/>
    </row>
    <row r="172" spans="1:16" ht="15" x14ac:dyDescent="0.2">
      <c r="A172" s="48"/>
      <c r="B172" s="8" t="s">
        <v>9</v>
      </c>
      <c r="C172" s="9">
        <v>2</v>
      </c>
      <c r="D172" s="10">
        <v>22000</v>
      </c>
      <c r="E172" s="15">
        <f t="shared" si="22"/>
        <v>44000</v>
      </c>
      <c r="F172" s="51"/>
      <c r="K172" s="53"/>
      <c r="L172" s="20" t="s">
        <v>33</v>
      </c>
      <c r="M172" s="9">
        <v>4</v>
      </c>
      <c r="N172" s="15">
        <v>24000</v>
      </c>
      <c r="O172" s="15">
        <f t="shared" si="23"/>
        <v>96000</v>
      </c>
      <c r="P172" s="57"/>
    </row>
    <row r="173" spans="1:16" ht="15" x14ac:dyDescent="0.2">
      <c r="A173" s="46">
        <v>46077</v>
      </c>
      <c r="B173" s="8" t="s">
        <v>128</v>
      </c>
      <c r="C173" s="9">
        <v>40</v>
      </c>
      <c r="D173" s="10">
        <v>2000</v>
      </c>
      <c r="E173" s="15">
        <f t="shared" si="22"/>
        <v>80000</v>
      </c>
      <c r="F173" s="49">
        <f>SUM(E173:E178)</f>
        <v>870000</v>
      </c>
      <c r="K173" s="53"/>
      <c r="L173" s="20" t="s">
        <v>44</v>
      </c>
      <c r="M173" s="9">
        <v>1</v>
      </c>
      <c r="N173" s="15">
        <v>49000</v>
      </c>
      <c r="O173" s="15">
        <f t="shared" si="23"/>
        <v>49000</v>
      </c>
      <c r="P173" s="57"/>
    </row>
    <row r="174" spans="1:16" ht="15" x14ac:dyDescent="0.2">
      <c r="A174" s="47"/>
      <c r="B174" s="8" t="s">
        <v>104</v>
      </c>
      <c r="C174" s="9">
        <v>1</v>
      </c>
      <c r="D174" s="10">
        <v>100000</v>
      </c>
      <c r="E174" s="15">
        <f t="shared" si="22"/>
        <v>100000</v>
      </c>
      <c r="F174" s="50"/>
      <c r="K174" s="54"/>
      <c r="L174" s="20" t="s">
        <v>35</v>
      </c>
      <c r="M174" s="9">
        <v>1</v>
      </c>
      <c r="N174" s="15">
        <v>40000</v>
      </c>
      <c r="O174" s="15">
        <f t="shared" si="23"/>
        <v>40000</v>
      </c>
      <c r="P174" s="58"/>
    </row>
    <row r="175" spans="1:16" ht="15" x14ac:dyDescent="0.2">
      <c r="A175" s="47"/>
      <c r="B175" s="8" t="s">
        <v>72</v>
      </c>
      <c r="C175" s="9">
        <v>4</v>
      </c>
      <c r="D175" s="10">
        <v>90000</v>
      </c>
      <c r="E175" s="15">
        <f t="shared" si="22"/>
        <v>360000</v>
      </c>
      <c r="F175" s="50"/>
      <c r="K175" s="52">
        <v>46071</v>
      </c>
      <c r="L175" s="20" t="s">
        <v>8</v>
      </c>
      <c r="M175" s="9">
        <v>8</v>
      </c>
      <c r="N175" s="15">
        <v>10000</v>
      </c>
      <c r="O175" s="15">
        <f t="shared" si="23"/>
        <v>80000</v>
      </c>
      <c r="P175" s="56">
        <f>SUM(O175:O188)</f>
        <v>886000</v>
      </c>
    </row>
    <row r="176" spans="1:16" ht="15" x14ac:dyDescent="0.2">
      <c r="A176" s="47"/>
      <c r="B176" s="60" t="s">
        <v>140</v>
      </c>
      <c r="C176" s="9">
        <v>5</v>
      </c>
      <c r="D176" s="10">
        <v>45000</v>
      </c>
      <c r="E176" s="15">
        <f t="shared" si="22"/>
        <v>225000</v>
      </c>
      <c r="F176" s="50"/>
      <c r="K176" s="53"/>
      <c r="L176" s="20" t="s">
        <v>30</v>
      </c>
      <c r="M176" s="9">
        <v>1</v>
      </c>
      <c r="N176" s="15">
        <v>38000</v>
      </c>
      <c r="O176" s="15">
        <f t="shared" si="23"/>
        <v>38000</v>
      </c>
      <c r="P176" s="57"/>
    </row>
    <row r="177" spans="1:16" ht="15" x14ac:dyDescent="0.2">
      <c r="A177" s="47"/>
      <c r="B177" s="8" t="s">
        <v>129</v>
      </c>
      <c r="C177" s="9">
        <v>3</v>
      </c>
      <c r="D177" s="10">
        <v>30000</v>
      </c>
      <c r="E177" s="15">
        <f t="shared" si="22"/>
        <v>90000</v>
      </c>
      <c r="F177" s="50"/>
      <c r="K177" s="53"/>
      <c r="L177" s="20" t="s">
        <v>10</v>
      </c>
      <c r="M177" s="9">
        <v>2</v>
      </c>
      <c r="N177" s="15">
        <v>70000</v>
      </c>
      <c r="O177" s="15">
        <f t="shared" si="23"/>
        <v>140000</v>
      </c>
      <c r="P177" s="57"/>
    </row>
    <row r="178" spans="1:16" ht="15" x14ac:dyDescent="0.2">
      <c r="A178" s="48"/>
      <c r="B178" s="8" t="s">
        <v>14</v>
      </c>
      <c r="C178" s="9">
        <v>1</v>
      </c>
      <c r="D178" s="10">
        <v>15000</v>
      </c>
      <c r="E178" s="15">
        <f t="shared" si="22"/>
        <v>15000</v>
      </c>
      <c r="F178" s="51"/>
      <c r="K178" s="53"/>
      <c r="L178" s="20" t="s">
        <v>12</v>
      </c>
      <c r="M178" s="9">
        <v>3</v>
      </c>
      <c r="N178" s="15">
        <v>35000</v>
      </c>
      <c r="O178" s="15">
        <f t="shared" si="23"/>
        <v>105000</v>
      </c>
      <c r="P178" s="57"/>
    </row>
    <row r="179" spans="1:16" ht="15" x14ac:dyDescent="0.2">
      <c r="A179" s="46">
        <v>46078</v>
      </c>
      <c r="B179" s="8" t="s">
        <v>90</v>
      </c>
      <c r="C179" s="9">
        <v>5</v>
      </c>
      <c r="D179" s="10">
        <v>5000</v>
      </c>
      <c r="E179" s="15">
        <f t="shared" si="22"/>
        <v>25000</v>
      </c>
      <c r="F179" s="49">
        <f>SUM(E179:E191)</f>
        <v>1990000</v>
      </c>
      <c r="K179" s="53"/>
      <c r="L179" s="20" t="s">
        <v>31</v>
      </c>
      <c r="M179" s="9">
        <v>1.25</v>
      </c>
      <c r="N179" s="15">
        <v>100000</v>
      </c>
      <c r="O179" s="15">
        <f t="shared" si="23"/>
        <v>125000</v>
      </c>
      <c r="P179" s="57"/>
    </row>
    <row r="180" spans="1:16" ht="15" x14ac:dyDescent="0.2">
      <c r="A180" s="47"/>
      <c r="B180" s="8" t="s">
        <v>72</v>
      </c>
      <c r="C180" s="9">
        <v>2</v>
      </c>
      <c r="D180" s="10">
        <v>90000</v>
      </c>
      <c r="E180" s="15">
        <f t="shared" si="22"/>
        <v>180000</v>
      </c>
      <c r="F180" s="50"/>
      <c r="K180" s="53"/>
      <c r="L180" s="20" t="s">
        <v>41</v>
      </c>
      <c r="M180" s="9">
        <v>2</v>
      </c>
      <c r="N180" s="15">
        <v>30000</v>
      </c>
      <c r="O180" s="15">
        <f t="shared" si="23"/>
        <v>60000</v>
      </c>
      <c r="P180" s="57"/>
    </row>
    <row r="181" spans="1:16" ht="15" x14ac:dyDescent="0.2">
      <c r="A181" s="47"/>
      <c r="B181" s="8" t="s">
        <v>15</v>
      </c>
      <c r="C181" s="9">
        <v>5</v>
      </c>
      <c r="D181" s="10">
        <v>40000</v>
      </c>
      <c r="E181" s="15">
        <f t="shared" si="22"/>
        <v>200000</v>
      </c>
      <c r="F181" s="50"/>
      <c r="K181" s="53"/>
      <c r="L181" s="20" t="s">
        <v>14</v>
      </c>
      <c r="M181" s="9">
        <v>1</v>
      </c>
      <c r="N181" s="15">
        <v>15000</v>
      </c>
      <c r="O181" s="15">
        <f t="shared" si="23"/>
        <v>15000</v>
      </c>
      <c r="P181" s="57"/>
    </row>
    <row r="182" spans="1:16" ht="15" x14ac:dyDescent="0.2">
      <c r="A182" s="47"/>
      <c r="B182" s="8" t="s">
        <v>73</v>
      </c>
      <c r="C182" s="9">
        <v>1</v>
      </c>
      <c r="D182" s="10">
        <v>35000</v>
      </c>
      <c r="E182" s="15">
        <f t="shared" si="22"/>
        <v>35000</v>
      </c>
      <c r="F182" s="50"/>
      <c r="K182" s="53"/>
      <c r="L182" s="20" t="s">
        <v>16</v>
      </c>
      <c r="M182" s="9">
        <v>1</v>
      </c>
      <c r="N182" s="15">
        <v>50000</v>
      </c>
      <c r="O182" s="15">
        <f t="shared" si="23"/>
        <v>50000</v>
      </c>
      <c r="P182" s="57"/>
    </row>
    <row r="183" spans="1:16" ht="15" x14ac:dyDescent="0.2">
      <c r="A183" s="47"/>
      <c r="B183" s="8" t="s">
        <v>49</v>
      </c>
      <c r="C183" s="9">
        <v>3</v>
      </c>
      <c r="D183" s="10">
        <v>170000</v>
      </c>
      <c r="E183" s="15">
        <f t="shared" si="22"/>
        <v>510000</v>
      </c>
      <c r="F183" s="50"/>
      <c r="K183" s="53"/>
      <c r="L183" s="20" t="s">
        <v>24</v>
      </c>
      <c r="M183" s="9">
        <v>0.5</v>
      </c>
      <c r="N183" s="15">
        <v>30000</v>
      </c>
      <c r="O183" s="15">
        <f t="shared" si="23"/>
        <v>15000</v>
      </c>
      <c r="P183" s="57"/>
    </row>
    <row r="184" spans="1:16" ht="15" x14ac:dyDescent="0.2">
      <c r="A184" s="47"/>
      <c r="B184" s="8" t="s">
        <v>63</v>
      </c>
      <c r="C184" s="9">
        <v>4</v>
      </c>
      <c r="D184" s="10">
        <v>50000</v>
      </c>
      <c r="E184" s="15">
        <f t="shared" si="22"/>
        <v>200000</v>
      </c>
      <c r="F184" s="50"/>
      <c r="K184" s="53"/>
      <c r="L184" s="20" t="s">
        <v>33</v>
      </c>
      <c r="M184" s="9">
        <v>4</v>
      </c>
      <c r="N184" s="15">
        <v>24000</v>
      </c>
      <c r="O184" s="15">
        <f t="shared" si="23"/>
        <v>96000</v>
      </c>
      <c r="P184" s="57"/>
    </row>
    <row r="185" spans="1:16" ht="15" x14ac:dyDescent="0.2">
      <c r="A185" s="47"/>
      <c r="B185" s="8" t="s">
        <v>7</v>
      </c>
      <c r="C185" s="9">
        <v>3</v>
      </c>
      <c r="D185" s="10">
        <v>95000</v>
      </c>
      <c r="E185" s="15">
        <f t="shared" si="22"/>
        <v>285000</v>
      </c>
      <c r="F185" s="50"/>
      <c r="K185" s="53"/>
      <c r="L185" s="20" t="s">
        <v>35</v>
      </c>
      <c r="M185" s="9">
        <v>1</v>
      </c>
      <c r="N185" s="15">
        <v>40000</v>
      </c>
      <c r="O185" s="15">
        <f t="shared" si="23"/>
        <v>40000</v>
      </c>
      <c r="P185" s="57"/>
    </row>
    <row r="186" spans="1:16" ht="15" x14ac:dyDescent="0.2">
      <c r="A186" s="47"/>
      <c r="B186" s="8" t="s">
        <v>59</v>
      </c>
      <c r="C186" s="9">
        <v>1</v>
      </c>
      <c r="D186" s="10">
        <v>220000</v>
      </c>
      <c r="E186" s="15">
        <f t="shared" si="22"/>
        <v>220000</v>
      </c>
      <c r="F186" s="50"/>
      <c r="K186" s="53"/>
      <c r="L186" s="20" t="s">
        <v>122</v>
      </c>
      <c r="M186" s="9">
        <v>1</v>
      </c>
      <c r="N186" s="15">
        <v>45000</v>
      </c>
      <c r="O186" s="15">
        <f t="shared" si="23"/>
        <v>45000</v>
      </c>
      <c r="P186" s="57"/>
    </row>
    <row r="187" spans="1:16" ht="15" x14ac:dyDescent="0.2">
      <c r="A187" s="47"/>
      <c r="B187" s="8" t="s">
        <v>10</v>
      </c>
      <c r="C187" s="9">
        <v>1</v>
      </c>
      <c r="D187" s="10">
        <v>70000</v>
      </c>
      <c r="E187" s="15">
        <f t="shared" si="22"/>
        <v>70000</v>
      </c>
      <c r="F187" s="50"/>
      <c r="K187" s="53"/>
      <c r="L187" s="20" t="s">
        <v>44</v>
      </c>
      <c r="M187" s="9">
        <v>1</v>
      </c>
      <c r="N187" s="15">
        <v>49000</v>
      </c>
      <c r="O187" s="15">
        <f t="shared" si="23"/>
        <v>49000</v>
      </c>
      <c r="P187" s="57"/>
    </row>
    <row r="188" spans="1:16" ht="15" x14ac:dyDescent="0.2">
      <c r="A188" s="47"/>
      <c r="B188" s="8" t="s">
        <v>51</v>
      </c>
      <c r="C188" s="9">
        <v>0.1</v>
      </c>
      <c r="D188" s="10">
        <v>85000</v>
      </c>
      <c r="E188" s="15">
        <v>9000</v>
      </c>
      <c r="F188" s="50"/>
      <c r="K188" s="54"/>
      <c r="L188" s="20" t="s">
        <v>69</v>
      </c>
      <c r="M188" s="9">
        <v>14</v>
      </c>
      <c r="N188" s="15">
        <v>2000</v>
      </c>
      <c r="O188" s="15">
        <f t="shared" si="23"/>
        <v>28000</v>
      </c>
      <c r="P188" s="58"/>
    </row>
    <row r="189" spans="1:16" ht="15" x14ac:dyDescent="0.2">
      <c r="A189" s="47"/>
      <c r="B189" s="8" t="s">
        <v>16</v>
      </c>
      <c r="C189" s="9">
        <v>1</v>
      </c>
      <c r="D189" s="10">
        <v>55000</v>
      </c>
      <c r="E189" s="15">
        <f t="shared" ref="E189:E214" si="24">D189*C189</f>
        <v>55000</v>
      </c>
      <c r="F189" s="50"/>
      <c r="K189" s="52">
        <v>46072</v>
      </c>
      <c r="L189" s="20" t="s">
        <v>8</v>
      </c>
      <c r="M189" s="9">
        <v>8</v>
      </c>
      <c r="N189" s="15">
        <v>10000</v>
      </c>
      <c r="O189" s="15">
        <f t="shared" si="23"/>
        <v>80000</v>
      </c>
      <c r="P189" s="56">
        <f>SUM(O189:O200)</f>
        <v>820000</v>
      </c>
    </row>
    <row r="190" spans="1:16" ht="15" x14ac:dyDescent="0.2">
      <c r="A190" s="47"/>
      <c r="B190" s="8" t="s">
        <v>24</v>
      </c>
      <c r="C190" s="9">
        <v>0.2</v>
      </c>
      <c r="D190" s="10">
        <v>30000</v>
      </c>
      <c r="E190" s="15">
        <f t="shared" si="24"/>
        <v>6000</v>
      </c>
      <c r="F190" s="50"/>
      <c r="K190" s="53"/>
      <c r="L190" s="20" t="s">
        <v>10</v>
      </c>
      <c r="M190" s="9">
        <v>1</v>
      </c>
      <c r="N190" s="15">
        <v>70000</v>
      </c>
      <c r="O190" s="15">
        <f t="shared" si="23"/>
        <v>70000</v>
      </c>
      <c r="P190" s="57"/>
    </row>
    <row r="191" spans="1:16" ht="15" x14ac:dyDescent="0.2">
      <c r="A191" s="48"/>
      <c r="B191" s="8" t="s">
        <v>61</v>
      </c>
      <c r="C191" s="9">
        <v>1</v>
      </c>
      <c r="D191" s="10">
        <v>195000</v>
      </c>
      <c r="E191" s="15">
        <f t="shared" si="24"/>
        <v>195000</v>
      </c>
      <c r="F191" s="51"/>
      <c r="K191" s="53"/>
      <c r="L191" s="20" t="s">
        <v>12</v>
      </c>
      <c r="M191" s="9">
        <v>3</v>
      </c>
      <c r="N191" s="15">
        <v>35000</v>
      </c>
      <c r="O191" s="15">
        <f t="shared" si="23"/>
        <v>105000</v>
      </c>
      <c r="P191" s="57"/>
    </row>
    <row r="192" spans="1:16" ht="15" x14ac:dyDescent="0.2">
      <c r="A192" s="46">
        <v>46079</v>
      </c>
      <c r="B192" s="20" t="s">
        <v>42</v>
      </c>
      <c r="C192" s="9">
        <v>3</v>
      </c>
      <c r="D192" s="10">
        <v>40000</v>
      </c>
      <c r="E192" s="15">
        <f t="shared" si="24"/>
        <v>120000</v>
      </c>
      <c r="F192" s="49">
        <f>SUM(E192:E204)</f>
        <v>1504000</v>
      </c>
      <c r="K192" s="53"/>
      <c r="L192" s="20" t="s">
        <v>14</v>
      </c>
      <c r="M192" s="9">
        <v>1</v>
      </c>
      <c r="N192" s="15">
        <v>15000</v>
      </c>
      <c r="O192" s="15">
        <f t="shared" si="23"/>
        <v>15000</v>
      </c>
      <c r="P192" s="57"/>
    </row>
    <row r="193" spans="1:16" ht="15" x14ac:dyDescent="0.2">
      <c r="A193" s="47"/>
      <c r="B193" s="20" t="s">
        <v>130</v>
      </c>
      <c r="C193" s="9">
        <v>1</v>
      </c>
      <c r="D193" s="10">
        <v>60000</v>
      </c>
      <c r="E193" s="15">
        <f t="shared" si="24"/>
        <v>60000</v>
      </c>
      <c r="F193" s="50"/>
      <c r="K193" s="53"/>
      <c r="L193" s="20" t="s">
        <v>29</v>
      </c>
      <c r="M193" s="9">
        <v>1.45</v>
      </c>
      <c r="N193" s="15">
        <v>50000</v>
      </c>
      <c r="O193" s="15">
        <v>73000</v>
      </c>
      <c r="P193" s="57"/>
    </row>
    <row r="194" spans="1:16" ht="15" x14ac:dyDescent="0.2">
      <c r="A194" s="47"/>
      <c r="B194" s="20" t="s">
        <v>113</v>
      </c>
      <c r="C194" s="9">
        <v>2</v>
      </c>
      <c r="D194" s="10">
        <v>50000</v>
      </c>
      <c r="E194" s="15">
        <f t="shared" si="24"/>
        <v>100000</v>
      </c>
      <c r="F194" s="50"/>
      <c r="K194" s="53"/>
      <c r="L194" s="20" t="s">
        <v>119</v>
      </c>
      <c r="M194" s="9">
        <v>1</v>
      </c>
      <c r="N194" s="15">
        <v>40000</v>
      </c>
      <c r="O194" s="15">
        <f t="shared" ref="O194:O215" si="25">N194*M194</f>
        <v>40000</v>
      </c>
      <c r="P194" s="57"/>
    </row>
    <row r="195" spans="1:16" ht="15" x14ac:dyDescent="0.2">
      <c r="A195" s="47"/>
      <c r="B195" s="20" t="s">
        <v>29</v>
      </c>
      <c r="C195" s="9">
        <v>1</v>
      </c>
      <c r="D195" s="10">
        <v>50000</v>
      </c>
      <c r="E195" s="15">
        <f t="shared" si="24"/>
        <v>50000</v>
      </c>
      <c r="F195" s="50"/>
      <c r="K195" s="53"/>
      <c r="L195" s="20" t="s">
        <v>18</v>
      </c>
      <c r="M195" s="9">
        <v>3.34</v>
      </c>
      <c r="N195" s="15">
        <v>16000</v>
      </c>
      <c r="O195" s="15">
        <v>53000</v>
      </c>
      <c r="P195" s="57"/>
    </row>
    <row r="196" spans="1:16" ht="15" x14ac:dyDescent="0.2">
      <c r="A196" s="47"/>
      <c r="B196" s="20" t="s">
        <v>10</v>
      </c>
      <c r="C196" s="9">
        <v>1</v>
      </c>
      <c r="D196" s="10">
        <v>70000</v>
      </c>
      <c r="E196" s="15">
        <f t="shared" si="24"/>
        <v>70000</v>
      </c>
      <c r="F196" s="50"/>
      <c r="K196" s="53"/>
      <c r="L196" s="20" t="s">
        <v>47</v>
      </c>
      <c r="M196" s="9">
        <v>1</v>
      </c>
      <c r="N196" s="15">
        <v>25000</v>
      </c>
      <c r="O196" s="15">
        <f t="shared" si="25"/>
        <v>25000</v>
      </c>
      <c r="P196" s="57"/>
    </row>
    <row r="197" spans="1:16" ht="15" x14ac:dyDescent="0.2">
      <c r="A197" s="47"/>
      <c r="B197" s="20" t="s">
        <v>109</v>
      </c>
      <c r="C197" s="9">
        <v>1</v>
      </c>
      <c r="D197" s="10">
        <v>130000</v>
      </c>
      <c r="E197" s="15">
        <f t="shared" si="24"/>
        <v>130000</v>
      </c>
      <c r="F197" s="50"/>
      <c r="K197" s="53"/>
      <c r="L197" s="20" t="s">
        <v>37</v>
      </c>
      <c r="M197" s="9">
        <v>3</v>
      </c>
      <c r="N197" s="15">
        <v>20000</v>
      </c>
      <c r="O197" s="15">
        <f t="shared" si="25"/>
        <v>60000</v>
      </c>
      <c r="P197" s="57"/>
    </row>
    <row r="198" spans="1:16" ht="15" x14ac:dyDescent="0.2">
      <c r="A198" s="47"/>
      <c r="B198" s="20" t="s">
        <v>56</v>
      </c>
      <c r="C198" s="9">
        <v>1</v>
      </c>
      <c r="D198" s="10">
        <v>170000</v>
      </c>
      <c r="E198" s="15">
        <f t="shared" si="24"/>
        <v>170000</v>
      </c>
      <c r="F198" s="50"/>
      <c r="K198" s="53"/>
      <c r="L198" s="20" t="s">
        <v>31</v>
      </c>
      <c r="M198" s="9">
        <v>0.75</v>
      </c>
      <c r="N198" s="15">
        <v>100000</v>
      </c>
      <c r="O198" s="15">
        <f t="shared" si="25"/>
        <v>75000</v>
      </c>
      <c r="P198" s="57"/>
    </row>
    <row r="199" spans="1:16" ht="15" x14ac:dyDescent="0.2">
      <c r="A199" s="47"/>
      <c r="B199" s="20" t="s">
        <v>131</v>
      </c>
      <c r="C199" s="9">
        <v>0.5</v>
      </c>
      <c r="D199" s="10">
        <v>140000</v>
      </c>
      <c r="E199" s="15">
        <f t="shared" si="24"/>
        <v>70000</v>
      </c>
      <c r="F199" s="50"/>
      <c r="K199" s="53"/>
      <c r="L199" s="20" t="s">
        <v>35</v>
      </c>
      <c r="M199" s="9">
        <v>2</v>
      </c>
      <c r="N199" s="15">
        <v>40000</v>
      </c>
      <c r="O199" s="15">
        <f t="shared" si="25"/>
        <v>80000</v>
      </c>
      <c r="P199" s="57"/>
    </row>
    <row r="200" spans="1:16" ht="15" x14ac:dyDescent="0.2">
      <c r="A200" s="47"/>
      <c r="B200" s="20" t="s">
        <v>132</v>
      </c>
      <c r="C200" s="9">
        <v>3</v>
      </c>
      <c r="D200" s="10">
        <v>3000</v>
      </c>
      <c r="E200" s="15">
        <f t="shared" si="24"/>
        <v>9000</v>
      </c>
      <c r="F200" s="50"/>
      <c r="K200" s="54"/>
      <c r="L200" s="20" t="s">
        <v>33</v>
      </c>
      <c r="M200" s="9">
        <v>6</v>
      </c>
      <c r="N200" s="15">
        <v>24000</v>
      </c>
      <c r="O200" s="15">
        <f t="shared" si="25"/>
        <v>144000</v>
      </c>
      <c r="P200" s="58"/>
    </row>
    <row r="201" spans="1:16" ht="15" x14ac:dyDescent="0.2">
      <c r="A201" s="47"/>
      <c r="B201" s="20" t="s">
        <v>36</v>
      </c>
      <c r="C201" s="9">
        <v>1</v>
      </c>
      <c r="D201" s="10">
        <v>30000</v>
      </c>
      <c r="E201" s="15">
        <f t="shared" si="24"/>
        <v>30000</v>
      </c>
      <c r="F201" s="50"/>
      <c r="K201" s="52">
        <v>46073</v>
      </c>
      <c r="L201" s="20" t="s">
        <v>8</v>
      </c>
      <c r="M201" s="9">
        <v>5</v>
      </c>
      <c r="N201" s="15">
        <v>10000</v>
      </c>
      <c r="O201" s="15">
        <f t="shared" si="25"/>
        <v>50000</v>
      </c>
      <c r="P201" s="56">
        <f>SUM(O201:O210)</f>
        <v>715000</v>
      </c>
    </row>
    <row r="202" spans="1:16" ht="15" x14ac:dyDescent="0.2">
      <c r="A202" s="47"/>
      <c r="B202" s="20" t="s">
        <v>133</v>
      </c>
      <c r="C202" s="9">
        <v>4</v>
      </c>
      <c r="D202" s="10">
        <v>60000</v>
      </c>
      <c r="E202" s="15">
        <f t="shared" si="24"/>
        <v>240000</v>
      </c>
      <c r="F202" s="50"/>
      <c r="K202" s="53"/>
      <c r="L202" s="20" t="s">
        <v>12</v>
      </c>
      <c r="M202" s="9">
        <v>3</v>
      </c>
      <c r="N202" s="15">
        <v>35000</v>
      </c>
      <c r="O202" s="15">
        <f t="shared" si="25"/>
        <v>105000</v>
      </c>
      <c r="P202" s="57"/>
    </row>
    <row r="203" spans="1:16" ht="15" x14ac:dyDescent="0.2">
      <c r="A203" s="47"/>
      <c r="B203" s="20" t="s">
        <v>7</v>
      </c>
      <c r="C203" s="9">
        <v>3</v>
      </c>
      <c r="D203" s="10">
        <v>95000</v>
      </c>
      <c r="E203" s="15">
        <f t="shared" si="24"/>
        <v>285000</v>
      </c>
      <c r="F203" s="50"/>
      <c r="K203" s="53"/>
      <c r="L203" s="20" t="s">
        <v>10</v>
      </c>
      <c r="M203" s="9">
        <v>2</v>
      </c>
      <c r="N203" s="15">
        <v>70000</v>
      </c>
      <c r="O203" s="15">
        <f t="shared" si="25"/>
        <v>140000</v>
      </c>
      <c r="P203" s="57"/>
    </row>
    <row r="204" spans="1:16" ht="15" x14ac:dyDescent="0.2">
      <c r="A204" s="48"/>
      <c r="B204" s="20" t="s">
        <v>11</v>
      </c>
      <c r="C204" s="9">
        <v>1</v>
      </c>
      <c r="D204" s="10">
        <v>170000</v>
      </c>
      <c r="E204" s="15">
        <f t="shared" si="24"/>
        <v>170000</v>
      </c>
      <c r="F204" s="51"/>
      <c r="K204" s="53"/>
      <c r="L204" s="20" t="s">
        <v>22</v>
      </c>
      <c r="M204" s="9">
        <v>0.3</v>
      </c>
      <c r="N204" s="15">
        <v>20000</v>
      </c>
      <c r="O204" s="15">
        <f t="shared" si="25"/>
        <v>6000</v>
      </c>
      <c r="P204" s="57"/>
    </row>
    <row r="205" spans="1:16" ht="15" x14ac:dyDescent="0.2">
      <c r="A205" s="47">
        <v>46080</v>
      </c>
      <c r="B205" s="8" t="s">
        <v>10</v>
      </c>
      <c r="C205" s="9">
        <v>1</v>
      </c>
      <c r="D205" s="10">
        <v>70000</v>
      </c>
      <c r="E205" s="15">
        <f t="shared" si="24"/>
        <v>70000</v>
      </c>
      <c r="F205" s="50">
        <f>SUM(E205:E212)</f>
        <v>608000</v>
      </c>
      <c r="K205" s="53"/>
      <c r="L205" s="20" t="s">
        <v>24</v>
      </c>
      <c r="M205" s="9">
        <v>0.5</v>
      </c>
      <c r="N205" s="15">
        <v>30000</v>
      </c>
      <c r="O205" s="15">
        <f t="shared" si="25"/>
        <v>15000</v>
      </c>
      <c r="P205" s="57"/>
    </row>
    <row r="206" spans="1:16" ht="15" x14ac:dyDescent="0.2">
      <c r="A206" s="47"/>
      <c r="B206" s="8" t="s">
        <v>134</v>
      </c>
      <c r="C206" s="9">
        <v>2</v>
      </c>
      <c r="D206" s="10">
        <v>30000</v>
      </c>
      <c r="E206" s="15">
        <f t="shared" si="24"/>
        <v>60000</v>
      </c>
      <c r="F206" s="50"/>
      <c r="K206" s="53"/>
      <c r="L206" s="20" t="s">
        <v>16</v>
      </c>
      <c r="M206" s="9">
        <v>2.2599999999999998</v>
      </c>
      <c r="N206" s="15">
        <v>50000</v>
      </c>
      <c r="O206" s="15">
        <f t="shared" si="25"/>
        <v>113000</v>
      </c>
      <c r="P206" s="57"/>
    </row>
    <row r="207" spans="1:16" ht="15" x14ac:dyDescent="0.2">
      <c r="A207" s="47"/>
      <c r="B207" s="8" t="s">
        <v>95</v>
      </c>
      <c r="C207" s="9">
        <v>1</v>
      </c>
      <c r="D207" s="10">
        <v>40000</v>
      </c>
      <c r="E207" s="15">
        <f t="shared" si="24"/>
        <v>40000</v>
      </c>
      <c r="F207" s="50"/>
      <c r="K207" s="53"/>
      <c r="L207" s="20" t="s">
        <v>31</v>
      </c>
      <c r="M207" s="9">
        <v>0.5</v>
      </c>
      <c r="N207" s="15">
        <v>100000</v>
      </c>
      <c r="O207" s="15">
        <f t="shared" si="25"/>
        <v>50000</v>
      </c>
      <c r="P207" s="57"/>
    </row>
    <row r="208" spans="1:16" ht="15" x14ac:dyDescent="0.2">
      <c r="A208" s="47"/>
      <c r="B208" s="8" t="s">
        <v>25</v>
      </c>
      <c r="C208" s="9">
        <v>1</v>
      </c>
      <c r="D208" s="10">
        <v>48000</v>
      </c>
      <c r="E208" s="15">
        <f t="shared" si="24"/>
        <v>48000</v>
      </c>
      <c r="F208" s="50"/>
      <c r="K208" s="53"/>
      <c r="L208" s="20" t="s">
        <v>120</v>
      </c>
      <c r="M208" s="9">
        <v>2</v>
      </c>
      <c r="N208" s="15">
        <v>35000</v>
      </c>
      <c r="O208" s="15">
        <f t="shared" si="25"/>
        <v>70000</v>
      </c>
      <c r="P208" s="57"/>
    </row>
    <row r="209" spans="1:16" ht="15" x14ac:dyDescent="0.2">
      <c r="A209" s="47"/>
      <c r="B209" s="8" t="s">
        <v>15</v>
      </c>
      <c r="C209" s="9">
        <v>2</v>
      </c>
      <c r="D209" s="10">
        <v>40000</v>
      </c>
      <c r="E209" s="15">
        <f t="shared" si="24"/>
        <v>80000</v>
      </c>
      <c r="F209" s="50"/>
      <c r="K209" s="53"/>
      <c r="L209" s="20" t="s">
        <v>33</v>
      </c>
      <c r="M209" s="9">
        <v>4</v>
      </c>
      <c r="N209" s="15">
        <v>24000</v>
      </c>
      <c r="O209" s="15">
        <f t="shared" si="25"/>
        <v>96000</v>
      </c>
      <c r="P209" s="57"/>
    </row>
    <row r="210" spans="1:16" ht="15" x14ac:dyDescent="0.2">
      <c r="A210" s="47"/>
      <c r="B210" s="8" t="s">
        <v>135</v>
      </c>
      <c r="C210" s="9">
        <v>0.5</v>
      </c>
      <c r="D210" s="10">
        <v>180000</v>
      </c>
      <c r="E210" s="15">
        <f t="shared" si="24"/>
        <v>90000</v>
      </c>
      <c r="F210" s="50"/>
      <c r="K210" s="54"/>
      <c r="L210" s="20" t="s">
        <v>40</v>
      </c>
      <c r="M210" s="9">
        <v>2</v>
      </c>
      <c r="N210" s="15">
        <v>35000</v>
      </c>
      <c r="O210" s="15">
        <f t="shared" si="25"/>
        <v>70000</v>
      </c>
      <c r="P210" s="58"/>
    </row>
    <row r="211" spans="1:16" ht="15" x14ac:dyDescent="0.2">
      <c r="A211" s="47"/>
      <c r="B211" s="8" t="s">
        <v>80</v>
      </c>
      <c r="C211" s="9">
        <v>2</v>
      </c>
      <c r="D211" s="10">
        <v>20000</v>
      </c>
      <c r="E211" s="15">
        <f t="shared" si="24"/>
        <v>40000</v>
      </c>
      <c r="F211" s="50"/>
      <c r="K211" s="53">
        <v>46074</v>
      </c>
      <c r="L211" s="20" t="s">
        <v>12</v>
      </c>
      <c r="M211" s="9">
        <v>3</v>
      </c>
      <c r="N211" s="15">
        <v>35000</v>
      </c>
      <c r="O211" s="15">
        <f t="shared" si="25"/>
        <v>105000</v>
      </c>
      <c r="P211" s="59">
        <f>SUM(O211:O219)</f>
        <v>511000</v>
      </c>
    </row>
    <row r="212" spans="1:16" ht="15" x14ac:dyDescent="0.2">
      <c r="A212" s="48"/>
      <c r="B212" s="8" t="s">
        <v>111</v>
      </c>
      <c r="C212" s="9">
        <v>2</v>
      </c>
      <c r="D212" s="10">
        <v>90000</v>
      </c>
      <c r="E212" s="15">
        <f t="shared" si="24"/>
        <v>180000</v>
      </c>
      <c r="F212" s="51"/>
      <c r="K212" s="53"/>
      <c r="L212" s="20" t="s">
        <v>10</v>
      </c>
      <c r="M212" s="9">
        <v>2</v>
      </c>
      <c r="N212" s="15">
        <v>70000</v>
      </c>
      <c r="O212" s="15">
        <f t="shared" si="25"/>
        <v>140000</v>
      </c>
      <c r="P212" s="59"/>
    </row>
    <row r="213" spans="1:16" ht="15" x14ac:dyDescent="0.2">
      <c r="A213" s="46">
        <v>46080</v>
      </c>
      <c r="B213" s="8" t="s">
        <v>41</v>
      </c>
      <c r="C213" s="9">
        <v>1</v>
      </c>
      <c r="D213" s="10">
        <v>30000</v>
      </c>
      <c r="E213" s="15">
        <f t="shared" si="24"/>
        <v>30000</v>
      </c>
      <c r="F213" s="49">
        <f>SUM(E213:E214)</f>
        <v>55000</v>
      </c>
      <c r="K213" s="53"/>
      <c r="L213" s="20" t="s">
        <v>22</v>
      </c>
      <c r="M213" s="9">
        <v>3</v>
      </c>
      <c r="N213" s="15">
        <v>2000</v>
      </c>
      <c r="O213" s="15">
        <f t="shared" si="25"/>
        <v>6000</v>
      </c>
      <c r="P213" s="59"/>
    </row>
    <row r="214" spans="1:16" ht="15" x14ac:dyDescent="0.2">
      <c r="A214" s="48"/>
      <c r="B214" s="8" t="s">
        <v>71</v>
      </c>
      <c r="C214" s="9">
        <v>1</v>
      </c>
      <c r="D214" s="10">
        <v>25000</v>
      </c>
      <c r="E214" s="15">
        <f t="shared" si="24"/>
        <v>25000</v>
      </c>
      <c r="F214" s="51"/>
      <c r="K214" s="53"/>
      <c r="L214" s="20" t="s">
        <v>24</v>
      </c>
      <c r="M214" s="9">
        <v>3</v>
      </c>
      <c r="N214" s="15">
        <v>3000</v>
      </c>
      <c r="O214" s="15">
        <f t="shared" si="25"/>
        <v>9000</v>
      </c>
      <c r="P214" s="59"/>
    </row>
    <row r="215" spans="1:16" ht="15" x14ac:dyDescent="0.2">
      <c r="A215" s="46">
        <v>46081</v>
      </c>
      <c r="B215" s="8" t="s">
        <v>136</v>
      </c>
      <c r="C215" s="9">
        <v>7.0000000000000007E-2</v>
      </c>
      <c r="D215" s="10">
        <v>80000</v>
      </c>
      <c r="E215" s="15">
        <v>6000</v>
      </c>
      <c r="F215" s="49">
        <f>SUM(E215:E221)</f>
        <v>467000</v>
      </c>
      <c r="K215" s="53"/>
      <c r="L215" s="20" t="s">
        <v>16</v>
      </c>
      <c r="M215" s="9">
        <v>1</v>
      </c>
      <c r="N215" s="15">
        <v>55000</v>
      </c>
      <c r="O215" s="15">
        <f t="shared" si="25"/>
        <v>55000</v>
      </c>
      <c r="P215" s="59"/>
    </row>
    <row r="216" spans="1:16" ht="15" x14ac:dyDescent="0.2">
      <c r="A216" s="47"/>
      <c r="B216" s="8" t="s">
        <v>137</v>
      </c>
      <c r="C216" s="9">
        <v>0.1</v>
      </c>
      <c r="D216" s="10">
        <v>50000</v>
      </c>
      <c r="E216" s="15">
        <f t="shared" ref="E216:E220" si="26">D216*C216</f>
        <v>5000</v>
      </c>
      <c r="F216" s="50"/>
      <c r="K216" s="53"/>
      <c r="L216" s="20" t="s">
        <v>68</v>
      </c>
      <c r="M216" s="9">
        <v>0.3</v>
      </c>
      <c r="N216" s="15">
        <v>36000</v>
      </c>
      <c r="O216" s="15">
        <v>11000</v>
      </c>
      <c r="P216" s="59"/>
    </row>
    <row r="217" spans="1:16" ht="15" x14ac:dyDescent="0.2">
      <c r="A217" s="47"/>
      <c r="B217" s="8" t="s">
        <v>84</v>
      </c>
      <c r="C217" s="9">
        <v>2</v>
      </c>
      <c r="D217" s="10">
        <v>15000</v>
      </c>
      <c r="E217" s="15">
        <f t="shared" si="26"/>
        <v>30000</v>
      </c>
      <c r="F217" s="50"/>
      <c r="K217" s="53"/>
      <c r="L217" s="20" t="s">
        <v>18</v>
      </c>
      <c r="M217" s="9">
        <v>1</v>
      </c>
      <c r="N217" s="15">
        <v>49000</v>
      </c>
      <c r="O217" s="15">
        <f t="shared" ref="O217:O223" si="27">N217*M217</f>
        <v>49000</v>
      </c>
      <c r="P217" s="59"/>
    </row>
    <row r="218" spans="1:16" ht="15" x14ac:dyDescent="0.2">
      <c r="A218" s="47"/>
      <c r="B218" s="8" t="s">
        <v>51</v>
      </c>
      <c r="C218" s="9">
        <v>0.1</v>
      </c>
      <c r="D218" s="10">
        <v>80000</v>
      </c>
      <c r="E218" s="15">
        <f t="shared" si="26"/>
        <v>8000</v>
      </c>
      <c r="F218" s="50"/>
      <c r="K218" s="53"/>
      <c r="L218" s="20" t="s">
        <v>33</v>
      </c>
      <c r="M218" s="9">
        <v>4</v>
      </c>
      <c r="N218" s="15">
        <v>24000</v>
      </c>
      <c r="O218" s="15">
        <f t="shared" si="27"/>
        <v>96000</v>
      </c>
      <c r="P218" s="59"/>
    </row>
    <row r="219" spans="1:16" ht="15" x14ac:dyDescent="0.2">
      <c r="A219" s="47"/>
      <c r="B219" s="8" t="s">
        <v>7</v>
      </c>
      <c r="C219" s="9">
        <v>3</v>
      </c>
      <c r="D219" s="10">
        <v>100000</v>
      </c>
      <c r="E219" s="15">
        <f t="shared" si="26"/>
        <v>300000</v>
      </c>
      <c r="F219" s="50"/>
      <c r="K219" s="53"/>
      <c r="L219" s="20" t="s">
        <v>35</v>
      </c>
      <c r="M219" s="9">
        <v>1</v>
      </c>
      <c r="N219" s="15">
        <v>40000</v>
      </c>
      <c r="O219" s="15">
        <f t="shared" si="27"/>
        <v>40000</v>
      </c>
      <c r="P219" s="59"/>
    </row>
    <row r="220" spans="1:16" ht="15" x14ac:dyDescent="0.2">
      <c r="A220" s="47"/>
      <c r="B220" s="8" t="s">
        <v>10</v>
      </c>
      <c r="C220" s="9">
        <v>1</v>
      </c>
      <c r="D220" s="10">
        <v>70000</v>
      </c>
      <c r="E220" s="15">
        <f t="shared" si="26"/>
        <v>70000</v>
      </c>
      <c r="F220" s="50"/>
      <c r="K220" s="52">
        <v>46075</v>
      </c>
      <c r="L220" s="20" t="s">
        <v>30</v>
      </c>
      <c r="M220" s="9">
        <v>1</v>
      </c>
      <c r="N220" s="15">
        <v>40000</v>
      </c>
      <c r="O220" s="15">
        <f t="shared" si="27"/>
        <v>40000</v>
      </c>
      <c r="P220" s="57">
        <f>SUM(O220:O230)</f>
        <v>605000</v>
      </c>
    </row>
    <row r="221" spans="1:16" ht="15" x14ac:dyDescent="0.2">
      <c r="A221" s="48"/>
      <c r="B221" s="8" t="s">
        <v>30</v>
      </c>
      <c r="C221" s="9">
        <v>1.19</v>
      </c>
      <c r="D221" s="10">
        <v>40000</v>
      </c>
      <c r="E221" s="15">
        <v>48000</v>
      </c>
      <c r="F221" s="51"/>
      <c r="K221" s="53"/>
      <c r="L221" s="20" t="s">
        <v>10</v>
      </c>
      <c r="M221" s="9">
        <v>1</v>
      </c>
      <c r="N221" s="15">
        <v>70000</v>
      </c>
      <c r="O221" s="15">
        <f t="shared" si="27"/>
        <v>70000</v>
      </c>
      <c r="P221" s="57"/>
    </row>
    <row r="222" spans="1:16" x14ac:dyDescent="0.2">
      <c r="A222" s="12"/>
      <c r="B222" s="8"/>
      <c r="C222" s="9"/>
      <c r="D222" s="10"/>
      <c r="E222" s="15"/>
      <c r="F222" s="18"/>
      <c r="H222" s="28"/>
      <c r="I222" s="28"/>
      <c r="J222" s="28"/>
      <c r="K222" s="53"/>
      <c r="L222" s="20" t="s">
        <v>12</v>
      </c>
      <c r="M222" s="9">
        <v>3</v>
      </c>
      <c r="N222" s="15">
        <v>35000</v>
      </c>
      <c r="O222" s="15">
        <f t="shared" si="27"/>
        <v>105000</v>
      </c>
      <c r="P222" s="57"/>
    </row>
    <row r="223" spans="1:16" x14ac:dyDescent="0.2">
      <c r="A223" s="12"/>
      <c r="B223" s="8"/>
      <c r="C223" s="9"/>
      <c r="D223" s="10"/>
      <c r="E223" s="15"/>
      <c r="F223" s="18"/>
      <c r="K223" s="53"/>
      <c r="L223" s="20" t="s">
        <v>41</v>
      </c>
      <c r="M223" s="9">
        <v>1</v>
      </c>
      <c r="N223" s="15">
        <v>30000</v>
      </c>
      <c r="O223" s="15">
        <f t="shared" si="27"/>
        <v>30000</v>
      </c>
      <c r="P223" s="57"/>
    </row>
    <row r="224" spans="1:16" x14ac:dyDescent="0.2">
      <c r="A224" s="12"/>
      <c r="B224" s="8"/>
      <c r="C224" s="9"/>
      <c r="D224" s="10"/>
      <c r="E224" s="15"/>
      <c r="F224" s="18"/>
      <c r="K224" s="53"/>
      <c r="L224" s="20" t="s">
        <v>18</v>
      </c>
      <c r="M224" s="9">
        <v>5.67</v>
      </c>
      <c r="N224" s="15">
        <v>16000</v>
      </c>
      <c r="O224" s="15">
        <v>91000</v>
      </c>
      <c r="P224" s="57"/>
    </row>
    <row r="225" spans="1:16" x14ac:dyDescent="0.2">
      <c r="A225" s="12"/>
      <c r="B225" s="8"/>
      <c r="C225" s="9"/>
      <c r="D225" s="10"/>
      <c r="E225" s="15"/>
      <c r="F225" s="18"/>
      <c r="K225" s="53"/>
      <c r="L225" s="20" t="s">
        <v>29</v>
      </c>
      <c r="M225" s="9">
        <v>1</v>
      </c>
      <c r="N225" s="15">
        <v>50000</v>
      </c>
      <c r="O225" s="15">
        <f t="shared" ref="O225:O233" si="28">N225*M225</f>
        <v>50000</v>
      </c>
      <c r="P225" s="57"/>
    </row>
    <row r="226" spans="1:16" x14ac:dyDescent="0.2">
      <c r="A226" s="12"/>
      <c r="B226" s="8"/>
      <c r="C226" s="9"/>
      <c r="D226" s="10"/>
      <c r="E226" s="15"/>
      <c r="F226" s="18"/>
      <c r="K226" s="53"/>
      <c r="L226" s="20" t="s">
        <v>22</v>
      </c>
      <c r="M226" s="9">
        <v>0.5</v>
      </c>
      <c r="N226" s="15">
        <v>20000</v>
      </c>
      <c r="O226" s="15">
        <f t="shared" si="28"/>
        <v>10000</v>
      </c>
      <c r="P226" s="57"/>
    </row>
    <row r="227" spans="1:16" x14ac:dyDescent="0.2">
      <c r="A227" s="12"/>
      <c r="B227" s="8"/>
      <c r="C227" s="9"/>
      <c r="D227" s="10"/>
      <c r="E227" s="15"/>
      <c r="F227" s="18"/>
      <c r="K227" s="53"/>
      <c r="L227" s="20" t="s">
        <v>81</v>
      </c>
      <c r="M227" s="9">
        <v>0.2</v>
      </c>
      <c r="N227" s="15">
        <v>120000</v>
      </c>
      <c r="O227" s="15">
        <f t="shared" si="28"/>
        <v>24000</v>
      </c>
      <c r="P227" s="57"/>
    </row>
    <row r="228" spans="1:16" x14ac:dyDescent="0.2">
      <c r="A228" s="12"/>
      <c r="B228" s="8"/>
      <c r="C228" s="9"/>
      <c r="D228" s="10"/>
      <c r="E228" s="15"/>
      <c r="F228" s="18"/>
      <c r="K228" s="53"/>
      <c r="L228" s="20" t="s">
        <v>33</v>
      </c>
      <c r="M228" s="9">
        <v>4</v>
      </c>
      <c r="N228" s="15">
        <v>24000</v>
      </c>
      <c r="O228" s="15">
        <f t="shared" si="28"/>
        <v>96000</v>
      </c>
      <c r="P228" s="57"/>
    </row>
    <row r="229" spans="1:16" x14ac:dyDescent="0.2">
      <c r="A229" s="12"/>
      <c r="B229" s="8"/>
      <c r="C229" s="9"/>
      <c r="D229" s="10"/>
      <c r="E229" s="15"/>
      <c r="F229" s="18"/>
      <c r="K229" s="53"/>
      <c r="L229" s="20" t="s">
        <v>44</v>
      </c>
      <c r="M229" s="9">
        <v>1</v>
      </c>
      <c r="N229" s="15">
        <v>49000</v>
      </c>
      <c r="O229" s="15">
        <f t="shared" si="28"/>
        <v>49000</v>
      </c>
      <c r="P229" s="57"/>
    </row>
    <row r="230" spans="1:16" x14ac:dyDescent="0.2">
      <c r="A230" s="12"/>
      <c r="B230" s="8"/>
      <c r="C230" s="9"/>
      <c r="D230" s="10"/>
      <c r="E230" s="15"/>
      <c r="F230" s="18"/>
      <c r="K230" s="53"/>
      <c r="L230" s="29" t="s">
        <v>35</v>
      </c>
      <c r="M230" s="30">
        <v>1</v>
      </c>
      <c r="N230" s="31">
        <v>40000</v>
      </c>
      <c r="O230" s="15">
        <f t="shared" si="28"/>
        <v>40000</v>
      </c>
      <c r="P230" s="57"/>
    </row>
    <row r="231" spans="1:16" x14ac:dyDescent="0.2">
      <c r="A231" s="12"/>
      <c r="B231" s="8"/>
      <c r="C231" s="9"/>
      <c r="D231" s="10"/>
      <c r="E231" s="15"/>
      <c r="F231" s="18"/>
      <c r="K231" s="52">
        <v>46076</v>
      </c>
      <c r="L231" s="20" t="s">
        <v>33</v>
      </c>
      <c r="M231" s="9">
        <v>4</v>
      </c>
      <c r="N231" s="15">
        <v>24000</v>
      </c>
      <c r="O231" s="15">
        <f t="shared" si="28"/>
        <v>96000</v>
      </c>
      <c r="P231" s="56">
        <f>SUM(O231:O234)</f>
        <v>200000</v>
      </c>
    </row>
    <row r="232" spans="1:16" x14ac:dyDescent="0.2">
      <c r="A232" s="12"/>
      <c r="B232" s="8"/>
      <c r="C232" s="9"/>
      <c r="D232" s="10"/>
      <c r="E232" s="15"/>
      <c r="F232" s="18"/>
      <c r="K232" s="53"/>
      <c r="L232" s="20" t="s">
        <v>122</v>
      </c>
      <c r="M232" s="9">
        <v>1</v>
      </c>
      <c r="N232" s="15">
        <v>45000</v>
      </c>
      <c r="O232" s="15">
        <f t="shared" si="28"/>
        <v>45000</v>
      </c>
      <c r="P232" s="57"/>
    </row>
    <row r="233" spans="1:16" x14ac:dyDescent="0.2">
      <c r="A233" s="12"/>
      <c r="B233" s="8"/>
      <c r="C233" s="9"/>
      <c r="D233" s="10"/>
      <c r="E233" s="15"/>
      <c r="F233" s="18"/>
      <c r="K233" s="53"/>
      <c r="L233" s="20" t="s">
        <v>44</v>
      </c>
      <c r="M233" s="9">
        <v>1</v>
      </c>
      <c r="N233" s="15">
        <v>49000</v>
      </c>
      <c r="O233" s="15">
        <f t="shared" si="28"/>
        <v>49000</v>
      </c>
      <c r="P233" s="57"/>
    </row>
    <row r="234" spans="1:16" x14ac:dyDescent="0.2">
      <c r="A234" s="12"/>
      <c r="B234" s="8"/>
      <c r="C234" s="9"/>
      <c r="D234" s="10"/>
      <c r="E234" s="15"/>
      <c r="F234" s="18"/>
      <c r="K234" s="54"/>
      <c r="L234" s="20" t="s">
        <v>24</v>
      </c>
      <c r="M234" s="9">
        <v>0.5</v>
      </c>
      <c r="N234" s="15">
        <v>10000</v>
      </c>
      <c r="O234" s="15">
        <v>10000</v>
      </c>
      <c r="P234" s="58"/>
    </row>
    <row r="235" spans="1:16" x14ac:dyDescent="0.2">
      <c r="A235" s="12"/>
      <c r="B235" s="8"/>
      <c r="C235" s="9"/>
      <c r="D235" s="10"/>
      <c r="E235" s="15"/>
      <c r="F235" s="18"/>
      <c r="K235" s="52">
        <v>46077</v>
      </c>
      <c r="L235" s="20" t="s">
        <v>8</v>
      </c>
      <c r="M235" s="9">
        <v>10</v>
      </c>
      <c r="N235" s="15">
        <v>10000</v>
      </c>
      <c r="O235" s="15">
        <f t="shared" ref="O235:O240" si="29">N235*M235</f>
        <v>100000</v>
      </c>
      <c r="P235" s="56">
        <f>SUM(O235:O247)</f>
        <v>805000</v>
      </c>
    </row>
    <row r="236" spans="1:16" x14ac:dyDescent="0.2">
      <c r="A236" s="12"/>
      <c r="B236" s="8"/>
      <c r="C236" s="9"/>
      <c r="D236" s="10"/>
      <c r="E236" s="15"/>
      <c r="F236" s="18"/>
      <c r="K236" s="53"/>
      <c r="L236" s="20" t="s">
        <v>10</v>
      </c>
      <c r="M236" s="9">
        <v>2</v>
      </c>
      <c r="N236" s="15">
        <v>70000</v>
      </c>
      <c r="O236" s="15">
        <f t="shared" si="29"/>
        <v>140000</v>
      </c>
      <c r="P236" s="57"/>
    </row>
    <row r="237" spans="1:16" x14ac:dyDescent="0.2">
      <c r="A237" s="12"/>
      <c r="B237" s="8"/>
      <c r="C237" s="9"/>
      <c r="D237" s="10"/>
      <c r="E237" s="15"/>
      <c r="F237" s="18"/>
      <c r="K237" s="53"/>
      <c r="L237" s="20" t="s">
        <v>12</v>
      </c>
      <c r="M237" s="9">
        <v>4</v>
      </c>
      <c r="N237" s="15">
        <v>35000</v>
      </c>
      <c r="O237" s="15">
        <f t="shared" si="29"/>
        <v>140000</v>
      </c>
      <c r="P237" s="57"/>
    </row>
    <row r="238" spans="1:16" x14ac:dyDescent="0.2">
      <c r="A238" s="12"/>
      <c r="B238" s="8"/>
      <c r="C238" s="9"/>
      <c r="D238" s="10"/>
      <c r="E238" s="15"/>
      <c r="F238" s="18"/>
      <c r="K238" s="53"/>
      <c r="L238" s="20" t="s">
        <v>14</v>
      </c>
      <c r="M238" s="9">
        <v>2</v>
      </c>
      <c r="N238" s="15">
        <v>15000</v>
      </c>
      <c r="O238" s="15">
        <f t="shared" si="29"/>
        <v>30000</v>
      </c>
      <c r="P238" s="57"/>
    </row>
    <row r="239" spans="1:16" x14ac:dyDescent="0.2">
      <c r="A239" s="12"/>
      <c r="B239" s="8"/>
      <c r="C239" s="9"/>
      <c r="D239" s="10"/>
      <c r="E239" s="15"/>
      <c r="F239" s="18"/>
      <c r="G239" s="23"/>
      <c r="K239" s="53"/>
      <c r="L239" s="20" t="s">
        <v>16</v>
      </c>
      <c r="M239" s="9">
        <v>1</v>
      </c>
      <c r="N239" s="15">
        <v>55000</v>
      </c>
      <c r="O239" s="15">
        <f t="shared" si="29"/>
        <v>55000</v>
      </c>
      <c r="P239" s="57"/>
    </row>
    <row r="240" spans="1:16" x14ac:dyDescent="0.2">
      <c r="A240" s="12"/>
      <c r="B240" s="8"/>
      <c r="C240" s="9"/>
      <c r="D240" s="10"/>
      <c r="E240" s="15"/>
      <c r="F240" s="18"/>
      <c r="K240" s="53"/>
      <c r="L240" s="20" t="s">
        <v>41</v>
      </c>
      <c r="M240" s="9">
        <v>1</v>
      </c>
      <c r="N240" s="15">
        <v>30000</v>
      </c>
      <c r="O240" s="15">
        <f t="shared" si="29"/>
        <v>30000</v>
      </c>
      <c r="P240" s="57"/>
    </row>
    <row r="241" spans="1:16" x14ac:dyDescent="0.2">
      <c r="A241" s="12"/>
      <c r="B241" s="8"/>
      <c r="C241" s="9"/>
      <c r="D241" s="10"/>
      <c r="E241" s="15"/>
      <c r="F241" s="18"/>
      <c r="K241" s="53"/>
      <c r="L241" s="20" t="s">
        <v>18</v>
      </c>
      <c r="M241" s="9">
        <v>4.09</v>
      </c>
      <c r="N241" s="15">
        <v>16000</v>
      </c>
      <c r="O241" s="15">
        <v>65000</v>
      </c>
      <c r="P241" s="57"/>
    </row>
    <row r="242" spans="1:16" x14ac:dyDescent="0.2">
      <c r="A242" s="12"/>
      <c r="B242" s="8"/>
      <c r="C242" s="9"/>
      <c r="D242" s="10"/>
      <c r="E242" s="15"/>
      <c r="F242" s="18"/>
      <c r="K242" s="53"/>
      <c r="L242" s="20" t="s">
        <v>24</v>
      </c>
      <c r="M242" s="9">
        <v>0.5</v>
      </c>
      <c r="N242" s="15">
        <v>30000</v>
      </c>
      <c r="O242" s="15">
        <f t="shared" ref="O242:O249" si="30">N242*M242</f>
        <v>15000</v>
      </c>
      <c r="P242" s="57"/>
    </row>
    <row r="243" spans="1:16" x14ac:dyDescent="0.2">
      <c r="A243" s="12"/>
      <c r="B243" s="8"/>
      <c r="C243" s="9"/>
      <c r="D243" s="10"/>
      <c r="E243" s="15"/>
      <c r="F243" s="18"/>
      <c r="K243" s="53"/>
      <c r="L243" s="20" t="s">
        <v>22</v>
      </c>
      <c r="M243" s="9">
        <v>0.5</v>
      </c>
      <c r="N243" s="15">
        <v>20000</v>
      </c>
      <c r="O243" s="15">
        <f t="shared" si="30"/>
        <v>10000</v>
      </c>
      <c r="P243" s="57"/>
    </row>
    <row r="244" spans="1:16" x14ac:dyDescent="0.2">
      <c r="A244" s="12"/>
      <c r="B244" s="8"/>
      <c r="C244" s="9"/>
      <c r="D244" s="10"/>
      <c r="E244" s="15"/>
      <c r="F244" s="18"/>
      <c r="K244" s="53"/>
      <c r="L244" s="20" t="s">
        <v>27</v>
      </c>
      <c r="M244" s="9">
        <v>0.3</v>
      </c>
      <c r="N244" s="15">
        <v>70000</v>
      </c>
      <c r="O244" s="15">
        <f t="shared" si="30"/>
        <v>21000</v>
      </c>
      <c r="P244" s="57"/>
    </row>
    <row r="245" spans="1:16" x14ac:dyDescent="0.2">
      <c r="A245" s="12"/>
      <c r="B245" s="8"/>
      <c r="C245" s="9"/>
      <c r="D245" s="10"/>
      <c r="E245" s="15"/>
      <c r="F245" s="18"/>
      <c r="K245" s="53"/>
      <c r="L245" s="20" t="s">
        <v>33</v>
      </c>
      <c r="M245" s="9">
        <v>6</v>
      </c>
      <c r="N245" s="15">
        <v>24000</v>
      </c>
      <c r="O245" s="15">
        <f t="shared" si="30"/>
        <v>144000</v>
      </c>
      <c r="P245" s="57"/>
    </row>
    <row r="246" spans="1:16" x14ac:dyDescent="0.2">
      <c r="A246" s="12"/>
      <c r="B246" s="8"/>
      <c r="C246" s="9"/>
      <c r="D246" s="10"/>
      <c r="E246" s="15"/>
      <c r="F246" s="18"/>
      <c r="K246" s="53"/>
      <c r="L246" s="20" t="s">
        <v>35</v>
      </c>
      <c r="M246" s="9">
        <v>1</v>
      </c>
      <c r="N246" s="15">
        <v>40000</v>
      </c>
      <c r="O246" s="15">
        <f t="shared" si="30"/>
        <v>40000</v>
      </c>
      <c r="P246" s="57"/>
    </row>
    <row r="247" spans="1:16" x14ac:dyDescent="0.2">
      <c r="A247" s="12"/>
      <c r="B247" s="8"/>
      <c r="C247" s="9"/>
      <c r="D247" s="10"/>
      <c r="E247" s="15"/>
      <c r="F247" s="18"/>
      <c r="K247" s="54"/>
      <c r="L247" s="20" t="s">
        <v>14</v>
      </c>
      <c r="M247" s="9">
        <v>1</v>
      </c>
      <c r="N247" s="15">
        <v>15000</v>
      </c>
      <c r="O247" s="15">
        <f t="shared" si="30"/>
        <v>15000</v>
      </c>
      <c r="P247" s="58"/>
    </row>
    <row r="248" spans="1:16" x14ac:dyDescent="0.2">
      <c r="A248" s="12"/>
      <c r="B248" s="8"/>
      <c r="C248" s="9"/>
      <c r="D248" s="10"/>
      <c r="E248" s="15"/>
      <c r="F248" s="18"/>
      <c r="K248" s="52">
        <v>46078</v>
      </c>
      <c r="L248" s="20" t="s">
        <v>8</v>
      </c>
      <c r="M248" s="9">
        <v>5</v>
      </c>
      <c r="N248" s="15">
        <v>10000</v>
      </c>
      <c r="O248" s="15">
        <f t="shared" si="30"/>
        <v>50000</v>
      </c>
      <c r="P248" s="56">
        <f>SUM(O248:O254)</f>
        <v>399000</v>
      </c>
    </row>
    <row r="249" spans="1:16" x14ac:dyDescent="0.2">
      <c r="A249" s="12"/>
      <c r="B249" s="8"/>
      <c r="C249" s="9"/>
      <c r="D249" s="10"/>
      <c r="E249" s="15"/>
      <c r="F249" s="18"/>
      <c r="K249" s="53"/>
      <c r="L249" s="20" t="s">
        <v>12</v>
      </c>
      <c r="M249" s="9">
        <v>3</v>
      </c>
      <c r="N249" s="15">
        <v>35000</v>
      </c>
      <c r="O249" s="15">
        <f t="shared" si="30"/>
        <v>105000</v>
      </c>
      <c r="P249" s="57"/>
    </row>
    <row r="250" spans="1:16" x14ac:dyDescent="0.2">
      <c r="A250" s="12"/>
      <c r="B250" s="8"/>
      <c r="C250" s="9"/>
      <c r="D250" s="10"/>
      <c r="E250" s="15"/>
      <c r="F250" s="18"/>
      <c r="K250" s="53"/>
      <c r="L250" s="20" t="s">
        <v>10</v>
      </c>
      <c r="M250" s="9">
        <v>2.08</v>
      </c>
      <c r="N250" s="15">
        <v>70000</v>
      </c>
      <c r="O250" s="15">
        <v>146000</v>
      </c>
      <c r="P250" s="57"/>
    </row>
    <row r="251" spans="1:16" x14ac:dyDescent="0.2">
      <c r="A251" s="12"/>
      <c r="B251" s="8"/>
      <c r="C251" s="9"/>
      <c r="D251" s="10"/>
      <c r="E251" s="15"/>
      <c r="F251" s="18"/>
      <c r="K251" s="53"/>
      <c r="L251" s="20" t="s">
        <v>24</v>
      </c>
      <c r="M251" s="9">
        <v>0.3</v>
      </c>
      <c r="N251" s="15">
        <v>30000</v>
      </c>
      <c r="O251" s="15">
        <f t="shared" ref="O251:O258" si="31">N251*M251</f>
        <v>9000</v>
      </c>
      <c r="P251" s="57"/>
    </row>
    <row r="252" spans="1:16" x14ac:dyDescent="0.2">
      <c r="A252" s="12"/>
      <c r="B252" s="8"/>
      <c r="C252" s="9"/>
      <c r="D252" s="10"/>
      <c r="E252" s="15"/>
      <c r="F252" s="18"/>
      <c r="K252" s="53"/>
      <c r="L252" s="20" t="s">
        <v>35</v>
      </c>
      <c r="M252" s="9">
        <v>1</v>
      </c>
      <c r="N252" s="15">
        <v>40000</v>
      </c>
      <c r="O252" s="15">
        <f t="shared" si="31"/>
        <v>40000</v>
      </c>
      <c r="P252" s="57"/>
    </row>
    <row r="253" spans="1:16" x14ac:dyDescent="0.2">
      <c r="A253" s="12"/>
      <c r="B253" s="8"/>
      <c r="C253" s="9"/>
      <c r="D253" s="10"/>
      <c r="E253" s="15"/>
      <c r="F253" s="18"/>
      <c r="K253" s="53"/>
      <c r="L253" s="20" t="s">
        <v>33</v>
      </c>
      <c r="M253" s="9">
        <v>1</v>
      </c>
      <c r="N253" s="15">
        <v>24000</v>
      </c>
      <c r="O253" s="15">
        <f t="shared" si="31"/>
        <v>24000</v>
      </c>
      <c r="P253" s="57"/>
    </row>
    <row r="254" spans="1:16" x14ac:dyDescent="0.2">
      <c r="A254" s="12"/>
      <c r="B254" s="8"/>
      <c r="C254" s="9"/>
      <c r="D254" s="10"/>
      <c r="E254" s="15"/>
      <c r="F254" s="18"/>
      <c r="K254" s="54"/>
      <c r="L254" s="20" t="s">
        <v>47</v>
      </c>
      <c r="M254" s="9">
        <v>1</v>
      </c>
      <c r="N254" s="15">
        <v>25000</v>
      </c>
      <c r="O254" s="15">
        <f t="shared" si="31"/>
        <v>25000</v>
      </c>
      <c r="P254" s="58"/>
    </row>
    <row r="255" spans="1:16" x14ac:dyDescent="0.2">
      <c r="A255" s="12"/>
      <c r="B255" s="8"/>
      <c r="C255" s="9"/>
      <c r="D255" s="10"/>
      <c r="E255" s="15"/>
      <c r="F255" s="18"/>
      <c r="K255" s="55">
        <v>46079</v>
      </c>
      <c r="L255" s="20" t="s">
        <v>37</v>
      </c>
      <c r="M255" s="9">
        <v>1</v>
      </c>
      <c r="N255" s="15">
        <v>20000</v>
      </c>
      <c r="O255" s="15">
        <f t="shared" si="31"/>
        <v>20000</v>
      </c>
      <c r="P255" s="56">
        <f>SUM(O255:O266)</f>
        <v>558000</v>
      </c>
    </row>
    <row r="256" spans="1:16" x14ac:dyDescent="0.2">
      <c r="A256" s="12"/>
      <c r="B256" s="8"/>
      <c r="C256" s="9"/>
      <c r="D256" s="10"/>
      <c r="E256" s="15"/>
      <c r="F256" s="18"/>
      <c r="K256" s="55"/>
      <c r="L256" s="20" t="s">
        <v>138</v>
      </c>
      <c r="M256" s="9">
        <v>1</v>
      </c>
      <c r="N256" s="15">
        <v>35000</v>
      </c>
      <c r="O256" s="15">
        <f t="shared" si="31"/>
        <v>35000</v>
      </c>
      <c r="P256" s="57"/>
    </row>
    <row r="257" spans="1:16" x14ac:dyDescent="0.2">
      <c r="A257" s="12"/>
      <c r="B257" s="8"/>
      <c r="C257" s="9"/>
      <c r="D257" s="10"/>
      <c r="E257" s="15"/>
      <c r="F257" s="18"/>
      <c r="K257" s="55"/>
      <c r="L257" s="20" t="s">
        <v>33</v>
      </c>
      <c r="M257" s="9">
        <v>3</v>
      </c>
      <c r="N257" s="15">
        <v>24000</v>
      </c>
      <c r="O257" s="15">
        <f t="shared" si="31"/>
        <v>72000</v>
      </c>
      <c r="P257" s="57"/>
    </row>
    <row r="258" spans="1:16" x14ac:dyDescent="0.2">
      <c r="A258" s="12"/>
      <c r="B258" s="8"/>
      <c r="C258" s="9"/>
      <c r="D258" s="10"/>
      <c r="E258" s="15"/>
      <c r="F258" s="18"/>
      <c r="K258" s="55"/>
      <c r="L258" s="20" t="s">
        <v>44</v>
      </c>
      <c r="M258" s="9">
        <v>1</v>
      </c>
      <c r="N258" s="15">
        <v>49000</v>
      </c>
      <c r="O258" s="15">
        <f t="shared" si="31"/>
        <v>49000</v>
      </c>
      <c r="P258" s="57"/>
    </row>
    <row r="259" spans="1:16" x14ac:dyDescent="0.2">
      <c r="A259" s="12"/>
      <c r="B259" s="8"/>
      <c r="C259" s="9"/>
      <c r="D259" s="10"/>
      <c r="E259" s="15"/>
      <c r="F259" s="18"/>
      <c r="K259" s="55"/>
      <c r="L259" s="20" t="s">
        <v>18</v>
      </c>
      <c r="M259" s="9">
        <v>4.7699999999999996</v>
      </c>
      <c r="N259" s="15">
        <v>16000</v>
      </c>
      <c r="O259" s="15">
        <v>76000</v>
      </c>
      <c r="P259" s="57"/>
    </row>
    <row r="260" spans="1:16" x14ac:dyDescent="0.2">
      <c r="A260" s="12"/>
      <c r="B260" s="8"/>
      <c r="C260" s="9"/>
      <c r="D260" s="10"/>
      <c r="E260" s="15"/>
      <c r="F260" s="18"/>
      <c r="K260" s="55"/>
      <c r="L260" s="20" t="s">
        <v>22</v>
      </c>
      <c r="M260" s="9">
        <v>0.3</v>
      </c>
      <c r="N260" s="15">
        <v>20000</v>
      </c>
      <c r="O260" s="15">
        <f t="shared" ref="O260:O267" si="32">N260*M260</f>
        <v>6000</v>
      </c>
      <c r="P260" s="57"/>
    </row>
    <row r="261" spans="1:16" x14ac:dyDescent="0.2">
      <c r="A261" s="12"/>
      <c r="B261" s="8"/>
      <c r="C261" s="9"/>
      <c r="D261" s="10"/>
      <c r="E261" s="15"/>
      <c r="F261" s="18"/>
      <c r="K261" s="55"/>
      <c r="L261" s="20" t="s">
        <v>24</v>
      </c>
      <c r="M261" s="9">
        <v>0.3</v>
      </c>
      <c r="N261" s="15">
        <v>30000</v>
      </c>
      <c r="O261" s="15">
        <f t="shared" si="32"/>
        <v>9000</v>
      </c>
      <c r="P261" s="57"/>
    </row>
    <row r="262" spans="1:16" x14ac:dyDescent="0.2">
      <c r="A262" s="12"/>
      <c r="B262" s="8"/>
      <c r="C262" s="9"/>
      <c r="D262" s="10"/>
      <c r="E262" s="15"/>
      <c r="F262" s="18"/>
      <c r="K262" s="55"/>
      <c r="L262" s="20" t="s">
        <v>62</v>
      </c>
      <c r="M262" s="9">
        <v>0.3</v>
      </c>
      <c r="N262" s="15">
        <v>35000</v>
      </c>
      <c r="O262" s="15">
        <v>11000</v>
      </c>
      <c r="P262" s="57"/>
    </row>
    <row r="263" spans="1:16" x14ac:dyDescent="0.2">
      <c r="A263" s="12"/>
      <c r="B263" s="8"/>
      <c r="C263" s="9"/>
      <c r="D263" s="10"/>
      <c r="E263" s="15"/>
      <c r="F263" s="18"/>
      <c r="K263" s="55"/>
      <c r="L263" s="20" t="s">
        <v>10</v>
      </c>
      <c r="M263" s="9">
        <v>1</v>
      </c>
      <c r="N263" s="15">
        <v>70000</v>
      </c>
      <c r="O263" s="15">
        <f t="shared" si="32"/>
        <v>70000</v>
      </c>
      <c r="P263" s="57"/>
    </row>
    <row r="264" spans="1:16" x14ac:dyDescent="0.2">
      <c r="A264" s="12"/>
      <c r="B264" s="8"/>
      <c r="C264" s="9"/>
      <c r="D264" s="10"/>
      <c r="E264" s="15"/>
      <c r="F264" s="18"/>
      <c r="K264" s="55"/>
      <c r="L264" s="20" t="s">
        <v>29</v>
      </c>
      <c r="M264" s="9">
        <v>1</v>
      </c>
      <c r="N264" s="15">
        <v>50000</v>
      </c>
      <c r="O264" s="15">
        <f t="shared" si="32"/>
        <v>50000</v>
      </c>
      <c r="P264" s="57"/>
    </row>
    <row r="265" spans="1:16" x14ac:dyDescent="0.2">
      <c r="A265" s="12"/>
      <c r="B265" s="8"/>
      <c r="C265" s="9"/>
      <c r="D265" s="10"/>
      <c r="E265" s="15"/>
      <c r="F265" s="18"/>
      <c r="K265" s="55"/>
      <c r="L265" s="20" t="s">
        <v>16</v>
      </c>
      <c r="M265" s="9">
        <v>1</v>
      </c>
      <c r="N265" s="15">
        <v>55000</v>
      </c>
      <c r="O265" s="15">
        <f t="shared" si="32"/>
        <v>55000</v>
      </c>
      <c r="P265" s="57"/>
    </row>
    <row r="266" spans="1:16" x14ac:dyDescent="0.2">
      <c r="A266" s="12"/>
      <c r="B266" s="8"/>
      <c r="C266" s="9"/>
      <c r="D266" s="10"/>
      <c r="E266" s="15"/>
      <c r="F266" s="18"/>
      <c r="K266" s="55"/>
      <c r="L266" s="20" t="s">
        <v>12</v>
      </c>
      <c r="M266" s="9">
        <v>3</v>
      </c>
      <c r="N266" s="15">
        <v>35000</v>
      </c>
      <c r="O266" s="15">
        <f t="shared" si="32"/>
        <v>105000</v>
      </c>
      <c r="P266" s="58"/>
    </row>
    <row r="267" spans="1:16" x14ac:dyDescent="0.2">
      <c r="A267" s="12"/>
      <c r="B267" s="8"/>
      <c r="C267" s="9"/>
      <c r="D267" s="10"/>
      <c r="E267" s="15"/>
      <c r="F267" s="18"/>
      <c r="K267" s="52">
        <v>46080</v>
      </c>
      <c r="L267" s="20" t="s">
        <v>41</v>
      </c>
      <c r="M267" s="9">
        <v>1</v>
      </c>
      <c r="N267" s="15">
        <v>30000</v>
      </c>
      <c r="O267" s="15">
        <f t="shared" si="32"/>
        <v>30000</v>
      </c>
      <c r="P267" s="56">
        <f>SUM(O267:O272)</f>
        <v>419000</v>
      </c>
    </row>
    <row r="268" spans="1:16" x14ac:dyDescent="0.2">
      <c r="A268" s="12"/>
      <c r="B268" s="8"/>
      <c r="C268" s="9"/>
      <c r="D268" s="10"/>
      <c r="E268" s="15"/>
      <c r="F268" s="18"/>
      <c r="K268" s="53"/>
      <c r="L268" s="20" t="s">
        <v>18</v>
      </c>
      <c r="M268" s="9">
        <v>3.63</v>
      </c>
      <c r="N268" s="15">
        <v>16000</v>
      </c>
      <c r="O268" s="15">
        <v>58000</v>
      </c>
      <c r="P268" s="57"/>
    </row>
    <row r="269" spans="1:16" x14ac:dyDescent="0.2">
      <c r="A269" s="12"/>
      <c r="B269" s="8"/>
      <c r="C269" s="9"/>
      <c r="D269" s="10"/>
      <c r="E269" s="15"/>
      <c r="F269" s="18"/>
      <c r="K269" s="53"/>
      <c r="L269" s="20" t="s">
        <v>77</v>
      </c>
      <c r="M269" s="9">
        <v>4</v>
      </c>
      <c r="N269" s="15">
        <v>20000</v>
      </c>
      <c r="O269" s="15">
        <f t="shared" ref="O269:O276" si="33">N269*M269</f>
        <v>80000</v>
      </c>
      <c r="P269" s="57"/>
    </row>
    <row r="270" spans="1:16" x14ac:dyDescent="0.2">
      <c r="A270" s="12"/>
      <c r="B270" s="8"/>
      <c r="C270" s="9"/>
      <c r="D270" s="10"/>
      <c r="E270" s="15"/>
      <c r="F270" s="18"/>
      <c r="K270" s="53"/>
      <c r="L270" s="20" t="s">
        <v>31</v>
      </c>
      <c r="M270" s="9">
        <v>0.75</v>
      </c>
      <c r="N270" s="15">
        <v>100000</v>
      </c>
      <c r="O270" s="15">
        <f t="shared" si="33"/>
        <v>75000</v>
      </c>
      <c r="P270" s="57"/>
    </row>
    <row r="271" spans="1:16" x14ac:dyDescent="0.2">
      <c r="A271" s="12"/>
      <c r="B271" s="8"/>
      <c r="C271" s="9"/>
      <c r="D271" s="10"/>
      <c r="E271" s="15"/>
      <c r="F271" s="18"/>
      <c r="K271" s="53"/>
      <c r="L271" s="20" t="s">
        <v>33</v>
      </c>
      <c r="M271" s="9">
        <v>4</v>
      </c>
      <c r="N271" s="15">
        <v>24000</v>
      </c>
      <c r="O271" s="15">
        <f t="shared" si="33"/>
        <v>96000</v>
      </c>
      <c r="P271" s="57"/>
    </row>
    <row r="272" spans="1:16" x14ac:dyDescent="0.2">
      <c r="A272" s="12"/>
      <c r="B272" s="8"/>
      <c r="C272" s="9"/>
      <c r="D272" s="10"/>
      <c r="E272" s="15"/>
      <c r="F272" s="18"/>
      <c r="K272" s="54"/>
      <c r="L272" s="20" t="s">
        <v>35</v>
      </c>
      <c r="M272" s="9">
        <v>2</v>
      </c>
      <c r="N272" s="15">
        <v>40000</v>
      </c>
      <c r="O272" s="15">
        <f t="shared" si="33"/>
        <v>80000</v>
      </c>
      <c r="P272" s="58"/>
    </row>
    <row r="273" spans="1:16" x14ac:dyDescent="0.2">
      <c r="A273" s="12"/>
      <c r="B273" s="8"/>
      <c r="C273" s="9"/>
      <c r="D273" s="10"/>
      <c r="E273" s="15"/>
      <c r="F273" s="18"/>
      <c r="K273" s="52">
        <v>46081</v>
      </c>
      <c r="L273" s="20" t="s">
        <v>8</v>
      </c>
      <c r="M273" s="9">
        <v>8</v>
      </c>
      <c r="N273" s="15">
        <v>10000</v>
      </c>
      <c r="O273" s="15">
        <f t="shared" si="33"/>
        <v>80000</v>
      </c>
      <c r="P273" s="56">
        <f>SUM(O273:O286)</f>
        <v>880000</v>
      </c>
    </row>
    <row r="274" spans="1:16" x14ac:dyDescent="0.2">
      <c r="A274" s="12"/>
      <c r="B274" s="8"/>
      <c r="C274" s="9"/>
      <c r="D274" s="10"/>
      <c r="E274" s="15"/>
      <c r="F274" s="18"/>
      <c r="K274" s="53"/>
      <c r="L274" s="20" t="s">
        <v>10</v>
      </c>
      <c r="M274" s="9">
        <v>2</v>
      </c>
      <c r="N274" s="15">
        <v>70000</v>
      </c>
      <c r="O274" s="15">
        <f t="shared" si="33"/>
        <v>140000</v>
      </c>
      <c r="P274" s="57"/>
    </row>
    <row r="275" spans="1:16" x14ac:dyDescent="0.2">
      <c r="A275" s="12"/>
      <c r="B275" s="8"/>
      <c r="C275" s="9"/>
      <c r="D275" s="10"/>
      <c r="E275" s="15"/>
      <c r="F275" s="18"/>
      <c r="K275" s="53"/>
      <c r="L275" s="20" t="s">
        <v>12</v>
      </c>
      <c r="M275" s="9">
        <v>4</v>
      </c>
      <c r="N275" s="15">
        <v>35000</v>
      </c>
      <c r="O275" s="15">
        <f t="shared" si="33"/>
        <v>140000</v>
      </c>
      <c r="P275" s="57"/>
    </row>
    <row r="276" spans="1:16" x14ac:dyDescent="0.2">
      <c r="A276" s="12"/>
      <c r="B276" s="8"/>
      <c r="C276" s="9"/>
      <c r="D276" s="10"/>
      <c r="E276" s="15"/>
      <c r="F276" s="18"/>
      <c r="K276" s="53"/>
      <c r="L276" s="20" t="s">
        <v>14</v>
      </c>
      <c r="M276" s="9">
        <v>1</v>
      </c>
      <c r="N276" s="15">
        <v>15000</v>
      </c>
      <c r="O276" s="15">
        <f t="shared" si="33"/>
        <v>15000</v>
      </c>
      <c r="P276" s="57"/>
    </row>
    <row r="277" spans="1:16" x14ac:dyDescent="0.2">
      <c r="A277" s="12"/>
      <c r="B277" s="8"/>
      <c r="C277" s="9"/>
      <c r="D277" s="10"/>
      <c r="E277" s="15"/>
      <c r="F277" s="18"/>
      <c r="K277" s="53"/>
      <c r="L277" s="20" t="s">
        <v>18</v>
      </c>
      <c r="M277" s="9">
        <v>7.5149999999999997</v>
      </c>
      <c r="N277" s="15">
        <v>16000</v>
      </c>
      <c r="O277" s="15">
        <v>120000</v>
      </c>
      <c r="P277" s="57"/>
    </row>
    <row r="278" spans="1:16" x14ac:dyDescent="0.2">
      <c r="A278" s="12"/>
      <c r="B278" s="8"/>
      <c r="C278" s="9"/>
      <c r="D278" s="10"/>
      <c r="E278" s="15"/>
      <c r="F278" s="18"/>
      <c r="K278" s="53"/>
      <c r="L278" s="20" t="s">
        <v>69</v>
      </c>
      <c r="M278" s="9">
        <v>16</v>
      </c>
      <c r="N278" s="15">
        <v>2000</v>
      </c>
      <c r="O278" s="15">
        <f t="shared" ref="O278:O284" si="34">N278*M278</f>
        <v>32000</v>
      </c>
      <c r="P278" s="57"/>
    </row>
    <row r="279" spans="1:16" x14ac:dyDescent="0.2">
      <c r="A279" s="12"/>
      <c r="B279" s="8"/>
      <c r="C279" s="9"/>
      <c r="D279" s="10"/>
      <c r="E279" s="15"/>
      <c r="F279" s="18"/>
      <c r="K279" s="53"/>
      <c r="L279" s="20" t="s">
        <v>22</v>
      </c>
      <c r="M279" s="9">
        <v>0.5</v>
      </c>
      <c r="N279" s="15">
        <v>20000</v>
      </c>
      <c r="O279" s="15">
        <f t="shared" si="34"/>
        <v>10000</v>
      </c>
      <c r="P279" s="57"/>
    </row>
    <row r="280" spans="1:16" x14ac:dyDescent="0.2">
      <c r="A280" s="12"/>
      <c r="B280" s="8"/>
      <c r="C280" s="9"/>
      <c r="D280" s="10"/>
      <c r="E280" s="15"/>
      <c r="F280" s="18"/>
      <c r="K280" s="53"/>
      <c r="L280" s="20" t="s">
        <v>24</v>
      </c>
      <c r="M280" s="9">
        <v>0.5</v>
      </c>
      <c r="N280" s="15">
        <v>30000</v>
      </c>
      <c r="O280" s="15">
        <f t="shared" si="34"/>
        <v>15000</v>
      </c>
      <c r="P280" s="57"/>
    </row>
    <row r="281" spans="1:16" x14ac:dyDescent="0.2">
      <c r="A281" s="12"/>
      <c r="B281" s="8"/>
      <c r="C281" s="9"/>
      <c r="D281" s="10"/>
      <c r="E281" s="15"/>
      <c r="F281" s="18"/>
      <c r="K281" s="53"/>
      <c r="L281" s="20" t="s">
        <v>33</v>
      </c>
      <c r="M281" s="9">
        <v>4</v>
      </c>
      <c r="N281" s="15">
        <v>24000</v>
      </c>
      <c r="O281" s="15">
        <f t="shared" si="34"/>
        <v>96000</v>
      </c>
      <c r="P281" s="57"/>
    </row>
    <row r="282" spans="1:16" x14ac:dyDescent="0.2">
      <c r="A282" s="12"/>
      <c r="B282" s="8"/>
      <c r="C282" s="9"/>
      <c r="D282" s="10"/>
      <c r="E282" s="15"/>
      <c r="F282" s="18"/>
      <c r="K282" s="53"/>
      <c r="L282" s="20" t="s">
        <v>35</v>
      </c>
      <c r="M282" s="9">
        <v>1</v>
      </c>
      <c r="N282" s="15">
        <v>40000</v>
      </c>
      <c r="O282" s="15">
        <f t="shared" si="34"/>
        <v>40000</v>
      </c>
      <c r="P282" s="57"/>
    </row>
    <row r="283" spans="1:16" x14ac:dyDescent="0.2">
      <c r="A283" s="12"/>
      <c r="B283" s="8"/>
      <c r="C283" s="9"/>
      <c r="D283" s="10"/>
      <c r="E283" s="15"/>
      <c r="F283" s="18"/>
      <c r="K283" s="53"/>
      <c r="L283" s="20" t="s">
        <v>44</v>
      </c>
      <c r="M283" s="9">
        <v>1</v>
      </c>
      <c r="N283" s="15">
        <v>49000</v>
      </c>
      <c r="O283" s="15">
        <f t="shared" si="34"/>
        <v>49000</v>
      </c>
      <c r="P283" s="57"/>
    </row>
    <row r="284" spans="1:16" x14ac:dyDescent="0.2">
      <c r="A284" s="12"/>
      <c r="B284" s="8"/>
      <c r="C284" s="9"/>
      <c r="D284" s="10"/>
      <c r="E284" s="15"/>
      <c r="F284" s="18"/>
      <c r="K284" s="53"/>
      <c r="L284" s="20" t="s">
        <v>139</v>
      </c>
      <c r="M284" s="9">
        <v>1</v>
      </c>
      <c r="N284" s="15">
        <v>75000</v>
      </c>
      <c r="O284" s="15">
        <f t="shared" si="34"/>
        <v>75000</v>
      </c>
      <c r="P284" s="57"/>
    </row>
    <row r="285" spans="1:16" x14ac:dyDescent="0.2">
      <c r="A285" s="12"/>
      <c r="B285" s="8"/>
      <c r="C285" s="9"/>
      <c r="D285" s="10"/>
      <c r="E285" s="15"/>
      <c r="F285" s="18"/>
      <c r="K285" s="53"/>
      <c r="L285" s="20" t="s">
        <v>68</v>
      </c>
      <c r="M285" s="9">
        <v>0.5</v>
      </c>
      <c r="N285" s="15">
        <v>35000</v>
      </c>
      <c r="O285" s="15">
        <v>18000</v>
      </c>
      <c r="P285" s="57"/>
    </row>
    <row r="286" spans="1:16" x14ac:dyDescent="0.2">
      <c r="A286" s="12"/>
      <c r="B286" s="8"/>
      <c r="C286" s="9"/>
      <c r="D286" s="10"/>
      <c r="E286" s="15"/>
      <c r="F286" s="18"/>
      <c r="K286" s="54"/>
      <c r="L286" s="20" t="s">
        <v>31</v>
      </c>
      <c r="M286" s="9">
        <v>0.5</v>
      </c>
      <c r="N286" s="15">
        <v>100000</v>
      </c>
      <c r="O286" s="15">
        <f>N286*M286</f>
        <v>50000</v>
      </c>
      <c r="P286" s="58"/>
    </row>
    <row r="287" spans="1:16" x14ac:dyDescent="0.2">
      <c r="A287" s="12"/>
      <c r="B287" s="8"/>
      <c r="C287" s="9"/>
      <c r="D287" s="10"/>
      <c r="E287" s="15"/>
      <c r="F287" s="18"/>
      <c r="K287" s="24"/>
      <c r="L287" s="20"/>
      <c r="M287" s="9"/>
      <c r="N287" s="15"/>
      <c r="O287" s="15"/>
      <c r="P287" s="15"/>
    </row>
    <row r="288" spans="1:16" x14ac:dyDescent="0.2">
      <c r="A288" s="12"/>
      <c r="B288" s="8"/>
      <c r="C288" s="9"/>
      <c r="D288" s="10"/>
      <c r="E288" s="15"/>
      <c r="F288" s="18"/>
      <c r="K288" s="24"/>
      <c r="L288" s="20"/>
      <c r="M288" s="9"/>
      <c r="N288" s="15"/>
      <c r="O288" s="15"/>
      <c r="P288" s="15"/>
    </row>
    <row r="289" spans="1:16" x14ac:dyDescent="0.2">
      <c r="A289" s="12"/>
      <c r="B289" s="8"/>
      <c r="C289" s="9"/>
      <c r="D289" s="10"/>
      <c r="E289" s="15"/>
      <c r="F289" s="18"/>
      <c r="K289" s="24"/>
      <c r="L289" s="20"/>
      <c r="M289" s="9"/>
      <c r="N289" s="15"/>
      <c r="O289" s="15"/>
      <c r="P289" s="15"/>
    </row>
    <row r="290" spans="1:16" x14ac:dyDescent="0.2">
      <c r="A290" s="12"/>
      <c r="B290" s="8"/>
      <c r="C290" s="9"/>
      <c r="D290" s="10"/>
      <c r="E290" s="15"/>
      <c r="F290" s="18"/>
      <c r="K290" s="24"/>
      <c r="L290" s="20"/>
      <c r="M290" s="9"/>
      <c r="N290" s="15"/>
      <c r="O290" s="15"/>
      <c r="P290" s="15"/>
    </row>
    <row r="291" spans="1:16" x14ac:dyDescent="0.2">
      <c r="A291" s="12"/>
      <c r="B291" s="8"/>
      <c r="C291" s="9"/>
      <c r="D291" s="10"/>
      <c r="E291" s="15"/>
      <c r="F291" s="18"/>
      <c r="K291" s="24"/>
      <c r="L291" s="20"/>
      <c r="M291" s="9"/>
      <c r="N291" s="15"/>
      <c r="O291" s="15"/>
      <c r="P291" s="15"/>
    </row>
    <row r="292" spans="1:16" x14ac:dyDescent="0.2">
      <c r="A292" s="12"/>
      <c r="B292" s="8"/>
      <c r="C292" s="9"/>
      <c r="D292" s="10"/>
      <c r="E292" s="15"/>
      <c r="F292" s="18"/>
      <c r="K292" s="24"/>
      <c r="L292" s="20"/>
      <c r="M292" s="9"/>
      <c r="N292" s="15"/>
      <c r="O292" s="15"/>
      <c r="P292" s="15"/>
    </row>
    <row r="293" spans="1:16" x14ac:dyDescent="0.2">
      <c r="A293" s="12"/>
      <c r="B293" s="8"/>
      <c r="C293" s="9"/>
      <c r="D293" s="10"/>
      <c r="E293" s="15"/>
      <c r="F293" s="18"/>
      <c r="K293" s="24"/>
      <c r="L293" s="20"/>
      <c r="M293" s="9"/>
      <c r="N293" s="15"/>
      <c r="O293" s="15"/>
      <c r="P293" s="15"/>
    </row>
    <row r="294" spans="1:16" x14ac:dyDescent="0.2">
      <c r="A294" s="12"/>
      <c r="B294" s="8"/>
      <c r="C294" s="9"/>
      <c r="D294" s="10"/>
      <c r="E294" s="15"/>
      <c r="F294" s="18"/>
      <c r="K294" s="24"/>
      <c r="L294" s="20"/>
      <c r="M294" s="9"/>
      <c r="N294" s="15"/>
      <c r="O294" s="15"/>
      <c r="P294" s="15"/>
    </row>
    <row r="295" spans="1:16" x14ac:dyDescent="0.2">
      <c r="A295" s="12"/>
      <c r="B295" s="8"/>
      <c r="C295" s="9"/>
      <c r="D295" s="10"/>
      <c r="E295" s="15"/>
      <c r="F295" s="18"/>
      <c r="K295" s="24"/>
      <c r="L295" s="20"/>
      <c r="M295" s="9"/>
      <c r="N295" s="15"/>
      <c r="O295" s="15"/>
      <c r="P295" s="15"/>
    </row>
    <row r="296" spans="1:16" x14ac:dyDescent="0.2">
      <c r="A296" s="12"/>
      <c r="B296" s="8"/>
      <c r="C296" s="9"/>
      <c r="D296" s="10"/>
      <c r="E296" s="15"/>
      <c r="F296" s="18"/>
      <c r="K296" s="24"/>
      <c r="L296" s="20"/>
      <c r="M296" s="9"/>
      <c r="N296" s="15"/>
      <c r="O296" s="15"/>
      <c r="P296" s="15"/>
    </row>
    <row r="297" spans="1:16" x14ac:dyDescent="0.2">
      <c r="A297" s="12"/>
      <c r="B297" s="8"/>
      <c r="C297" s="9"/>
      <c r="D297" s="10"/>
      <c r="E297" s="15"/>
      <c r="F297" s="18"/>
      <c r="K297" s="24"/>
      <c r="L297" s="20"/>
      <c r="M297" s="9"/>
      <c r="N297" s="15"/>
      <c r="O297" s="15"/>
      <c r="P297" s="15"/>
    </row>
    <row r="298" spans="1:16" x14ac:dyDescent="0.2">
      <c r="A298" s="12"/>
      <c r="B298" s="8"/>
      <c r="C298" s="9"/>
      <c r="D298" s="10"/>
      <c r="E298" s="15"/>
      <c r="F298" s="18"/>
      <c r="K298" s="24"/>
      <c r="L298" s="20"/>
      <c r="M298" s="9"/>
      <c r="N298" s="15"/>
      <c r="O298" s="15"/>
      <c r="P298" s="15"/>
    </row>
    <row r="299" spans="1:16" x14ac:dyDescent="0.2">
      <c r="A299" s="12"/>
      <c r="B299" s="8"/>
      <c r="C299" s="9"/>
      <c r="D299" s="10"/>
      <c r="E299" s="15"/>
      <c r="F299" s="18"/>
      <c r="K299" s="24"/>
      <c r="L299" s="20"/>
      <c r="M299" s="9"/>
      <c r="N299" s="15"/>
      <c r="O299" s="15"/>
      <c r="P299" s="15"/>
    </row>
    <row r="300" spans="1:16" x14ac:dyDescent="0.2">
      <c r="A300" s="12"/>
      <c r="B300" s="8"/>
      <c r="C300" s="9"/>
      <c r="D300" s="10"/>
      <c r="E300" s="15"/>
      <c r="F300" s="18"/>
      <c r="K300" s="24"/>
      <c r="L300" s="20"/>
      <c r="M300" s="9"/>
      <c r="N300" s="15"/>
      <c r="O300" s="15"/>
      <c r="P300" s="15"/>
    </row>
    <row r="301" spans="1:16" x14ac:dyDescent="0.2">
      <c r="A301" s="12"/>
      <c r="B301" s="8"/>
      <c r="C301" s="9"/>
      <c r="D301" s="10"/>
      <c r="E301" s="15"/>
      <c r="F301" s="18"/>
      <c r="K301" s="24"/>
      <c r="L301" s="20"/>
      <c r="M301" s="9"/>
      <c r="N301" s="15"/>
      <c r="O301" s="15"/>
      <c r="P301" s="15"/>
    </row>
    <row r="302" spans="1:16" x14ac:dyDescent="0.2">
      <c r="A302" s="12"/>
      <c r="B302" s="8"/>
      <c r="C302" s="9"/>
      <c r="D302" s="10"/>
      <c r="E302" s="15"/>
      <c r="F302" s="18"/>
      <c r="K302" s="24"/>
      <c r="L302" s="20"/>
      <c r="M302" s="9"/>
      <c r="N302" s="15"/>
      <c r="O302" s="15"/>
      <c r="P302" s="15"/>
    </row>
    <row r="303" spans="1:16" x14ac:dyDescent="0.2">
      <c r="A303" s="12"/>
      <c r="B303" s="8"/>
      <c r="C303" s="9"/>
      <c r="D303" s="10"/>
      <c r="E303" s="15"/>
      <c r="F303" s="18"/>
      <c r="K303" s="24"/>
      <c r="L303" s="20"/>
      <c r="M303" s="9"/>
      <c r="N303" s="15"/>
      <c r="O303" s="15"/>
      <c r="P303" s="15"/>
    </row>
    <row r="304" spans="1:16" x14ac:dyDescent="0.2">
      <c r="A304" s="12"/>
      <c r="B304" s="8"/>
      <c r="C304" s="9"/>
      <c r="D304" s="10"/>
      <c r="E304" s="15"/>
      <c r="F304" s="18"/>
      <c r="K304" s="24"/>
      <c r="L304" s="20"/>
      <c r="M304" s="9"/>
      <c r="N304" s="15"/>
      <c r="O304" s="15"/>
      <c r="P304" s="15"/>
    </row>
    <row r="305" spans="1:16" x14ac:dyDescent="0.2">
      <c r="A305" s="12"/>
      <c r="B305" s="8"/>
      <c r="C305" s="9"/>
      <c r="D305" s="10"/>
      <c r="E305" s="15"/>
      <c r="F305" s="18"/>
      <c r="K305" s="24"/>
      <c r="L305" s="20"/>
      <c r="M305" s="9"/>
      <c r="N305" s="15"/>
      <c r="O305" s="15"/>
      <c r="P305" s="15"/>
    </row>
    <row r="306" spans="1:16" x14ac:dyDescent="0.2">
      <c r="A306" s="12"/>
      <c r="B306" s="8"/>
      <c r="C306" s="9"/>
      <c r="D306" s="10"/>
      <c r="E306" s="15"/>
      <c r="F306" s="18"/>
      <c r="K306" s="24"/>
      <c r="L306" s="20"/>
      <c r="M306" s="9"/>
      <c r="N306" s="15"/>
      <c r="O306" s="15"/>
      <c r="P306" s="15"/>
    </row>
    <row r="307" spans="1:16" x14ac:dyDescent="0.2">
      <c r="A307" s="12"/>
      <c r="B307" s="8"/>
      <c r="C307" s="9"/>
      <c r="D307" s="10"/>
      <c r="E307" s="15"/>
      <c r="F307" s="18"/>
      <c r="K307" s="24"/>
      <c r="L307" s="20"/>
      <c r="M307" s="9"/>
      <c r="N307" s="15"/>
      <c r="O307" s="15"/>
      <c r="P307" s="15"/>
    </row>
    <row r="308" spans="1:16" x14ac:dyDescent="0.2">
      <c r="A308" s="12"/>
      <c r="B308" s="8"/>
      <c r="C308" s="9"/>
      <c r="D308" s="10"/>
      <c r="E308" s="15"/>
      <c r="F308" s="18"/>
      <c r="K308" s="24"/>
      <c r="L308" s="20"/>
      <c r="M308" s="9"/>
      <c r="N308" s="15"/>
      <c r="O308" s="31"/>
      <c r="P308" s="31"/>
    </row>
    <row r="309" spans="1:16" x14ac:dyDescent="0.2">
      <c r="A309" s="12"/>
      <c r="B309" s="8"/>
      <c r="C309" s="9"/>
      <c r="D309" s="10"/>
      <c r="E309" s="15"/>
      <c r="F309" s="18"/>
      <c r="K309" s="32"/>
      <c r="M309" s="3"/>
      <c r="O309" s="44">
        <f>SUM(P2:P308)</f>
        <v>17802000</v>
      </c>
      <c r="P309" s="45"/>
    </row>
    <row r="310" spans="1:16" x14ac:dyDescent="0.2">
      <c r="A310" s="12"/>
      <c r="B310" s="8"/>
      <c r="C310" s="9"/>
      <c r="D310" s="10"/>
      <c r="E310" s="15"/>
      <c r="F310" s="18"/>
    </row>
    <row r="311" spans="1:16" x14ac:dyDescent="0.2">
      <c r="A311" s="12"/>
      <c r="B311" s="8"/>
      <c r="C311" s="9"/>
      <c r="D311" s="10"/>
      <c r="E311" s="15"/>
      <c r="F311" s="18"/>
    </row>
    <row r="312" spans="1:16" x14ac:dyDescent="0.2">
      <c r="A312" s="12"/>
      <c r="B312" s="8"/>
      <c r="C312" s="9"/>
      <c r="D312" s="10"/>
      <c r="E312" s="15"/>
      <c r="F312" s="18"/>
    </row>
    <row r="313" spans="1:16" x14ac:dyDescent="0.2">
      <c r="A313" s="12"/>
      <c r="B313" s="8"/>
      <c r="C313" s="9"/>
      <c r="D313" s="10"/>
      <c r="E313" s="15"/>
      <c r="F313" s="18"/>
    </row>
    <row r="314" spans="1:16" x14ac:dyDescent="0.2">
      <c r="A314" s="12"/>
      <c r="B314" s="8"/>
      <c r="C314" s="9"/>
      <c r="D314" s="10"/>
      <c r="E314" s="15"/>
      <c r="F314" s="18"/>
    </row>
    <row r="315" spans="1:16" x14ac:dyDescent="0.2">
      <c r="A315" s="12"/>
      <c r="B315" s="8"/>
      <c r="C315" s="9"/>
      <c r="D315" s="10"/>
      <c r="E315" s="15"/>
      <c r="F315" s="18"/>
    </row>
    <row r="316" spans="1:16" x14ac:dyDescent="0.2">
      <c r="A316" s="12"/>
      <c r="B316" s="8"/>
      <c r="C316" s="9"/>
      <c r="D316" s="10"/>
      <c r="E316" s="15"/>
      <c r="F316" s="18"/>
    </row>
    <row r="317" spans="1:16" x14ac:dyDescent="0.2">
      <c r="A317" s="12"/>
      <c r="B317" s="8"/>
      <c r="C317" s="9"/>
      <c r="D317" s="10"/>
      <c r="E317" s="15"/>
      <c r="F317" s="18"/>
    </row>
    <row r="318" spans="1:16" x14ac:dyDescent="0.2">
      <c r="A318" s="12"/>
      <c r="B318" s="8"/>
      <c r="C318" s="9"/>
      <c r="D318" s="10"/>
      <c r="E318" s="15"/>
      <c r="F318" s="18"/>
    </row>
    <row r="319" spans="1:16" x14ac:dyDescent="0.2">
      <c r="A319" s="12"/>
      <c r="B319" s="8"/>
      <c r="C319" s="9"/>
      <c r="D319" s="10"/>
      <c r="E319" s="15"/>
      <c r="F319" s="18"/>
    </row>
    <row r="320" spans="1:16" x14ac:dyDescent="0.2">
      <c r="A320" s="12"/>
      <c r="B320" s="8"/>
      <c r="C320" s="9"/>
      <c r="D320" s="10"/>
      <c r="E320" s="15"/>
      <c r="F320" s="18"/>
    </row>
    <row r="321" spans="1:6" x14ac:dyDescent="0.2">
      <c r="A321" s="12"/>
      <c r="B321" s="8"/>
      <c r="C321" s="9"/>
      <c r="D321" s="10"/>
      <c r="E321" s="15"/>
      <c r="F321" s="18"/>
    </row>
    <row r="322" spans="1:6" x14ac:dyDescent="0.2">
      <c r="A322" s="12"/>
      <c r="B322" s="8"/>
      <c r="C322" s="9"/>
      <c r="D322" s="10"/>
      <c r="E322" s="15"/>
      <c r="F322" s="18"/>
    </row>
    <row r="323" spans="1:6" x14ac:dyDescent="0.2">
      <c r="A323" s="12"/>
      <c r="B323" s="8"/>
      <c r="C323" s="9"/>
      <c r="D323" s="10"/>
      <c r="E323" s="15"/>
      <c r="F323" s="18"/>
    </row>
    <row r="324" spans="1:6" x14ac:dyDescent="0.2">
      <c r="A324" s="12"/>
      <c r="B324" s="8"/>
      <c r="C324" s="9"/>
      <c r="D324" s="10"/>
      <c r="E324" s="15"/>
      <c r="F324" s="18"/>
    </row>
    <row r="325" spans="1:6" x14ac:dyDescent="0.2">
      <c r="A325" s="12"/>
      <c r="B325" s="8"/>
      <c r="C325" s="9"/>
      <c r="D325" s="10"/>
      <c r="E325" s="15"/>
      <c r="F325" s="18"/>
    </row>
    <row r="326" spans="1:6" x14ac:dyDescent="0.2">
      <c r="A326" s="12"/>
      <c r="B326" s="8"/>
      <c r="C326" s="9"/>
      <c r="D326" s="10"/>
      <c r="E326" s="15"/>
      <c r="F326" s="18"/>
    </row>
    <row r="327" spans="1:6" x14ac:dyDescent="0.2">
      <c r="A327" s="12"/>
      <c r="B327" s="8"/>
      <c r="C327" s="9"/>
      <c r="D327" s="10"/>
      <c r="E327" s="15"/>
      <c r="F327" s="18"/>
    </row>
    <row r="328" spans="1:6" x14ac:dyDescent="0.2">
      <c r="A328" s="12"/>
      <c r="B328" s="8"/>
      <c r="C328" s="9"/>
      <c r="D328" s="10"/>
      <c r="E328" s="15"/>
      <c r="F328" s="18"/>
    </row>
    <row r="329" spans="1:6" x14ac:dyDescent="0.2">
      <c r="A329" s="12"/>
      <c r="B329" s="8"/>
      <c r="C329" s="9"/>
      <c r="D329" s="10"/>
      <c r="E329" s="15"/>
      <c r="F329" s="18"/>
    </row>
    <row r="330" spans="1:6" x14ac:dyDescent="0.2">
      <c r="A330" s="12"/>
      <c r="B330" s="8"/>
      <c r="C330" s="9"/>
      <c r="D330" s="10"/>
      <c r="E330" s="15"/>
      <c r="F330" s="18"/>
    </row>
    <row r="331" spans="1:6" x14ac:dyDescent="0.2">
      <c r="A331" s="12"/>
      <c r="B331" s="8"/>
      <c r="C331" s="9"/>
      <c r="D331" s="10"/>
      <c r="E331" s="15"/>
      <c r="F331" s="18"/>
    </row>
    <row r="332" spans="1:6" x14ac:dyDescent="0.2">
      <c r="A332" s="12"/>
      <c r="B332" s="8"/>
      <c r="C332" s="9"/>
      <c r="D332" s="10"/>
      <c r="E332" s="15"/>
      <c r="F332" s="18"/>
    </row>
    <row r="333" spans="1:6" x14ac:dyDescent="0.2">
      <c r="A333" s="12"/>
      <c r="B333" s="8"/>
      <c r="C333" s="9"/>
      <c r="D333" s="10"/>
      <c r="E333" s="15"/>
      <c r="F333" s="18"/>
    </row>
    <row r="334" spans="1:6" x14ac:dyDescent="0.2">
      <c r="A334" s="12"/>
      <c r="B334" s="8"/>
      <c r="C334" s="9"/>
      <c r="D334" s="10"/>
      <c r="E334" s="15"/>
      <c r="F334" s="18"/>
    </row>
    <row r="335" spans="1:6" x14ac:dyDescent="0.2">
      <c r="A335" s="12"/>
      <c r="B335" s="8"/>
      <c r="C335" s="9"/>
      <c r="D335" s="10"/>
      <c r="E335" s="15"/>
      <c r="F335" s="18"/>
    </row>
    <row r="336" spans="1:6" x14ac:dyDescent="0.2">
      <c r="A336" s="12"/>
      <c r="B336" s="8"/>
      <c r="C336" s="9"/>
      <c r="D336" s="10"/>
      <c r="E336" s="15"/>
      <c r="F336" s="18"/>
    </row>
    <row r="337" spans="1:10" x14ac:dyDescent="0.2">
      <c r="A337" s="12"/>
      <c r="B337" s="8"/>
      <c r="C337" s="9"/>
      <c r="D337" s="10"/>
      <c r="E337" s="15"/>
      <c r="F337" s="18"/>
      <c r="H337" s="23"/>
      <c r="I337" s="23"/>
      <c r="J337" s="23"/>
    </row>
    <row r="338" spans="1:10" x14ac:dyDescent="0.2">
      <c r="A338" s="12"/>
      <c r="B338" s="8"/>
      <c r="C338" s="9"/>
      <c r="D338" s="10"/>
      <c r="E338" s="15"/>
      <c r="F338" s="18"/>
      <c r="H338" s="23"/>
      <c r="I338" s="23"/>
      <c r="J338" s="23"/>
    </row>
    <row r="339" spans="1:10" x14ac:dyDescent="0.2">
      <c r="A339" s="12"/>
      <c r="B339" s="8"/>
      <c r="C339" s="9"/>
      <c r="D339" s="10"/>
      <c r="E339" s="15"/>
      <c r="F339" s="18"/>
    </row>
    <row r="340" spans="1:10" x14ac:dyDescent="0.2">
      <c r="A340" s="12"/>
      <c r="B340" s="8"/>
      <c r="C340" s="9"/>
      <c r="D340" s="10"/>
      <c r="E340" s="15"/>
      <c r="F340" s="18"/>
    </row>
    <row r="341" spans="1:10" x14ac:dyDescent="0.2">
      <c r="A341" s="12"/>
      <c r="B341" s="8"/>
      <c r="C341" s="9"/>
      <c r="D341" s="10"/>
      <c r="E341" s="15"/>
      <c r="F341" s="18"/>
    </row>
    <row r="342" spans="1:10" x14ac:dyDescent="0.2">
      <c r="A342" s="12"/>
      <c r="B342" s="8"/>
      <c r="C342" s="9"/>
      <c r="D342" s="10"/>
      <c r="E342" s="15"/>
      <c r="F342" s="18"/>
    </row>
    <row r="343" spans="1:10" x14ac:dyDescent="0.2">
      <c r="A343" s="12"/>
      <c r="B343" s="8"/>
      <c r="C343" s="9"/>
      <c r="D343" s="10"/>
      <c r="E343" s="15"/>
      <c r="F343" s="18"/>
    </row>
    <row r="344" spans="1:10" x14ac:dyDescent="0.2">
      <c r="A344" s="12"/>
      <c r="B344" s="8"/>
      <c r="C344" s="9"/>
      <c r="D344" s="10"/>
      <c r="E344" s="15"/>
      <c r="F344" s="18"/>
    </row>
    <row r="345" spans="1:10" x14ac:dyDescent="0.2">
      <c r="A345" s="12"/>
      <c r="B345" s="8"/>
      <c r="C345" s="9"/>
      <c r="D345" s="10"/>
      <c r="E345" s="15"/>
      <c r="F345" s="18"/>
    </row>
    <row r="346" spans="1:10" x14ac:dyDescent="0.2">
      <c r="A346" s="12"/>
      <c r="B346" s="8"/>
      <c r="C346" s="9"/>
      <c r="D346" s="10"/>
      <c r="E346" s="15"/>
      <c r="F346" s="18"/>
    </row>
    <row r="347" spans="1:10" x14ac:dyDescent="0.2">
      <c r="A347" s="12"/>
      <c r="B347" s="8"/>
      <c r="C347" s="9"/>
      <c r="D347" s="10"/>
      <c r="E347" s="15"/>
      <c r="F347" s="18"/>
    </row>
    <row r="348" spans="1:10" x14ac:dyDescent="0.2">
      <c r="A348" s="12"/>
      <c r="B348" s="8"/>
      <c r="C348" s="9"/>
      <c r="D348" s="10"/>
      <c r="E348" s="15"/>
      <c r="F348" s="18"/>
    </row>
    <row r="349" spans="1:10" x14ac:dyDescent="0.2">
      <c r="A349" s="12"/>
      <c r="B349" s="8"/>
      <c r="C349" s="9"/>
      <c r="D349" s="10"/>
      <c r="E349" s="15"/>
      <c r="F349" s="18"/>
    </row>
    <row r="350" spans="1:10" x14ac:dyDescent="0.2">
      <c r="A350" s="12"/>
      <c r="B350" s="8"/>
      <c r="C350" s="9"/>
      <c r="D350" s="10"/>
      <c r="E350" s="15"/>
      <c r="F350" s="18"/>
    </row>
    <row r="351" spans="1:10" x14ac:dyDescent="0.2">
      <c r="A351" s="12"/>
      <c r="B351" s="8"/>
      <c r="C351" s="9"/>
      <c r="D351" s="10"/>
      <c r="E351" s="15"/>
      <c r="F351" s="18"/>
    </row>
    <row r="352" spans="1:10" x14ac:dyDescent="0.2">
      <c r="A352" s="12"/>
      <c r="B352" s="8"/>
      <c r="C352" s="9"/>
      <c r="D352" s="10"/>
      <c r="E352" s="15"/>
      <c r="F352" s="18"/>
    </row>
    <row r="353" spans="1:10" x14ac:dyDescent="0.2">
      <c r="A353" s="12"/>
      <c r="B353" s="8"/>
      <c r="C353" s="9"/>
      <c r="D353" s="10"/>
      <c r="E353" s="15"/>
      <c r="F353" s="18"/>
    </row>
    <row r="354" spans="1:10" x14ac:dyDescent="0.2">
      <c r="A354" s="12"/>
      <c r="B354" s="8"/>
      <c r="C354" s="9"/>
      <c r="D354" s="10"/>
      <c r="E354" s="15"/>
      <c r="F354" s="18"/>
    </row>
    <row r="355" spans="1:10" x14ac:dyDescent="0.2">
      <c r="A355" s="12"/>
      <c r="B355" s="8"/>
      <c r="C355" s="9"/>
      <c r="D355" s="10"/>
      <c r="E355" s="15"/>
      <c r="F355" s="18"/>
    </row>
    <row r="356" spans="1:10" x14ac:dyDescent="0.2">
      <c r="A356" s="12"/>
      <c r="B356" s="8"/>
      <c r="C356" s="9"/>
      <c r="D356" s="10"/>
      <c r="E356" s="15"/>
      <c r="F356" s="18"/>
    </row>
    <row r="357" spans="1:10" x14ac:dyDescent="0.2">
      <c r="A357" s="12"/>
      <c r="B357" s="8"/>
      <c r="C357" s="9"/>
      <c r="D357" s="10"/>
      <c r="E357" s="15"/>
      <c r="F357" s="18"/>
    </row>
    <row r="358" spans="1:10" x14ac:dyDescent="0.2">
      <c r="A358" s="12"/>
      <c r="B358" s="8"/>
      <c r="C358" s="9"/>
      <c r="D358" s="10"/>
      <c r="E358" s="15"/>
      <c r="F358" s="18"/>
    </row>
    <row r="359" spans="1:10" x14ac:dyDescent="0.2">
      <c r="A359" s="12"/>
      <c r="B359" s="8"/>
      <c r="C359" s="9"/>
      <c r="D359" s="10"/>
      <c r="E359" s="15"/>
      <c r="F359" s="18"/>
    </row>
    <row r="360" spans="1:10" x14ac:dyDescent="0.2">
      <c r="A360" s="12"/>
      <c r="B360" s="8"/>
      <c r="C360" s="9"/>
      <c r="D360" s="10"/>
      <c r="E360" s="15"/>
      <c r="F360" s="18"/>
    </row>
    <row r="361" spans="1:10" x14ac:dyDescent="0.2">
      <c r="A361" s="12"/>
      <c r="B361" s="8"/>
      <c r="C361" s="9"/>
      <c r="D361" s="10"/>
      <c r="E361" s="15"/>
      <c r="F361" s="18"/>
    </row>
    <row r="362" spans="1:10" x14ac:dyDescent="0.2">
      <c r="A362" s="12"/>
      <c r="B362" s="8"/>
      <c r="C362" s="9"/>
      <c r="D362" s="10"/>
      <c r="E362" s="15"/>
      <c r="F362" s="18"/>
    </row>
    <row r="363" spans="1:10" x14ac:dyDescent="0.2">
      <c r="A363" s="12"/>
      <c r="B363" s="8"/>
      <c r="C363" s="9"/>
      <c r="D363" s="10"/>
      <c r="E363" s="15"/>
      <c r="F363" s="18"/>
    </row>
    <row r="364" spans="1:10" x14ac:dyDescent="0.2">
      <c r="A364" s="12"/>
      <c r="B364" s="8"/>
      <c r="C364" s="9"/>
      <c r="D364" s="10"/>
      <c r="E364" s="15"/>
      <c r="F364" s="18"/>
    </row>
    <row r="365" spans="1:10" x14ac:dyDescent="0.2">
      <c r="A365" s="12"/>
      <c r="B365" s="8"/>
      <c r="C365" s="9"/>
      <c r="D365" s="10"/>
      <c r="E365" s="15"/>
      <c r="F365" s="18"/>
      <c r="H365" s="23"/>
      <c r="I365" s="23"/>
      <c r="J365" s="23"/>
    </row>
    <row r="366" spans="1:10" x14ac:dyDescent="0.2">
      <c r="A366" s="12"/>
      <c r="B366" s="8"/>
      <c r="C366" s="9"/>
      <c r="D366" s="10"/>
      <c r="E366" s="15"/>
      <c r="F366" s="18"/>
    </row>
    <row r="367" spans="1:10" x14ac:dyDescent="0.2">
      <c r="A367" s="12"/>
      <c r="B367" s="8"/>
      <c r="C367" s="9"/>
      <c r="D367" s="10"/>
      <c r="E367" s="15"/>
      <c r="F367" s="18"/>
    </row>
    <row r="368" spans="1:10" x14ac:dyDescent="0.2">
      <c r="A368" s="12"/>
      <c r="B368" s="8"/>
      <c r="C368" s="9"/>
      <c r="D368" s="10"/>
      <c r="E368" s="15"/>
      <c r="F368" s="18"/>
    </row>
    <row r="369" spans="1:6" x14ac:dyDescent="0.2">
      <c r="A369" s="12"/>
      <c r="B369" s="8"/>
      <c r="C369" s="9"/>
      <c r="D369" s="10"/>
      <c r="E369" s="15"/>
      <c r="F369" s="18"/>
    </row>
    <row r="370" spans="1:6" x14ac:dyDescent="0.2">
      <c r="A370" s="12"/>
      <c r="B370" s="8"/>
      <c r="C370" s="9"/>
      <c r="D370" s="10"/>
      <c r="E370" s="15"/>
      <c r="F370" s="18"/>
    </row>
    <row r="371" spans="1:6" x14ac:dyDescent="0.2">
      <c r="A371" s="12"/>
      <c r="B371" s="8"/>
      <c r="C371" s="9"/>
      <c r="D371" s="10"/>
      <c r="E371" s="15"/>
      <c r="F371" s="18"/>
    </row>
    <row r="372" spans="1:6" x14ac:dyDescent="0.2">
      <c r="A372" s="12"/>
      <c r="B372" s="8"/>
      <c r="C372" s="9"/>
      <c r="D372" s="10"/>
      <c r="E372" s="15"/>
      <c r="F372" s="18"/>
    </row>
    <row r="373" spans="1:6" x14ac:dyDescent="0.2">
      <c r="A373" s="12"/>
      <c r="B373" s="8"/>
      <c r="C373" s="9"/>
      <c r="D373" s="10"/>
      <c r="E373" s="15"/>
      <c r="F373" s="18"/>
    </row>
    <row r="374" spans="1:6" x14ac:dyDescent="0.2">
      <c r="A374" s="12"/>
      <c r="B374" s="8"/>
      <c r="C374" s="9"/>
      <c r="D374" s="10"/>
      <c r="E374" s="15"/>
      <c r="F374" s="18"/>
    </row>
    <row r="375" spans="1:6" x14ac:dyDescent="0.2">
      <c r="A375" s="12"/>
      <c r="B375" s="8"/>
      <c r="C375" s="9"/>
      <c r="D375" s="10"/>
      <c r="E375" s="15"/>
      <c r="F375" s="18"/>
    </row>
    <row r="376" spans="1:6" x14ac:dyDescent="0.2">
      <c r="A376" s="12"/>
      <c r="B376" s="8"/>
      <c r="C376" s="9"/>
      <c r="D376" s="10"/>
      <c r="E376" s="15"/>
      <c r="F376" s="18"/>
    </row>
    <row r="377" spans="1:6" x14ac:dyDescent="0.2">
      <c r="A377" s="12"/>
      <c r="B377" s="8"/>
      <c r="C377" s="9"/>
      <c r="D377" s="10"/>
      <c r="E377" s="15"/>
      <c r="F377" s="18"/>
    </row>
    <row r="378" spans="1:6" x14ac:dyDescent="0.2">
      <c r="A378" s="12"/>
      <c r="B378" s="8"/>
      <c r="C378" s="9"/>
      <c r="D378" s="10"/>
      <c r="E378" s="15"/>
      <c r="F378" s="18"/>
    </row>
    <row r="379" spans="1:6" x14ac:dyDescent="0.2">
      <c r="A379" s="12"/>
      <c r="B379" s="8"/>
      <c r="C379" s="9"/>
      <c r="D379" s="10"/>
      <c r="E379" s="15"/>
      <c r="F379" s="18"/>
    </row>
    <row r="380" spans="1:6" x14ac:dyDescent="0.2">
      <c r="A380" s="12"/>
      <c r="B380" s="8"/>
      <c r="C380" s="9"/>
      <c r="D380" s="10"/>
      <c r="E380" s="15"/>
      <c r="F380" s="18"/>
    </row>
    <row r="381" spans="1:6" x14ac:dyDescent="0.2">
      <c r="A381" s="12"/>
      <c r="B381" s="8"/>
      <c r="C381" s="9"/>
      <c r="D381" s="10"/>
      <c r="E381" s="15"/>
      <c r="F381" s="18"/>
    </row>
    <row r="382" spans="1:6" x14ac:dyDescent="0.2">
      <c r="A382" s="12"/>
      <c r="B382" s="8"/>
      <c r="C382" s="9"/>
      <c r="D382" s="10"/>
      <c r="E382" s="15"/>
      <c r="F382" s="18"/>
    </row>
    <row r="383" spans="1:6" x14ac:dyDescent="0.2">
      <c r="A383" s="12"/>
      <c r="B383" s="33"/>
      <c r="C383" s="9"/>
      <c r="D383" s="22"/>
      <c r="E383" s="15"/>
      <c r="F383" s="18"/>
    </row>
    <row r="384" spans="1:6" x14ac:dyDescent="0.2">
      <c r="A384" s="12"/>
      <c r="B384" s="33"/>
      <c r="C384" s="9"/>
      <c r="D384" s="22"/>
      <c r="E384" s="15"/>
      <c r="F384" s="18"/>
    </row>
    <row r="385" spans="1:6" x14ac:dyDescent="0.2">
      <c r="A385" s="12"/>
      <c r="B385" s="33"/>
      <c r="C385" s="9"/>
      <c r="D385" s="22"/>
      <c r="E385" s="15"/>
      <c r="F385" s="18"/>
    </row>
    <row r="386" spans="1:6" x14ac:dyDescent="0.2">
      <c r="A386" s="12"/>
      <c r="B386" s="33"/>
      <c r="C386" s="9"/>
      <c r="D386" s="22"/>
      <c r="E386" s="15"/>
      <c r="F386" s="18"/>
    </row>
    <row r="387" spans="1:6" x14ac:dyDescent="0.2">
      <c r="A387" s="12"/>
      <c r="B387" s="33"/>
      <c r="C387" s="9"/>
      <c r="D387" s="22"/>
      <c r="E387" s="15"/>
      <c r="F387" s="18"/>
    </row>
    <row r="388" spans="1:6" x14ac:dyDescent="0.2">
      <c r="A388" s="12"/>
      <c r="B388" s="33"/>
      <c r="C388" s="9"/>
      <c r="D388" s="22"/>
      <c r="E388" s="15"/>
      <c r="F388" s="18"/>
    </row>
    <row r="389" spans="1:6" x14ac:dyDescent="0.2">
      <c r="A389" s="12"/>
      <c r="B389" s="33"/>
      <c r="C389" s="9"/>
      <c r="D389" s="22"/>
      <c r="E389" s="15"/>
      <c r="F389" s="18"/>
    </row>
    <row r="390" spans="1:6" x14ac:dyDescent="0.2">
      <c r="A390" s="12"/>
      <c r="B390" s="33"/>
      <c r="C390" s="9"/>
      <c r="D390" s="22"/>
      <c r="E390" s="15"/>
      <c r="F390" s="18"/>
    </row>
    <row r="391" spans="1:6" x14ac:dyDescent="0.2">
      <c r="A391" s="12"/>
      <c r="B391" s="33"/>
      <c r="C391" s="9"/>
      <c r="D391" s="22"/>
      <c r="E391" s="15"/>
      <c r="F391" s="18"/>
    </row>
    <row r="392" spans="1:6" x14ac:dyDescent="0.2">
      <c r="A392" s="12"/>
      <c r="B392" s="33"/>
      <c r="C392" s="9"/>
      <c r="D392" s="22"/>
      <c r="E392" s="15"/>
      <c r="F392" s="18"/>
    </row>
    <row r="393" spans="1:6" x14ac:dyDescent="0.2">
      <c r="A393" s="12"/>
      <c r="B393" s="33"/>
      <c r="C393" s="9"/>
      <c r="D393" s="22"/>
      <c r="E393" s="15"/>
      <c r="F393" s="18"/>
    </row>
    <row r="394" spans="1:6" x14ac:dyDescent="0.2">
      <c r="A394" s="12"/>
      <c r="B394" s="33"/>
      <c r="C394" s="9"/>
      <c r="D394" s="22"/>
      <c r="E394" s="15"/>
      <c r="F394" s="18"/>
    </row>
    <row r="395" spans="1:6" x14ac:dyDescent="0.2">
      <c r="A395" s="12"/>
      <c r="B395" s="33"/>
      <c r="C395" s="9"/>
      <c r="D395" s="22"/>
      <c r="E395" s="15"/>
      <c r="F395" s="18"/>
    </row>
    <row r="396" spans="1:6" x14ac:dyDescent="0.2">
      <c r="A396" s="12"/>
      <c r="B396" s="33"/>
      <c r="C396" s="9"/>
      <c r="D396" s="22"/>
      <c r="E396" s="15"/>
      <c r="F396" s="18"/>
    </row>
    <row r="397" spans="1:6" x14ac:dyDescent="0.2">
      <c r="A397" s="12"/>
      <c r="B397" s="33"/>
      <c r="C397" s="9"/>
      <c r="D397" s="22"/>
      <c r="E397" s="15"/>
      <c r="F397" s="18"/>
    </row>
    <row r="398" spans="1:6" x14ac:dyDescent="0.2">
      <c r="A398" s="12"/>
      <c r="B398" s="33"/>
      <c r="C398" s="9"/>
      <c r="D398" s="22"/>
      <c r="E398" s="15"/>
      <c r="F398" s="18"/>
    </row>
    <row r="399" spans="1:6" x14ac:dyDescent="0.2">
      <c r="A399" s="12"/>
      <c r="B399" s="33"/>
      <c r="C399" s="9"/>
      <c r="D399" s="22"/>
      <c r="E399" s="15"/>
      <c r="F399" s="18"/>
    </row>
    <row r="400" spans="1:6" x14ac:dyDescent="0.2">
      <c r="A400" s="12"/>
      <c r="B400" s="33"/>
      <c r="C400" s="9"/>
      <c r="D400" s="22"/>
      <c r="E400" s="15"/>
      <c r="F400" s="18"/>
    </row>
    <row r="401" spans="1:6" x14ac:dyDescent="0.2">
      <c r="A401" s="12"/>
      <c r="B401" s="33"/>
      <c r="C401" s="9"/>
      <c r="D401" s="22"/>
      <c r="E401" s="15"/>
      <c r="F401" s="18"/>
    </row>
    <row r="402" spans="1:6" x14ac:dyDescent="0.2">
      <c r="A402" s="12"/>
      <c r="B402" s="33"/>
      <c r="C402" s="9"/>
      <c r="D402" s="22"/>
      <c r="E402" s="15"/>
      <c r="F402" s="18"/>
    </row>
    <row r="403" spans="1:6" x14ac:dyDescent="0.2">
      <c r="A403" s="12"/>
      <c r="B403" s="33"/>
      <c r="C403" s="9"/>
      <c r="D403" s="22"/>
      <c r="E403" s="15"/>
      <c r="F403" s="18"/>
    </row>
    <row r="404" spans="1:6" x14ac:dyDescent="0.2">
      <c r="A404" s="12"/>
      <c r="B404" s="33"/>
      <c r="C404" s="9"/>
      <c r="D404" s="22"/>
      <c r="E404" s="15"/>
      <c r="F404" s="18"/>
    </row>
    <row r="405" spans="1:6" x14ac:dyDescent="0.2">
      <c r="A405" s="12"/>
      <c r="B405" s="33"/>
      <c r="C405" s="9"/>
      <c r="D405" s="22"/>
      <c r="E405" s="15"/>
      <c r="F405" s="18"/>
    </row>
    <row r="406" spans="1:6" x14ac:dyDescent="0.2">
      <c r="A406" s="12"/>
      <c r="B406" s="33"/>
      <c r="C406" s="9"/>
      <c r="D406" s="22"/>
      <c r="E406" s="15"/>
      <c r="F406" s="18"/>
    </row>
    <row r="407" spans="1:6" x14ac:dyDescent="0.2">
      <c r="A407" s="12"/>
      <c r="B407" s="33"/>
      <c r="C407" s="9"/>
      <c r="D407" s="22"/>
      <c r="E407" s="15"/>
      <c r="F407" s="18"/>
    </row>
    <row r="408" spans="1:6" x14ac:dyDescent="0.2">
      <c r="A408" s="12"/>
      <c r="B408" s="33"/>
      <c r="C408" s="9"/>
      <c r="D408" s="22"/>
      <c r="E408" s="15"/>
      <c r="F408" s="18"/>
    </row>
    <row r="409" spans="1:6" x14ac:dyDescent="0.2">
      <c r="A409" s="12"/>
      <c r="B409" s="33"/>
      <c r="C409" s="9"/>
      <c r="D409" s="22"/>
      <c r="E409" s="15"/>
      <c r="F409" s="18"/>
    </row>
    <row r="410" spans="1:6" x14ac:dyDescent="0.2">
      <c r="A410" s="12"/>
      <c r="B410" s="33"/>
      <c r="C410" s="9"/>
      <c r="D410" s="22"/>
      <c r="E410" s="15"/>
      <c r="F410" s="18"/>
    </row>
    <row r="411" spans="1:6" x14ac:dyDescent="0.2">
      <c r="A411" s="12"/>
      <c r="B411" s="33"/>
      <c r="C411" s="9"/>
      <c r="D411" s="22"/>
      <c r="E411" s="15"/>
      <c r="F411" s="18"/>
    </row>
    <row r="412" spans="1:6" x14ac:dyDescent="0.2">
      <c r="A412" s="12"/>
      <c r="B412" s="33"/>
      <c r="C412" s="9"/>
      <c r="D412" s="22"/>
      <c r="E412" s="15"/>
      <c r="F412" s="18"/>
    </row>
    <row r="413" spans="1:6" x14ac:dyDescent="0.2">
      <c r="A413" s="12"/>
      <c r="B413" s="33"/>
      <c r="C413" s="9"/>
      <c r="D413" s="22"/>
      <c r="E413" s="15"/>
      <c r="F413" s="18"/>
    </row>
    <row r="414" spans="1:6" x14ac:dyDescent="0.2">
      <c r="A414" s="12"/>
      <c r="B414" s="33"/>
      <c r="C414" s="9"/>
      <c r="D414" s="22"/>
      <c r="E414" s="15"/>
      <c r="F414" s="18"/>
    </row>
    <row r="415" spans="1:6" x14ac:dyDescent="0.2">
      <c r="A415" s="12"/>
      <c r="B415" s="33"/>
      <c r="C415" s="9"/>
      <c r="D415" s="22"/>
      <c r="E415" s="15"/>
      <c r="F415" s="18"/>
    </row>
    <row r="416" spans="1:6" x14ac:dyDescent="0.2">
      <c r="A416" s="12"/>
      <c r="B416" s="33"/>
      <c r="C416" s="9"/>
      <c r="D416" s="22"/>
      <c r="E416" s="15"/>
      <c r="F416" s="18"/>
    </row>
    <row r="417" spans="1:6" x14ac:dyDescent="0.2">
      <c r="A417" s="12"/>
      <c r="B417" s="33"/>
      <c r="C417" s="9"/>
      <c r="D417" s="22"/>
      <c r="E417" s="15"/>
      <c r="F417" s="18"/>
    </row>
    <row r="418" spans="1:6" x14ac:dyDescent="0.2">
      <c r="A418" s="12"/>
      <c r="B418" s="33"/>
      <c r="C418" s="9"/>
      <c r="D418" s="22"/>
      <c r="E418" s="15"/>
      <c r="F418" s="18"/>
    </row>
    <row r="419" spans="1:6" x14ac:dyDescent="0.2">
      <c r="A419" s="12"/>
      <c r="B419" s="33"/>
      <c r="C419" s="9"/>
      <c r="D419" s="22"/>
      <c r="E419" s="15"/>
      <c r="F419" s="18"/>
    </row>
    <row r="420" spans="1:6" x14ac:dyDescent="0.2">
      <c r="A420" s="12"/>
      <c r="B420" s="33"/>
      <c r="C420" s="9"/>
      <c r="D420" s="22"/>
      <c r="E420" s="15"/>
      <c r="F420" s="18"/>
    </row>
    <row r="421" spans="1:6" x14ac:dyDescent="0.2">
      <c r="A421" s="12"/>
      <c r="B421" s="33"/>
      <c r="C421" s="9"/>
      <c r="D421" s="22"/>
      <c r="E421" s="15"/>
      <c r="F421" s="18"/>
    </row>
    <row r="422" spans="1:6" x14ac:dyDescent="0.2">
      <c r="A422" s="12"/>
      <c r="B422" s="33"/>
      <c r="C422" s="9"/>
      <c r="D422" s="22"/>
      <c r="E422" s="15"/>
      <c r="F422" s="18"/>
    </row>
    <row r="423" spans="1:6" x14ac:dyDescent="0.2">
      <c r="A423" s="12"/>
      <c r="B423" s="33"/>
      <c r="C423" s="9"/>
      <c r="D423" s="22"/>
      <c r="E423" s="15"/>
      <c r="F423" s="18"/>
    </row>
    <row r="424" spans="1:6" x14ac:dyDescent="0.2">
      <c r="A424" s="12"/>
      <c r="B424" s="33"/>
      <c r="C424" s="9"/>
      <c r="D424" s="22"/>
      <c r="E424" s="15"/>
      <c r="F424" s="18"/>
    </row>
    <row r="425" spans="1:6" x14ac:dyDescent="0.2">
      <c r="A425" s="12"/>
      <c r="B425" s="33"/>
      <c r="C425" s="9"/>
      <c r="D425" s="22"/>
      <c r="E425" s="15"/>
      <c r="F425" s="18"/>
    </row>
    <row r="426" spans="1:6" x14ac:dyDescent="0.2">
      <c r="A426" s="12"/>
      <c r="B426" s="33"/>
      <c r="C426" s="9"/>
      <c r="D426" s="22"/>
      <c r="E426" s="15"/>
      <c r="F426" s="18"/>
    </row>
    <row r="427" spans="1:6" x14ac:dyDescent="0.2">
      <c r="A427" s="12"/>
      <c r="B427" s="33"/>
      <c r="C427" s="9"/>
      <c r="D427" s="22"/>
      <c r="E427" s="15"/>
      <c r="F427" s="18"/>
    </row>
    <row r="428" spans="1:6" x14ac:dyDescent="0.2">
      <c r="A428" s="12"/>
      <c r="B428" s="34"/>
      <c r="C428" s="9"/>
      <c r="D428" s="35"/>
      <c r="E428" s="15"/>
      <c r="F428" s="37"/>
    </row>
    <row r="429" spans="1:6" x14ac:dyDescent="0.2">
      <c r="A429" s="12"/>
      <c r="B429" s="34"/>
      <c r="C429" s="9"/>
      <c r="D429" s="35"/>
      <c r="E429" s="15"/>
      <c r="F429" s="37"/>
    </row>
    <row r="430" spans="1:6" x14ac:dyDescent="0.2">
      <c r="A430" s="12"/>
      <c r="B430" s="8"/>
      <c r="C430" s="9"/>
      <c r="D430" s="22"/>
      <c r="E430" s="15"/>
      <c r="F430" s="18"/>
    </row>
    <row r="431" spans="1:6" x14ac:dyDescent="0.2">
      <c r="A431" s="12"/>
      <c r="B431" s="8"/>
      <c r="C431" s="9"/>
      <c r="D431" s="22"/>
      <c r="E431" s="15"/>
      <c r="F431" s="18"/>
    </row>
    <row r="432" spans="1:6" x14ac:dyDescent="0.2">
      <c r="A432" s="12"/>
      <c r="B432" s="8"/>
      <c r="C432" s="9"/>
      <c r="D432" s="22"/>
      <c r="E432" s="15"/>
      <c r="F432" s="18"/>
    </row>
    <row r="433" spans="1:6" x14ac:dyDescent="0.2">
      <c r="A433" s="12"/>
      <c r="B433" s="8"/>
      <c r="C433" s="9"/>
      <c r="D433" s="22"/>
      <c r="E433" s="15"/>
      <c r="F433" s="18"/>
    </row>
    <row r="434" spans="1:6" x14ac:dyDescent="0.2">
      <c r="A434" s="12"/>
      <c r="B434" s="8"/>
      <c r="C434" s="9"/>
      <c r="D434" s="22"/>
      <c r="E434" s="15"/>
      <c r="F434" s="18"/>
    </row>
    <row r="435" spans="1:6" x14ac:dyDescent="0.2">
      <c r="A435" s="12"/>
      <c r="B435" s="8"/>
      <c r="C435" s="9"/>
      <c r="D435" s="22"/>
      <c r="E435" s="15"/>
      <c r="F435" s="18"/>
    </row>
    <row r="436" spans="1:6" x14ac:dyDescent="0.2">
      <c r="A436" s="12"/>
      <c r="B436" s="8"/>
      <c r="C436" s="9"/>
      <c r="D436" s="22"/>
      <c r="E436" s="15"/>
      <c r="F436" s="18"/>
    </row>
    <row r="437" spans="1:6" x14ac:dyDescent="0.2">
      <c r="A437" s="12"/>
      <c r="B437" s="8"/>
      <c r="C437" s="9"/>
      <c r="D437" s="22"/>
      <c r="E437" s="15"/>
      <c r="F437" s="18"/>
    </row>
    <row r="438" spans="1:6" x14ac:dyDescent="0.2">
      <c r="A438" s="12"/>
      <c r="B438" s="8"/>
      <c r="C438" s="9"/>
      <c r="D438" s="22"/>
      <c r="E438" s="15"/>
      <c r="F438" s="18"/>
    </row>
    <row r="439" spans="1:6" x14ac:dyDescent="0.2">
      <c r="A439" s="12"/>
      <c r="B439" s="8"/>
      <c r="C439" s="9"/>
      <c r="D439" s="22"/>
      <c r="E439" s="15"/>
      <c r="F439" s="18"/>
    </row>
    <row r="440" spans="1:6" x14ac:dyDescent="0.2">
      <c r="A440" s="12"/>
      <c r="B440" s="8"/>
      <c r="C440" s="9"/>
      <c r="D440" s="10"/>
      <c r="E440" s="15"/>
      <c r="F440" s="18"/>
    </row>
    <row r="441" spans="1:6" x14ac:dyDescent="0.2">
      <c r="A441" s="12"/>
      <c r="B441" s="8"/>
      <c r="C441" s="9"/>
      <c r="D441" s="10"/>
      <c r="E441" s="15"/>
      <c r="F441" s="18"/>
    </row>
    <row r="442" spans="1:6" x14ac:dyDescent="0.2">
      <c r="A442" s="12"/>
      <c r="B442" s="36"/>
      <c r="C442" s="9"/>
      <c r="D442" s="10"/>
      <c r="E442" s="15"/>
      <c r="F442" s="18"/>
    </row>
    <row r="443" spans="1:6" x14ac:dyDescent="0.2">
      <c r="A443" s="12"/>
      <c r="B443" s="36"/>
      <c r="C443" s="9"/>
      <c r="D443" s="10"/>
      <c r="E443" s="15"/>
      <c r="F443" s="18"/>
    </row>
    <row r="444" spans="1:6" x14ac:dyDescent="0.2">
      <c r="A444" s="12"/>
      <c r="B444" s="36"/>
      <c r="C444" s="9"/>
      <c r="D444" s="10"/>
      <c r="E444" s="15"/>
      <c r="F444" s="18"/>
    </row>
    <row r="445" spans="1:6" x14ac:dyDescent="0.2">
      <c r="A445" s="12"/>
      <c r="B445" s="36"/>
      <c r="C445" s="9"/>
      <c r="D445" s="10"/>
      <c r="E445" s="15"/>
      <c r="F445" s="18"/>
    </row>
    <row r="446" spans="1:6" x14ac:dyDescent="0.2">
      <c r="A446" s="12"/>
      <c r="B446" s="36"/>
      <c r="C446" s="9"/>
      <c r="D446" s="10"/>
      <c r="E446" s="15"/>
      <c r="F446" s="18"/>
    </row>
    <row r="447" spans="1:6" x14ac:dyDescent="0.2">
      <c r="A447" s="12"/>
      <c r="B447" s="36"/>
      <c r="C447" s="9"/>
      <c r="D447" s="10"/>
      <c r="E447" s="15"/>
      <c r="F447" s="18"/>
    </row>
    <row r="448" spans="1:6" x14ac:dyDescent="0.2">
      <c r="A448" s="12"/>
      <c r="B448" s="36"/>
      <c r="C448" s="9"/>
      <c r="D448" s="10"/>
      <c r="E448" s="15"/>
      <c r="F448" s="18"/>
    </row>
    <row r="449" spans="1:6" x14ac:dyDescent="0.2">
      <c r="A449" s="12"/>
      <c r="B449" s="36"/>
      <c r="C449" s="9"/>
      <c r="D449" s="10"/>
      <c r="E449" s="15"/>
      <c r="F449" s="18"/>
    </row>
    <row r="450" spans="1:6" x14ac:dyDescent="0.2">
      <c r="A450" s="12"/>
      <c r="B450" s="36"/>
      <c r="C450" s="9"/>
      <c r="D450" s="10"/>
      <c r="E450" s="15"/>
      <c r="F450" s="18"/>
    </row>
    <row r="451" spans="1:6" x14ac:dyDescent="0.2">
      <c r="A451" s="12"/>
      <c r="B451" s="36"/>
      <c r="C451" s="9"/>
      <c r="D451" s="10"/>
      <c r="E451" s="15"/>
      <c r="F451" s="18"/>
    </row>
    <row r="452" spans="1:6" x14ac:dyDescent="0.2">
      <c r="A452" s="12"/>
      <c r="B452" s="36"/>
      <c r="C452" s="9"/>
      <c r="D452" s="10"/>
      <c r="E452" s="15"/>
      <c r="F452" s="18"/>
    </row>
    <row r="453" spans="1:6" x14ac:dyDescent="0.2">
      <c r="A453" s="12"/>
      <c r="B453" s="36"/>
      <c r="C453" s="9"/>
      <c r="D453" s="10"/>
      <c r="E453" s="15"/>
      <c r="F453" s="18"/>
    </row>
    <row r="454" spans="1:6" x14ac:dyDescent="0.2">
      <c r="A454" s="12"/>
      <c r="B454" s="36"/>
      <c r="C454" s="9"/>
      <c r="D454" s="10"/>
      <c r="E454" s="15"/>
      <c r="F454" s="18"/>
    </row>
    <row r="455" spans="1:6" x14ac:dyDescent="0.2">
      <c r="A455" s="12"/>
      <c r="B455" s="36"/>
      <c r="C455" s="9"/>
      <c r="D455" s="10"/>
      <c r="E455" s="15"/>
      <c r="F455" s="18"/>
    </row>
    <row r="456" spans="1:6" x14ac:dyDescent="0.2">
      <c r="A456" s="12"/>
      <c r="B456" s="36"/>
      <c r="C456" s="9"/>
      <c r="D456" s="10"/>
      <c r="E456" s="15"/>
      <c r="F456" s="18"/>
    </row>
    <row r="457" spans="1:6" x14ac:dyDescent="0.2">
      <c r="A457" s="12"/>
      <c r="B457" s="8"/>
      <c r="C457" s="9"/>
      <c r="D457" s="10"/>
      <c r="E457" s="15"/>
      <c r="F457" s="18"/>
    </row>
    <row r="458" spans="1:6" x14ac:dyDescent="0.2">
      <c r="A458" s="12"/>
      <c r="B458" s="8"/>
      <c r="C458" s="9"/>
      <c r="D458" s="10"/>
      <c r="E458" s="15"/>
      <c r="F458" s="18"/>
    </row>
    <row r="459" spans="1:6" x14ac:dyDescent="0.2">
      <c r="A459" s="12"/>
      <c r="B459" s="8"/>
      <c r="C459" s="9"/>
      <c r="D459" s="10"/>
      <c r="E459" s="15"/>
      <c r="F459" s="18"/>
    </row>
    <row r="460" spans="1:6" x14ac:dyDescent="0.2">
      <c r="A460" s="12"/>
      <c r="B460" s="8"/>
      <c r="C460" s="9"/>
      <c r="D460" s="10"/>
      <c r="E460" s="15"/>
      <c r="F460" s="18"/>
    </row>
    <row r="461" spans="1:6" x14ac:dyDescent="0.2">
      <c r="A461" s="12"/>
      <c r="B461" s="8"/>
      <c r="C461" s="9"/>
      <c r="D461" s="10"/>
      <c r="E461" s="15"/>
      <c r="F461" s="18"/>
    </row>
    <row r="462" spans="1:6" x14ac:dyDescent="0.2">
      <c r="A462" s="12"/>
      <c r="B462" s="8"/>
      <c r="C462" s="9"/>
      <c r="D462" s="10"/>
      <c r="E462" s="15"/>
      <c r="F462" s="18"/>
    </row>
    <row r="463" spans="1:6" x14ac:dyDescent="0.2">
      <c r="A463" s="12"/>
      <c r="B463" s="8"/>
      <c r="C463" s="9"/>
      <c r="D463" s="10"/>
      <c r="E463" s="15"/>
      <c r="F463" s="18"/>
    </row>
    <row r="464" spans="1:6" x14ac:dyDescent="0.2">
      <c r="A464" s="12"/>
      <c r="B464" s="8"/>
      <c r="C464" s="9"/>
      <c r="D464" s="10"/>
      <c r="E464" s="15"/>
      <c r="F464" s="18"/>
    </row>
    <row r="465" spans="1:7" x14ac:dyDescent="0.2">
      <c r="A465" s="12"/>
      <c r="B465" s="8"/>
      <c r="C465" s="9"/>
      <c r="D465" s="10"/>
      <c r="E465" s="15"/>
      <c r="F465" s="18"/>
    </row>
    <row r="466" spans="1:7" x14ac:dyDescent="0.2">
      <c r="A466" s="12"/>
      <c r="B466" s="8"/>
      <c r="C466" s="9"/>
      <c r="D466" s="10"/>
      <c r="E466" s="15"/>
      <c r="F466" s="18"/>
    </row>
    <row r="467" spans="1:7" x14ac:dyDescent="0.2">
      <c r="A467" s="12"/>
      <c r="B467" s="8"/>
      <c r="C467" s="9"/>
      <c r="D467" s="10"/>
      <c r="E467" s="15"/>
      <c r="F467" s="18"/>
      <c r="G467" s="23"/>
    </row>
    <row r="468" spans="1:7" x14ac:dyDescent="0.2">
      <c r="A468" s="12"/>
      <c r="B468" s="8"/>
      <c r="C468" s="9"/>
      <c r="D468" s="10"/>
      <c r="E468" s="15"/>
      <c r="F468" s="18"/>
    </row>
    <row r="469" spans="1:7" x14ac:dyDescent="0.2">
      <c r="A469" s="12"/>
      <c r="B469" s="8"/>
      <c r="C469" s="9"/>
      <c r="D469" s="10"/>
      <c r="E469" s="15"/>
      <c r="F469" s="18"/>
    </row>
    <row r="470" spans="1:7" x14ac:dyDescent="0.2">
      <c r="A470" s="12"/>
      <c r="B470" s="36"/>
      <c r="C470" s="9"/>
      <c r="D470" s="10"/>
      <c r="E470" s="15"/>
      <c r="F470" s="18"/>
    </row>
    <row r="471" spans="1:7" x14ac:dyDescent="0.2">
      <c r="A471" s="12"/>
      <c r="B471" s="36"/>
      <c r="C471" s="9"/>
      <c r="D471" s="10"/>
      <c r="E471" s="15"/>
      <c r="F471" s="18"/>
    </row>
    <row r="472" spans="1:7" x14ac:dyDescent="0.2">
      <c r="A472" s="12"/>
      <c r="B472" s="36"/>
      <c r="C472" s="9"/>
      <c r="D472" s="10"/>
      <c r="E472" s="15"/>
      <c r="F472" s="18"/>
    </row>
    <row r="473" spans="1:7" x14ac:dyDescent="0.2">
      <c r="A473" s="12"/>
      <c r="B473" s="36"/>
      <c r="C473" s="9"/>
      <c r="D473" s="10"/>
      <c r="E473" s="15"/>
      <c r="F473" s="18"/>
    </row>
    <row r="474" spans="1:7" x14ac:dyDescent="0.2">
      <c r="A474" s="12"/>
      <c r="B474" s="36"/>
      <c r="C474" s="9"/>
      <c r="D474" s="10"/>
      <c r="E474" s="15"/>
      <c r="F474" s="18"/>
    </row>
    <row r="475" spans="1:7" x14ac:dyDescent="0.2">
      <c r="A475" s="12"/>
      <c r="B475" s="36"/>
      <c r="C475" s="9"/>
      <c r="D475" s="10"/>
      <c r="E475" s="15"/>
      <c r="F475" s="18"/>
    </row>
    <row r="476" spans="1:7" x14ac:dyDescent="0.2">
      <c r="A476" s="12"/>
      <c r="B476" s="36"/>
      <c r="C476" s="9"/>
      <c r="D476" s="10"/>
      <c r="E476" s="15"/>
      <c r="F476" s="18"/>
    </row>
    <row r="477" spans="1:7" x14ac:dyDescent="0.2">
      <c r="A477" s="12"/>
      <c r="B477" s="36"/>
      <c r="C477" s="9"/>
      <c r="D477" s="10"/>
      <c r="E477" s="15"/>
      <c r="F477" s="18"/>
    </row>
    <row r="478" spans="1:7" x14ac:dyDescent="0.2">
      <c r="A478" s="12"/>
      <c r="B478" s="36"/>
      <c r="C478" s="9"/>
      <c r="D478" s="10"/>
      <c r="E478" s="15"/>
      <c r="F478" s="18"/>
    </row>
    <row r="479" spans="1:7" x14ac:dyDescent="0.2">
      <c r="A479" s="12"/>
      <c r="B479" s="36"/>
      <c r="C479" s="9"/>
      <c r="D479" s="10"/>
      <c r="E479" s="15"/>
      <c r="F479" s="18"/>
    </row>
    <row r="480" spans="1:7" x14ac:dyDescent="0.2">
      <c r="A480" s="12"/>
      <c r="B480" s="36"/>
      <c r="C480" s="9"/>
      <c r="D480" s="10"/>
      <c r="E480" s="15"/>
      <c r="F480" s="18"/>
    </row>
    <row r="481" spans="1:6" x14ac:dyDescent="0.2">
      <c r="A481" s="12"/>
      <c r="B481" s="36"/>
      <c r="C481" s="9"/>
      <c r="D481" s="10"/>
      <c r="E481" s="15"/>
      <c r="F481" s="18"/>
    </row>
    <row r="482" spans="1:6" x14ac:dyDescent="0.2">
      <c r="A482" s="12"/>
      <c r="B482" s="36"/>
      <c r="C482" s="9"/>
      <c r="D482" s="10"/>
      <c r="E482" s="15"/>
      <c r="F482" s="18"/>
    </row>
    <row r="483" spans="1:6" x14ac:dyDescent="0.2">
      <c r="A483" s="12"/>
      <c r="B483" s="36"/>
      <c r="C483" s="9"/>
      <c r="D483" s="10"/>
      <c r="E483" s="15"/>
      <c r="F483" s="18"/>
    </row>
    <row r="484" spans="1:6" x14ac:dyDescent="0.2">
      <c r="A484" s="12"/>
      <c r="B484" s="36"/>
      <c r="C484" s="9"/>
      <c r="D484" s="10"/>
      <c r="E484" s="15"/>
      <c r="F484" s="18"/>
    </row>
    <row r="485" spans="1:6" x14ac:dyDescent="0.2">
      <c r="A485" s="12"/>
      <c r="B485" s="36"/>
      <c r="C485" s="9"/>
      <c r="D485" s="10"/>
      <c r="E485" s="15"/>
      <c r="F485" s="18"/>
    </row>
    <row r="486" spans="1:6" x14ac:dyDescent="0.2">
      <c r="A486" s="12"/>
      <c r="B486" s="36"/>
      <c r="C486" s="9"/>
      <c r="D486" s="10"/>
      <c r="E486" s="15"/>
      <c r="F486" s="18"/>
    </row>
    <row r="487" spans="1:6" x14ac:dyDescent="0.2">
      <c r="A487" s="12"/>
      <c r="B487" s="36"/>
      <c r="C487" s="9"/>
      <c r="D487" s="10"/>
      <c r="E487" s="15"/>
      <c r="F487" s="18"/>
    </row>
    <row r="488" spans="1:6" x14ac:dyDescent="0.2">
      <c r="A488" s="12"/>
      <c r="B488" s="36"/>
      <c r="C488" s="9"/>
      <c r="D488" s="10"/>
      <c r="E488" s="15"/>
      <c r="F488" s="18"/>
    </row>
    <row r="489" spans="1:6" x14ac:dyDescent="0.2">
      <c r="A489" s="12"/>
      <c r="B489" s="18"/>
      <c r="C489" s="9"/>
      <c r="D489" s="15"/>
      <c r="E489" s="15"/>
      <c r="F489" s="18"/>
    </row>
    <row r="490" spans="1:6" x14ac:dyDescent="0.2">
      <c r="A490" s="12"/>
      <c r="B490" s="18"/>
      <c r="C490" s="9"/>
      <c r="D490" s="15"/>
      <c r="E490" s="15"/>
      <c r="F490" s="18"/>
    </row>
    <row r="491" spans="1:6" x14ac:dyDescent="0.2">
      <c r="A491" s="12"/>
      <c r="B491" s="18"/>
      <c r="C491" s="9"/>
      <c r="D491" s="15"/>
      <c r="E491" s="15"/>
      <c r="F491" s="18"/>
    </row>
    <row r="492" spans="1:6" x14ac:dyDescent="0.2">
      <c r="A492" s="12"/>
      <c r="B492" s="18"/>
      <c r="C492" s="9"/>
      <c r="D492" s="15"/>
      <c r="E492" s="15"/>
      <c r="F492" s="18"/>
    </row>
    <row r="493" spans="1:6" x14ac:dyDescent="0.2">
      <c r="A493" s="12"/>
      <c r="B493" s="18"/>
      <c r="C493" s="9"/>
      <c r="D493" s="15"/>
      <c r="E493" s="15"/>
      <c r="F493" s="18"/>
    </row>
    <row r="494" spans="1:6" x14ac:dyDescent="0.2">
      <c r="A494" s="12"/>
      <c r="B494" s="18"/>
      <c r="C494" s="9"/>
      <c r="D494" s="15"/>
      <c r="E494" s="15"/>
      <c r="F494" s="18"/>
    </row>
    <row r="495" spans="1:6" x14ac:dyDescent="0.2">
      <c r="A495" s="12"/>
      <c r="B495" s="18"/>
      <c r="C495" s="9"/>
      <c r="D495" s="15"/>
      <c r="E495" s="15"/>
      <c r="F495" s="18"/>
    </row>
    <row r="496" spans="1:6" x14ac:dyDescent="0.2">
      <c r="A496" s="12"/>
      <c r="B496" s="18"/>
      <c r="C496" s="9"/>
      <c r="D496" s="15"/>
      <c r="E496" s="15"/>
      <c r="F496" s="18"/>
    </row>
    <row r="497" spans="1:6" x14ac:dyDescent="0.2">
      <c r="A497" s="12"/>
      <c r="B497" s="38"/>
      <c r="C497" s="9"/>
      <c r="D497" s="15"/>
      <c r="E497" s="15"/>
      <c r="F497" s="18"/>
    </row>
    <row r="498" spans="1:6" x14ac:dyDescent="0.2">
      <c r="A498" s="12"/>
      <c r="B498" s="38"/>
      <c r="C498" s="9"/>
      <c r="D498" s="15"/>
      <c r="E498" s="15"/>
      <c r="F498" s="18"/>
    </row>
    <row r="499" spans="1:6" x14ac:dyDescent="0.2">
      <c r="A499" s="12"/>
      <c r="B499" s="38"/>
      <c r="C499" s="9"/>
      <c r="D499" s="15"/>
      <c r="E499" s="15"/>
      <c r="F499" s="18"/>
    </row>
    <row r="500" spans="1:6" x14ac:dyDescent="0.2">
      <c r="A500" s="12"/>
      <c r="B500" s="38"/>
      <c r="C500" s="9"/>
      <c r="D500" s="15"/>
      <c r="E500" s="15"/>
      <c r="F500" s="18"/>
    </row>
    <row r="501" spans="1:6" x14ac:dyDescent="0.2">
      <c r="A501" s="12"/>
      <c r="B501" s="38"/>
      <c r="C501" s="9"/>
      <c r="D501" s="15"/>
      <c r="E501" s="15"/>
      <c r="F501" s="18"/>
    </row>
    <row r="502" spans="1:6" x14ac:dyDescent="0.2">
      <c r="A502" s="12"/>
      <c r="B502" s="38"/>
      <c r="C502" s="9"/>
      <c r="D502" s="15"/>
      <c r="E502" s="15"/>
      <c r="F502" s="18"/>
    </row>
    <row r="503" spans="1:6" x14ac:dyDescent="0.2">
      <c r="A503" s="12"/>
      <c r="B503" s="38"/>
      <c r="C503" s="9"/>
      <c r="D503" s="15"/>
      <c r="E503" s="15"/>
      <c r="F503" s="18"/>
    </row>
    <row r="504" spans="1:6" x14ac:dyDescent="0.2">
      <c r="A504" s="12"/>
      <c r="B504" s="38"/>
      <c r="C504" s="9"/>
      <c r="D504" s="15"/>
      <c r="E504" s="15"/>
      <c r="F504" s="18"/>
    </row>
    <row r="505" spans="1:6" x14ac:dyDescent="0.2">
      <c r="A505" s="12"/>
      <c r="B505" s="38"/>
      <c r="C505" s="9"/>
      <c r="D505" s="15"/>
      <c r="E505" s="15"/>
      <c r="F505" s="18"/>
    </row>
    <row r="506" spans="1:6" x14ac:dyDescent="0.2">
      <c r="A506" s="12"/>
      <c r="B506" s="38"/>
      <c r="C506" s="9"/>
      <c r="D506" s="15"/>
      <c r="E506" s="15"/>
      <c r="F506" s="18"/>
    </row>
    <row r="507" spans="1:6" x14ac:dyDescent="0.2">
      <c r="A507" s="12"/>
      <c r="B507" s="38"/>
      <c r="C507" s="9"/>
      <c r="D507" s="15"/>
      <c r="E507" s="15"/>
      <c r="F507" s="18"/>
    </row>
    <row r="508" spans="1:6" x14ac:dyDescent="0.2">
      <c r="A508" s="12"/>
      <c r="B508" s="38"/>
      <c r="C508" s="9"/>
      <c r="D508" s="15"/>
      <c r="E508" s="15"/>
      <c r="F508" s="18"/>
    </row>
    <row r="509" spans="1:6" x14ac:dyDescent="0.2">
      <c r="A509" s="12"/>
      <c r="B509" s="38"/>
      <c r="C509" s="9"/>
      <c r="D509" s="15"/>
      <c r="E509" s="15"/>
      <c r="F509" s="18"/>
    </row>
    <row r="510" spans="1:6" x14ac:dyDescent="0.2">
      <c r="A510" s="12"/>
      <c r="B510" s="38"/>
      <c r="C510" s="9"/>
      <c r="D510" s="15"/>
      <c r="E510" s="15"/>
      <c r="F510" s="18"/>
    </row>
    <row r="511" spans="1:6" x14ac:dyDescent="0.2">
      <c r="A511" s="12"/>
      <c r="B511" s="38"/>
      <c r="C511" s="9"/>
      <c r="D511" s="15"/>
      <c r="E511" s="15"/>
      <c r="F511" s="18"/>
    </row>
    <row r="512" spans="1:6" x14ac:dyDescent="0.2">
      <c r="A512" s="12"/>
      <c r="B512" s="38"/>
      <c r="C512" s="9"/>
      <c r="D512" s="15"/>
      <c r="E512" s="15"/>
      <c r="F512" s="18"/>
    </row>
    <row r="513" spans="1:7" x14ac:dyDescent="0.2">
      <c r="A513" s="12"/>
      <c r="B513" s="38"/>
      <c r="C513" s="9"/>
      <c r="D513" s="15"/>
      <c r="E513" s="15"/>
      <c r="F513" s="18"/>
    </row>
    <row r="514" spans="1:7" x14ac:dyDescent="0.2">
      <c r="A514" s="12"/>
      <c r="B514" s="38"/>
      <c r="C514" s="9"/>
      <c r="D514" s="15"/>
      <c r="E514" s="15"/>
      <c r="F514" s="18"/>
    </row>
    <row r="515" spans="1:7" x14ac:dyDescent="0.2">
      <c r="A515" s="12"/>
      <c r="B515" s="38"/>
      <c r="C515" s="9"/>
      <c r="D515" s="15"/>
      <c r="E515" s="15"/>
      <c r="F515" s="18"/>
      <c r="G515" s="23"/>
    </row>
    <row r="516" spans="1:7" x14ac:dyDescent="0.2">
      <c r="A516" s="12"/>
      <c r="B516" s="38"/>
      <c r="C516" s="9"/>
      <c r="D516" s="15"/>
      <c r="E516" s="15"/>
      <c r="F516" s="18"/>
    </row>
    <row r="517" spans="1:7" x14ac:dyDescent="0.2">
      <c r="A517" s="12"/>
      <c r="B517" s="38"/>
      <c r="C517" s="9"/>
      <c r="D517" s="15"/>
      <c r="E517" s="15"/>
      <c r="F517" s="18"/>
    </row>
    <row r="518" spans="1:7" x14ac:dyDescent="0.2">
      <c r="A518" s="12"/>
      <c r="B518" s="38"/>
      <c r="C518" s="9"/>
      <c r="D518" s="15"/>
      <c r="E518" s="15"/>
      <c r="F518" s="18"/>
    </row>
    <row r="519" spans="1:7" x14ac:dyDescent="0.2">
      <c r="A519" s="12"/>
      <c r="B519" s="38"/>
      <c r="C519" s="9"/>
      <c r="D519" s="15"/>
      <c r="E519" s="15"/>
      <c r="F519" s="18"/>
    </row>
    <row r="520" spans="1:7" x14ac:dyDescent="0.2">
      <c r="A520" s="12"/>
      <c r="B520" s="38"/>
      <c r="C520" s="9"/>
      <c r="D520" s="15"/>
      <c r="E520" s="15"/>
      <c r="F520" s="18"/>
    </row>
    <row r="521" spans="1:7" x14ac:dyDescent="0.2">
      <c r="A521" s="12"/>
      <c r="B521" s="38"/>
      <c r="C521" s="9"/>
      <c r="D521" s="15"/>
      <c r="E521" s="15"/>
      <c r="F521" s="18"/>
    </row>
    <row r="522" spans="1:7" x14ac:dyDescent="0.2">
      <c r="A522" s="12"/>
      <c r="B522" s="38"/>
      <c r="C522" s="9"/>
      <c r="D522" s="15"/>
      <c r="E522" s="15"/>
      <c r="F522" s="18"/>
    </row>
    <row r="523" spans="1:7" x14ac:dyDescent="0.2">
      <c r="A523" s="12"/>
      <c r="B523" s="38"/>
      <c r="C523" s="9"/>
      <c r="D523" s="15"/>
      <c r="E523" s="15"/>
      <c r="F523" s="18"/>
    </row>
    <row r="524" spans="1:7" x14ac:dyDescent="0.2">
      <c r="A524" s="12"/>
      <c r="B524" s="38"/>
      <c r="C524" s="9"/>
      <c r="D524" s="15"/>
      <c r="E524" s="15"/>
      <c r="F524" s="18"/>
    </row>
    <row r="525" spans="1:7" x14ac:dyDescent="0.2">
      <c r="A525" s="12"/>
      <c r="B525" s="38"/>
      <c r="C525" s="9"/>
      <c r="D525" s="15"/>
      <c r="E525" s="15"/>
      <c r="F525" s="18"/>
    </row>
    <row r="526" spans="1:7" x14ac:dyDescent="0.2">
      <c r="A526" s="12"/>
      <c r="B526" s="38"/>
      <c r="C526" s="9"/>
      <c r="D526" s="15"/>
      <c r="E526" s="15"/>
      <c r="F526" s="18"/>
    </row>
    <row r="527" spans="1:7" x14ac:dyDescent="0.2">
      <c r="A527" s="12"/>
      <c r="B527" s="38"/>
      <c r="C527" s="9"/>
      <c r="D527" s="15"/>
      <c r="E527" s="15"/>
      <c r="F527" s="18"/>
    </row>
    <row r="528" spans="1:7" x14ac:dyDescent="0.2">
      <c r="A528" s="12"/>
      <c r="B528" s="38"/>
      <c r="C528" s="9"/>
      <c r="D528" s="15"/>
      <c r="E528" s="15"/>
      <c r="F528" s="18"/>
    </row>
    <row r="529" spans="1:6" x14ac:dyDescent="0.2">
      <c r="A529" s="12"/>
      <c r="B529" s="38"/>
      <c r="C529" s="9"/>
      <c r="D529" s="15"/>
      <c r="E529" s="15"/>
      <c r="F529" s="18"/>
    </row>
    <row r="530" spans="1:6" x14ac:dyDescent="0.2">
      <c r="A530" s="12"/>
      <c r="B530" s="38"/>
      <c r="C530" s="9"/>
      <c r="D530" s="15"/>
      <c r="E530" s="15"/>
      <c r="F530" s="18"/>
    </row>
    <row r="531" spans="1:6" x14ac:dyDescent="0.2">
      <c r="A531" s="12"/>
      <c r="B531" s="38"/>
      <c r="C531" s="9"/>
      <c r="D531" s="15"/>
      <c r="E531" s="15"/>
      <c r="F531" s="18"/>
    </row>
    <row r="532" spans="1:6" x14ac:dyDescent="0.2">
      <c r="A532" s="12"/>
      <c r="B532" s="38"/>
      <c r="C532" s="9"/>
      <c r="D532" s="15"/>
      <c r="E532" s="15"/>
      <c r="F532" s="18"/>
    </row>
    <row r="533" spans="1:6" x14ac:dyDescent="0.2">
      <c r="A533" s="12"/>
      <c r="B533" s="38"/>
      <c r="C533" s="9"/>
      <c r="D533" s="15"/>
      <c r="E533" s="15"/>
      <c r="F533" s="18"/>
    </row>
    <row r="534" spans="1:6" x14ac:dyDescent="0.2">
      <c r="A534" s="12"/>
      <c r="B534" s="38"/>
      <c r="C534" s="9"/>
      <c r="D534" s="15"/>
      <c r="E534" s="15"/>
      <c r="F534" s="18"/>
    </row>
    <row r="535" spans="1:6" x14ac:dyDescent="0.2">
      <c r="A535" s="12"/>
      <c r="B535" s="38"/>
      <c r="C535" s="9"/>
      <c r="D535" s="15"/>
      <c r="E535" s="15"/>
      <c r="F535" s="18"/>
    </row>
    <row r="536" spans="1:6" x14ac:dyDescent="0.2">
      <c r="A536" s="12"/>
      <c r="B536" s="38"/>
      <c r="C536" s="9"/>
      <c r="D536" s="15"/>
      <c r="E536" s="15"/>
      <c r="F536" s="18"/>
    </row>
    <row r="537" spans="1:6" x14ac:dyDescent="0.2">
      <c r="A537" s="12"/>
      <c r="B537" s="38"/>
      <c r="C537" s="9"/>
      <c r="D537" s="15"/>
      <c r="E537" s="15"/>
      <c r="F537" s="18"/>
    </row>
    <row r="538" spans="1:6" x14ac:dyDescent="0.2">
      <c r="A538" s="12"/>
      <c r="B538" s="38"/>
      <c r="C538" s="9"/>
      <c r="D538" s="15"/>
      <c r="E538" s="15"/>
      <c r="F538" s="18"/>
    </row>
    <row r="539" spans="1:6" x14ac:dyDescent="0.2">
      <c r="A539" s="12"/>
      <c r="B539" s="38"/>
      <c r="C539" s="9"/>
      <c r="D539" s="15"/>
      <c r="E539" s="15"/>
      <c r="F539" s="18"/>
    </row>
    <row r="540" spans="1:6" x14ac:dyDescent="0.2">
      <c r="A540" s="12"/>
      <c r="B540" s="38"/>
      <c r="C540" s="9"/>
      <c r="D540" s="15"/>
      <c r="E540" s="15"/>
      <c r="F540" s="18"/>
    </row>
    <row r="541" spans="1:6" x14ac:dyDescent="0.2">
      <c r="A541" s="12"/>
      <c r="B541" s="38"/>
      <c r="C541" s="9"/>
      <c r="D541" s="15"/>
      <c r="E541" s="15"/>
      <c r="F541" s="18"/>
    </row>
    <row r="542" spans="1:6" x14ac:dyDescent="0.2">
      <c r="A542" s="12"/>
      <c r="B542" s="38"/>
      <c r="C542" s="9"/>
      <c r="D542" s="15"/>
      <c r="E542" s="15"/>
      <c r="F542" s="18"/>
    </row>
    <row r="543" spans="1:6" x14ac:dyDescent="0.2">
      <c r="A543" s="12"/>
      <c r="B543" s="38"/>
      <c r="C543" s="9"/>
      <c r="D543" s="15"/>
      <c r="E543" s="15"/>
      <c r="F543" s="18"/>
    </row>
    <row r="544" spans="1:6" x14ac:dyDescent="0.2">
      <c r="A544" s="12"/>
      <c r="B544" s="38"/>
      <c r="C544" s="9"/>
      <c r="D544" s="15"/>
      <c r="E544" s="15"/>
      <c r="F544" s="18"/>
    </row>
    <row r="545" spans="1:6" x14ac:dyDescent="0.2">
      <c r="A545" s="12"/>
      <c r="B545" s="38"/>
      <c r="C545" s="9"/>
      <c r="D545" s="15"/>
      <c r="E545" s="15"/>
      <c r="F545" s="18"/>
    </row>
    <row r="546" spans="1:6" x14ac:dyDescent="0.2">
      <c r="A546" s="12"/>
      <c r="B546" s="38"/>
      <c r="C546" s="9"/>
      <c r="D546" s="15"/>
      <c r="E546" s="15"/>
      <c r="F546" s="18"/>
    </row>
    <row r="547" spans="1:6" x14ac:dyDescent="0.2">
      <c r="A547" s="12"/>
      <c r="B547" s="38"/>
      <c r="C547" s="9"/>
      <c r="D547" s="15"/>
      <c r="E547" s="15"/>
      <c r="F547" s="18"/>
    </row>
    <row r="548" spans="1:6" x14ac:dyDescent="0.2">
      <c r="A548" s="12"/>
      <c r="B548" s="38"/>
      <c r="C548" s="9"/>
      <c r="D548" s="15"/>
      <c r="E548" s="15"/>
      <c r="F548" s="18"/>
    </row>
    <row r="549" spans="1:6" x14ac:dyDescent="0.2">
      <c r="A549" s="12"/>
      <c r="B549" s="38"/>
      <c r="C549" s="9"/>
      <c r="D549" s="15"/>
      <c r="E549" s="15"/>
      <c r="F549" s="18"/>
    </row>
    <row r="550" spans="1:6" x14ac:dyDescent="0.2">
      <c r="A550" s="12"/>
      <c r="B550" s="38"/>
      <c r="C550" s="9"/>
      <c r="D550" s="15"/>
      <c r="E550" s="15"/>
      <c r="F550" s="18"/>
    </row>
    <row r="551" spans="1:6" x14ac:dyDescent="0.2">
      <c r="A551" s="12"/>
      <c r="B551" s="38"/>
      <c r="C551" s="9"/>
      <c r="D551" s="15"/>
      <c r="E551" s="15"/>
      <c r="F551" s="18"/>
    </row>
    <row r="552" spans="1:6" x14ac:dyDescent="0.2">
      <c r="A552" s="12"/>
      <c r="B552" s="38"/>
      <c r="C552" s="9"/>
      <c r="D552" s="15"/>
      <c r="E552" s="15"/>
      <c r="F552" s="18"/>
    </row>
    <row r="553" spans="1:6" x14ac:dyDescent="0.2">
      <c r="A553" s="12"/>
      <c r="B553" s="38"/>
      <c r="C553" s="9"/>
      <c r="D553" s="15"/>
      <c r="E553" s="15"/>
      <c r="F553" s="18"/>
    </row>
    <row r="554" spans="1:6" x14ac:dyDescent="0.2">
      <c r="A554" s="12"/>
      <c r="B554" s="38"/>
      <c r="C554" s="9"/>
      <c r="D554" s="15"/>
      <c r="E554" s="15"/>
      <c r="F554" s="18"/>
    </row>
    <row r="555" spans="1:6" x14ac:dyDescent="0.2">
      <c r="A555" s="12"/>
      <c r="B555" s="38"/>
      <c r="C555" s="9"/>
      <c r="D555" s="15"/>
      <c r="E555" s="31"/>
      <c r="F555" s="39"/>
    </row>
    <row r="556" spans="1:6" x14ac:dyDescent="0.2">
      <c r="A556" s="12"/>
      <c r="B556" s="38"/>
      <c r="C556" s="9"/>
      <c r="D556" s="15"/>
      <c r="E556" s="44">
        <f>SUM(F2:F555)</f>
        <v>29329000</v>
      </c>
      <c r="F556" s="45"/>
    </row>
  </sheetData>
  <mergeCells count="116">
    <mergeCell ref="P267:P272"/>
    <mergeCell ref="P273:P286"/>
    <mergeCell ref="P175:P188"/>
    <mergeCell ref="P189:P200"/>
    <mergeCell ref="P201:P210"/>
    <mergeCell ref="P211:P219"/>
    <mergeCell ref="P220:P230"/>
    <mergeCell ref="P231:P234"/>
    <mergeCell ref="P235:P247"/>
    <mergeCell ref="P248:P254"/>
    <mergeCell ref="P255:P266"/>
    <mergeCell ref="K220:K230"/>
    <mergeCell ref="K231:K234"/>
    <mergeCell ref="K235:K247"/>
    <mergeCell ref="K248:K254"/>
    <mergeCell ref="K255:K266"/>
    <mergeCell ref="K267:K272"/>
    <mergeCell ref="K273:K286"/>
    <mergeCell ref="P2:P15"/>
    <mergeCell ref="P16:P24"/>
    <mergeCell ref="P25:P41"/>
    <mergeCell ref="P42:P51"/>
    <mergeCell ref="P52:P63"/>
    <mergeCell ref="P65:P79"/>
    <mergeCell ref="P80:P86"/>
    <mergeCell ref="P87:P103"/>
    <mergeCell ref="P104:P105"/>
    <mergeCell ref="P106:P113"/>
    <mergeCell ref="P114:P122"/>
    <mergeCell ref="P123:P129"/>
    <mergeCell ref="P130:P138"/>
    <mergeCell ref="P139:P145"/>
    <mergeCell ref="P146:P152"/>
    <mergeCell ref="P153:P168"/>
    <mergeCell ref="P169:P174"/>
    <mergeCell ref="F205:F212"/>
    <mergeCell ref="F213:F214"/>
    <mergeCell ref="F215:F221"/>
    <mergeCell ref="K2:K15"/>
    <mergeCell ref="K16:K24"/>
    <mergeCell ref="K25:K41"/>
    <mergeCell ref="K42:K51"/>
    <mergeCell ref="K52:K63"/>
    <mergeCell ref="K65:K79"/>
    <mergeCell ref="K80:K86"/>
    <mergeCell ref="K87:K103"/>
    <mergeCell ref="K104:K105"/>
    <mergeCell ref="K106:K113"/>
    <mergeCell ref="K114:K122"/>
    <mergeCell ref="K123:K129"/>
    <mergeCell ref="K130:K138"/>
    <mergeCell ref="K139:K145"/>
    <mergeCell ref="K146:K152"/>
    <mergeCell ref="K153:K168"/>
    <mergeCell ref="K169:K174"/>
    <mergeCell ref="K175:K188"/>
    <mergeCell ref="K189:K200"/>
    <mergeCell ref="K201:K210"/>
    <mergeCell ref="K211:K219"/>
    <mergeCell ref="F129:F135"/>
    <mergeCell ref="F137:F138"/>
    <mergeCell ref="F139:F150"/>
    <mergeCell ref="F151:F157"/>
    <mergeCell ref="F158:F168"/>
    <mergeCell ref="F170:F172"/>
    <mergeCell ref="F173:F178"/>
    <mergeCell ref="F179:F191"/>
    <mergeCell ref="F192:F204"/>
    <mergeCell ref="A158:A168"/>
    <mergeCell ref="A170:A172"/>
    <mergeCell ref="A173:A178"/>
    <mergeCell ref="A179:A191"/>
    <mergeCell ref="A192:A204"/>
    <mergeCell ref="A205:A212"/>
    <mergeCell ref="A213:A214"/>
    <mergeCell ref="A215:A221"/>
    <mergeCell ref="F2:F8"/>
    <mergeCell ref="F9:F32"/>
    <mergeCell ref="F33:F41"/>
    <mergeCell ref="F44:F47"/>
    <mergeCell ref="F48:F49"/>
    <mergeCell ref="F50:F52"/>
    <mergeCell ref="F53:F59"/>
    <mergeCell ref="F60:F67"/>
    <mergeCell ref="F68:F82"/>
    <mergeCell ref="F83:F87"/>
    <mergeCell ref="F91:F99"/>
    <mergeCell ref="F100:F103"/>
    <mergeCell ref="F104:F110"/>
    <mergeCell ref="F111:F115"/>
    <mergeCell ref="F116:F123"/>
    <mergeCell ref="F124:F128"/>
    <mergeCell ref="H10:I10"/>
    <mergeCell ref="H11:I11"/>
    <mergeCell ref="O309:P309"/>
    <mergeCell ref="E556:F556"/>
    <mergeCell ref="A2:A8"/>
    <mergeCell ref="A9:A32"/>
    <mergeCell ref="A33:A41"/>
    <mergeCell ref="A44:A47"/>
    <mergeCell ref="A48:A49"/>
    <mergeCell ref="A50:A52"/>
    <mergeCell ref="A53:A59"/>
    <mergeCell ref="A60:A67"/>
    <mergeCell ref="A68:A82"/>
    <mergeCell ref="A83:A87"/>
    <mergeCell ref="A91:A99"/>
    <mergeCell ref="A100:A103"/>
    <mergeCell ref="A104:A110"/>
    <mergeCell ref="A111:A115"/>
    <mergeCell ref="A116:A123"/>
    <mergeCell ref="A124:A128"/>
    <mergeCell ref="A129:A135"/>
    <mergeCell ref="A137:A138"/>
    <mergeCell ref="A139:A150"/>
    <mergeCell ref="A151:A157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BUK BUNGA (Groceries)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2026-03-01T03:52:57Z</dcterms:created>
  <dcterms:modified xsi:type="dcterms:W3CDTF">2026-03-16T13:48:51Z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350A1A52AAF7A5219947A3697555669F_41</vt:lpwstr>
  </property>
  <property fmtid="{D5CDD505-2E9C-101B-9397-08002B2CF9AE}" pid="3" name="KSOProductBuildVer">
    <vt:lpwstr>1033-12.1.23155.23155</vt:lpwstr>
  </property>
</Properties>
</file>