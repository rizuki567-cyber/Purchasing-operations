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real/Documents/GitHub/Purchasing-operations/SUPPLIER RELATED/"/>
    </mc:Choice>
  </mc:AlternateContent>
  <xr:revisionPtr revIDLastSave="0" documentId="13_ncr:1_{59F667AE-3214-D348-9CA3-4A42EDDF3C9C}" xr6:coauthVersionLast="47" xr6:coauthVersionMax="47" xr10:uidLastSave="{00000000-0000-0000-0000-000000000000}"/>
  <bookViews>
    <workbookView xWindow="15440" yWindow="780" windowWidth="18760" windowHeight="21460" xr2:uid="{00000000-000D-0000-FFFF-FFFF00000000}"/>
  </bookViews>
  <sheets>
    <sheet name="SUPPLIER PAYMENT STATUS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9" i="1" l="1"/>
  <c r="AK94" i="1"/>
  <c r="AK88" i="1"/>
  <c r="AK87" i="1"/>
  <c r="AK86" i="1"/>
  <c r="AK89" i="1" l="1"/>
  <c r="AN76" i="1"/>
  <c r="AN83" i="1"/>
  <c r="AN84" i="1"/>
  <c r="AN26" i="1" l="1"/>
  <c r="AN6" i="1" l="1"/>
  <c r="AN11" i="1"/>
  <c r="AN13" i="1"/>
  <c r="AN15" i="1"/>
  <c r="AN16" i="1"/>
  <c r="AN22" i="1"/>
  <c r="AN40" i="1"/>
  <c r="AN42" i="1"/>
  <c r="AN45" i="1"/>
  <c r="AN46" i="1"/>
  <c r="AN52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38" i="1" l="1"/>
  <c r="AN31" i="1"/>
  <c r="AN21" i="1"/>
  <c r="AN14" i="1"/>
  <c r="W17" i="1" l="1"/>
  <c r="AE88" i="1" l="1"/>
  <c r="AE86" i="1"/>
  <c r="W39" i="1" l="1"/>
  <c r="AN39" i="1" s="1"/>
  <c r="AO38" i="1" s="1"/>
  <c r="W3" i="1" l="1"/>
  <c r="W9" i="1" l="1"/>
  <c r="AN9" i="1" s="1"/>
  <c r="W19" i="1" l="1"/>
  <c r="AN19" i="1" l="1"/>
  <c r="T88" i="1"/>
  <c r="W44" i="1"/>
  <c r="AN44" i="1" s="1"/>
  <c r="W41" i="1" l="1"/>
  <c r="AN41" i="1" s="1"/>
  <c r="W37" i="1"/>
  <c r="AN37" i="1" s="1"/>
  <c r="W35" i="1" l="1"/>
  <c r="AN35" i="1" s="1"/>
  <c r="W30" i="1" l="1"/>
  <c r="W34" i="1"/>
  <c r="W33" i="1"/>
  <c r="AN33" i="1" s="1"/>
  <c r="W32" i="1"/>
  <c r="W29" i="1"/>
  <c r="AN29" i="1" s="1"/>
  <c r="W12" i="1"/>
  <c r="T87" i="1"/>
  <c r="W43" i="1" l="1"/>
  <c r="W28" i="1" l="1"/>
  <c r="T86" i="1" l="1"/>
  <c r="W49" i="1" l="1"/>
  <c r="AN49" i="1" s="1"/>
  <c r="W48" i="1"/>
  <c r="O88" i="1"/>
  <c r="O87" i="1"/>
  <c r="Y86" i="1"/>
  <c r="O86" i="1"/>
  <c r="O89" i="1" l="1"/>
  <c r="T89" i="1"/>
  <c r="W10" i="1" l="1"/>
  <c r="W7" i="1"/>
  <c r="W2" i="1" l="1"/>
  <c r="W4" i="1"/>
  <c r="W5" i="1"/>
  <c r="W14" i="1"/>
  <c r="W36" i="1" l="1"/>
  <c r="W27" i="1"/>
  <c r="W23" i="1" l="1"/>
  <c r="W25" i="1"/>
  <c r="W47" i="1" l="1"/>
  <c r="AN47" i="1" s="1"/>
  <c r="W51" i="1" l="1"/>
  <c r="AN51" i="1" s="1"/>
  <c r="W50" i="1"/>
  <c r="AN50" i="1" l="1"/>
  <c r="Y88" i="1"/>
  <c r="Y87" i="1"/>
  <c r="Y89" i="1" l="1"/>
  <c r="AN28" i="1" l="1"/>
  <c r="AN36" i="1" l="1"/>
  <c r="AN27" i="1"/>
  <c r="AN34" i="1"/>
  <c r="AN30" i="1"/>
  <c r="AN43" i="1" l="1"/>
  <c r="AN32" i="1"/>
  <c r="AN8" i="1" l="1"/>
  <c r="AO8" i="1" s="1"/>
  <c r="AN23" i="1" l="1"/>
  <c r="AN10" i="1" l="1"/>
  <c r="AN12" i="1"/>
  <c r="AN18" i="1"/>
  <c r="AO18" i="1" s="1"/>
  <c r="AN17" i="1"/>
  <c r="AN7" i="1"/>
  <c r="AN4" i="1"/>
  <c r="AN5" i="1"/>
  <c r="AN3" i="1"/>
  <c r="AN25" i="1" l="1"/>
  <c r="AO25" i="1" s="1"/>
  <c r="AE99" i="1"/>
  <c r="AN2" i="1"/>
  <c r="AE94" i="1" l="1"/>
  <c r="AN48" i="1" l="1"/>
  <c r="AN1" i="1" s="1"/>
  <c r="AE87" i="1" l="1"/>
  <c r="AE8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Andreal</author>
    <author>andreal</author>
  </authors>
  <commentList>
    <comment ref="E2" authorId="0" shapeId="0" xr:uid="{0F28F33D-0F41-3549-B1A0-3D5C1DD65951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26 Nov 2025</t>
        </r>
      </text>
    </comment>
    <comment ref="G2" authorId="0" shapeId="0" xr:uid="{80EC7368-A3A3-0B4B-BFE4-39434BA7A3E9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23 Dec 2026</t>
        </r>
      </text>
    </comment>
    <comment ref="I2" authorId="0" shapeId="0" xr:uid="{8305C7F4-55E9-3743-975B-5FFA6073F14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7 Jan 2026</t>
        </r>
      </text>
    </comment>
    <comment ref="L2" authorId="0" shapeId="0" xr:uid="{7ADB2951-DA22-3B4C-A8DB-9C3841748794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2" authorId="1" shapeId="0" xr:uid="{1F52AEB6-D84A-F843-BE24-C2B17480A90C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22 mar 2026</t>
        </r>
      </text>
    </comment>
    <comment ref="V2" authorId="1" shapeId="0" xr:uid="{45F43063-0B0C-B340-9917-C78562FE4056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 May 2026</t>
        </r>
      </text>
    </comment>
    <comment ref="L3" authorId="0" shapeId="0" xr:uid="{B6DD96C4-EA1C-D145-B252-79546A242717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3" authorId="1" shapeId="0" xr:uid="{00000000-0006-0000-0000-000001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" authorId="1" shapeId="0" xr:uid="{DC661F13-D168-B24B-B612-89F5E30B1E84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19 April 2026</t>
        </r>
      </text>
    </comment>
    <comment ref="Q4" authorId="1" shapeId="0" xr:uid="{00000000-0006-0000-0000-000002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 xml:space="preserve">Paid on 12 mar 2026
</t>
        </r>
      </text>
    </comment>
    <comment ref="V4" authorId="1" shapeId="0" xr:uid="{C2C3E75E-1B86-DA4C-BBFE-0578D72588A9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22 April 2026</t>
        </r>
      </text>
    </comment>
    <comment ref="L5" authorId="0" shapeId="0" xr:uid="{9253C548-8400-2442-A942-751C49AEA40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5" authorId="1" shapeId="0" xr:uid="{E1F070E1-FED1-C040-8442-39D0C4987379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 xml:space="preserve">Paid on 31 mar 2026
</t>
        </r>
      </text>
    </comment>
    <comment ref="V5" authorId="1" shapeId="0" xr:uid="{AAD4F303-905D-AD49-A8AA-A0530AEF682F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22 April 2026</t>
        </r>
      </text>
    </comment>
    <comment ref="I7" authorId="0" shapeId="0" xr:uid="{7A60A409-44BE-514C-9403-F938CA3714F0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18 Jan 2026</t>
        </r>
      </text>
    </comment>
    <comment ref="L7" authorId="0" shapeId="0" xr:uid="{5D321E94-39EE-AE42-86B3-C9E92A78DD74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7" authorId="1" shapeId="0" xr:uid="{00000000-0006-0000-0000-000003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7" authorId="1" shapeId="0" xr:uid="{BFC1653B-2EDE-3E44-8C59-2F107798EC3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AB7" authorId="1" shapeId="0" xr:uid="{C7A9F72F-36B0-194E-B072-A441AD06DCFD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Q8" authorId="1" shapeId="0" xr:uid="{00000000-0006-0000-0000-000004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13 Feb 2026</t>
        </r>
      </text>
    </comment>
    <comment ref="V8" authorId="1" shapeId="0" xr:uid="{06388B41-BC47-F24D-B287-126CB229C465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31 Mar 2026</t>
        </r>
      </text>
    </comment>
    <comment ref="Q9" authorId="1" shapeId="0" xr:uid="{00000000-0006-0000-0000-000005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 xml:space="preserve">Paid on 11 Mar 2026
</t>
        </r>
        <r>
          <rPr>
            <sz val="9"/>
            <color rgb="FF000000"/>
            <rFont val="Times New Roman"/>
            <family val="1"/>
          </rPr>
          <t>2 Invoices</t>
        </r>
      </text>
    </comment>
    <comment ref="R9" authorId="0" shapeId="0" xr:uid="{E85E64E4-8FDD-9549-8873-06AC8F59E4DF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2 invoices</t>
        </r>
      </text>
    </comment>
    <comment ref="V9" authorId="1" shapeId="0" xr:uid="{2EE93012-9125-F04E-92C0-08EB05015BF8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E10" authorId="0" shapeId="0" xr:uid="{0902C756-C4CE-3C40-B1C6-5E13C0668914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6 Dec 2026</t>
        </r>
      </text>
    </comment>
    <comment ref="G10" authorId="0" shapeId="0" xr:uid="{3A86F98D-C5BE-CD43-9465-9B703BFC5358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27 Dec 2026</t>
        </r>
      </text>
    </comment>
    <comment ref="I10" authorId="0" shapeId="0" xr:uid="{CA63B72B-38EF-BC4E-A35D-62E1A3C2208A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18 Jan 2026</t>
        </r>
      </text>
    </comment>
    <comment ref="L10" authorId="0" shapeId="0" xr:uid="{6AD7447B-938E-1F4B-B849-F287CDFA30E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10" authorId="1" shapeId="0" xr:uid="{00000000-0006-0000-0000-000007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10" authorId="1" shapeId="0" xr:uid="{D97FB2C9-9355-684E-A3BF-39BC1CD7624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B10" authorId="1" shapeId="0" xr:uid="{0D95E1E2-500E-BE42-8E9E-795894A4E66A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L12" authorId="0" shapeId="0" xr:uid="{577EB686-6B2E-6742-AF99-009F350D712A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V12" authorId="1" shapeId="0" xr:uid="{974FA04E-CB57-0D43-9494-47C791CFEACA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AB12" authorId="1" shapeId="0" xr:uid="{9981CE70-251E-6347-9196-6B1FBC726E45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I13" authorId="0" shapeId="0" xr:uid="{99F49D1B-3BB8-C147-B6D4-2D9CAF93C65A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I14" authorId="0" shapeId="0" xr:uid="{010CB2BB-E09E-8F4B-9FA1-7DDAAE739569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Paid on 7 Jan 2026
</t>
        </r>
        <r>
          <rPr>
            <sz val="10"/>
            <color rgb="FF000000"/>
            <rFont val="Tahoma"/>
            <family val="2"/>
          </rPr>
          <t>but on system payment recorded at 13 Jan 2026 because it has past 2 months</t>
        </r>
      </text>
    </comment>
    <comment ref="L14" authorId="0" shapeId="0" xr:uid="{42467DCF-86B8-774A-B0F7-E82DD83070C0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14" authorId="1" shapeId="0" xr:uid="{00000000-0006-0000-0000-000008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19 Feb 2026</t>
        </r>
      </text>
    </comment>
    <comment ref="V14" authorId="1" shapeId="0" xr:uid="{D4171B19-2AB3-FB49-9025-4FD576753542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26 Mar 2026</t>
        </r>
      </text>
    </comment>
    <comment ref="Q17" authorId="1" shapeId="0" xr:uid="{00000000-0006-0000-0000-000009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17" authorId="1" shapeId="0" xr:uid="{C8165AB8-7B0B-2949-8407-969560CAFB22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Q18" authorId="1" shapeId="0" xr:uid="{00000000-0006-0000-0000-00000A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17 Feb 2026</t>
        </r>
      </text>
    </comment>
    <comment ref="V18" authorId="1" shapeId="0" xr:uid="{8682F222-0F5C-7143-8FB9-61170CA7ED5C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31 Mar 2026</t>
        </r>
      </text>
    </comment>
    <comment ref="W18" authorId="0" shapeId="0" xr:uid="{BE2EEE3B-AF2F-A543-8A24-C3ABB20BC9BB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4 invoices</t>
        </r>
      </text>
    </comment>
    <comment ref="Q19" authorId="1" shapeId="0" xr:uid="{00000000-0006-0000-0000-00000B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 xml:space="preserve">Paid on 3 Mar 2026
</t>
        </r>
        <r>
          <rPr>
            <sz val="9"/>
            <color rgb="FF000000"/>
            <rFont val="Times New Roman"/>
            <family val="1"/>
          </rPr>
          <t>(3 invoices combined)</t>
        </r>
      </text>
    </comment>
    <comment ref="R19" authorId="0" shapeId="0" xr:uid="{918E104E-DE36-4344-A046-2E54179D4B45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3 Invoices</t>
        </r>
      </text>
    </comment>
    <comment ref="V19" authorId="1" shapeId="0" xr:uid="{86416C9E-03C7-1A47-A143-EBCD2B832B8F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W19" authorId="0" shapeId="0" xr:uid="{C7D348CB-A510-A443-92FB-1886BDCA5C5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2 Invoices</t>
        </r>
      </text>
    </comment>
    <comment ref="AB20" authorId="1" shapeId="0" xr:uid="{3B0A1F26-77CB-4446-97E8-7CBB3DEF1537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6 May 2026</t>
        </r>
      </text>
    </comment>
    <comment ref="AH20" authorId="1" shapeId="0" xr:uid="{5E70B4FB-D4EB-1146-833B-615824F93EA3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6 May 2026</t>
        </r>
      </text>
    </comment>
    <comment ref="Q21" authorId="1" shapeId="0" xr:uid="{00000000-0006-0000-0000-00000E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Feb 2026</t>
        </r>
      </text>
    </comment>
    <comment ref="V23" authorId="1" shapeId="0" xr:uid="{BFEE72C9-D8D3-3240-940D-E0654E553D66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AB24" authorId="1" shapeId="0" xr:uid="{7C65401C-C6CA-3F45-AD4A-5E317914DD42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H24" authorId="1" shapeId="0" xr:uid="{A1E91CD5-74BD-E34F-9A2D-0F090D528C9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G25" authorId="0" shapeId="0" xr:uid="{E6A83103-81D5-AC43-92A4-39F994CA87F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15 Dec 2026</t>
        </r>
      </text>
    </comment>
    <comment ref="I25" authorId="0" shapeId="0" xr:uid="{50AE372B-2976-ED45-902B-CFE746ECE18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7 Jan 2026</t>
        </r>
      </text>
    </comment>
    <comment ref="L25" authorId="0" shapeId="0" xr:uid="{4017D522-D5DF-904F-886F-6DC89B96EBE5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25" authorId="0" shapeId="0" xr:uid="{BDB048AB-2761-F845-99E0-D0E4F09BF890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16 Mar 2026</t>
        </r>
      </text>
    </comment>
    <comment ref="V25" authorId="0" shapeId="0" xr:uid="{FBFDE372-1D71-734C-AD58-0C599C2C8116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Paid on 15 April 2026
</t>
        </r>
      </text>
    </comment>
    <comment ref="G26" authorId="0" shapeId="0" xr:uid="{25B8B1BB-DB63-584A-A4F8-4F5EC9E5D67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25 Dec 2025</t>
        </r>
      </text>
    </comment>
    <comment ref="I26" authorId="0" shapeId="0" xr:uid="{1305FCC4-C450-DF49-BE5B-45996CFFBF0F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26 Jan 2026</t>
        </r>
      </text>
    </comment>
    <comment ref="L26" authorId="0" shapeId="0" xr:uid="{D9B5FB4E-9DB8-3B4F-B377-9CDB16A092F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26 Feb 2026</t>
        </r>
      </text>
    </comment>
    <comment ref="G27" authorId="0" shapeId="0" xr:uid="{025E77DB-49C7-104F-AF02-C24E833F7AE3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27 Dec 2026</t>
        </r>
      </text>
    </comment>
    <comment ref="I27" authorId="0" shapeId="0" xr:uid="{D174CC61-98CF-E44A-968D-B14A2B4BEA88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18 Jan 2026</t>
        </r>
      </text>
    </comment>
    <comment ref="L27" authorId="0" shapeId="0" xr:uid="{22C6126F-B551-714A-920A-D88407A22408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27" authorId="1" shapeId="0" xr:uid="{00000000-0006-0000-0000-00000F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27" authorId="1" shapeId="0" xr:uid="{9FCADA01-C1B8-9C42-BCBB-C601D7F1824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19 April 2026</t>
        </r>
      </text>
    </comment>
    <comment ref="G28" authorId="0" shapeId="0" xr:uid="{84A92061-B289-BE44-BD38-0BF0E34DBBE4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27 Dec 2025</t>
        </r>
      </text>
    </comment>
    <comment ref="I28" authorId="0" shapeId="0" xr:uid="{E53F281E-1623-FD47-9B06-DBCB82866DA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28" authorId="0" shapeId="0" xr:uid="{E5E76AA9-3763-F74E-8499-8A238AC55BF6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28" authorId="1" shapeId="0" xr:uid="{00000000-0006-0000-0000-000010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28" authorId="1" shapeId="0" xr:uid="{EF07E465-E910-C646-8DF5-D17051C0868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17 April 2026</t>
        </r>
      </text>
    </comment>
    <comment ref="I29" authorId="0" shapeId="0" xr:uid="{7F0DE211-9067-444D-841F-8D265ACD0D3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29" authorId="0" shapeId="0" xr:uid="{0E3BD555-ED10-D64C-84EC-34E96E05447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29" authorId="1" shapeId="0" xr:uid="{00000000-0006-0000-0000-000011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29" authorId="1" shapeId="0" xr:uid="{B82B03F6-90C8-B848-8C1E-9C5AB0DDFE04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I30" authorId="0" shapeId="0" xr:uid="{3955F0CC-D051-7E47-8073-6DF94A026620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18 Jan 2026</t>
        </r>
      </text>
    </comment>
    <comment ref="L30" authorId="0" shapeId="0" xr:uid="{3395A420-9718-A74D-A99E-0EA8B096F62B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30" authorId="1" shapeId="0" xr:uid="{00000000-0006-0000-0000-000012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0" authorId="1" shapeId="0" xr:uid="{876161B0-E58B-EE41-A647-F6957E34C25C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AB30" authorId="1" shapeId="0" xr:uid="{E2DC4FF6-853D-2645-A811-03431D6A905A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6 May 2026</t>
        </r>
      </text>
    </comment>
    <comment ref="I31" authorId="0" shapeId="0" xr:uid="{E7AD0FF2-655D-8244-8960-F71C91946FED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31" authorId="0" shapeId="0" xr:uid="{4761F7F5-AA7A-614F-AB1B-1570A44E52AA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31" authorId="1" shapeId="0" xr:uid="{00000000-0006-0000-0000-000013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G32" authorId="0" shapeId="0" xr:uid="{2A2F345E-2D56-FC4B-9CAD-2AB69AAD5373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27 Dec 2025</t>
        </r>
      </text>
    </comment>
    <comment ref="I32" authorId="0" shapeId="0" xr:uid="{304B0519-3858-8D4B-AE28-C8B528A6C0D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32" authorId="0" shapeId="0" xr:uid="{E398989A-138E-8749-98A0-A4C3D4BC2087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32" authorId="1" shapeId="0" xr:uid="{00000000-0006-0000-0000-000014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2" authorId="1" shapeId="0" xr:uid="{6E875C09-9758-E745-9E56-DAFFC078D2CD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I33" authorId="0" shapeId="0" xr:uid="{48689F7F-7349-774C-ACFB-5D9F29D6B6A8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18 Jan	 2026</t>
        </r>
      </text>
    </comment>
    <comment ref="L33" authorId="0" shapeId="0" xr:uid="{0F92B6B0-3226-BE40-8CDC-9612DADA3A96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33" authorId="1" shapeId="0" xr:uid="{00000000-0006-0000-0000-000015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3" authorId="1" shapeId="0" xr:uid="{C5B9603E-C85E-4C41-B1AE-36A9F8F4C9A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G34" authorId="0" shapeId="0" xr:uid="{869536D5-E62C-2145-B414-BDFDF0F2A16B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30 Dec 2026</t>
        </r>
      </text>
    </comment>
    <comment ref="I34" authorId="0" shapeId="0" xr:uid="{2FC9F38F-460F-E248-9223-508FF0E37261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34" authorId="0" shapeId="0" xr:uid="{4759F13A-53F5-AF42-9B62-0FE88EB3DB89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12 Feb 2026</t>
        </r>
      </text>
    </comment>
    <comment ref="Q34" authorId="1" shapeId="0" xr:uid="{00000000-0006-0000-0000-000016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4" authorId="1" shapeId="0" xr:uid="{A493A50C-85D2-CA45-A930-50BEE7E59C2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Q35" authorId="1" shapeId="0" xr:uid="{00000000-0006-0000-0000-000017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5" authorId="1" shapeId="0" xr:uid="{F4C4576C-32DE-3749-A74D-6E2E30D26FD5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V36" authorId="1" shapeId="0" xr:uid="{66FA1862-9BD8-EF4B-8F03-7254632B5ADF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I37" authorId="0" shapeId="0" xr:uid="{6232A484-B23D-784A-9132-744CBA57E3F5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37" authorId="0" shapeId="0" xr:uid="{937F0BA7-2B3F-7C4B-A9A2-D6A3634247E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37" authorId="1" shapeId="0" xr:uid="{00000000-0006-0000-0000-000018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7" authorId="1" shapeId="0" xr:uid="{092EC0DB-1668-4C4C-B719-6BDB99E161A8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G38" authorId="0" shapeId="0" xr:uid="{FEE5066B-80FF-0347-A201-1A4B358597C5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15 Dec 2026</t>
        </r>
      </text>
    </comment>
    <comment ref="I38" authorId="0" shapeId="0" xr:uid="{6F21D8FD-1CAE-3F44-BD5B-3BF7E2D9E731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Jan 2026</t>
        </r>
      </text>
    </comment>
    <comment ref="L38" authorId="0" shapeId="0" xr:uid="{51371B18-4613-7F4D-80AC-AE6DD31662F5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12 Feb 2026</t>
        </r>
      </text>
    </comment>
    <comment ref="Q38" authorId="1" shapeId="0" xr:uid="{00000000-0006-0000-0000-000019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Feb 2026</t>
        </r>
      </text>
    </comment>
    <comment ref="V38" authorId="1" shapeId="0" xr:uid="{00000000-0006-0000-0000-00001A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39" authorId="1" shapeId="0" xr:uid="{758A5B54-7421-3542-80A3-BE8ACA2EF6F6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19 April 2026</t>
        </r>
      </text>
    </comment>
    <comment ref="Q40" authorId="1" shapeId="0" xr:uid="{00000000-0006-0000-0000-00001B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Feb 2026</t>
        </r>
      </text>
    </comment>
    <comment ref="AB40" authorId="1" shapeId="0" xr:uid="{06BAAAA1-F98D-274E-8992-99EE1005D74D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AH40" authorId="1" shapeId="0" xr:uid="{D8D2F715-ACA5-3349-BDA8-837F6ABD625E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I41" authorId="0" shapeId="0" xr:uid="{99312CA9-614C-054F-914E-D20F9664F483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41" authorId="0" shapeId="0" xr:uid="{76AA03B3-5F8F-C34A-A680-2A4E84633F29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41" authorId="1" shapeId="0" xr:uid="{00000000-0006-0000-0000-00001C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41" authorId="1" shapeId="0" xr:uid="{4FBFB842-6154-2B43-B572-A0FA554A6BBD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L43" authorId="0" shapeId="0" xr:uid="{6C684660-F7B1-1C4A-9D3F-47B859C5A900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	2026</t>
        </r>
      </text>
    </comment>
    <comment ref="Q43" authorId="1" shapeId="0" xr:uid="{00000000-0006-0000-0000-00001D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43" authorId="1" shapeId="0" xr:uid="{00624014-5CFE-6140-9F97-7CBCCBDF70F7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I44" authorId="0" shapeId="0" xr:uid="{D9DD45D8-DC6F-EE4B-B272-60FEF3685CA3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7 Jan 2026</t>
        </r>
      </text>
    </comment>
    <comment ref="L44" authorId="0" shapeId="0" xr:uid="{4C668DC7-5605-6D4E-9E52-36CEEAC3EEF5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V44" authorId="1" shapeId="0" xr:uid="{1B1697E8-3763-ED45-BAB9-AFE68658D757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I46" authorId="0" shapeId="0" xr:uid="{BF541ED6-BA43-8442-8C2D-9813C3A054E6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6 Dec 2026</t>
        </r>
      </text>
    </comment>
    <comment ref="L46" authorId="0" shapeId="0" xr:uid="{EEED04AB-1045-A047-8CDE-DF661DD295E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12 Feb 2026</t>
        </r>
      </text>
    </comment>
    <comment ref="V46" authorId="1" shapeId="0" xr:uid="{00000000-0006-0000-0000-00001E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11 Mar 2026</t>
        </r>
      </text>
    </comment>
    <comment ref="G47" authorId="0" shapeId="0" xr:uid="{7CC1B823-1738-7143-9ED1-63CC6BBDEB8C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27 Dec 2026</t>
        </r>
      </text>
    </comment>
    <comment ref="I47" authorId="0" shapeId="0" xr:uid="{E834472D-BE06-2348-B96B-B73527C0634B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47" authorId="0" shapeId="0" xr:uid="{BE0981BC-031A-0943-8CE0-254857D94DFE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12 Feb 2026</t>
        </r>
      </text>
    </comment>
    <comment ref="Q47" authorId="1" shapeId="0" xr:uid="{00000000-0006-0000-0000-00001F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47" authorId="1" shapeId="0" xr:uid="{2A499E1B-51E7-F646-9412-958274A14C7C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G48" authorId="0" shapeId="0" xr:uid="{D9B36FC3-E064-F14E-98F5-BE00E76B3EC3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27 Dec 2025</t>
        </r>
      </text>
    </comment>
    <comment ref="I48" authorId="0" shapeId="0" xr:uid="{455D48E5-28C7-8947-A7E2-39C91BCC5A06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48" authorId="0" shapeId="0" xr:uid="{63379590-D327-3B45-A5BB-587FC2D47A6C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48" authorId="1" shapeId="0" xr:uid="{00000000-0006-0000-0000-000020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48" authorId="1" shapeId="0" xr:uid="{A05940E7-F2D9-2343-9A6C-E44FDBDCDC83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AB48" authorId="1" shapeId="0" xr:uid="{3DC61F5C-520E-7B4D-B5BD-70412DE9359F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L49" authorId="0" shapeId="0" xr:uid="{55FFC243-1C4F-1848-B3FF-7AD32786F134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17 Feb 2026</t>
        </r>
      </text>
    </comment>
    <comment ref="Q49" authorId="1" shapeId="0" xr:uid="{00000000-0006-0000-0000-000021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49" authorId="1" shapeId="0" xr:uid="{1FECE5D5-60F1-C840-ABE9-CF0A1764E60F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I50" authorId="0" shapeId="0" xr:uid="{45E6E983-4935-5D42-9E38-E30BB4ECD0EB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7 Jan 2026</t>
        </r>
      </text>
    </comment>
    <comment ref="L50" authorId="0" shapeId="0" xr:uid="{998BFAFF-9EE3-014F-B989-A79A759E7841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12 Feb 2026</t>
        </r>
      </text>
    </comment>
    <comment ref="Q50" authorId="1" shapeId="0" xr:uid="{00000000-0006-0000-0000-000022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11 Mar 2026</t>
        </r>
      </text>
    </comment>
    <comment ref="V50" authorId="1" shapeId="0" xr:uid="{247177D3-27EC-5949-A73C-540E2E070DF3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6 April 2026</t>
        </r>
      </text>
    </comment>
    <comment ref="AB50" authorId="1" shapeId="0" xr:uid="{8012C84B-6952-9D4D-B433-B1FC794AEF88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G51" authorId="0" shapeId="0" xr:uid="{0A742400-0880-564E-92DA-44FAC60F27A0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19 Dec 2026</t>
        </r>
      </text>
    </comment>
    <comment ref="I51" authorId="0" shapeId="0" xr:uid="{33F795FC-E964-C749-8E0A-98CAD2EE4E9C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14 Jan 2026</t>
        </r>
      </text>
    </comment>
    <comment ref="L51" authorId="0" shapeId="0" xr:uid="{548C2BB7-3FC8-634A-BDFC-B6DDCE825E91}">
      <text>
        <r>
          <rPr>
            <b/>
            <sz val="10"/>
            <color rgb="FF000000"/>
            <rFont val="Tahoma"/>
            <family val="2"/>
          </rPr>
          <t>Andreal: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Paid on 13 Feb 2026</t>
        </r>
      </text>
    </comment>
    <comment ref="Q51" authorId="1" shapeId="0" xr:uid="{00000000-0006-0000-0000-000023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mar 2026</t>
        </r>
      </text>
    </comment>
    <comment ref="V51" authorId="1" shapeId="0" xr:uid="{0A3C1F68-F00F-7045-A4A0-9CFFB3A9E8DD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15 April 2026</t>
        </r>
      </text>
    </comment>
    <comment ref="AB51" authorId="1" shapeId="0" xr:uid="{55F0E6B0-6574-734F-BD6F-75DF6C73DB75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6 May 2026</t>
        </r>
      </text>
    </comment>
    <comment ref="Q52" authorId="1" shapeId="0" xr:uid="{00000000-0006-0000-0000-000024000000}">
      <text>
        <r>
          <rPr>
            <b/>
            <sz val="9"/>
            <rFont val="Times New Roman"/>
            <family val="1"/>
          </rPr>
          <t>andreal:</t>
        </r>
        <r>
          <rPr>
            <sz val="9"/>
            <rFont val="Times New Roman"/>
            <family val="1"/>
          </rPr>
          <t xml:space="preserve">
Paid on 19 Feb 2026</t>
        </r>
      </text>
    </comment>
    <comment ref="AB52" authorId="1" shapeId="0" xr:uid="{00CB1C9D-3A79-D446-A19E-CDCD6DCD66BB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AB54" authorId="1" shapeId="0" xr:uid="{9E12732E-E93F-624E-A0AD-9E1AFA14D1A5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Q55" authorId="1" shapeId="0" xr:uid="{00000000-0006-0000-0000-000025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17 Feb 2026</t>
        </r>
      </text>
    </comment>
    <comment ref="Q56" authorId="1" shapeId="0" xr:uid="{00000000-0006-0000-0000-000026000000}">
      <text>
        <r>
          <rPr>
            <b/>
            <sz val="9"/>
            <rFont val="Times New Roman"/>
            <family val="1"/>
          </rPr>
          <t>andreal:</t>
        </r>
        <r>
          <rPr>
            <sz val="9"/>
            <rFont val="Times New Roman"/>
            <family val="1"/>
          </rPr>
          <t xml:space="preserve">
Paid on 17 Feb 2026</t>
        </r>
      </text>
    </comment>
    <comment ref="I57" authorId="1" shapeId="0" xr:uid="{00000000-0006-0000-0000-000027000000}">
      <text>
        <r>
          <rPr>
            <b/>
            <sz val="9"/>
            <rFont val="Times New Roman"/>
            <family val="1"/>
          </rPr>
          <t>andreal:</t>
        </r>
        <r>
          <rPr>
            <sz val="9"/>
            <rFont val="Times New Roman"/>
            <family val="1"/>
          </rPr>
          <t xml:space="preserve">
Paid on 26 Jan 2026</t>
        </r>
      </text>
    </comment>
    <comment ref="Q57" authorId="1" shapeId="0" xr:uid="{00000000-0006-0000-0000-000028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17 Feb 2026</t>
        </r>
      </text>
    </comment>
    <comment ref="L71" authorId="1" shapeId="0" xr:uid="{00000000-0006-0000-0000-000029000000}">
      <text>
        <r>
          <rPr>
            <b/>
            <sz val="9"/>
            <rFont val="Times New Roman"/>
            <family val="1"/>
          </rPr>
          <t>andreal:</t>
        </r>
        <r>
          <rPr>
            <sz val="9"/>
            <rFont val="Times New Roman"/>
            <family val="1"/>
          </rPr>
          <t xml:space="preserve">
Paid on 30 Jand 2026</t>
        </r>
      </text>
    </comment>
    <comment ref="Q73" authorId="1" shapeId="0" xr:uid="{00000000-0006-0000-0000-00002A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12 Feb 2026</t>
        </r>
      </text>
    </comment>
    <comment ref="Q74" authorId="1" shapeId="0" xr:uid="{00000000-0006-0000-0000-00002B00000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19 Feb 2026</t>
        </r>
      </text>
    </comment>
    <comment ref="Q75" authorId="1" shapeId="0" xr:uid="{07853C9C-93C2-F74D-B8EF-98F3B3A7ABF5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16 Mar 2026</t>
        </r>
      </text>
    </comment>
    <comment ref="AB76" authorId="1" shapeId="0" xr:uid="{83982366-4434-4742-9FEF-AB973D9B809B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AH76" authorId="1" shapeId="0" xr:uid="{0DA4E936-60AE-2E44-A941-058C9C4592C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14 April 2026</t>
        </r>
      </text>
    </comment>
    <comment ref="AB77" authorId="1" shapeId="0" xr:uid="{2497E4FF-C860-5649-B8CF-5F8CCB631E0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H77" authorId="1" shapeId="0" xr:uid="{A598AAAD-FD68-C54E-A6BE-086AB92BD6E6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B78" authorId="1" shapeId="0" xr:uid="{6D29FF8D-4F40-914F-8EAF-9A88B171D0F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H78" authorId="1" shapeId="0" xr:uid="{B478DAFE-5CF5-A943-A7CB-AD2BEE85A962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B79" authorId="1" shapeId="0" xr:uid="{6B994D54-04C4-DB40-96E6-10C9FA4D7C33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H79" authorId="1" shapeId="0" xr:uid="{9D94B926-6834-DA42-AB9D-783B45340502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27 April 2026</t>
        </r>
      </text>
    </comment>
    <comment ref="AB80" authorId="1" shapeId="0" xr:uid="{BB79BEF6-B595-0144-AE60-7F0FB16D5ED1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5 May 2026</t>
        </r>
      </text>
    </comment>
    <comment ref="AB81" authorId="1" shapeId="0" xr:uid="{B0119913-C871-4C49-98F6-BD620E6726A0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6 May 2026</t>
        </r>
      </text>
    </comment>
    <comment ref="AB83" authorId="1" shapeId="0" xr:uid="{93EFA3AA-E5A8-324F-93A7-625824C57198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22 April 2026</t>
        </r>
      </text>
    </comment>
    <comment ref="AH83" authorId="1" shapeId="0" xr:uid="{E227C989-D7AB-1F49-A291-D138B05EC528}">
      <text>
        <r>
          <rPr>
            <b/>
            <sz val="9"/>
            <color rgb="FF000000"/>
            <rFont val="Times New Roman"/>
            <family val="1"/>
          </rPr>
          <t>andreal:</t>
        </r>
        <r>
          <rPr>
            <sz val="9"/>
            <color rgb="FF000000"/>
            <rFont val="Times New Roman"/>
            <family val="1"/>
          </rPr>
          <t xml:space="preserve">
</t>
        </r>
        <r>
          <rPr>
            <sz val="9"/>
            <color rgb="FF000000"/>
            <rFont val="Times New Roman"/>
            <family val="1"/>
          </rPr>
          <t>Paid on 22 April 2026</t>
        </r>
      </text>
    </comment>
  </commentList>
</comments>
</file>

<file path=xl/sharedStrings.xml><?xml version="1.0" encoding="utf-8"?>
<sst xmlns="http://schemas.openxmlformats.org/spreadsheetml/2006/main" count="636" uniqueCount="130">
  <si>
    <t>DIVISION</t>
  </si>
  <si>
    <t>SUPPLIER NAME</t>
  </si>
  <si>
    <t>SEPTEMBER</t>
  </si>
  <si>
    <t>AMOUNT</t>
  </si>
  <si>
    <t>OCTOBER</t>
  </si>
  <si>
    <t>NOVEMBER</t>
  </si>
  <si>
    <t>DECEMBER</t>
  </si>
  <si>
    <t>JANUARY</t>
  </si>
  <si>
    <t>DUE DATE</t>
  </si>
  <si>
    <t>FEBRUARY</t>
  </si>
  <si>
    <t>OUTSTANDING</t>
  </si>
  <si>
    <t>MARCH</t>
  </si>
  <si>
    <t>KITCHEN</t>
  </si>
  <si>
    <t>BUK BUNGA (GROCERIES)</t>
  </si>
  <si>
    <t>PAID 1/2</t>
  </si>
  <si>
    <t>PAID 1st</t>
  </si>
  <si>
    <t>&gt;&gt;&gt;</t>
  </si>
  <si>
    <t>PAID</t>
  </si>
  <si>
    <t>15th JAN</t>
  </si>
  <si>
    <t>MAKER</t>
  </si>
  <si>
    <t>CONFIRMED</t>
  </si>
  <si>
    <t>PAID 2/2</t>
  </si>
  <si>
    <t>PAID 2nd</t>
  </si>
  <si>
    <t>25th JAN</t>
  </si>
  <si>
    <t>SEDANA JAYA (GROCERIES)</t>
  </si>
  <si>
    <t>N/A</t>
  </si>
  <si>
    <t>AD - ANWAR DEWI (GROCERIES)</t>
  </si>
  <si>
    <t>AGUS SEAFOOD (SEAFOOD)</t>
  </si>
  <si>
    <t>RAFI SEAFOOD (SEAFOOD)</t>
  </si>
  <si>
    <t>MAMA RADA PRODUCTION</t>
  </si>
  <si>
    <t>N/O</t>
  </si>
  <si>
    <t>KSP (CHICKEN)</t>
  </si>
  <si>
    <t>SURYA CIPTA NIAGA (STEAK MEAT)</t>
  </si>
  <si>
    <t>BAYU AGNI (LPG GAS)</t>
  </si>
  <si>
    <t>JOY GREEN</t>
  </si>
  <si>
    <t>CELEBRITY BAKERY</t>
  </si>
  <si>
    <t>KROP (EDIBLE FLOWER)</t>
  </si>
  <si>
    <t>BOILER (DUMPLINGS)</t>
  </si>
  <si>
    <t>DAILY BAGUETTE (BREAD)</t>
  </si>
  <si>
    <t>BRAUD (BREAD) SO FAR PAID USING OVO</t>
  </si>
  <si>
    <t>OVO</t>
  </si>
  <si>
    <t>FORNO (BREAD)</t>
  </si>
  <si>
    <t>ABISEKA (FRESH MILK)</t>
  </si>
  <si>
    <t>KEMANG FOOD</t>
  </si>
  <si>
    <t>SURBLED</t>
  </si>
  <si>
    <t>PAID 1ST</t>
  </si>
  <si>
    <t>PAID 2ND</t>
  </si>
  <si>
    <t>PAID 3RD</t>
  </si>
  <si>
    <t>AWAITING</t>
  </si>
  <si>
    <t>BAR</t>
  </si>
  <si>
    <t>WARUNG EKA (GALLOONS &amp; MINERAL WATER)</t>
  </si>
  <si>
    <t>DEWATA COCONUT</t>
  </si>
  <si>
    <t>NEVER ANSWERED</t>
  </si>
  <si>
    <t>NO ANSWER</t>
  </si>
  <si>
    <t>PNB (ALCOHOL)</t>
  </si>
  <si>
    <t>DSP (ALCOHOL) GROUP 2</t>
  </si>
  <si>
    <t>DSP ARYA BIMA (ALCOHOL) GROUP 2</t>
  </si>
  <si>
    <t>SELERA (STIR UP SYRUP)</t>
  </si>
  <si>
    <t>DW BALI (ALCOHOL) GROUP 1</t>
  </si>
  <si>
    <t>DDB (ALCOHOL) GROUP 1</t>
  </si>
  <si>
    <t>BALI PERMATA JAYA (CORONA)</t>
  </si>
  <si>
    <t>BLACKLIST COFFEE ROASTERS (COFFEE BEANS)</t>
  </si>
  <si>
    <t>PAY-U ROASTERY (DECAF COFFEE)</t>
  </si>
  <si>
    <t>PT. PRASIDA LANTUR MAJU (ISOLA WINE)</t>
  </si>
  <si>
    <t>PT. LOVINA BEACH BREWERY</t>
  </si>
  <si>
    <t>CHAI CHITAI (TEA)</t>
  </si>
  <si>
    <t>DEWATA KENCANA DISTRIBUSI (ICELAND)</t>
  </si>
  <si>
    <t>INDOBEV MENTARI SEJAHTERA (TRIPLE SEC)</t>
  </si>
  <si>
    <t>EXPAT 8 (MATCHA)</t>
  </si>
  <si>
    <t>FLOOR</t>
  </si>
  <si>
    <t>ANUGRAH (TKW GOODS)</t>
  </si>
  <si>
    <t>UD. ABDI JAYA (TKW GOODS)</t>
  </si>
  <si>
    <t>PT. SUPARMA JAYA TBK. (TISSUE)</t>
  </si>
  <si>
    <t>VICKEL LAUNDRY</t>
  </si>
  <si>
    <t>DISHY SOAP (CHEMICALS)</t>
  </si>
  <si>
    <t>MISCELLANEOUS</t>
  </si>
  <si>
    <t>AC MAINTENANCE (AIRCOND BALI SOLUTION)</t>
  </si>
  <si>
    <t>MAINTENANCE OF LETTERSIGN NEON</t>
  </si>
  <si>
    <t>MAINTENANCE OF WATER PURIFIER (ADVANCE)</t>
  </si>
  <si>
    <t>MAINTENANCE ELECTROLUX TEKNIK SERVICE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</si>
  <si>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</si>
  <si>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</si>
  <si>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</si>
  <si>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</si>
  <si>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</si>
  <si>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</si>
  <si>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</si>
  <si>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</si>
  <si>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</si>
  <si>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PURCHASE WHEY PROTEIN 4.5 KG</t>
  </si>
  <si>
    <t>PURCHASE BAR GLASSES</t>
  </si>
  <si>
    <t>PURCHASE TIRAMISU CUP</t>
  </si>
  <si>
    <t>TIRAMISU CUP TOKOPEDIA</t>
  </si>
  <si>
    <t>2 RECEIPT SPIKE, 6 TISSUE BOX, 3 LAMP DIMMER, 3 CRUMBING DOWN FOR TABLE.</t>
  </si>
  <si>
    <t>PURCHASE HEAVY DUTY TROLLEY, COFFEE GRINDER, LAPTOP ON TOKPED</t>
  </si>
  <si>
    <t>PURCHASE 2 MIXER HEAD, 2 PEELER FOR KITCHEN ON TOKOPEDIA</t>
  </si>
  <si>
    <t>PRINTING HOTEL ROOMS' FLYERS</t>
  </si>
  <si>
    <t>PURCHASE OF 2ND ASUS AIO PC 24"</t>
  </si>
  <si>
    <t>LEGEND:</t>
  </si>
  <si>
    <t>NO ORDER</t>
  </si>
  <si>
    <t>INITIAL</t>
  </si>
  <si>
    <t>GROUP PAYMENT</t>
  </si>
  <si>
    <t>SHOULD BE PAID TOGETHER TO AVOID LOCK ORDER ON 1 OF IT</t>
  </si>
  <si>
    <t>UNPAID</t>
  </si>
  <si>
    <t>POSTPONED</t>
  </si>
  <si>
    <t>TEGAL JAYA (GROCERIES)</t>
  </si>
  <si>
    <t>KITCHEN &amp; BAR</t>
  </si>
  <si>
    <t>NANO DEWATA CK (WINE) GROUP 3</t>
  </si>
  <si>
    <t>NANO DEWATA NON CK (ALCOHOL) GROUP 3</t>
  </si>
  <si>
    <t>*Just added not posted surbled on this month for costs accuracy</t>
  </si>
  <si>
    <t>APRIL</t>
  </si>
  <si>
    <t>GRAND TOTAL DUE</t>
  </si>
  <si>
    <t>KITCHEN'S BILLS</t>
  </si>
  <si>
    <t>BAR'S BILLS</t>
  </si>
  <si>
    <t>DRIED FRUIT FOR EASTER</t>
  </si>
  <si>
    <t>JUICING BOWL FOR SLOW JUICER B1700 (BOTTOM)</t>
  </si>
  <si>
    <t>-</t>
  </si>
  <si>
    <t>DINETA JAYA</t>
  </si>
  <si>
    <t>MIMBA (GROCERIES)</t>
  </si>
  <si>
    <t>2 PCS IPAD AIR 2</t>
  </si>
  <si>
    <t>2 BOX OF FLOOR TILES</t>
  </si>
  <si>
    <t>REIMBURSE CLAUDE SUBSCRIPTION</t>
  </si>
  <si>
    <t>55.331.000</t>
  </si>
  <si>
    <t>PETTY CASH</t>
  </si>
  <si>
    <t>SALT &amp; PEPPER ASMAT PAPUA</t>
  </si>
  <si>
    <t>CLOTHES PRINTING CITITEX</t>
  </si>
  <si>
    <t>GETRA CHILLER MAINTENANCE DOWNPAYMENT</t>
  </si>
  <si>
    <t>GETRA VACUUM MACHINE MAINTENANCE DOWNPAYMENT</t>
  </si>
  <si>
    <t>CANON PIXMA PRINTER</t>
  </si>
  <si>
    <t>FINGERPRINT MACHINE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</si>
</sst>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409]d\-mmm\-yyyy;@"/>
    <numFmt numFmtId="165" formatCode="_-&quot;Rp&quot;* #,##0_-;\-&quot;Rp&quot;* #,##0_-;_-&quot;Rp&quot;* &quot;-&quot;??_-;_-@_-"/>
    <numFmt numFmtId="166" formatCode="[$Rp-421]#,##0.00;[Red][$Rp-421]#,##0.00"/>
  </numFmts>
  <fonts count="17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 (Body)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DEBF7"/>
        <bgColor rgb="FF000000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97">
    <xf numFmtId="0" fontId="0" fillId="0" borderId="0" xfId="0">
      <alignment vertical="center"/>
    </xf>
    <xf numFmtId="0" fontId="1" fillId="0" borderId="0" xfId="0" applyFont="1">
      <alignment vertical="center"/>
    </xf>
    <xf numFmtId="16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>
      <alignment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>
      <alignment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65" fontId="3" fillId="7" borderId="4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165" fontId="3" fillId="7" borderId="6" xfId="0" applyNumberFormat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65" fontId="0" fillId="7" borderId="7" xfId="0" applyNumberForma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165" fontId="0" fillId="7" borderId="8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5" borderId="8" xfId="0" applyFill="1" applyBorder="1">
      <alignment vertical="center"/>
    </xf>
    <xf numFmtId="0" fontId="0" fillId="0" borderId="11" xfId="0" applyBorder="1">
      <alignment vertical="center"/>
    </xf>
    <xf numFmtId="165" fontId="0" fillId="7" borderId="9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5" fontId="0" fillId="7" borderId="12" xfId="0" applyNumberForma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65" fontId="0" fillId="7" borderId="4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7" xfId="0" applyFill="1" applyBorder="1">
      <alignment vertical="center"/>
    </xf>
    <xf numFmtId="0" fontId="0" fillId="0" borderId="9" xfId="0" applyBorder="1" applyAlignment="1">
      <alignment horizontal="center" vertical="center"/>
    </xf>
    <xf numFmtId="0" fontId="0" fillId="7" borderId="9" xfId="0" applyFill="1" applyBorder="1">
      <alignment vertical="center"/>
    </xf>
    <xf numFmtId="0" fontId="0" fillId="7" borderId="8" xfId="0" applyFill="1" applyBorder="1">
      <alignment vertical="center"/>
    </xf>
    <xf numFmtId="0" fontId="0" fillId="0" borderId="4" xfId="0" applyBorder="1" applyAlignment="1">
      <alignment horizontal="center" vertical="center"/>
    </xf>
    <xf numFmtId="0" fontId="0" fillId="7" borderId="4" xfId="0" applyFill="1" applyBorder="1">
      <alignment vertical="center"/>
    </xf>
    <xf numFmtId="0" fontId="1" fillId="2" borderId="3" xfId="0" applyFont="1" applyFill="1" applyBorder="1" applyAlignment="1">
      <alignment horizontal="center" vertical="center"/>
    </xf>
    <xf numFmtId="165" fontId="1" fillId="2" borderId="3" xfId="0" applyNumberFormat="1" applyFont="1" applyFill="1" applyBorder="1" applyAlignment="1">
      <alignment horizontal="center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3" fillId="7" borderId="12" xfId="0" applyNumberFormat="1" applyFont="1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165" fontId="0" fillId="7" borderId="10" xfId="0" applyNumberFormat="1" applyFill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166" fontId="1" fillId="3" borderId="1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6" fontId="3" fillId="7" borderId="18" xfId="0" applyNumberFormat="1" applyFont="1" applyFill="1" applyBorder="1">
      <alignment vertical="center"/>
    </xf>
    <xf numFmtId="164" fontId="3" fillId="0" borderId="0" xfId="0" applyNumberFormat="1" applyFont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166" fontId="3" fillId="7" borderId="19" xfId="0" applyNumberFormat="1" applyFont="1" applyFill="1" applyBorder="1">
      <alignment vertical="center"/>
    </xf>
    <xf numFmtId="166" fontId="0" fillId="7" borderId="20" xfId="0" applyNumberFormat="1" applyFill="1" applyBorder="1">
      <alignment vertical="center"/>
    </xf>
    <xf numFmtId="166" fontId="0" fillId="7" borderId="19" xfId="0" applyNumberFormat="1" applyFill="1" applyBorder="1">
      <alignment vertical="center"/>
    </xf>
    <xf numFmtId="166" fontId="0" fillId="7" borderId="21" xfId="0" applyNumberFormat="1" applyFill="1" applyBorder="1">
      <alignment vertical="center"/>
    </xf>
    <xf numFmtId="166" fontId="0" fillId="7" borderId="22" xfId="0" applyNumberFormat="1" applyFill="1" applyBorder="1">
      <alignment vertical="center"/>
    </xf>
    <xf numFmtId="0" fontId="0" fillId="12" borderId="8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165" fontId="0" fillId="7" borderId="8" xfId="0" applyNumberFormat="1" applyFill="1" applyBorder="1">
      <alignment vertical="center"/>
    </xf>
    <xf numFmtId="0" fontId="0" fillId="13" borderId="0" xfId="0" applyFill="1" applyAlignment="1">
      <alignment horizontal="center" vertical="center"/>
    </xf>
    <xf numFmtId="166" fontId="0" fillId="7" borderId="8" xfId="0" applyNumberFormat="1" applyFill="1" applyBorder="1">
      <alignment vertical="center"/>
    </xf>
    <xf numFmtId="0" fontId="4" fillId="14" borderId="0" xfId="0" applyFont="1" applyFill="1" applyAlignment="1">
      <alignment horizontal="center" vertical="center"/>
    </xf>
    <xf numFmtId="164" fontId="1" fillId="2" borderId="11" xfId="0" applyNumberFormat="1" applyFont="1" applyFill="1" applyBorder="1" applyAlignment="1">
      <alignment horizontal="center" vertical="center"/>
    </xf>
    <xf numFmtId="164" fontId="0" fillId="15" borderId="0" xfId="0" applyNumberFormat="1" applyFill="1">
      <alignment vertical="center"/>
    </xf>
    <xf numFmtId="164" fontId="4" fillId="16" borderId="0" xfId="0" applyNumberFormat="1" applyFont="1" applyFill="1">
      <alignment vertical="center"/>
    </xf>
    <xf numFmtId="165" fontId="0" fillId="5" borderId="8" xfId="0" applyNumberFormat="1" applyFill="1" applyBorder="1">
      <alignment vertical="center"/>
    </xf>
    <xf numFmtId="164" fontId="4" fillId="16" borderId="0" xfId="0" applyNumberFormat="1" applyFont="1" applyFill="1" applyAlignment="1">
      <alignment horizontal="center" vertical="center"/>
    </xf>
    <xf numFmtId="0" fontId="0" fillId="7" borderId="12" xfId="0" applyFill="1" applyBorder="1">
      <alignment vertical="center"/>
    </xf>
    <xf numFmtId="164" fontId="5" fillId="5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12" xfId="0" applyBorder="1">
      <alignment vertical="center"/>
    </xf>
    <xf numFmtId="165" fontId="0" fillId="0" borderId="0" xfId="0" applyNumberFormat="1">
      <alignment vertical="center"/>
    </xf>
    <xf numFmtId="165" fontId="0" fillId="6" borderId="8" xfId="0" applyNumberFormat="1" applyFill="1" applyBorder="1">
      <alignment vertical="center"/>
    </xf>
    <xf numFmtId="0" fontId="0" fillId="6" borderId="8" xfId="0" applyFill="1" applyBorder="1">
      <alignment vertical="center"/>
    </xf>
    <xf numFmtId="165" fontId="0" fillId="15" borderId="8" xfId="0" applyNumberFormat="1" applyFill="1" applyBorder="1">
      <alignment vertical="center"/>
    </xf>
    <xf numFmtId="0" fontId="0" fillId="15" borderId="8" xfId="0" applyFill="1" applyBorder="1">
      <alignment vertical="center"/>
    </xf>
    <xf numFmtId="165" fontId="0" fillId="5" borderId="8" xfId="0" applyNumberFormat="1" applyFill="1" applyBorder="1" applyAlignment="1">
      <alignment horizontal="center" vertical="center"/>
    </xf>
    <xf numFmtId="165" fontId="0" fillId="6" borderId="8" xfId="0" applyNumberFormat="1" applyFill="1" applyBorder="1" applyAlignment="1">
      <alignment horizontal="center" vertical="center"/>
    </xf>
    <xf numFmtId="165" fontId="0" fillId="15" borderId="8" xfId="0" applyNumberFormat="1" applyFill="1" applyBorder="1" applyAlignment="1">
      <alignment horizontal="center" vertical="center"/>
    </xf>
    <xf numFmtId="164" fontId="0" fillId="17" borderId="0" xfId="0" applyNumberFormat="1" applyFill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5" borderId="31" xfId="0" applyFill="1" applyBorder="1">
      <alignment vertical="center"/>
    </xf>
    <xf numFmtId="0" fontId="0" fillId="5" borderId="30" xfId="0" applyFill="1" applyBorder="1">
      <alignment vertical="center"/>
    </xf>
    <xf numFmtId="0" fontId="0" fillId="5" borderId="26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6" fillId="5" borderId="28" xfId="0" applyFont="1" applyFill="1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9" borderId="28" xfId="0" applyFill="1" applyBorder="1" applyAlignment="1">
      <alignment horizontal="left" vertical="center"/>
    </xf>
    <xf numFmtId="0" fontId="0" fillId="9" borderId="30" xfId="0" applyFill="1" applyBorder="1" applyAlignment="1">
      <alignment horizontal="left" vertical="center"/>
    </xf>
    <xf numFmtId="0" fontId="0" fillId="9" borderId="31" xfId="0" applyFill="1" applyBorder="1" applyAlignment="1">
      <alignment horizontal="left" vertical="center"/>
    </xf>
    <xf numFmtId="0" fontId="0" fillId="9" borderId="27" xfId="0" applyFill="1" applyBorder="1">
      <alignment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28" xfId="0" applyFill="1" applyBorder="1" applyAlignment="1">
      <alignment horizontal="left" vertical="center"/>
    </xf>
    <xf numFmtId="0" fontId="0" fillId="10" borderId="30" xfId="0" applyFill="1" applyBorder="1" applyAlignment="1">
      <alignment horizontal="left" vertical="center"/>
    </xf>
    <xf numFmtId="0" fontId="0" fillId="10" borderId="31" xfId="0" applyFill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0" fillId="0" borderId="31" xfId="0" applyBorder="1" applyAlignment="1">
      <alignment horizontal="left" vertical="center" wrapText="1"/>
    </xf>
    <xf numFmtId="0" fontId="0" fillId="0" borderId="32" xfId="0" applyBorder="1" applyAlignment="1">
      <alignment horizontal="left" vertical="center"/>
    </xf>
    <xf numFmtId="164" fontId="14" fillId="0" borderId="0" xfId="0" applyNumberFormat="1" applyFont="1" applyAlignment="1">
      <alignment horizontal="center" vertical="center"/>
    </xf>
    <xf numFmtId="0" fontId="6" fillId="9" borderId="30" xfId="0" applyFont="1" applyFill="1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165" fontId="0" fillId="0" borderId="8" xfId="0" applyNumberFormat="1" applyBorder="1">
      <alignment vertical="center"/>
    </xf>
    <xf numFmtId="0" fontId="13" fillId="18" borderId="0" xfId="0" applyFont="1" applyFill="1" applyAlignment="1">
      <alignment horizontal="center" vertical="center"/>
    </xf>
    <xf numFmtId="0" fontId="6" fillId="11" borderId="32" xfId="0" applyFont="1" applyFill="1" applyBorder="1" applyAlignment="1">
      <alignment horizontal="left" vertical="center"/>
    </xf>
    <xf numFmtId="164" fontId="4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1" fillId="19" borderId="0" xfId="0" applyNumberFormat="1" applyFont="1" applyFill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166" fontId="1" fillId="3" borderId="36" xfId="0" applyNumberFormat="1" applyFont="1" applyFill="1" applyBorder="1" applyAlignment="1">
      <alignment horizontal="center" vertical="center"/>
    </xf>
    <xf numFmtId="164" fontId="0" fillId="2" borderId="8" xfId="0" applyNumberFormat="1" applyFill="1" applyBorder="1" applyAlignment="1">
      <alignment horizontal="center" vertical="center"/>
    </xf>
    <xf numFmtId="0" fontId="6" fillId="0" borderId="31" xfId="0" applyFont="1" applyBorder="1" applyAlignment="1">
      <alignment horizontal="left" vertical="center"/>
    </xf>
    <xf numFmtId="0" fontId="6" fillId="9" borderId="8" xfId="0" applyFont="1" applyFill="1" applyBorder="1" applyAlignment="1">
      <alignment horizontal="center" vertical="center"/>
    </xf>
    <xf numFmtId="0" fontId="16" fillId="0" borderId="31" xfId="0" applyFont="1" applyBorder="1" applyAlignment="1">
      <alignment horizontal="left" vertical="center"/>
    </xf>
    <xf numFmtId="165" fontId="6" fillId="7" borderId="8" xfId="0" applyNumberFormat="1" applyFont="1" applyFill="1" applyBorder="1">
      <alignment vertical="center"/>
    </xf>
    <xf numFmtId="165" fontId="6" fillId="5" borderId="8" xfId="0" applyNumberFormat="1" applyFont="1" applyFill="1" applyBorder="1">
      <alignment vertical="center"/>
    </xf>
    <xf numFmtId="0" fontId="0" fillId="20" borderId="0" xfId="0" applyFill="1" applyAlignment="1">
      <alignment horizontal="center" vertical="center"/>
    </xf>
    <xf numFmtId="0" fontId="6" fillId="5" borderId="29" xfId="0" applyFont="1" applyFill="1" applyBorder="1">
      <alignment vertical="center"/>
    </xf>
    <xf numFmtId="165" fontId="0" fillId="7" borderId="9" xfId="0" applyNumberFormat="1" applyFill="1" applyBorder="1">
      <alignment vertical="center"/>
    </xf>
    <xf numFmtId="164" fontId="0" fillId="15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2" fillId="4" borderId="25" xfId="0" applyNumberFormat="1" applyFont="1" applyFill="1" applyBorder="1" applyAlignment="1">
      <alignment horizontal="center" vertical="center"/>
    </xf>
    <xf numFmtId="164" fontId="2" fillId="4" borderId="26" xfId="0" applyNumberFormat="1" applyFont="1" applyFill="1" applyBorder="1" applyAlignment="1">
      <alignment horizontal="center" vertical="center"/>
    </xf>
    <xf numFmtId="164" fontId="2" fillId="4" borderId="27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4" xfId="0" applyNumberFormat="1" applyFont="1" applyFill="1" applyBorder="1" applyAlignment="1">
      <alignment horizontal="center" vertical="center"/>
    </xf>
    <xf numFmtId="0" fontId="0" fillId="5" borderId="31" xfId="0" applyFill="1" applyBorder="1">
      <alignment vertical="center"/>
    </xf>
    <xf numFmtId="0" fontId="0" fillId="5" borderId="26" xfId="0" applyFill="1" applyBorder="1">
      <alignment vertical="center"/>
    </xf>
    <xf numFmtId="0" fontId="0" fillId="5" borderId="30" xfId="0" applyFill="1" applyBorder="1">
      <alignment vertical="center"/>
    </xf>
    <xf numFmtId="0" fontId="3" fillId="5" borderId="30" xfId="0" applyFont="1" applyFill="1" applyBorder="1">
      <alignment vertical="center"/>
    </xf>
    <xf numFmtId="0" fontId="3" fillId="5" borderId="32" xfId="0" applyFont="1" applyFill="1" applyBorder="1">
      <alignment vertical="center"/>
    </xf>
    <xf numFmtId="0" fontId="15" fillId="9" borderId="31" xfId="0" applyFont="1" applyFill="1" applyBorder="1" applyAlignment="1">
      <alignment vertical="center" wrapText="1"/>
    </xf>
    <xf numFmtId="0" fontId="15" fillId="9" borderId="29" xfId="0" applyFont="1" applyFill="1" applyBorder="1" applyAlignment="1">
      <alignment vertical="center" wrapText="1"/>
    </xf>
    <xf numFmtId="165" fontId="0" fillId="20" borderId="8" xfId="0" applyNumberFormat="1" applyFill="1" applyBorder="1" applyAlignment="1">
      <alignment horizontal="center" vertical="center"/>
    </xf>
    <xf numFmtId="0" fontId="0" fillId="20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65" fontId="0" fillId="7" borderId="9" xfId="0" applyNumberFormat="1" applyFill="1" applyBorder="1" applyAlignment="1">
      <alignment horizontal="center" vertical="center"/>
    </xf>
    <xf numFmtId="165" fontId="0" fillId="7" borderId="7" xfId="0" applyNumberFormat="1" applyFill="1" applyBorder="1" applyAlignment="1">
      <alignment horizontal="center" vertical="center"/>
    </xf>
    <xf numFmtId="165" fontId="6" fillId="7" borderId="9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4" fontId="6" fillId="17" borderId="0" xfId="0" applyNumberFormat="1" applyFont="1" applyFill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7" borderId="10" xfId="0" applyFill="1" applyBorder="1">
      <alignment vertical="center"/>
    </xf>
    <xf numFmtId="0" fontId="6" fillId="11" borderId="26" xfId="0" applyFont="1" applyFill="1" applyBorder="1" applyAlignment="1">
      <alignment horizontal="left" vertical="center"/>
    </xf>
    <xf numFmtId="0" fontId="13" fillId="21" borderId="8" xfId="0" applyFont="1" applyFill="1" applyBorder="1" applyAlignment="1">
      <alignment horizontal="center" vertical="center"/>
    </xf>
    <xf numFmtId="0" fontId="6" fillId="0" borderId="29" xfId="0" applyFont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15" borderId="0" xfId="0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6" fillId="6" borderId="0" xfId="0" applyFont="1" applyFill="1" applyBorder="1" applyAlignment="1">
      <alignment horizontal="center" vertical="center"/>
    </xf>
    <xf numFmtId="165" fontId="0" fillId="15" borderId="0" xfId="0" applyNumberForma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0</xdr:colOff>
      <xdr:row>90</xdr:row>
      <xdr:rowOff>11043</xdr:rowOff>
    </xdr:from>
    <xdr:to>
      <xdr:col>32</xdr:col>
      <xdr:colOff>8896</xdr:colOff>
      <xdr:row>98</xdr:row>
      <xdr:rowOff>198781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496A479-71C2-1144-A351-7CA983368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9565" y="15262086"/>
          <a:ext cx="2140288" cy="1778000"/>
        </a:xfrm>
        <a:prstGeom prst="rect">
          <a:avLst/>
        </a:prstGeom>
      </xdr:spPr>
    </xdr:pic>
    <xdr:clientData/>
  </xdr:twoCellAnchor>
  <xdr:oneCellAnchor>
    <xdr:from>
      <xdr:col>36</xdr:col>
      <xdr:colOff>0</xdr:colOff>
      <xdr:row>90</xdr:row>
      <xdr:rowOff>11043</xdr:rowOff>
    </xdr:from>
    <xdr:ext cx="2142496" cy="1813339"/>
    <xdr:pic>
      <xdr:nvPicPr>
        <xdr:cNvPr id="10" name="Picture 9">
          <a:extLst>
            <a:ext uri="{FF2B5EF4-FFF2-40B4-BE49-F238E27FC236}">
              <a16:creationId xmlns:a16="http://schemas.microsoft.com/office/drawing/2014/main" id="{52D678DF-F275-EC49-BD8F-712617C58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108400" y="16724243"/>
          <a:ext cx="2142496" cy="1813339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CH%202026/KITCHEN%20MARCH%202026.xlsx" TargetMode="External"/><Relationship Id="rId2" Type="http://schemas.openxmlformats.org/officeDocument/2006/relationships/externalLinkPath" Target="/Users/andreal/Documents/GitHub/Purchasing-operations/MARCH%202026/KITCHEN%20MARCH%202026.xlsx" TargetMode="External"/><Relationship Id="rId1" Type="http://schemas.openxmlformats.org/officeDocument/2006/relationships/externalLinkPath" Target="/Users/andreal/Documents/GitHub/Purchasing-operations/MARCH%202026/KITCHEN%20MARCH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CH%202026/BAR%20MARCH%202026.xlsx" TargetMode="External"/><Relationship Id="rId2" Type="http://schemas.openxmlformats.org/officeDocument/2006/relationships/externalLinkPath" Target="/Users/andreal/Documents/GitHub/Purchasing-operations/MARCH%202026/BAR%20MARCH%202026.xlsx" TargetMode="External"/><Relationship Id="rId1" Type="http://schemas.openxmlformats.org/officeDocument/2006/relationships/externalLinkPath" Target="/Users/andreal/Documents/GitHub/Purchasing-operations/MARCH%202026/BAR%20MARCH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CH%202026/FLOOR%20MARCH%202026.xlsx" TargetMode="External"/><Relationship Id="rId2" Type="http://schemas.openxmlformats.org/officeDocument/2006/relationships/externalLinkPath" Target="/Users/andreal/Documents/GitHub/Purchasing-operations/MARCH%202026/FLOOR%20MARCH%202026.xlsx" TargetMode="External"/><Relationship Id="rId1" Type="http://schemas.openxmlformats.org/officeDocument/2006/relationships/externalLinkPath" Target="/Users/andreal/Documents/GitHub/Purchasing-operations/MARCH%202026/FLOOR%20MARCH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RIL%202026/BAR%20APRIL%202026.xlsx" TargetMode="External"/><Relationship Id="rId2" Type="http://schemas.openxmlformats.org/officeDocument/2006/relationships/externalLinkPath" Target="/Users/andreal/Documents/GitHub/Purchasing-operations/APRIL%202026/BAR%20APRIL%202026.xlsx" TargetMode="External"/><Relationship Id="rId1" Type="http://schemas.openxmlformats.org/officeDocument/2006/relationships/externalLinkPath" Target="/Users/andreal/Documents/GitHub/Purchasing-operations/APRIL%202026/BAR%20APRIL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RIL%202026/KITCHEN%20APRIL%202026.xlsx" TargetMode="External"/><Relationship Id="rId2" Type="http://schemas.openxmlformats.org/officeDocument/2006/relationships/externalLinkPath" Target="/Users/andreal/Documents/GitHub/Purchasing-operations/APRIL%202026/KITCHEN%20APRIL%202026.xlsx" TargetMode="External"/><Relationship Id="rId1" Type="http://schemas.openxmlformats.org/officeDocument/2006/relationships/externalLinkPath" Target="/Users/andreal/Documents/GitHub/Purchasing-operations/APRIL%202026/KITCHEN%20APRIL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GAL JAYA (Groceries)"/>
      <sheetName val="BUK BUNGA (Groceries)"/>
      <sheetName val="SEDANA JAYA (Groceries)"/>
      <sheetName val="AD supplier (Groceries)"/>
      <sheetName val="AGUS SEAFOOD"/>
      <sheetName val="RAFI SEAFOOD (Seafood)"/>
      <sheetName val="ABISEKA (FRESH MILK)"/>
      <sheetName val="FORNO (Burger&amp;Croissant)"/>
      <sheetName val="Kemang Food (Salami)"/>
      <sheetName val="MAMA RADA PRODUCTION (Dumpling)"/>
      <sheetName val="KSP (Chicken)"/>
      <sheetName val="SURYA CIPTA NIAGA BALI (Beef)"/>
      <sheetName val="MULIA JAYA (PASSION FRUIT)"/>
      <sheetName val="BAYU AGNI MERTA (Gas)"/>
      <sheetName val="Joy Green (Mix Berry)"/>
      <sheetName val="CELEBRITY BAKERY (Bakery)"/>
      <sheetName val="Krop (Edible flower)"/>
      <sheetName val="Boiler (Dumplings&amp;Syrniki)"/>
      <sheetName val="TOTAL"/>
    </sheetNames>
    <sheetDataSet>
      <sheetData sheetId="0">
        <row r="1">
          <cell r="H1">
            <v>1430300</v>
          </cell>
        </row>
      </sheetData>
      <sheetData sheetId="1">
        <row r="1">
          <cell r="G1">
            <v>36275000</v>
          </cell>
        </row>
      </sheetData>
      <sheetData sheetId="2">
        <row r="1">
          <cell r="H1">
            <v>46203665</v>
          </cell>
        </row>
      </sheetData>
      <sheetData sheetId="3">
        <row r="1">
          <cell r="J1">
            <v>8405000</v>
          </cell>
        </row>
      </sheetData>
      <sheetData sheetId="4">
        <row r="1">
          <cell r="H1">
            <v>11300000</v>
          </cell>
        </row>
      </sheetData>
      <sheetData sheetId="5">
        <row r="1">
          <cell r="H1">
            <v>15075000</v>
          </cell>
        </row>
      </sheetData>
      <sheetData sheetId="6">
        <row r="1">
          <cell r="K1">
            <v>810000</v>
          </cell>
        </row>
      </sheetData>
      <sheetData sheetId="7">
        <row r="1">
          <cell r="H1">
            <v>1831500</v>
          </cell>
        </row>
      </sheetData>
      <sheetData sheetId="8" refreshError="1"/>
      <sheetData sheetId="9" refreshError="1"/>
      <sheetData sheetId="10">
        <row r="1">
          <cell r="I1">
            <v>6106550</v>
          </cell>
        </row>
      </sheetData>
      <sheetData sheetId="11">
        <row r="1">
          <cell r="K1">
            <v>7717700</v>
          </cell>
        </row>
      </sheetData>
      <sheetData sheetId="12" refreshError="1"/>
      <sheetData sheetId="13">
        <row r="1">
          <cell r="H1">
            <v>12040000</v>
          </cell>
        </row>
      </sheetData>
      <sheetData sheetId="14" refreshError="1"/>
      <sheetData sheetId="15">
        <row r="1">
          <cell r="I1">
            <v>110000</v>
          </cell>
        </row>
      </sheetData>
      <sheetData sheetId="16" refreshError="1"/>
      <sheetData sheetId="17">
        <row r="1">
          <cell r="N1">
            <v>638000</v>
          </cell>
        </row>
      </sheetData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GAL JAYA (Bar Groceries)"/>
      <sheetName val="BUK BUNGA BAR (Groceries)"/>
      <sheetName val="WARUNG EKA (Drinks, Etc)"/>
      <sheetName val="DEWATA COCONUT (Coconut)"/>
      <sheetName val="SEDANA JAYA"/>
      <sheetName val="PNB (Alcohol)"/>
      <sheetName val="DSP (Alcohol)"/>
      <sheetName val="DSP ARYA BIMA (Alcohol)"/>
      <sheetName val="SELERA OR STIR UP (Syrup)"/>
      <sheetName val="DW BALI (Alcohol)"/>
      <sheetName val="DDB (Alcohol)"/>
      <sheetName val="NANO DEWATA NON CK(Alcohol)"/>
      <sheetName val="NANO DEWATA CK (Alcohol)"/>
      <sheetName val="BALI PERMATA JAYA (Corona Beer)"/>
      <sheetName val="BLACK COFFEE ROASTERS (Coffee)"/>
      <sheetName val="PT. PRASIDA LANTUR MAJU (Wine)"/>
      <sheetName val="PT LOVINA BEACH BREWERY"/>
      <sheetName val="CHAI CHITAI (Tea Leaf,etc)"/>
      <sheetName val="MULIA JAYA (Passion Fruit)"/>
      <sheetName val="Dewata Kencana Distribusi (Vdka"/>
      <sheetName val="TOTAL"/>
    </sheetNames>
    <sheetDataSet>
      <sheetData sheetId="0">
        <row r="1">
          <cell r="H1">
            <v>2853400</v>
          </cell>
        </row>
      </sheetData>
      <sheetData sheetId="1">
        <row r="1">
          <cell r="G1">
            <v>15397000</v>
          </cell>
        </row>
      </sheetData>
      <sheetData sheetId="2">
        <row r="1">
          <cell r="H1">
            <v>9985000</v>
          </cell>
        </row>
      </sheetData>
      <sheetData sheetId="3">
        <row r="1">
          <cell r="H1">
            <v>1870000</v>
          </cell>
        </row>
      </sheetData>
      <sheetData sheetId="4" refreshError="1"/>
      <sheetData sheetId="5">
        <row r="1">
          <cell r="I1">
            <v>1120000</v>
          </cell>
        </row>
      </sheetData>
      <sheetData sheetId="6">
        <row r="1">
          <cell r="K1">
            <v>2647500</v>
          </cell>
        </row>
      </sheetData>
      <sheetData sheetId="7" refreshError="1"/>
      <sheetData sheetId="8">
        <row r="1">
          <cell r="I1">
            <v>2886000</v>
          </cell>
        </row>
      </sheetData>
      <sheetData sheetId="9">
        <row r="1">
          <cell r="J1">
            <v>5060000</v>
          </cell>
        </row>
      </sheetData>
      <sheetData sheetId="10">
        <row r="1">
          <cell r="H1">
            <v>2359504.7999999998</v>
          </cell>
        </row>
      </sheetData>
      <sheetData sheetId="11">
        <row r="1">
          <cell r="H1">
            <v>855000</v>
          </cell>
        </row>
      </sheetData>
      <sheetData sheetId="12">
        <row r="1">
          <cell r="I1">
            <v>1799999.9985000002</v>
          </cell>
        </row>
      </sheetData>
      <sheetData sheetId="13">
        <row r="1">
          <cell r="I1">
            <v>1190000.0088000002</v>
          </cell>
        </row>
      </sheetData>
      <sheetData sheetId="14">
        <row r="1">
          <cell r="J1">
            <v>5600000</v>
          </cell>
        </row>
      </sheetData>
      <sheetData sheetId="15">
        <row r="1">
          <cell r="I1">
            <v>1315749.6000000001</v>
          </cell>
        </row>
      </sheetData>
      <sheetData sheetId="16" refreshError="1"/>
      <sheetData sheetId="17">
        <row r="1">
          <cell r="L1">
            <v>1687000</v>
          </cell>
        </row>
      </sheetData>
      <sheetData sheetId="18" refreshError="1"/>
      <sheetData sheetId="19">
        <row r="1">
          <cell r="I1">
            <v>650200</v>
          </cell>
        </row>
      </sheetData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ugrah (Bag, Cup, Box)"/>
      <sheetName val="UD Abdi Jaya (Bag, Cup, Box)"/>
      <sheetName val="PT. SUPARMA JAYA TBK (Tissue)"/>
      <sheetName val="Vickel Laundry"/>
      <sheetName val="Dishy Soap"/>
      <sheetName val="TOTAL"/>
    </sheetNames>
    <sheetDataSet>
      <sheetData sheetId="0">
        <row r="1">
          <cell r="I1">
            <v>6815000</v>
          </cell>
        </row>
      </sheetData>
      <sheetData sheetId="1">
        <row r="1">
          <cell r="J1">
            <v>8839000</v>
          </cell>
        </row>
      </sheetData>
      <sheetData sheetId="2">
        <row r="1">
          <cell r="H1">
            <v>808447.14720000001</v>
          </cell>
        </row>
      </sheetData>
      <sheetData sheetId="3">
        <row r="1">
          <cell r="E1">
            <v>944000</v>
          </cell>
        </row>
      </sheetData>
      <sheetData sheetId="4">
        <row r="1">
          <cell r="H1">
            <v>810000</v>
          </cell>
        </row>
      </sheetData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GAL JAYA (Bar Groceries)"/>
      <sheetName val="BUK BUNGA BAR (Groceries)"/>
      <sheetName val="WARUNG EKA (Drinks, Etc)"/>
      <sheetName val="DEWATA COCONUT (Coconut)"/>
      <sheetName val="SEDANA JAYA"/>
      <sheetName val="PNB (Alcohol)"/>
      <sheetName val="DSP (Alcohol)"/>
      <sheetName val="DSP ARYA BIMA (Alcohol)"/>
      <sheetName val="SELERA OR STIR UP (Syrup)"/>
      <sheetName val="DW BALI (Alcohol)"/>
      <sheetName val="DDB (Alcohol)"/>
      <sheetName val="NANO DEWATA NON CK(Alcohol)"/>
      <sheetName val="NANO DEWATA CK (Alcohol)"/>
      <sheetName val="BALI PERMATA JAYA (Corona Beer)"/>
      <sheetName val="BLACK COFFEE ROASTERS (Coffee)"/>
      <sheetName val="PT. PRASIDA LANTUR MAJU (Wine)"/>
      <sheetName val="PT LOVINA BEACH BREWERY"/>
      <sheetName val="CHAI CHITAI (Tea Leaf,etc)"/>
      <sheetName val="MULIA JAYA (Passion Fruit)"/>
      <sheetName val="Dewata Kencana Distribusi (Vdka"/>
      <sheetName val="TOTAL"/>
    </sheetNames>
    <sheetDataSet>
      <sheetData sheetId="0">
        <row r="1">
          <cell r="H1">
            <v>2787300</v>
          </cell>
        </row>
      </sheetData>
      <sheetData sheetId="1">
        <row r="1">
          <cell r="G1">
            <v>8433000</v>
          </cell>
        </row>
      </sheetData>
      <sheetData sheetId="2">
        <row r="1">
          <cell r="H1">
            <v>7132000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GAL JAYA (Groceries)"/>
      <sheetName val="BUK BUNGA (Groceries)"/>
      <sheetName val="SEDANA JAYA (Groceries)"/>
      <sheetName val="AD supplier (Groceries)"/>
      <sheetName val="AGUS SEAFOOD"/>
      <sheetName val="RAFI SEAFOOD (Seafood)"/>
      <sheetName val="ABISEKA (FRESH MILK)"/>
      <sheetName val="FORNO (Burger&amp;Croissant)"/>
      <sheetName val="Kemang Food (Salami)"/>
      <sheetName val="MAMA RADA PRODUCTION (Dumpling)"/>
      <sheetName val="KSP (Chicken)"/>
      <sheetName val="SURYA CIPTA NIAGA BALI (Beef)"/>
      <sheetName val="MULIA JAYA (PASSION FRUIT)"/>
      <sheetName val="BAYU AGNI MERTA (Gas)"/>
      <sheetName val="Joy Green (Mix Berry)"/>
      <sheetName val="CELEBRITY BAKERY (Bakery)"/>
      <sheetName val="Krop (Edible flower)"/>
      <sheetName val="Boiler (Dumplings&amp;Syrniki)"/>
      <sheetName val="TOTAL"/>
    </sheetNames>
    <sheetDataSet>
      <sheetData sheetId="0">
        <row r="1">
          <cell r="H1">
            <v>2687700</v>
          </cell>
        </row>
      </sheetData>
      <sheetData sheetId="1">
        <row r="1">
          <cell r="G1">
            <v>25635000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P99"/>
  <sheetViews>
    <sheetView tabSelected="1" zoomScale="132" zoomScaleNormal="94" workbookViewId="0">
      <pane xSplit="2" ySplit="1" topLeftCell="AA54" activePane="bottomRight" state="frozen"/>
      <selection pane="topRight"/>
      <selection pane="bottomLeft"/>
      <selection pane="bottomRight" activeCell="B64" sqref="B64"/>
    </sheetView>
  </sheetViews>
  <sheetFormatPr baseColWidth="10" defaultColWidth="9.1640625" defaultRowHeight="16" x14ac:dyDescent="0.2"/>
  <cols>
    <col min="1" max="1" width="16" style="2" bestFit="1" customWidth="1"/>
    <col min="2" max="2" width="35" style="3" customWidth="1"/>
    <col min="3" max="3" width="11.1640625" style="4" bestFit="1" customWidth="1"/>
    <col min="4" max="4" width="13.1640625" bestFit="1" customWidth="1"/>
    <col min="5" max="5" width="8.1640625" style="4" bestFit="1" customWidth="1"/>
    <col min="6" max="6" width="13.1640625" bestFit="1" customWidth="1"/>
    <col min="7" max="7" width="11.1640625" bestFit="1" customWidth="1"/>
    <col min="8" max="8" width="13.1640625" style="5" bestFit="1" customWidth="1"/>
    <col min="9" max="9" width="9.5" style="4" bestFit="1" customWidth="1"/>
    <col min="10" max="10" width="14.6640625" style="6" bestFit="1" customWidth="1"/>
    <col min="11" max="11" width="14.33203125" style="7"/>
    <col min="12" max="12" width="8.5" style="4" bestFit="1" customWidth="1"/>
    <col min="13" max="13" width="13.1640625" style="6" bestFit="1" customWidth="1"/>
    <col min="14" max="14" width="14" style="7" customWidth="1"/>
    <col min="15" max="15" width="15.33203125" style="4" customWidth="1"/>
    <col min="16" max="16" width="8" customWidth="1"/>
    <col min="17" max="17" width="9.1640625" style="4" bestFit="1"/>
    <col min="18" max="18" width="14.6640625" style="6" bestFit="1" customWidth="1"/>
    <col min="19" max="19" width="11.33203125" style="8" bestFit="1" customWidth="1"/>
    <col min="20" max="20" width="15.1640625" style="4" customWidth="1"/>
    <col min="21" max="21" width="8" customWidth="1"/>
    <col min="22" max="22" width="10.33203125" style="4" bestFit="1" customWidth="1"/>
    <col min="23" max="23" width="14.6640625" style="6" bestFit="1" customWidth="1"/>
    <col min="24" max="24" width="12" style="7" customWidth="1"/>
    <col min="25" max="25" width="14.83203125" style="4" customWidth="1"/>
    <col min="26" max="26" width="7.1640625" style="4" bestFit="1" customWidth="1"/>
    <col min="27" max="27" width="9.1640625" style="4"/>
    <col min="28" max="28" width="10.33203125" style="4" bestFit="1" customWidth="1"/>
    <col min="29" max="29" width="14.6640625" style="6" bestFit="1" customWidth="1"/>
    <col min="30" max="30" width="12" style="7" customWidth="1"/>
    <col min="31" max="31" width="14.83203125" style="4" customWidth="1"/>
    <col min="32" max="32" width="13.1640625" style="4" bestFit="1" customWidth="1"/>
    <col min="33" max="33" width="13.1640625" style="4" customWidth="1"/>
    <col min="34" max="34" width="10.33203125" style="4" bestFit="1" customWidth="1"/>
    <col min="35" max="35" width="14.6640625" style="6" bestFit="1" customWidth="1"/>
    <col min="36" max="36" width="12" style="7" customWidth="1"/>
    <col min="37" max="37" width="14.83203125" style="4" customWidth="1"/>
    <col min="38" max="38" width="13.1640625" style="4" bestFit="1" customWidth="1"/>
    <col min="39" max="39" width="15.83203125" bestFit="1" customWidth="1"/>
    <col min="40" max="40" width="14.1640625" bestFit="1" customWidth="1"/>
    <col min="41" max="41" width="13.1640625" bestFit="1" customWidth="1"/>
    <col min="42" max="42" width="12.1640625" bestFit="1" customWidth="1"/>
  </cols>
  <sheetData>
    <row r="1" spans="1:41" s="1" customFormat="1" ht="17" thickBot="1" x14ac:dyDescent="0.25">
      <c r="A1" s="9" t="s">
        <v>0</v>
      </c>
      <c r="B1" s="10" t="s">
        <v>1</v>
      </c>
      <c r="C1" s="11" t="s">
        <v>2</v>
      </c>
      <c r="D1" s="12" t="s">
        <v>3</v>
      </c>
      <c r="E1" s="39" t="s">
        <v>4</v>
      </c>
      <c r="F1" s="12" t="s">
        <v>3</v>
      </c>
      <c r="G1" s="40" t="s">
        <v>5</v>
      </c>
      <c r="H1" s="41" t="s">
        <v>3</v>
      </c>
      <c r="I1" s="39" t="s">
        <v>6</v>
      </c>
      <c r="J1" s="49" t="s">
        <v>3</v>
      </c>
      <c r="K1" s="50">
        <v>2026</v>
      </c>
      <c r="L1" s="51" t="s">
        <v>7</v>
      </c>
      <c r="M1" s="137" t="s">
        <v>3</v>
      </c>
      <c r="N1" s="138" t="s">
        <v>8</v>
      </c>
      <c r="O1" s="51" t="s">
        <v>10</v>
      </c>
      <c r="Q1" s="51" t="s">
        <v>9</v>
      </c>
      <c r="R1" s="49" t="s">
        <v>3</v>
      </c>
      <c r="S1" s="66" t="s">
        <v>8</v>
      </c>
      <c r="T1" s="51" t="s">
        <v>10</v>
      </c>
      <c r="V1" s="51" t="s">
        <v>11</v>
      </c>
      <c r="W1" s="49" t="s">
        <v>3</v>
      </c>
      <c r="X1" s="66" t="s">
        <v>8</v>
      </c>
      <c r="Y1" s="51" t="s">
        <v>10</v>
      </c>
      <c r="Z1" s="85"/>
      <c r="AA1" s="85"/>
      <c r="AB1" s="51" t="s">
        <v>110</v>
      </c>
      <c r="AC1" s="49" t="s">
        <v>3</v>
      </c>
      <c r="AD1" s="66" t="s">
        <v>8</v>
      </c>
      <c r="AE1" s="51" t="s">
        <v>10</v>
      </c>
      <c r="AH1" s="51" t="s">
        <v>110</v>
      </c>
      <c r="AI1" s="49" t="s">
        <v>3</v>
      </c>
      <c r="AJ1" s="66" t="s">
        <v>8</v>
      </c>
      <c r="AK1" s="51" t="s">
        <v>10</v>
      </c>
      <c r="AM1" s="51" t="s">
        <v>111</v>
      </c>
      <c r="AN1" s="134">
        <f>SUM(AN2:AN84)</f>
        <v>164889509</v>
      </c>
    </row>
    <row r="2" spans="1:41" ht="15" customHeight="1" x14ac:dyDescent="0.2">
      <c r="A2" s="150" t="s">
        <v>12</v>
      </c>
      <c r="B2" s="96" t="s">
        <v>24</v>
      </c>
      <c r="C2" s="90" t="s">
        <v>17</v>
      </c>
      <c r="D2" s="18">
        <v>45478060</v>
      </c>
      <c r="E2" s="17" t="s">
        <v>17</v>
      </c>
      <c r="F2" s="18">
        <v>39027410</v>
      </c>
      <c r="G2" s="43" t="s">
        <v>17</v>
      </c>
      <c r="H2" s="44">
        <v>45303890</v>
      </c>
      <c r="I2" s="31" t="s">
        <v>17</v>
      </c>
      <c r="J2" s="56">
        <v>48169400</v>
      </c>
      <c r="L2" s="31" t="s">
        <v>17</v>
      </c>
      <c r="M2" s="62">
        <v>58561720</v>
      </c>
      <c r="N2" s="7" t="s">
        <v>25</v>
      </c>
      <c r="O2" s="63" t="s">
        <v>20</v>
      </c>
      <c r="Q2" s="20" t="s">
        <v>17</v>
      </c>
      <c r="R2" s="62">
        <v>55546770</v>
      </c>
      <c r="T2" s="63" t="s">
        <v>20</v>
      </c>
      <c r="V2" s="20" t="s">
        <v>17</v>
      </c>
      <c r="W2" s="84">
        <f>'[1]SEDANA JAYA (Groceries)'!$H$1</f>
        <v>46203665</v>
      </c>
      <c r="Y2" s="129" t="s">
        <v>20</v>
      </c>
      <c r="Z2" s="86"/>
      <c r="AB2" s="140" t="s">
        <v>19</v>
      </c>
      <c r="AC2" s="84">
        <v>46320860</v>
      </c>
      <c r="AE2" s="129" t="s">
        <v>20</v>
      </c>
      <c r="AH2" s="188"/>
      <c r="AI2" s="62"/>
      <c r="AK2" s="193"/>
      <c r="AN2" s="84">
        <f>SUM(IF(L2="PAID",0,M2),IF(Q2="PAID",0,R2),IF(V2="PAID",0,W2),IF(AB2="PAID",0,AC2))</f>
        <v>46320860</v>
      </c>
    </row>
    <row r="3" spans="1:41" ht="15" customHeight="1" x14ac:dyDescent="0.2">
      <c r="A3" s="151"/>
      <c r="B3" s="97" t="s">
        <v>26</v>
      </c>
      <c r="C3" s="91"/>
      <c r="D3" s="18"/>
      <c r="E3" s="19"/>
      <c r="F3" s="18"/>
      <c r="G3" s="22"/>
      <c r="H3" s="21"/>
      <c r="I3" s="22"/>
      <c r="J3" s="57"/>
      <c r="L3" s="20" t="s">
        <v>17</v>
      </c>
      <c r="M3" s="62">
        <v>2744000</v>
      </c>
      <c r="N3" s="7" t="s">
        <v>25</v>
      </c>
      <c r="O3" s="63" t="s">
        <v>20</v>
      </c>
      <c r="Q3" s="20" t="s">
        <v>17</v>
      </c>
      <c r="R3" s="62">
        <v>12093000</v>
      </c>
      <c r="T3" s="63" t="s">
        <v>20</v>
      </c>
      <c r="V3" s="20" t="s">
        <v>17</v>
      </c>
      <c r="W3" s="62">
        <f>'[1]AD supplier (Groceries)'!$J$1</f>
        <v>8405000</v>
      </c>
      <c r="Y3" s="129" t="s">
        <v>20</v>
      </c>
      <c r="Z3" s="86"/>
      <c r="AA3" s="86"/>
      <c r="AB3" s="140" t="s">
        <v>19</v>
      </c>
      <c r="AC3" s="62">
        <v>14365000</v>
      </c>
      <c r="AE3" s="129" t="s">
        <v>20</v>
      </c>
      <c r="AH3" s="188"/>
      <c r="AI3" s="62"/>
      <c r="AK3" s="193"/>
      <c r="AN3" s="84">
        <f t="shared" ref="AN3:AN7" si="0">SUM(IF(L3="PAID",0,M3),IF(Q3="PAID",0,R3),IF(V3="PAID",0,W3),IF(AB3="PAID",0,AC3))</f>
        <v>14365000</v>
      </c>
    </row>
    <row r="4" spans="1:41" ht="15" customHeight="1" x14ac:dyDescent="0.2">
      <c r="A4" s="151"/>
      <c r="B4" s="97" t="s">
        <v>27</v>
      </c>
      <c r="C4" s="91"/>
      <c r="D4" s="18"/>
      <c r="E4" s="19"/>
      <c r="F4" s="18"/>
      <c r="G4" s="22"/>
      <c r="H4" s="21"/>
      <c r="I4" s="22"/>
      <c r="J4" s="57"/>
      <c r="L4" s="22"/>
      <c r="M4" s="62"/>
      <c r="Q4" s="20" t="s">
        <v>17</v>
      </c>
      <c r="R4" s="62">
        <v>1972000</v>
      </c>
      <c r="T4" s="63" t="s">
        <v>20</v>
      </c>
      <c r="V4" s="20" t="s">
        <v>17</v>
      </c>
      <c r="W4" s="62">
        <f>'[1]AGUS SEAFOOD'!$H$1</f>
        <v>11300000</v>
      </c>
      <c r="Y4" s="129" t="s">
        <v>20</v>
      </c>
      <c r="Z4" s="86"/>
      <c r="AB4" s="178" t="s">
        <v>19</v>
      </c>
      <c r="AC4" s="62">
        <v>12210500</v>
      </c>
      <c r="AE4" s="129" t="s">
        <v>20</v>
      </c>
      <c r="AH4" s="189"/>
      <c r="AI4" s="62"/>
      <c r="AK4" s="193"/>
      <c r="AN4" s="84">
        <f t="shared" si="0"/>
        <v>12210500</v>
      </c>
    </row>
    <row r="5" spans="1:41" ht="15" customHeight="1" x14ac:dyDescent="0.2">
      <c r="A5" s="151"/>
      <c r="B5" s="98" t="s">
        <v>28</v>
      </c>
      <c r="C5" s="92" t="s">
        <v>17</v>
      </c>
      <c r="D5" s="21">
        <v>29900100</v>
      </c>
      <c r="E5" s="20" t="s">
        <v>17</v>
      </c>
      <c r="F5" s="21">
        <v>20617200</v>
      </c>
      <c r="G5" s="17" t="s">
        <v>17</v>
      </c>
      <c r="H5" s="18">
        <v>21943450</v>
      </c>
      <c r="I5" s="43" t="s">
        <v>17</v>
      </c>
      <c r="J5" s="58">
        <v>36138000</v>
      </c>
      <c r="L5" s="17" t="s">
        <v>17</v>
      </c>
      <c r="M5" s="62">
        <v>39288400</v>
      </c>
      <c r="N5" s="7" t="s">
        <v>25</v>
      </c>
      <c r="O5" s="63" t="s">
        <v>20</v>
      </c>
      <c r="Q5" s="20" t="s">
        <v>17</v>
      </c>
      <c r="R5" s="62">
        <v>24914000</v>
      </c>
      <c r="T5" s="63" t="s">
        <v>20</v>
      </c>
      <c r="V5" s="20" t="s">
        <v>17</v>
      </c>
      <c r="W5" s="62">
        <f>'[1]RAFI SEAFOOD (Seafood)'!$H$1</f>
        <v>15075000</v>
      </c>
      <c r="Y5" s="129" t="s">
        <v>20</v>
      </c>
      <c r="Z5" s="86"/>
      <c r="AB5" s="178" t="s">
        <v>19</v>
      </c>
      <c r="AC5" s="62">
        <v>20003000</v>
      </c>
      <c r="AE5" s="129" t="s">
        <v>20</v>
      </c>
      <c r="AH5" s="189"/>
      <c r="AI5" s="62"/>
      <c r="AK5" s="193"/>
      <c r="AN5" s="84">
        <f t="shared" si="0"/>
        <v>20003000</v>
      </c>
    </row>
    <row r="6" spans="1:41" ht="15" customHeight="1" x14ac:dyDescent="0.2">
      <c r="A6" s="151"/>
      <c r="B6" s="98" t="s">
        <v>29</v>
      </c>
      <c r="C6" s="92" t="s">
        <v>17</v>
      </c>
      <c r="D6" s="21">
        <v>4400000</v>
      </c>
      <c r="E6" s="20" t="s">
        <v>17</v>
      </c>
      <c r="F6" s="21">
        <v>5560000</v>
      </c>
      <c r="G6" s="20" t="s">
        <v>17</v>
      </c>
      <c r="H6" s="21">
        <v>320000</v>
      </c>
      <c r="I6" s="23" t="s">
        <v>30</v>
      </c>
      <c r="J6" s="57"/>
      <c r="L6" s="23" t="s">
        <v>30</v>
      </c>
      <c r="M6" s="62">
        <v>0</v>
      </c>
      <c r="Q6" s="23" t="s">
        <v>30</v>
      </c>
      <c r="R6" s="62"/>
      <c r="V6" s="23" t="s">
        <v>30</v>
      </c>
      <c r="W6" s="62"/>
      <c r="AB6" s="22"/>
      <c r="AC6" s="142" t="s">
        <v>116</v>
      </c>
      <c r="AH6" s="190"/>
      <c r="AI6" s="62"/>
      <c r="AK6" s="194"/>
      <c r="AN6" s="84">
        <f t="shared" si="0"/>
        <v>0</v>
      </c>
    </row>
    <row r="7" spans="1:41" ht="15" customHeight="1" x14ac:dyDescent="0.2">
      <c r="A7" s="151"/>
      <c r="B7" s="98" t="s">
        <v>31</v>
      </c>
      <c r="C7" s="92" t="s">
        <v>17</v>
      </c>
      <c r="D7" s="21">
        <v>5610900</v>
      </c>
      <c r="E7" s="20" t="s">
        <v>17</v>
      </c>
      <c r="F7" s="21">
        <v>3578050</v>
      </c>
      <c r="G7" s="20" t="s">
        <v>17</v>
      </c>
      <c r="H7" s="21">
        <v>5069850</v>
      </c>
      <c r="I7" s="20" t="s">
        <v>17</v>
      </c>
      <c r="J7" s="57">
        <v>6026050</v>
      </c>
      <c r="L7" s="20" t="s">
        <v>17</v>
      </c>
      <c r="M7" s="62">
        <v>5377500</v>
      </c>
      <c r="N7" s="7" t="s">
        <v>25</v>
      </c>
      <c r="O7" s="63" t="s">
        <v>20</v>
      </c>
      <c r="Q7" s="20" t="s">
        <v>17</v>
      </c>
      <c r="R7" s="62">
        <v>7318950</v>
      </c>
      <c r="T7" s="63" t="s">
        <v>20</v>
      </c>
      <c r="V7" s="20" t="s">
        <v>17</v>
      </c>
      <c r="W7" s="62">
        <f>'[1]KSP (Chicken)'!$I$1</f>
        <v>6106550</v>
      </c>
      <c r="Y7" s="129" t="s">
        <v>20</v>
      </c>
      <c r="Z7" s="86"/>
      <c r="AA7" s="86"/>
      <c r="AB7" s="20" t="s">
        <v>17</v>
      </c>
      <c r="AC7" s="62">
        <v>5754900</v>
      </c>
      <c r="AE7" s="129" t="s">
        <v>20</v>
      </c>
      <c r="AH7" s="189"/>
      <c r="AI7" s="62"/>
      <c r="AK7" s="193"/>
      <c r="AN7" s="84">
        <f t="shared" si="0"/>
        <v>0</v>
      </c>
    </row>
    <row r="8" spans="1:41" ht="15" customHeight="1" x14ac:dyDescent="0.2">
      <c r="A8" s="151"/>
      <c r="B8" s="155" t="s">
        <v>32</v>
      </c>
      <c r="C8" s="92" t="s">
        <v>17</v>
      </c>
      <c r="D8" s="21">
        <v>3663300</v>
      </c>
      <c r="E8" s="20" t="s">
        <v>17</v>
      </c>
      <c r="F8" s="21">
        <v>1983600</v>
      </c>
      <c r="G8" s="20" t="s">
        <v>17</v>
      </c>
      <c r="H8" s="21">
        <v>13417600</v>
      </c>
      <c r="I8" s="31" t="s">
        <v>17</v>
      </c>
      <c r="J8" s="57">
        <v>9006800</v>
      </c>
      <c r="L8" s="20" t="s">
        <v>17</v>
      </c>
      <c r="M8" s="62">
        <v>6271600</v>
      </c>
      <c r="N8" s="7">
        <v>46044</v>
      </c>
      <c r="O8" s="63" t="s">
        <v>20</v>
      </c>
      <c r="Q8" s="20" t="s">
        <v>17</v>
      </c>
      <c r="R8" s="62">
        <v>8553600</v>
      </c>
      <c r="S8" s="67">
        <v>46066</v>
      </c>
      <c r="T8"/>
      <c r="V8" s="20" t="s">
        <v>17</v>
      </c>
      <c r="W8" s="62">
        <v>4440000</v>
      </c>
      <c r="X8" s="70">
        <v>46095</v>
      </c>
      <c r="Z8" s="86"/>
      <c r="AA8" s="86"/>
      <c r="AB8" s="140" t="s">
        <v>19</v>
      </c>
      <c r="AC8" s="62">
        <v>17031900</v>
      </c>
      <c r="AD8" s="131"/>
      <c r="AE8" s="129" t="s">
        <v>20</v>
      </c>
      <c r="AH8" s="188"/>
      <c r="AI8" s="62"/>
      <c r="AJ8" s="131"/>
      <c r="AK8" s="193"/>
      <c r="AN8" s="84">
        <f t="shared" ref="AN8:AN9" si="1">SUM(IF(L8="PAID",0,M8),IF(Q8="PAID",0,R8),IF(V8="PAID",0,W8),IF(AB8="PAID",0,AC8))</f>
        <v>17031900</v>
      </c>
      <c r="AO8" s="162">
        <f>SUM(AN8:AN9)</f>
        <v>17031900</v>
      </c>
    </row>
    <row r="9" spans="1:41" ht="15" customHeight="1" x14ac:dyDescent="0.2">
      <c r="A9" s="151"/>
      <c r="B9" s="156"/>
      <c r="C9" s="93"/>
      <c r="D9" s="21"/>
      <c r="E9" s="22"/>
      <c r="F9" s="21"/>
      <c r="G9" s="22"/>
      <c r="H9" s="21"/>
      <c r="I9" s="34"/>
      <c r="J9" s="57"/>
      <c r="L9" s="22"/>
      <c r="M9" s="62"/>
      <c r="Q9" s="20" t="s">
        <v>17</v>
      </c>
      <c r="R9" s="62">
        <v>8168200</v>
      </c>
      <c r="S9" s="68">
        <v>46079</v>
      </c>
      <c r="T9" s="63" t="s">
        <v>20</v>
      </c>
      <c r="V9" s="20" t="s">
        <v>17</v>
      </c>
      <c r="W9" s="62">
        <f>'[1]SURYA CIPTA NIAGA BALI (Beef)'!$K$1</f>
        <v>7717700</v>
      </c>
      <c r="X9" s="70">
        <v>46112</v>
      </c>
      <c r="Y9" s="129" t="s">
        <v>20</v>
      </c>
      <c r="Z9" s="86"/>
      <c r="AA9" s="86"/>
      <c r="AB9" s="89"/>
      <c r="AC9" s="62"/>
      <c r="AD9" s="131"/>
      <c r="AE9" s="132"/>
      <c r="AH9" s="188"/>
      <c r="AI9" s="62"/>
      <c r="AJ9" s="131"/>
      <c r="AK9" s="193"/>
      <c r="AN9" s="84">
        <f t="shared" si="1"/>
        <v>0</v>
      </c>
      <c r="AO9" s="163"/>
    </row>
    <row r="10" spans="1:41" ht="15" customHeight="1" x14ac:dyDescent="0.2">
      <c r="A10" s="151"/>
      <c r="B10" s="98" t="s">
        <v>33</v>
      </c>
      <c r="C10" s="92" t="s">
        <v>17</v>
      </c>
      <c r="D10" s="21">
        <v>8775000</v>
      </c>
      <c r="E10" s="20" t="s">
        <v>17</v>
      </c>
      <c r="F10" s="21">
        <v>7800000</v>
      </c>
      <c r="G10" s="20" t="s">
        <v>17</v>
      </c>
      <c r="H10" s="21">
        <v>5850000</v>
      </c>
      <c r="I10" s="20" t="s">
        <v>17</v>
      </c>
      <c r="J10" s="57">
        <v>8775000</v>
      </c>
      <c r="L10" s="20" t="s">
        <v>17</v>
      </c>
      <c r="M10" s="62">
        <v>12675000</v>
      </c>
      <c r="O10" s="63" t="s">
        <v>20</v>
      </c>
      <c r="Q10" s="20" t="s">
        <v>17</v>
      </c>
      <c r="R10" s="62">
        <v>8775000</v>
      </c>
      <c r="T10" s="63" t="s">
        <v>20</v>
      </c>
      <c r="V10" s="20" t="s">
        <v>17</v>
      </c>
      <c r="W10" s="62">
        <f>'[1]BAYU AGNI MERTA (Gas)'!$H$1</f>
        <v>12040000</v>
      </c>
      <c r="Y10" s="129" t="s">
        <v>20</v>
      </c>
      <c r="Z10" s="86"/>
      <c r="AA10" s="86"/>
      <c r="AB10" s="20" t="s">
        <v>17</v>
      </c>
      <c r="AC10" s="62">
        <v>7740000</v>
      </c>
      <c r="AE10" s="129" t="s">
        <v>20</v>
      </c>
      <c r="AH10" s="189"/>
      <c r="AI10" s="62"/>
      <c r="AK10" s="193"/>
      <c r="AN10" s="84">
        <f t="shared" ref="AN10:AN17" si="2">SUM(IF(L10="PAID",0,M10),IF(Q10="PAID",0,R10),IF(V10="PAID",0,W10),IF(AB10="PAID",0,AC10))</f>
        <v>0</v>
      </c>
    </row>
    <row r="11" spans="1:41" ht="15" customHeight="1" x14ac:dyDescent="0.2">
      <c r="A11" s="151"/>
      <c r="B11" s="98" t="s">
        <v>34</v>
      </c>
      <c r="C11" s="94" t="s">
        <v>30</v>
      </c>
      <c r="D11" s="21"/>
      <c r="E11" s="23" t="s">
        <v>30</v>
      </c>
      <c r="F11" s="21"/>
      <c r="G11" s="23" t="s">
        <v>30</v>
      </c>
      <c r="H11" s="21"/>
      <c r="I11" s="23" t="s">
        <v>30</v>
      </c>
      <c r="J11" s="57"/>
      <c r="L11" s="23" t="s">
        <v>30</v>
      </c>
      <c r="M11" s="62">
        <v>0</v>
      </c>
      <c r="Q11" s="23" t="s">
        <v>30</v>
      </c>
      <c r="R11" s="62"/>
      <c r="V11" s="23" t="s">
        <v>30</v>
      </c>
      <c r="W11" s="62"/>
      <c r="AB11" s="22"/>
      <c r="AC11" s="62"/>
      <c r="AH11" s="190"/>
      <c r="AI11" s="62"/>
      <c r="AK11" s="194"/>
      <c r="AN11" s="84">
        <f t="shared" si="2"/>
        <v>0</v>
      </c>
    </row>
    <row r="12" spans="1:41" ht="15" customHeight="1" x14ac:dyDescent="0.2">
      <c r="A12" s="151"/>
      <c r="B12" s="98" t="s">
        <v>35</v>
      </c>
      <c r="C12" s="94" t="s">
        <v>30</v>
      </c>
      <c r="D12" s="21"/>
      <c r="E12" s="23" t="s">
        <v>30</v>
      </c>
      <c r="F12" s="21"/>
      <c r="G12" s="23" t="s">
        <v>30</v>
      </c>
      <c r="H12" s="21"/>
      <c r="I12" s="31" t="s">
        <v>17</v>
      </c>
      <c r="J12" s="57">
        <v>160000</v>
      </c>
      <c r="L12" s="20" t="s">
        <v>17</v>
      </c>
      <c r="M12" s="62">
        <v>140000</v>
      </c>
      <c r="O12" s="63" t="s">
        <v>20</v>
      </c>
      <c r="Q12" s="23" t="s">
        <v>30</v>
      </c>
      <c r="R12" s="62"/>
      <c r="V12" s="20" t="s">
        <v>17</v>
      </c>
      <c r="W12" s="62">
        <f>'[1]CELEBRITY BAKERY (Bakery)'!$I$1</f>
        <v>110000</v>
      </c>
      <c r="Y12" s="129" t="s">
        <v>20</v>
      </c>
      <c r="Z12" s="86"/>
      <c r="AA12" s="86"/>
      <c r="AB12" s="20" t="s">
        <v>17</v>
      </c>
      <c r="AC12" s="62">
        <v>160000</v>
      </c>
      <c r="AE12" s="129" t="s">
        <v>20</v>
      </c>
      <c r="AH12" s="189"/>
      <c r="AI12" s="62"/>
      <c r="AK12" s="193"/>
      <c r="AN12" s="84">
        <f t="shared" si="2"/>
        <v>0</v>
      </c>
    </row>
    <row r="13" spans="1:41" ht="15" customHeight="1" x14ac:dyDescent="0.2">
      <c r="A13" s="151"/>
      <c r="B13" s="98" t="s">
        <v>36</v>
      </c>
      <c r="C13" s="94" t="s">
        <v>30</v>
      </c>
      <c r="D13" s="21"/>
      <c r="E13" s="20" t="s">
        <v>17</v>
      </c>
      <c r="F13" s="21">
        <v>326000</v>
      </c>
      <c r="G13" s="20" t="s">
        <v>17</v>
      </c>
      <c r="H13" s="21">
        <v>152000</v>
      </c>
      <c r="I13" s="31" t="s">
        <v>17</v>
      </c>
      <c r="J13" s="57">
        <v>329000</v>
      </c>
      <c r="L13" s="23" t="s">
        <v>30</v>
      </c>
      <c r="M13" s="62">
        <v>0</v>
      </c>
      <c r="Q13" s="23" t="s">
        <v>30</v>
      </c>
      <c r="R13" s="62"/>
      <c r="V13" s="23" t="s">
        <v>30</v>
      </c>
      <c r="W13" s="62"/>
      <c r="Z13" s="86"/>
      <c r="AB13" s="22"/>
      <c r="AC13" s="142" t="s">
        <v>116</v>
      </c>
      <c r="AH13" s="190"/>
      <c r="AI13" s="62"/>
      <c r="AK13" s="194"/>
      <c r="AN13" s="84">
        <f t="shared" si="2"/>
        <v>0</v>
      </c>
    </row>
    <row r="14" spans="1:41" ht="15" customHeight="1" x14ac:dyDescent="0.2">
      <c r="A14" s="151"/>
      <c r="B14" s="99" t="s">
        <v>37</v>
      </c>
      <c r="C14" s="92" t="s">
        <v>17</v>
      </c>
      <c r="D14" s="21"/>
      <c r="E14" s="20" t="s">
        <v>17</v>
      </c>
      <c r="F14" s="21">
        <v>924000</v>
      </c>
      <c r="G14" s="20" t="s">
        <v>17</v>
      </c>
      <c r="H14" s="21">
        <v>594000</v>
      </c>
      <c r="I14" s="31" t="s">
        <v>17</v>
      </c>
      <c r="J14" s="57">
        <v>319000</v>
      </c>
      <c r="L14" s="20" t="s">
        <v>17</v>
      </c>
      <c r="M14" s="62">
        <v>638000</v>
      </c>
      <c r="N14" s="7">
        <v>46036</v>
      </c>
      <c r="O14" s="63" t="s">
        <v>20</v>
      </c>
      <c r="Q14" s="20" t="s">
        <v>17</v>
      </c>
      <c r="R14" s="62">
        <v>574200</v>
      </c>
      <c r="V14" s="20" t="s">
        <v>17</v>
      </c>
      <c r="W14" s="62">
        <f>'[1]Boiler (Dumplings&amp;Syrniki)'!$N$1</f>
        <v>638000</v>
      </c>
      <c r="Z14" s="86"/>
      <c r="AB14" s="89"/>
      <c r="AC14" s="142" t="s">
        <v>116</v>
      </c>
      <c r="AH14" s="188"/>
      <c r="AI14" s="62"/>
      <c r="AK14" s="194"/>
      <c r="AN14" s="84">
        <f t="shared" si="2"/>
        <v>0</v>
      </c>
    </row>
    <row r="15" spans="1:41" ht="15" customHeight="1" x14ac:dyDescent="0.2">
      <c r="A15" s="151"/>
      <c r="B15" s="98" t="s">
        <v>38</v>
      </c>
      <c r="C15" s="92" t="s">
        <v>17</v>
      </c>
      <c r="D15" s="21"/>
      <c r="E15" s="20" t="s">
        <v>17</v>
      </c>
      <c r="F15" s="21">
        <v>2320000</v>
      </c>
      <c r="G15" s="20" t="s">
        <v>17</v>
      </c>
      <c r="H15" s="21">
        <v>2996000</v>
      </c>
      <c r="I15" s="20" t="s">
        <v>17</v>
      </c>
      <c r="J15" s="57">
        <v>1044000</v>
      </c>
      <c r="L15" s="20" t="s">
        <v>17</v>
      </c>
      <c r="M15" s="62">
        <v>1962000</v>
      </c>
      <c r="N15" s="7" t="s">
        <v>25</v>
      </c>
      <c r="Q15" s="23" t="s">
        <v>30</v>
      </c>
      <c r="R15" s="62"/>
      <c r="V15" s="23" t="s">
        <v>30</v>
      </c>
      <c r="W15" s="62"/>
      <c r="AB15" s="22"/>
      <c r="AC15" s="142" t="s">
        <v>116</v>
      </c>
      <c r="AD15" s="4"/>
      <c r="AH15" s="190"/>
      <c r="AI15" s="62"/>
      <c r="AJ15" s="4"/>
      <c r="AK15" s="194"/>
      <c r="AN15" s="84">
        <f t="shared" si="2"/>
        <v>0</v>
      </c>
    </row>
    <row r="16" spans="1:41" ht="15" customHeight="1" x14ac:dyDescent="0.2">
      <c r="A16" s="151"/>
      <c r="B16" s="100" t="s">
        <v>39</v>
      </c>
      <c r="C16" s="25"/>
      <c r="D16" s="26"/>
      <c r="E16" s="34"/>
      <c r="F16" s="26"/>
      <c r="G16" s="34"/>
      <c r="H16" s="26"/>
      <c r="I16" s="34"/>
      <c r="J16" s="57"/>
      <c r="L16" s="22" t="s">
        <v>40</v>
      </c>
      <c r="M16" s="64"/>
      <c r="Q16" s="22" t="s">
        <v>40</v>
      </c>
      <c r="R16" s="62"/>
      <c r="V16" s="23" t="s">
        <v>30</v>
      </c>
      <c r="W16" s="64"/>
      <c r="Z16" s="86"/>
      <c r="AB16" s="22"/>
      <c r="AC16" s="142" t="s">
        <v>116</v>
      </c>
      <c r="AH16" s="190"/>
      <c r="AI16" s="62"/>
      <c r="AK16" s="194"/>
      <c r="AN16" s="84">
        <f t="shared" si="2"/>
        <v>0</v>
      </c>
    </row>
    <row r="17" spans="1:42" ht="15" customHeight="1" x14ac:dyDescent="0.2">
      <c r="A17" s="151"/>
      <c r="B17" s="100" t="s">
        <v>41</v>
      </c>
      <c r="C17" s="25"/>
      <c r="D17" s="26"/>
      <c r="E17" s="34"/>
      <c r="F17" s="26"/>
      <c r="G17" s="34"/>
      <c r="H17" s="26"/>
      <c r="I17" s="34"/>
      <c r="J17" s="57"/>
      <c r="L17" s="22"/>
      <c r="M17" s="64"/>
      <c r="Q17" s="20" t="s">
        <v>17</v>
      </c>
      <c r="R17" s="62">
        <v>1587300</v>
      </c>
      <c r="T17" s="63" t="s">
        <v>20</v>
      </c>
      <c r="V17" s="20" t="s">
        <v>17</v>
      </c>
      <c r="W17" s="62">
        <f>'[1]FORNO (Burger&amp;Croissant)'!$H$1</f>
        <v>1831500</v>
      </c>
      <c r="Y17" s="129" t="s">
        <v>20</v>
      </c>
      <c r="Z17" s="86"/>
      <c r="AB17" s="140" t="s">
        <v>19</v>
      </c>
      <c r="AC17" s="62">
        <v>2153400</v>
      </c>
      <c r="AE17" s="129" t="s">
        <v>20</v>
      </c>
      <c r="AH17" s="188"/>
      <c r="AI17" s="62"/>
      <c r="AK17" s="193"/>
      <c r="AN17" s="84">
        <f t="shared" si="2"/>
        <v>2153400</v>
      </c>
    </row>
    <row r="18" spans="1:42" ht="15" customHeight="1" x14ac:dyDescent="0.2">
      <c r="A18" s="151"/>
      <c r="B18" s="157" t="s">
        <v>42</v>
      </c>
      <c r="C18" s="25"/>
      <c r="D18" s="26"/>
      <c r="E18" s="34"/>
      <c r="F18" s="26"/>
      <c r="G18" s="34"/>
      <c r="H18" s="26"/>
      <c r="I18" s="34"/>
      <c r="J18" s="57"/>
      <c r="L18" s="20" t="s">
        <v>17</v>
      </c>
      <c r="M18" s="62">
        <v>405000</v>
      </c>
      <c r="N18" s="7">
        <v>46060</v>
      </c>
      <c r="O18" s="63" t="s">
        <v>20</v>
      </c>
      <c r="Q18" s="20" t="s">
        <v>17</v>
      </c>
      <c r="R18" s="62">
        <v>1010000</v>
      </c>
      <c r="S18" s="8">
        <v>46074</v>
      </c>
      <c r="T18" s="63" t="s">
        <v>20</v>
      </c>
      <c r="V18" s="20" t="s">
        <v>17</v>
      </c>
      <c r="W18" s="62">
        <v>1147500</v>
      </c>
      <c r="X18" s="70">
        <v>46099</v>
      </c>
      <c r="Z18" s="86"/>
      <c r="AA18" s="86"/>
      <c r="AB18" s="178" t="s">
        <v>19</v>
      </c>
      <c r="AC18" s="62">
        <v>1755000</v>
      </c>
      <c r="AD18" s="131"/>
      <c r="AE18" s="129" t="s">
        <v>20</v>
      </c>
      <c r="AH18" s="189"/>
      <c r="AI18" s="62"/>
      <c r="AJ18" s="131"/>
      <c r="AK18" s="193"/>
      <c r="AN18" s="84">
        <f t="shared" ref="AN18" si="3">SUM(IF(L18="PAID",0,M18),IF(Q18="PAID",0,R18),IF(V18="PAID",0,W18),IF(AB18="PAID",0,AC18))</f>
        <v>1755000</v>
      </c>
      <c r="AO18" s="162">
        <f>SUM(AN18:AN19)</f>
        <v>1755000</v>
      </c>
    </row>
    <row r="19" spans="1:42" ht="15" customHeight="1" x14ac:dyDescent="0.2">
      <c r="A19" s="151"/>
      <c r="B19" s="157"/>
      <c r="C19" s="25"/>
      <c r="D19" s="26"/>
      <c r="E19" s="34"/>
      <c r="F19" s="26"/>
      <c r="G19" s="34"/>
      <c r="H19" s="26"/>
      <c r="I19" s="34"/>
      <c r="J19" s="57"/>
      <c r="L19" s="20" t="s">
        <v>17</v>
      </c>
      <c r="M19" s="62">
        <v>1755000</v>
      </c>
      <c r="N19" s="7">
        <v>46054</v>
      </c>
      <c r="O19" s="5"/>
      <c r="Q19" s="20" t="s">
        <v>17</v>
      </c>
      <c r="R19" s="62">
        <v>1350000</v>
      </c>
      <c r="S19" s="67">
        <v>46087</v>
      </c>
      <c r="T19" s="63" t="s">
        <v>20</v>
      </c>
      <c r="V19" s="20" t="s">
        <v>17</v>
      </c>
      <c r="W19" s="62">
        <f>'[1]ABISEKA (FRESH MILK)'!$K$1</f>
        <v>810000</v>
      </c>
      <c r="X19" s="83">
        <v>46123</v>
      </c>
      <c r="Y19" s="129" t="s">
        <v>20</v>
      </c>
      <c r="AA19" s="86"/>
      <c r="AB19" s="89"/>
      <c r="AC19" s="62"/>
      <c r="AE19" s="132"/>
      <c r="AH19" s="188"/>
      <c r="AI19" s="62"/>
      <c r="AK19" s="132"/>
      <c r="AN19" s="84">
        <f t="shared" ref="AN19:AN52" si="4">SUM(IF(L19="PAID",0,M19),IF(Q19="PAID",0,R19),IF(V19="PAID",0,W19),IF(AB19="PAID",0,AC19))</f>
        <v>0</v>
      </c>
      <c r="AO19" s="163"/>
      <c r="AP19" s="75"/>
    </row>
    <row r="20" spans="1:42" ht="15" customHeight="1" x14ac:dyDescent="0.2">
      <c r="A20" s="151"/>
      <c r="B20" s="100" t="s">
        <v>117</v>
      </c>
      <c r="C20" s="25"/>
      <c r="D20" s="26"/>
      <c r="E20" s="34"/>
      <c r="F20" s="26"/>
      <c r="G20" s="34"/>
      <c r="H20" s="26"/>
      <c r="I20" s="34"/>
      <c r="J20" s="57"/>
      <c r="L20" s="20"/>
      <c r="M20" s="62"/>
      <c r="O20" s="5"/>
      <c r="Q20" s="20"/>
      <c r="R20" s="62"/>
      <c r="S20" s="67"/>
      <c r="T20" s="63"/>
      <c r="V20" s="20"/>
      <c r="W20" s="62"/>
      <c r="X20" s="83"/>
      <c r="Y20" s="129"/>
      <c r="AA20" s="86"/>
      <c r="AB20" s="20" t="s">
        <v>17</v>
      </c>
      <c r="AC20" s="62">
        <v>375267</v>
      </c>
      <c r="AE20" s="132"/>
      <c r="AH20" s="20" t="s">
        <v>17</v>
      </c>
      <c r="AI20" s="62">
        <v>2350339</v>
      </c>
      <c r="AJ20" s="7">
        <v>46153</v>
      </c>
      <c r="AK20" s="129" t="s">
        <v>20</v>
      </c>
      <c r="AN20" s="84"/>
      <c r="AO20" s="144"/>
      <c r="AP20" s="75"/>
    </row>
    <row r="21" spans="1:42" ht="15" customHeight="1" x14ac:dyDescent="0.2">
      <c r="A21" s="151"/>
      <c r="B21" s="101" t="s">
        <v>43</v>
      </c>
      <c r="C21" s="93"/>
      <c r="D21" s="26"/>
      <c r="E21" s="34"/>
      <c r="F21" s="26"/>
      <c r="G21" s="34"/>
      <c r="H21" s="26"/>
      <c r="I21" s="34"/>
      <c r="J21" s="57"/>
      <c r="L21" s="22"/>
      <c r="M21" s="64"/>
      <c r="O21" s="5"/>
      <c r="Q21" s="20" t="s">
        <v>17</v>
      </c>
      <c r="R21" s="62">
        <v>620988</v>
      </c>
      <c r="V21" s="23" t="s">
        <v>30</v>
      </c>
      <c r="W21" s="64"/>
      <c r="Z21" s="86"/>
      <c r="AB21" s="89" t="s">
        <v>123</v>
      </c>
      <c r="AC21" s="62"/>
      <c r="AE21" s="129" t="s">
        <v>20</v>
      </c>
      <c r="AH21" s="188"/>
      <c r="AI21" s="62"/>
      <c r="AK21" s="193"/>
      <c r="AN21" s="84">
        <f t="shared" si="4"/>
        <v>0</v>
      </c>
    </row>
    <row r="22" spans="1:42" ht="15" customHeight="1" thickBot="1" x14ac:dyDescent="0.25">
      <c r="A22" s="152"/>
      <c r="B22" s="102" t="s">
        <v>44</v>
      </c>
      <c r="C22" s="95"/>
      <c r="D22" s="28"/>
      <c r="E22" s="32" t="s">
        <v>45</v>
      </c>
      <c r="F22" s="28">
        <v>10000000</v>
      </c>
      <c r="G22" s="32" t="s">
        <v>46</v>
      </c>
      <c r="H22" s="28">
        <v>10000000</v>
      </c>
      <c r="I22" s="32" t="s">
        <v>47</v>
      </c>
      <c r="J22" s="62">
        <v>10000000</v>
      </c>
      <c r="L22" s="60" t="s">
        <v>19</v>
      </c>
      <c r="M22" s="62">
        <v>10000000</v>
      </c>
      <c r="N22" s="7" t="s">
        <v>104</v>
      </c>
      <c r="O22" s="5"/>
      <c r="Q22" s="22" t="s">
        <v>48</v>
      </c>
      <c r="R22" s="62">
        <v>10000000</v>
      </c>
      <c r="V22" s="89" t="s">
        <v>48</v>
      </c>
      <c r="W22" s="64"/>
      <c r="AB22" s="89"/>
      <c r="AC22" s="64"/>
      <c r="AH22" s="188"/>
      <c r="AI22" s="62"/>
      <c r="AK22" s="194"/>
      <c r="AN22" s="84">
        <f t="shared" si="4"/>
        <v>20000000</v>
      </c>
    </row>
    <row r="23" spans="1:42" ht="15" customHeight="1" x14ac:dyDescent="0.2">
      <c r="A23" s="150" t="s">
        <v>106</v>
      </c>
      <c r="B23" s="105" t="s">
        <v>105</v>
      </c>
      <c r="C23" s="91"/>
      <c r="D23" s="18"/>
      <c r="E23" s="19"/>
      <c r="F23" s="18"/>
      <c r="G23" s="22"/>
      <c r="H23" s="21"/>
      <c r="I23" s="22"/>
      <c r="J23" s="57"/>
      <c r="L23" s="22"/>
      <c r="M23" s="62"/>
      <c r="Q23" s="22"/>
      <c r="R23" s="62"/>
      <c r="V23" s="20" t="s">
        <v>17</v>
      </c>
      <c r="W23" s="62">
        <f>'[1]TEGAL JAYA (Groceries)'!$H$1+'[2]TEGAL JAYA (Bar Groceries)'!$H$1</f>
        <v>4283700</v>
      </c>
      <c r="Y23" s="129" t="s">
        <v>20</v>
      </c>
      <c r="Z23" s="86"/>
      <c r="AB23" s="140" t="s">
        <v>19</v>
      </c>
      <c r="AC23" s="62">
        <v>8240400</v>
      </c>
      <c r="AE23" s="129" t="s">
        <v>20</v>
      </c>
      <c r="AH23" s="188"/>
      <c r="AI23" s="62"/>
      <c r="AK23" s="193"/>
      <c r="AN23" s="84">
        <f t="shared" si="4"/>
        <v>8240400</v>
      </c>
    </row>
    <row r="24" spans="1:42" ht="15" customHeight="1" thickBot="1" x14ac:dyDescent="0.25">
      <c r="A24" s="151"/>
      <c r="B24" s="145" t="s">
        <v>118</v>
      </c>
      <c r="C24" s="91"/>
      <c r="D24" s="18"/>
      <c r="E24" s="19"/>
      <c r="F24" s="18"/>
      <c r="G24" s="19"/>
      <c r="H24" s="18"/>
      <c r="I24" s="19"/>
      <c r="J24" s="58"/>
      <c r="L24" s="22"/>
      <c r="M24" s="62"/>
      <c r="Q24" s="34"/>
      <c r="R24" s="146"/>
      <c r="V24" s="31"/>
      <c r="W24" s="146"/>
      <c r="Y24" s="129"/>
      <c r="Z24" s="86"/>
      <c r="AB24" s="20" t="s">
        <v>17</v>
      </c>
      <c r="AC24" s="146">
        <v>2247805</v>
      </c>
      <c r="AE24" s="129" t="s">
        <v>20</v>
      </c>
      <c r="AH24" s="190"/>
      <c r="AI24" s="62"/>
      <c r="AK24" s="193"/>
      <c r="AN24" s="84"/>
    </row>
    <row r="25" spans="1:42" thickBot="1" x14ac:dyDescent="0.25">
      <c r="A25" s="151"/>
      <c r="B25" s="158" t="s">
        <v>13</v>
      </c>
      <c r="C25" s="103" t="s">
        <v>14</v>
      </c>
      <c r="D25" s="14">
        <v>33417500</v>
      </c>
      <c r="E25" s="13" t="s">
        <v>14</v>
      </c>
      <c r="F25" s="14">
        <v>39738000</v>
      </c>
      <c r="G25" s="13" t="s">
        <v>14</v>
      </c>
      <c r="H25" s="14">
        <v>34233500</v>
      </c>
      <c r="I25" s="13" t="s">
        <v>15</v>
      </c>
      <c r="J25" s="52">
        <v>42310500</v>
      </c>
      <c r="K25" s="125" t="s">
        <v>16</v>
      </c>
      <c r="L25" s="20" t="s">
        <v>17</v>
      </c>
      <c r="M25" s="62">
        <v>41876500</v>
      </c>
      <c r="N25" s="7" t="s">
        <v>18</v>
      </c>
      <c r="O25" s="148" t="s">
        <v>20</v>
      </c>
      <c r="Q25" s="165" t="s">
        <v>17</v>
      </c>
      <c r="R25" s="167">
        <v>47131000</v>
      </c>
      <c r="S25" s="147">
        <v>46096</v>
      </c>
      <c r="T25" s="148" t="s">
        <v>20</v>
      </c>
      <c r="V25" s="165" t="s">
        <v>17</v>
      </c>
      <c r="W25" s="167">
        <f>'[1]BUK BUNGA (Groceries)'!$G$1+'[2]BUK BUNGA BAR (Groceries)'!$G$1</f>
        <v>51672000</v>
      </c>
      <c r="X25" s="147">
        <v>46127</v>
      </c>
      <c r="Y25" s="148" t="s">
        <v>20</v>
      </c>
      <c r="Z25" s="86"/>
      <c r="AA25" s="86"/>
      <c r="AB25" s="173" t="s">
        <v>19</v>
      </c>
      <c r="AC25" s="169" t="s">
        <v>122</v>
      </c>
      <c r="AD25" s="147">
        <v>46157</v>
      </c>
      <c r="AE25" s="148" t="s">
        <v>20</v>
      </c>
      <c r="AH25" s="191"/>
      <c r="AI25" s="169"/>
      <c r="AJ25" s="147">
        <v>46157</v>
      </c>
      <c r="AK25" s="195"/>
      <c r="AN25" s="84">
        <f t="shared" si="4"/>
        <v>0</v>
      </c>
      <c r="AO25" s="162">
        <f>SUM(AN25:AN26)</f>
        <v>0</v>
      </c>
    </row>
    <row r="26" spans="1:42" thickBot="1" x14ac:dyDescent="0.25">
      <c r="A26" s="152"/>
      <c r="B26" s="159"/>
      <c r="C26" s="104" t="s">
        <v>21</v>
      </c>
      <c r="D26" s="16">
        <v>33417500</v>
      </c>
      <c r="E26" s="15" t="s">
        <v>21</v>
      </c>
      <c r="F26" s="16">
        <v>39738000</v>
      </c>
      <c r="G26" s="15" t="s">
        <v>21</v>
      </c>
      <c r="H26" s="42">
        <v>34233500</v>
      </c>
      <c r="I26" s="54" t="s">
        <v>22</v>
      </c>
      <c r="J26" s="55">
        <v>42310500</v>
      </c>
      <c r="K26" s="53"/>
      <c r="L26" s="20" t="s">
        <v>17</v>
      </c>
      <c r="M26" s="62">
        <v>41876500</v>
      </c>
      <c r="N26" s="7" t="s">
        <v>23</v>
      </c>
      <c r="O26" s="148"/>
      <c r="Q26" s="166"/>
      <c r="R26" s="168"/>
      <c r="S26" s="147"/>
      <c r="T26" s="148"/>
      <c r="V26" s="166"/>
      <c r="W26" s="168"/>
      <c r="X26" s="147"/>
      <c r="Y26" s="148"/>
      <c r="Z26" s="86"/>
      <c r="AA26" s="86"/>
      <c r="AB26" s="174"/>
      <c r="AC26" s="168"/>
      <c r="AD26" s="147"/>
      <c r="AE26" s="148"/>
      <c r="AH26" s="192"/>
      <c r="AI26" s="168"/>
      <c r="AJ26" s="147"/>
      <c r="AK26" s="195"/>
      <c r="AN26" s="84">
        <f t="shared" si="4"/>
        <v>0</v>
      </c>
      <c r="AO26" s="163"/>
    </row>
    <row r="27" spans="1:42" ht="15" x14ac:dyDescent="0.2">
      <c r="A27" s="150" t="s">
        <v>49</v>
      </c>
      <c r="B27" s="107" t="s">
        <v>50</v>
      </c>
      <c r="C27" s="106" t="s">
        <v>17</v>
      </c>
      <c r="D27" s="30">
        <v>20669000</v>
      </c>
      <c r="E27" s="29" t="s">
        <v>17</v>
      </c>
      <c r="F27" s="30">
        <v>13909500</v>
      </c>
      <c r="G27" s="29" t="s">
        <v>17</v>
      </c>
      <c r="H27" s="30">
        <v>12478500</v>
      </c>
      <c r="I27" s="29" t="s">
        <v>17</v>
      </c>
      <c r="J27" s="62">
        <v>14051500</v>
      </c>
      <c r="L27" s="20" t="s">
        <v>17</v>
      </c>
      <c r="M27" s="62">
        <v>14045000</v>
      </c>
      <c r="N27" s="7" t="s">
        <v>25</v>
      </c>
      <c r="O27" s="63" t="s">
        <v>20</v>
      </c>
      <c r="Q27" s="20" t="s">
        <v>17</v>
      </c>
      <c r="R27" s="62">
        <v>11916000</v>
      </c>
      <c r="T27" s="63" t="s">
        <v>20</v>
      </c>
      <c r="V27" s="20" t="s">
        <v>17</v>
      </c>
      <c r="W27" s="62">
        <f>'[2]WARUNG EKA (Drinks, Etc)'!$H$1</f>
        <v>9985000</v>
      </c>
      <c r="Y27" s="63" t="s">
        <v>20</v>
      </c>
      <c r="Z27" s="86"/>
      <c r="AB27" s="140" t="s">
        <v>19</v>
      </c>
      <c r="AC27" s="62">
        <v>11138500</v>
      </c>
      <c r="AH27" s="188"/>
      <c r="AI27" s="62"/>
      <c r="AK27" s="194"/>
      <c r="AN27" s="84">
        <f t="shared" si="4"/>
        <v>11138500</v>
      </c>
    </row>
    <row r="28" spans="1:42" ht="15" x14ac:dyDescent="0.2">
      <c r="A28" s="151"/>
      <c r="B28" s="108" t="s">
        <v>51</v>
      </c>
      <c r="C28" s="92" t="s">
        <v>17</v>
      </c>
      <c r="D28" s="21">
        <v>3230000</v>
      </c>
      <c r="E28" s="20" t="s">
        <v>17</v>
      </c>
      <c r="F28" s="21">
        <v>2415000</v>
      </c>
      <c r="G28" s="20" t="s">
        <v>17</v>
      </c>
      <c r="H28" s="21">
        <v>1800000</v>
      </c>
      <c r="I28" s="31" t="s">
        <v>17</v>
      </c>
      <c r="J28" s="62">
        <v>2860000</v>
      </c>
      <c r="L28" s="20" t="s">
        <v>17</v>
      </c>
      <c r="M28" s="62">
        <v>2690000</v>
      </c>
      <c r="N28" s="7" t="s">
        <v>25</v>
      </c>
      <c r="O28" s="65" t="s">
        <v>52</v>
      </c>
      <c r="Q28" s="20" t="s">
        <v>17</v>
      </c>
      <c r="R28" s="62">
        <v>2415000</v>
      </c>
      <c r="T28" s="65" t="s">
        <v>53</v>
      </c>
      <c r="V28" s="20" t="s">
        <v>17</v>
      </c>
      <c r="W28" s="62">
        <f>'[2]DEWATA COCONUT (Coconut)'!$H$1</f>
        <v>1870000</v>
      </c>
      <c r="Y28" s="65" t="s">
        <v>53</v>
      </c>
      <c r="Z28" s="86"/>
      <c r="AB28" s="140" t="s">
        <v>19</v>
      </c>
      <c r="AC28" s="62">
        <v>1670000</v>
      </c>
      <c r="AE28" s="133"/>
      <c r="AH28" s="188"/>
      <c r="AI28" s="62"/>
      <c r="AK28" s="196"/>
      <c r="AN28" s="84">
        <f t="shared" si="4"/>
        <v>1670000</v>
      </c>
    </row>
    <row r="29" spans="1:42" ht="15" x14ac:dyDescent="0.2">
      <c r="A29" s="151"/>
      <c r="B29" s="108" t="s">
        <v>54</v>
      </c>
      <c r="C29" s="92" t="s">
        <v>17</v>
      </c>
      <c r="D29" s="21">
        <v>10775000</v>
      </c>
      <c r="E29" s="20" t="s">
        <v>17</v>
      </c>
      <c r="F29" s="21">
        <v>10000000</v>
      </c>
      <c r="G29" s="20" t="s">
        <v>17</v>
      </c>
      <c r="H29" s="21">
        <v>7025000</v>
      </c>
      <c r="I29" s="31" t="s">
        <v>17</v>
      </c>
      <c r="J29" s="62">
        <v>4175000</v>
      </c>
      <c r="L29" s="20" t="s">
        <v>17</v>
      </c>
      <c r="M29" s="62">
        <v>2000000</v>
      </c>
      <c r="O29" s="63" t="s">
        <v>20</v>
      </c>
      <c r="Q29" s="20" t="s">
        <v>17</v>
      </c>
      <c r="R29" s="62">
        <v>1500000</v>
      </c>
      <c r="T29" s="63" t="s">
        <v>20</v>
      </c>
      <c r="V29" s="20" t="s">
        <v>17</v>
      </c>
      <c r="W29" s="62">
        <f>'[2]PNB (Alcohol)'!$I$1</f>
        <v>1120000</v>
      </c>
      <c r="Y29" s="129" t="s">
        <v>20</v>
      </c>
      <c r="Z29" s="86"/>
      <c r="AA29" s="86"/>
      <c r="AB29" s="89"/>
      <c r="AC29" s="142" t="s">
        <v>116</v>
      </c>
      <c r="AE29" s="132"/>
      <c r="AH29" s="188"/>
      <c r="AI29" s="142"/>
      <c r="AK29" s="193"/>
      <c r="AN29" s="84">
        <f t="shared" si="4"/>
        <v>0</v>
      </c>
    </row>
    <row r="30" spans="1:42" ht="15" x14ac:dyDescent="0.2">
      <c r="A30" s="151"/>
      <c r="B30" s="108" t="s">
        <v>55</v>
      </c>
      <c r="C30" s="92" t="s">
        <v>17</v>
      </c>
      <c r="D30" s="21">
        <v>10023000</v>
      </c>
      <c r="E30" s="20" t="s">
        <v>17</v>
      </c>
      <c r="F30" s="21">
        <v>6637500</v>
      </c>
      <c r="G30" s="20" t="s">
        <v>17</v>
      </c>
      <c r="H30" s="21">
        <v>12023500</v>
      </c>
      <c r="I30" s="20" t="s">
        <v>17</v>
      </c>
      <c r="J30" s="62">
        <v>18173500</v>
      </c>
      <c r="L30" s="20" t="s">
        <v>17</v>
      </c>
      <c r="M30" s="62">
        <v>6354000</v>
      </c>
      <c r="O30" s="63" t="s">
        <v>20</v>
      </c>
      <c r="Q30" s="20" t="s">
        <v>17</v>
      </c>
      <c r="R30" s="69">
        <v>3474000</v>
      </c>
      <c r="T30" s="63" t="s">
        <v>20</v>
      </c>
      <c r="V30" s="20" t="s">
        <v>17</v>
      </c>
      <c r="W30" s="69">
        <f>'[2]DSP (Alcohol)'!$K$1</f>
        <v>2647500</v>
      </c>
      <c r="Y30" s="63" t="s">
        <v>20</v>
      </c>
      <c r="Z30" s="86"/>
      <c r="AA30" s="86"/>
      <c r="AB30" s="20" t="s">
        <v>17</v>
      </c>
      <c r="AC30" s="69">
        <v>2128500</v>
      </c>
      <c r="AE30" s="129" t="s">
        <v>20</v>
      </c>
      <c r="AH30" s="189"/>
      <c r="AI30" s="69"/>
      <c r="AK30" s="193"/>
      <c r="AN30" s="84">
        <f t="shared" si="4"/>
        <v>0</v>
      </c>
    </row>
    <row r="31" spans="1:42" ht="15" x14ac:dyDescent="0.2">
      <c r="A31" s="151"/>
      <c r="B31" s="108" t="s">
        <v>56</v>
      </c>
      <c r="C31" s="94" t="s">
        <v>30</v>
      </c>
      <c r="D31" s="21"/>
      <c r="E31" s="23" t="s">
        <v>30</v>
      </c>
      <c r="F31" s="21"/>
      <c r="G31" s="23" t="s">
        <v>30</v>
      </c>
      <c r="H31" s="21"/>
      <c r="I31" s="31" t="s">
        <v>17</v>
      </c>
      <c r="J31" s="62">
        <v>3633750</v>
      </c>
      <c r="L31" s="20" t="s">
        <v>17</v>
      </c>
      <c r="M31" s="62">
        <v>1310000</v>
      </c>
      <c r="O31" s="63" t="s">
        <v>20</v>
      </c>
      <c r="Q31" s="20" t="s">
        <v>17</v>
      </c>
      <c r="R31" s="69">
        <v>668000</v>
      </c>
      <c r="T31" s="63" t="s">
        <v>20</v>
      </c>
      <c r="V31" s="23" t="s">
        <v>30</v>
      </c>
      <c r="W31" s="69"/>
      <c r="Z31" s="86"/>
      <c r="AA31" s="86"/>
      <c r="AB31" s="89"/>
      <c r="AC31" s="143" t="s">
        <v>116</v>
      </c>
      <c r="AH31" s="188"/>
      <c r="AI31" s="143"/>
      <c r="AK31" s="194"/>
      <c r="AN31" s="84">
        <f t="shared" si="4"/>
        <v>0</v>
      </c>
    </row>
    <row r="32" spans="1:42" ht="15" x14ac:dyDescent="0.2">
      <c r="A32" s="151"/>
      <c r="B32" s="108" t="s">
        <v>57</v>
      </c>
      <c r="C32" s="92" t="s">
        <v>17</v>
      </c>
      <c r="D32" s="21">
        <v>3663000</v>
      </c>
      <c r="E32" s="20" t="s">
        <v>17</v>
      </c>
      <c r="F32" s="21">
        <v>1998000</v>
      </c>
      <c r="G32" s="20" t="s">
        <v>17</v>
      </c>
      <c r="H32" s="21">
        <v>1665000</v>
      </c>
      <c r="I32" s="31" t="s">
        <v>17</v>
      </c>
      <c r="J32" s="62">
        <v>3552000</v>
      </c>
      <c r="L32" s="20" t="s">
        <v>17</v>
      </c>
      <c r="M32" s="62">
        <v>2220000</v>
      </c>
      <c r="O32" s="63" t="s">
        <v>20</v>
      </c>
      <c r="Q32" s="20" t="s">
        <v>17</v>
      </c>
      <c r="R32" s="62">
        <v>4329000</v>
      </c>
      <c r="T32" s="63" t="s">
        <v>20</v>
      </c>
      <c r="V32" s="20" t="s">
        <v>17</v>
      </c>
      <c r="W32" s="62">
        <f>'[2]SELERA OR STIR UP (Syrup)'!$I$1</f>
        <v>2886000</v>
      </c>
      <c r="Y32" s="129" t="s">
        <v>20</v>
      </c>
      <c r="Z32" s="86"/>
      <c r="AA32" s="86"/>
      <c r="AB32" s="140" t="s">
        <v>19</v>
      </c>
      <c r="AC32" s="62">
        <v>1110000</v>
      </c>
      <c r="AE32" s="129" t="s">
        <v>20</v>
      </c>
      <c r="AH32" s="188"/>
      <c r="AI32" s="62"/>
      <c r="AK32" s="193"/>
      <c r="AN32" s="84">
        <f t="shared" si="4"/>
        <v>1110000</v>
      </c>
    </row>
    <row r="33" spans="1:41" ht="15" x14ac:dyDescent="0.2">
      <c r="A33" s="151"/>
      <c r="B33" s="108" t="s">
        <v>58</v>
      </c>
      <c r="C33" s="92" t="s">
        <v>17</v>
      </c>
      <c r="D33" s="21">
        <v>2410000</v>
      </c>
      <c r="E33" s="23" t="s">
        <v>30</v>
      </c>
      <c r="F33" s="21"/>
      <c r="G33" s="20" t="s">
        <v>17</v>
      </c>
      <c r="H33" s="21">
        <v>2110000</v>
      </c>
      <c r="I33" s="20" t="s">
        <v>17</v>
      </c>
      <c r="J33" s="62">
        <v>12065000</v>
      </c>
      <c r="L33" s="20" t="s">
        <v>17</v>
      </c>
      <c r="M33" s="62">
        <v>4150000</v>
      </c>
      <c r="O33" s="63" t="s">
        <v>20</v>
      </c>
      <c r="Q33" s="20" t="s">
        <v>17</v>
      </c>
      <c r="R33" s="69">
        <v>2620000</v>
      </c>
      <c r="S33"/>
      <c r="T33" s="63" t="s">
        <v>20</v>
      </c>
      <c r="V33" s="20" t="s">
        <v>17</v>
      </c>
      <c r="W33" s="69">
        <f>'[2]DW BALI (Alcohol)'!$J$1</f>
        <v>5060000</v>
      </c>
      <c r="Y33" s="63" t="s">
        <v>20</v>
      </c>
      <c r="Z33" s="86"/>
      <c r="AA33" s="86"/>
      <c r="AB33" s="140" t="s">
        <v>19</v>
      </c>
      <c r="AC33" s="69">
        <v>1620000</v>
      </c>
      <c r="AE33" s="129" t="s">
        <v>20</v>
      </c>
      <c r="AH33" s="188"/>
      <c r="AI33" s="69"/>
      <c r="AK33" s="193"/>
      <c r="AN33" s="84">
        <f t="shared" si="4"/>
        <v>1620000</v>
      </c>
    </row>
    <row r="34" spans="1:41" ht="15" x14ac:dyDescent="0.2">
      <c r="A34" s="151"/>
      <c r="B34" s="108" t="s">
        <v>59</v>
      </c>
      <c r="C34" s="92" t="s">
        <v>17</v>
      </c>
      <c r="D34" s="21">
        <v>2447502</v>
      </c>
      <c r="E34" s="20" t="s">
        <v>17</v>
      </c>
      <c r="F34" s="21">
        <v>1312502</v>
      </c>
      <c r="G34" s="20" t="s">
        <v>17</v>
      </c>
      <c r="H34" s="21">
        <v>1750003</v>
      </c>
      <c r="I34" s="31" t="s">
        <v>17</v>
      </c>
      <c r="J34" s="62">
        <v>1837503</v>
      </c>
      <c r="L34" s="20" t="s">
        <v>17</v>
      </c>
      <c r="M34" s="62">
        <v>2450005.3199999998</v>
      </c>
      <c r="O34" s="63" t="s">
        <v>20</v>
      </c>
      <c r="Q34" s="20" t="s">
        <v>17</v>
      </c>
      <c r="R34" s="69">
        <v>525001</v>
      </c>
      <c r="T34" s="63" t="s">
        <v>20</v>
      </c>
      <c r="V34" s="20" t="s">
        <v>17</v>
      </c>
      <c r="W34" s="69">
        <f>'[2]DDB (Alcohol)'!$H$1</f>
        <v>2359504.7999999998</v>
      </c>
      <c r="Y34" s="63" t="s">
        <v>20</v>
      </c>
      <c r="Z34" s="86"/>
      <c r="AA34" s="86"/>
      <c r="AB34" s="140" t="s">
        <v>19</v>
      </c>
      <c r="AC34" s="69">
        <v>1312503</v>
      </c>
      <c r="AE34" s="129" t="s">
        <v>20</v>
      </c>
      <c r="AH34" s="188"/>
      <c r="AI34" s="69"/>
      <c r="AK34" s="193"/>
      <c r="AN34" s="84">
        <f t="shared" si="4"/>
        <v>1312503</v>
      </c>
    </row>
    <row r="35" spans="1:41" ht="15" x14ac:dyDescent="0.2">
      <c r="A35" s="151"/>
      <c r="B35" s="126" t="s">
        <v>108</v>
      </c>
      <c r="C35" s="94" t="s">
        <v>30</v>
      </c>
      <c r="D35" s="21"/>
      <c r="E35" s="20" t="s">
        <v>17</v>
      </c>
      <c r="F35" s="21">
        <v>2280000</v>
      </c>
      <c r="G35" s="23" t="s">
        <v>30</v>
      </c>
      <c r="H35" s="21"/>
      <c r="I35" s="23" t="s">
        <v>30</v>
      </c>
      <c r="J35" s="62"/>
      <c r="L35" s="23" t="s">
        <v>30</v>
      </c>
      <c r="M35" s="62">
        <v>0</v>
      </c>
      <c r="Q35" s="20" t="s">
        <v>17</v>
      </c>
      <c r="R35" s="62">
        <v>855000</v>
      </c>
      <c r="T35" s="63" t="s">
        <v>20</v>
      </c>
      <c r="V35" s="20" t="s">
        <v>17</v>
      </c>
      <c r="W35" s="69">
        <f>'[2]NANO DEWATA NON CK(Alcohol)'!$H$1</f>
        <v>855000</v>
      </c>
      <c r="Y35" s="129" t="s">
        <v>20</v>
      </c>
      <c r="Z35" s="86"/>
      <c r="AA35" s="86"/>
      <c r="AB35" s="89"/>
      <c r="AC35" s="143" t="s">
        <v>116</v>
      </c>
      <c r="AE35" s="132"/>
      <c r="AH35" s="188"/>
      <c r="AI35" s="143"/>
      <c r="AK35" s="193"/>
      <c r="AN35" s="84">
        <f t="shared" si="4"/>
        <v>0</v>
      </c>
    </row>
    <row r="36" spans="1:41" ht="15" x14ac:dyDescent="0.2">
      <c r="A36" s="151"/>
      <c r="B36" s="126" t="s">
        <v>107</v>
      </c>
      <c r="C36" s="93"/>
      <c r="D36" s="127"/>
      <c r="E36" s="22"/>
      <c r="F36" s="127"/>
      <c r="G36" s="93"/>
      <c r="H36" s="127"/>
      <c r="I36" s="93"/>
      <c r="J36" s="128"/>
      <c r="L36" s="22"/>
      <c r="M36" s="62"/>
      <c r="Q36" s="23" t="s">
        <v>30</v>
      </c>
      <c r="R36" s="62"/>
      <c r="V36" s="20" t="s">
        <v>17</v>
      </c>
      <c r="W36" s="69">
        <f>'[2]NANO DEWATA CK (Alcohol)'!$I$1</f>
        <v>1799999.9985000002</v>
      </c>
      <c r="Y36" s="129" t="s">
        <v>20</v>
      </c>
      <c r="Z36" s="86"/>
      <c r="AA36" s="86"/>
      <c r="AB36" s="140" t="s">
        <v>19</v>
      </c>
      <c r="AC36" s="69">
        <v>599999</v>
      </c>
      <c r="AE36" s="129" t="s">
        <v>20</v>
      </c>
      <c r="AH36" s="188"/>
      <c r="AI36" s="69"/>
      <c r="AK36" s="193"/>
      <c r="AN36" s="84">
        <f t="shared" si="4"/>
        <v>599999</v>
      </c>
    </row>
    <row r="37" spans="1:41" ht="15" x14ac:dyDescent="0.2">
      <c r="A37" s="151"/>
      <c r="B37" s="108" t="s">
        <v>60</v>
      </c>
      <c r="C37" s="92" t="s">
        <v>17</v>
      </c>
      <c r="D37" s="21">
        <v>4760036</v>
      </c>
      <c r="E37" s="20" t="s">
        <v>17</v>
      </c>
      <c r="F37" s="21">
        <v>4760036</v>
      </c>
      <c r="G37" s="20" t="s">
        <v>17</v>
      </c>
      <c r="H37" s="21">
        <v>1190009</v>
      </c>
      <c r="I37" s="31" t="s">
        <v>17</v>
      </c>
      <c r="J37" s="62">
        <v>2380018</v>
      </c>
      <c r="L37" s="20" t="s">
        <v>17</v>
      </c>
      <c r="M37" s="62">
        <v>2380000.0175999999</v>
      </c>
      <c r="O37" s="63" t="s">
        <v>20</v>
      </c>
      <c r="Q37" s="20" t="s">
        <v>17</v>
      </c>
      <c r="R37" s="62">
        <v>1190000</v>
      </c>
      <c r="S37" s="8">
        <v>46108</v>
      </c>
      <c r="T37" s="63" t="s">
        <v>20</v>
      </c>
      <c r="V37" s="20" t="s">
        <v>17</v>
      </c>
      <c r="W37" s="62">
        <f>'[2]BALI PERMATA JAYA (Corona Beer)'!$I$1</f>
        <v>1190000.0088000002</v>
      </c>
      <c r="X37" s="83">
        <v>46142</v>
      </c>
      <c r="Y37" s="63" t="s">
        <v>20</v>
      </c>
      <c r="Z37" s="86"/>
      <c r="AA37" s="86"/>
      <c r="AB37" s="178" t="s">
        <v>19</v>
      </c>
      <c r="AC37" s="62">
        <v>1190000</v>
      </c>
      <c r="AH37" s="189"/>
      <c r="AI37" s="62"/>
      <c r="AK37" s="194"/>
      <c r="AN37" s="84">
        <f t="shared" si="4"/>
        <v>1190000</v>
      </c>
    </row>
    <row r="38" spans="1:41" ht="16.75" customHeight="1" x14ac:dyDescent="0.2">
      <c r="A38" s="151"/>
      <c r="B38" s="160" t="s">
        <v>61</v>
      </c>
      <c r="C38" s="92" t="s">
        <v>17</v>
      </c>
      <c r="D38" s="21">
        <v>5600000</v>
      </c>
      <c r="E38" s="20" t="s">
        <v>17</v>
      </c>
      <c r="F38" s="21">
        <v>5600000</v>
      </c>
      <c r="G38" s="20" t="s">
        <v>17</v>
      </c>
      <c r="H38" s="21">
        <v>5600000</v>
      </c>
      <c r="I38" s="31" t="s">
        <v>17</v>
      </c>
      <c r="J38" s="62">
        <v>5600000</v>
      </c>
      <c r="L38" s="20" t="s">
        <v>17</v>
      </c>
      <c r="M38" s="62">
        <v>5600000</v>
      </c>
      <c r="N38" s="7">
        <v>46036</v>
      </c>
      <c r="O38" s="63" t="s">
        <v>20</v>
      </c>
      <c r="Q38" s="20" t="s">
        <v>17</v>
      </c>
      <c r="R38" s="62">
        <v>5600000</v>
      </c>
      <c r="S38" s="67">
        <v>46062</v>
      </c>
      <c r="T38" s="63" t="s">
        <v>20</v>
      </c>
      <c r="V38" s="20" t="s">
        <v>17</v>
      </c>
      <c r="W38" s="62">
        <v>5600000</v>
      </c>
      <c r="X38" s="83">
        <v>46090</v>
      </c>
      <c r="Z38" s="86"/>
      <c r="AA38" s="86"/>
      <c r="AB38" s="89"/>
      <c r="AC38" s="62"/>
      <c r="AH38" s="188"/>
      <c r="AI38" s="62"/>
      <c r="AK38" s="194"/>
      <c r="AN38" s="84">
        <f t="shared" si="4"/>
        <v>0</v>
      </c>
      <c r="AO38" s="162">
        <f>SUM(AN38:AN39)</f>
        <v>0</v>
      </c>
    </row>
    <row r="39" spans="1:41" ht="16.75" customHeight="1" x14ac:dyDescent="0.2">
      <c r="A39" s="151"/>
      <c r="B39" s="161"/>
      <c r="C39" s="93"/>
      <c r="D39" s="127"/>
      <c r="E39" s="22"/>
      <c r="F39" s="127"/>
      <c r="G39" s="22"/>
      <c r="H39" s="127"/>
      <c r="I39" s="34"/>
      <c r="J39" s="128"/>
      <c r="L39" s="22"/>
      <c r="M39" s="128"/>
      <c r="Q39" s="22"/>
      <c r="R39" s="128"/>
      <c r="V39" s="20" t="s">
        <v>17</v>
      </c>
      <c r="W39" s="62">
        <f>'[2]BLACK COFFEE ROASTERS (Coffee)'!$J$1</f>
        <v>5600000</v>
      </c>
      <c r="X39" s="83">
        <v>46118</v>
      </c>
      <c r="Y39" s="63" t="s">
        <v>20</v>
      </c>
      <c r="Z39" s="86"/>
      <c r="AA39" s="86"/>
      <c r="AB39" s="89"/>
      <c r="AC39" s="62"/>
      <c r="AH39" s="188"/>
      <c r="AI39" s="62"/>
      <c r="AK39" s="194"/>
      <c r="AN39" s="84">
        <f t="shared" si="4"/>
        <v>0</v>
      </c>
      <c r="AO39" s="163"/>
    </row>
    <row r="40" spans="1:41" ht="15" x14ac:dyDescent="0.2">
      <c r="A40" s="151"/>
      <c r="B40" s="109" t="s">
        <v>62</v>
      </c>
      <c r="C40" s="93"/>
      <c r="D40" s="21"/>
      <c r="E40" s="22"/>
      <c r="F40" s="21"/>
      <c r="G40" s="22"/>
      <c r="H40" s="21"/>
      <c r="I40" s="34"/>
      <c r="J40" s="62"/>
      <c r="L40" s="22"/>
      <c r="M40" s="62"/>
      <c r="Q40" s="20" t="s">
        <v>17</v>
      </c>
      <c r="R40" s="62">
        <v>350000</v>
      </c>
      <c r="V40" s="23" t="s">
        <v>30</v>
      </c>
      <c r="W40" s="62"/>
      <c r="Z40" s="86"/>
      <c r="AB40" s="20" t="s">
        <v>17</v>
      </c>
      <c r="AC40" s="62">
        <v>400000</v>
      </c>
      <c r="AH40" s="190"/>
      <c r="AI40" s="62"/>
      <c r="AK40" s="194"/>
      <c r="AN40" s="84">
        <f t="shared" si="4"/>
        <v>0</v>
      </c>
    </row>
    <row r="41" spans="1:41" ht="15" x14ac:dyDescent="0.2">
      <c r="A41" s="151"/>
      <c r="B41" s="108" t="s">
        <v>63</v>
      </c>
      <c r="C41" s="92" t="s">
        <v>17</v>
      </c>
      <c r="D41" s="21">
        <v>1225000</v>
      </c>
      <c r="E41" s="20" t="s">
        <v>17</v>
      </c>
      <c r="F41" s="21">
        <v>915750</v>
      </c>
      <c r="G41" s="20" t="s">
        <v>17</v>
      </c>
      <c r="H41" s="21">
        <v>600000</v>
      </c>
      <c r="I41" s="31" t="s">
        <v>17</v>
      </c>
      <c r="J41" s="62">
        <v>915750</v>
      </c>
      <c r="L41" s="20" t="s">
        <v>17</v>
      </c>
      <c r="M41" s="62">
        <v>1010500</v>
      </c>
      <c r="O41" s="63" t="s">
        <v>20</v>
      </c>
      <c r="Q41" s="20" t="s">
        <v>17</v>
      </c>
      <c r="R41" s="62">
        <v>2126250</v>
      </c>
      <c r="T41" s="63" t="s">
        <v>20</v>
      </c>
      <c r="V41" s="20" t="s">
        <v>17</v>
      </c>
      <c r="W41" s="62">
        <f>'[2]PT. PRASIDA LANTUR MAJU (Wine)'!$I$1</f>
        <v>1315749.6000000001</v>
      </c>
      <c r="Y41" s="129" t="s">
        <v>20</v>
      </c>
      <c r="Z41" s="86"/>
      <c r="AA41" s="86"/>
      <c r="AB41" s="89"/>
      <c r="AC41" s="142" t="s">
        <v>116</v>
      </c>
      <c r="AE41" s="132"/>
      <c r="AH41" s="188"/>
      <c r="AI41" s="142"/>
      <c r="AK41" s="193"/>
      <c r="AN41" s="84">
        <f t="shared" si="4"/>
        <v>0</v>
      </c>
    </row>
    <row r="42" spans="1:41" ht="15" x14ac:dyDescent="0.2">
      <c r="A42" s="151"/>
      <c r="B42" s="108" t="s">
        <v>64</v>
      </c>
      <c r="C42" s="94" t="s">
        <v>30</v>
      </c>
      <c r="D42" s="21"/>
      <c r="E42" s="23" t="s">
        <v>30</v>
      </c>
      <c r="F42" s="21"/>
      <c r="G42" s="23" t="s">
        <v>30</v>
      </c>
      <c r="H42" s="21"/>
      <c r="I42" s="23" t="s">
        <v>30</v>
      </c>
      <c r="J42" s="62"/>
      <c r="L42" s="23" t="s">
        <v>30</v>
      </c>
      <c r="M42" s="62"/>
      <c r="Q42" s="23" t="s">
        <v>30</v>
      </c>
      <c r="R42" s="62"/>
      <c r="V42" s="23" t="s">
        <v>30</v>
      </c>
      <c r="W42" s="62"/>
      <c r="Z42" s="86"/>
      <c r="AB42" s="22"/>
      <c r="AC42" s="142" t="s">
        <v>116</v>
      </c>
      <c r="AH42" s="190"/>
      <c r="AI42" s="142"/>
      <c r="AK42" s="194"/>
      <c r="AN42" s="84">
        <f t="shared" si="4"/>
        <v>0</v>
      </c>
    </row>
    <row r="43" spans="1:41" ht="15" x14ac:dyDescent="0.2">
      <c r="A43" s="151"/>
      <c r="B43" s="108" t="s">
        <v>65</v>
      </c>
      <c r="C43" s="92" t="s">
        <v>17</v>
      </c>
      <c r="D43" s="21">
        <v>3948000</v>
      </c>
      <c r="E43" s="23" t="s">
        <v>30</v>
      </c>
      <c r="F43" s="21"/>
      <c r="G43" s="23" t="s">
        <v>30</v>
      </c>
      <c r="H43" s="21"/>
      <c r="I43" s="23" t="s">
        <v>30</v>
      </c>
      <c r="J43" s="62"/>
      <c r="L43" s="20" t="s">
        <v>17</v>
      </c>
      <c r="M43" s="62">
        <v>5628000</v>
      </c>
      <c r="O43" s="63" t="s">
        <v>20</v>
      </c>
      <c r="Q43" s="20" t="s">
        <v>17</v>
      </c>
      <c r="R43" s="62">
        <v>3430000</v>
      </c>
      <c r="T43" s="63" t="s">
        <v>20</v>
      </c>
      <c r="V43" s="20" t="s">
        <v>17</v>
      </c>
      <c r="W43" s="62">
        <f>'[2]CHAI CHITAI (Tea Leaf,etc)'!$L$1</f>
        <v>1687000</v>
      </c>
      <c r="X43" s="7">
        <v>46127</v>
      </c>
      <c r="Y43" s="129" t="s">
        <v>20</v>
      </c>
      <c r="Z43" s="86"/>
      <c r="AA43" s="86"/>
      <c r="AB43" s="178" t="s">
        <v>19</v>
      </c>
      <c r="AC43" s="62">
        <v>2240000</v>
      </c>
      <c r="AD43" s="172">
        <v>46157</v>
      </c>
      <c r="AE43" s="132"/>
      <c r="AH43" s="189"/>
      <c r="AI43" s="62"/>
      <c r="AJ43" s="172">
        <v>46157</v>
      </c>
      <c r="AK43" s="193"/>
      <c r="AN43" s="84">
        <f t="shared" si="4"/>
        <v>2240000</v>
      </c>
    </row>
    <row r="44" spans="1:41" ht="15" x14ac:dyDescent="0.2">
      <c r="A44" s="151"/>
      <c r="B44" s="108" t="s">
        <v>66</v>
      </c>
      <c r="C44" s="94" t="s">
        <v>30</v>
      </c>
      <c r="D44" s="21"/>
      <c r="E44" s="23" t="s">
        <v>30</v>
      </c>
      <c r="F44" s="21"/>
      <c r="G44" s="23" t="s">
        <v>30</v>
      </c>
      <c r="H44" s="21"/>
      <c r="I44" s="31" t="s">
        <v>17</v>
      </c>
      <c r="J44" s="62">
        <v>975300</v>
      </c>
      <c r="L44" s="20" t="s">
        <v>17</v>
      </c>
      <c r="M44" s="62">
        <v>487650</v>
      </c>
      <c r="O44" s="63" t="s">
        <v>20</v>
      </c>
      <c r="Q44" s="23" t="s">
        <v>30</v>
      </c>
      <c r="R44" s="62"/>
      <c r="V44" s="20" t="s">
        <v>17</v>
      </c>
      <c r="W44" s="62">
        <f>'[2]Dewata Kencana Distribusi (Vdka'!$I$1</f>
        <v>650200</v>
      </c>
      <c r="Y44" s="63" t="s">
        <v>20</v>
      </c>
      <c r="Z44" s="86"/>
      <c r="AA44" s="86"/>
      <c r="AB44" s="89"/>
      <c r="AC44" s="142" t="s">
        <v>116</v>
      </c>
      <c r="AH44" s="188"/>
      <c r="AI44" s="142"/>
      <c r="AK44" s="194"/>
      <c r="AN44" s="84">
        <f t="shared" si="4"/>
        <v>0</v>
      </c>
    </row>
    <row r="45" spans="1:41" ht="15" x14ac:dyDescent="0.2">
      <c r="A45" s="151"/>
      <c r="B45" s="108" t="s">
        <v>67</v>
      </c>
      <c r="C45" s="94" t="s">
        <v>30</v>
      </c>
      <c r="D45" s="21"/>
      <c r="E45" s="23" t="s">
        <v>30</v>
      </c>
      <c r="F45" s="21"/>
      <c r="G45" s="23" t="s">
        <v>30</v>
      </c>
      <c r="H45" s="21"/>
      <c r="I45" s="31" t="s">
        <v>17</v>
      </c>
      <c r="J45" s="62">
        <v>1600000</v>
      </c>
      <c r="L45" s="23" t="s">
        <v>30</v>
      </c>
      <c r="M45" s="62">
        <v>0</v>
      </c>
      <c r="Q45" s="23" t="s">
        <v>30</v>
      </c>
      <c r="R45" s="62"/>
      <c r="V45" s="23" t="s">
        <v>30</v>
      </c>
      <c r="W45" s="62"/>
      <c r="AB45" s="89"/>
      <c r="AC45" s="142" t="s">
        <v>116</v>
      </c>
      <c r="AH45" s="188"/>
      <c r="AI45" s="142"/>
      <c r="AK45" s="194"/>
      <c r="AN45" s="84">
        <f t="shared" si="4"/>
        <v>0</v>
      </c>
    </row>
    <row r="46" spans="1:41" thickBot="1" x14ac:dyDescent="0.25">
      <c r="A46" s="152"/>
      <c r="B46" s="110" t="s">
        <v>68</v>
      </c>
      <c r="C46" s="95"/>
      <c r="D46" s="28"/>
      <c r="E46" s="27"/>
      <c r="F46" s="28"/>
      <c r="G46" s="27"/>
      <c r="H46" s="45"/>
      <c r="I46" s="32" t="s">
        <v>17</v>
      </c>
      <c r="J46" s="62">
        <v>1198800</v>
      </c>
      <c r="L46" s="20" t="s">
        <v>17</v>
      </c>
      <c r="M46" s="62">
        <v>1198800</v>
      </c>
      <c r="N46" s="7">
        <v>46051</v>
      </c>
      <c r="O46" s="63" t="s">
        <v>20</v>
      </c>
      <c r="Q46" s="23" t="s">
        <v>30</v>
      </c>
      <c r="R46" s="64"/>
      <c r="V46" s="20" t="s">
        <v>17</v>
      </c>
      <c r="W46" s="62">
        <v>1198800</v>
      </c>
      <c r="Z46" s="86"/>
      <c r="AB46" s="22"/>
      <c r="AC46" s="142" t="s">
        <v>116</v>
      </c>
      <c r="AH46" s="190"/>
      <c r="AI46" s="142"/>
      <c r="AK46" s="194"/>
      <c r="AN46" s="84">
        <f t="shared" si="4"/>
        <v>0</v>
      </c>
    </row>
    <row r="47" spans="1:41" thickBot="1" x14ac:dyDescent="0.25">
      <c r="A47" s="150" t="s">
        <v>69</v>
      </c>
      <c r="B47" s="113" t="s">
        <v>70</v>
      </c>
      <c r="C47" s="106" t="s">
        <v>17</v>
      </c>
      <c r="D47" s="30">
        <v>4897000</v>
      </c>
      <c r="E47" s="29" t="s">
        <v>17</v>
      </c>
      <c r="F47" s="30">
        <v>8368100</v>
      </c>
      <c r="G47" s="29" t="s">
        <v>17</v>
      </c>
      <c r="H47" s="30">
        <v>4047600</v>
      </c>
      <c r="I47" s="61" t="s">
        <v>17</v>
      </c>
      <c r="J47" s="62">
        <v>1897000</v>
      </c>
      <c r="L47" s="20" t="s">
        <v>17</v>
      </c>
      <c r="M47" s="62">
        <v>267000</v>
      </c>
      <c r="N47" s="7" t="s">
        <v>25</v>
      </c>
      <c r="O47" s="63" t="s">
        <v>20</v>
      </c>
      <c r="Q47" s="20" t="s">
        <v>17</v>
      </c>
      <c r="R47" s="62">
        <v>3291500</v>
      </c>
      <c r="T47" s="63" t="s">
        <v>20</v>
      </c>
      <c r="V47" s="20" t="s">
        <v>17</v>
      </c>
      <c r="W47" s="62">
        <f>'[3]Anugrah (Bag, Cup, Box)'!$I$1</f>
        <v>6815000</v>
      </c>
      <c r="Y47" s="129" t="s">
        <v>20</v>
      </c>
      <c r="Z47" s="86"/>
      <c r="AA47" s="86"/>
      <c r="AB47" s="23" t="s">
        <v>30</v>
      </c>
      <c r="AC47" s="142" t="s">
        <v>116</v>
      </c>
      <c r="AE47" s="132"/>
      <c r="AH47" s="190"/>
      <c r="AI47" s="142"/>
      <c r="AK47" s="193"/>
      <c r="AN47" s="84">
        <f t="shared" si="4"/>
        <v>0</v>
      </c>
    </row>
    <row r="48" spans="1:41" ht="15" x14ac:dyDescent="0.2">
      <c r="A48" s="151"/>
      <c r="B48" s="114" t="s">
        <v>71</v>
      </c>
      <c r="C48" s="92" t="s">
        <v>17</v>
      </c>
      <c r="D48" s="21">
        <v>4375000</v>
      </c>
      <c r="E48" s="29" t="s">
        <v>17</v>
      </c>
      <c r="F48" s="21">
        <v>4715000</v>
      </c>
      <c r="G48" s="20" t="s">
        <v>17</v>
      </c>
      <c r="H48" s="21">
        <v>2585000</v>
      </c>
      <c r="I48" s="31" t="s">
        <v>17</v>
      </c>
      <c r="J48" s="62">
        <v>27100000</v>
      </c>
      <c r="L48" s="20" t="s">
        <v>17</v>
      </c>
      <c r="M48" s="62">
        <v>6099000</v>
      </c>
      <c r="N48" s="7" t="s">
        <v>25</v>
      </c>
      <c r="O48" s="63" t="s">
        <v>20</v>
      </c>
      <c r="Q48" s="20" t="s">
        <v>17</v>
      </c>
      <c r="R48" s="62">
        <v>10075000</v>
      </c>
      <c r="T48" s="63" t="s">
        <v>20</v>
      </c>
      <c r="V48" s="20" t="s">
        <v>17</v>
      </c>
      <c r="W48" s="62">
        <f>'[3]UD Abdi Jaya (Bag, Cup, Box)'!$J$1</f>
        <v>8839000</v>
      </c>
      <c r="Y48" s="129" t="s">
        <v>20</v>
      </c>
      <c r="Z48" s="86"/>
      <c r="AA48" s="86"/>
      <c r="AB48" s="20" t="s">
        <v>17</v>
      </c>
      <c r="AC48" s="62">
        <v>15658000</v>
      </c>
      <c r="AE48" s="129" t="s">
        <v>20</v>
      </c>
      <c r="AH48" s="189"/>
      <c r="AI48" s="62"/>
      <c r="AK48" s="193"/>
      <c r="AN48" s="84">
        <f t="shared" si="4"/>
        <v>0</v>
      </c>
    </row>
    <row r="49" spans="1:40" ht="15" x14ac:dyDescent="0.2">
      <c r="A49" s="151"/>
      <c r="B49" s="114" t="s">
        <v>72</v>
      </c>
      <c r="C49" s="92" t="s">
        <v>17</v>
      </c>
      <c r="D49" s="21">
        <v>1007480.64</v>
      </c>
      <c r="E49" s="20" t="s">
        <v>17</v>
      </c>
      <c r="F49" s="21">
        <v>638483</v>
      </c>
      <c r="G49" s="31" t="s">
        <v>17</v>
      </c>
      <c r="H49" s="21">
        <v>269482</v>
      </c>
      <c r="I49" s="23" t="s">
        <v>30</v>
      </c>
      <c r="J49" s="62"/>
      <c r="L49" s="20" t="s">
        <v>17</v>
      </c>
      <c r="M49" s="62">
        <v>1212671.36216</v>
      </c>
      <c r="O49" s="63" t="s">
        <v>20</v>
      </c>
      <c r="Q49" s="20" t="s">
        <v>17</v>
      </c>
      <c r="R49" s="62">
        <v>1347412</v>
      </c>
      <c r="T49" s="63" t="s">
        <v>20</v>
      </c>
      <c r="V49" s="20" t="s">
        <v>17</v>
      </c>
      <c r="W49" s="62">
        <f>'[3]PT. SUPARMA JAYA TBK (Tissue)'!$H$1</f>
        <v>808447.14720000001</v>
      </c>
      <c r="Y49" s="129" t="s">
        <v>20</v>
      </c>
      <c r="Z49" s="86"/>
      <c r="AA49" s="86"/>
      <c r="AB49" s="178" t="s">
        <v>19</v>
      </c>
      <c r="AC49" s="62">
        <v>808447</v>
      </c>
      <c r="AE49" s="129" t="s">
        <v>20</v>
      </c>
      <c r="AH49" s="189"/>
      <c r="AI49" s="62"/>
      <c r="AK49" s="193"/>
      <c r="AN49" s="84">
        <f t="shared" si="4"/>
        <v>808447</v>
      </c>
    </row>
    <row r="50" spans="1:40" ht="15" x14ac:dyDescent="0.2">
      <c r="A50" s="151"/>
      <c r="B50" s="115" t="s">
        <v>73</v>
      </c>
      <c r="C50" s="111" t="s">
        <v>17</v>
      </c>
      <c r="D50" s="26">
        <v>1168000</v>
      </c>
      <c r="E50" s="31" t="s">
        <v>17</v>
      </c>
      <c r="F50" s="26">
        <v>893000</v>
      </c>
      <c r="G50" s="31" t="s">
        <v>17</v>
      </c>
      <c r="H50" s="26">
        <v>847000</v>
      </c>
      <c r="I50" s="31" t="s">
        <v>17</v>
      </c>
      <c r="J50" s="62">
        <v>984000</v>
      </c>
      <c r="L50" s="20" t="s">
        <v>17</v>
      </c>
      <c r="M50" s="62">
        <v>1441000</v>
      </c>
      <c r="N50" s="7">
        <v>46058</v>
      </c>
      <c r="O50" s="63" t="s">
        <v>20</v>
      </c>
      <c r="Q50" s="20" t="s">
        <v>17</v>
      </c>
      <c r="R50" s="62">
        <v>1078000</v>
      </c>
      <c r="S50" s="67">
        <v>46086</v>
      </c>
      <c r="T50" s="63" t="s">
        <v>20</v>
      </c>
      <c r="V50" s="20" t="s">
        <v>17</v>
      </c>
      <c r="W50" s="62">
        <f>'[3]Vickel Laundry'!$E$1</f>
        <v>944000</v>
      </c>
      <c r="X50" s="83">
        <v>46117</v>
      </c>
      <c r="Y50" s="129" t="s">
        <v>20</v>
      </c>
      <c r="Z50" s="86"/>
      <c r="AB50" s="20" t="s">
        <v>17</v>
      </c>
      <c r="AC50" s="62">
        <v>1042000</v>
      </c>
      <c r="AD50" s="83">
        <v>46147</v>
      </c>
      <c r="AE50" s="129" t="s">
        <v>20</v>
      </c>
      <c r="AH50" s="188"/>
      <c r="AI50" s="62"/>
      <c r="AJ50" s="83">
        <v>46147</v>
      </c>
      <c r="AK50" s="193"/>
      <c r="AN50" s="84">
        <f t="shared" si="4"/>
        <v>0</v>
      </c>
    </row>
    <row r="51" spans="1:40" thickBot="1" x14ac:dyDescent="0.25">
      <c r="A51" s="152"/>
      <c r="B51" s="115" t="s">
        <v>74</v>
      </c>
      <c r="C51" s="112" t="s">
        <v>17</v>
      </c>
      <c r="D51" s="28"/>
      <c r="E51" s="32" t="s">
        <v>17</v>
      </c>
      <c r="F51" s="28">
        <v>1525000</v>
      </c>
      <c r="G51" s="32" t="s">
        <v>17</v>
      </c>
      <c r="H51" s="28">
        <v>995000</v>
      </c>
      <c r="I51" s="32" t="s">
        <v>17</v>
      </c>
      <c r="J51" s="62">
        <v>2855000</v>
      </c>
      <c r="L51" s="20" t="s">
        <v>17</v>
      </c>
      <c r="M51" s="62">
        <v>1425000</v>
      </c>
      <c r="N51" s="7" t="s">
        <v>25</v>
      </c>
      <c r="O51" s="63" t="s">
        <v>20</v>
      </c>
      <c r="Q51" s="20" t="s">
        <v>17</v>
      </c>
      <c r="R51" s="62">
        <v>1125000</v>
      </c>
      <c r="T51" s="63" t="s">
        <v>20</v>
      </c>
      <c r="V51" s="20" t="s">
        <v>17</v>
      </c>
      <c r="W51" s="62">
        <f>'[3]Dishy Soap'!$H$1</f>
        <v>810000</v>
      </c>
      <c r="Y51" s="129" t="s">
        <v>20</v>
      </c>
      <c r="Z51" s="86"/>
      <c r="AA51" s="86"/>
      <c r="AB51" s="20" t="s">
        <v>17</v>
      </c>
      <c r="AC51" s="62">
        <v>1375000</v>
      </c>
      <c r="AE51" s="129" t="s">
        <v>20</v>
      </c>
      <c r="AH51" s="189"/>
      <c r="AI51" s="62"/>
      <c r="AK51" s="193"/>
      <c r="AN51" s="84">
        <f t="shared" si="4"/>
        <v>0</v>
      </c>
    </row>
    <row r="52" spans="1:40" ht="15" x14ac:dyDescent="0.2">
      <c r="A52" s="153" t="s">
        <v>75</v>
      </c>
      <c r="B52" s="118" t="s">
        <v>76</v>
      </c>
      <c r="C52" s="91"/>
      <c r="D52" s="33"/>
      <c r="E52" s="17" t="s">
        <v>17</v>
      </c>
      <c r="F52" s="18">
        <v>1350000</v>
      </c>
      <c r="G52" s="17" t="s">
        <v>17</v>
      </c>
      <c r="H52" s="18">
        <v>1800000</v>
      </c>
      <c r="I52" s="17" t="s">
        <v>17</v>
      </c>
      <c r="J52" s="62">
        <v>1850000</v>
      </c>
      <c r="L52" s="22"/>
      <c r="M52" s="62"/>
      <c r="Q52" s="20" t="s">
        <v>17</v>
      </c>
      <c r="R52" s="62">
        <v>600000</v>
      </c>
      <c r="V52" s="22"/>
      <c r="W52" s="62"/>
      <c r="Z52" s="86"/>
      <c r="AB52" s="20" t="s">
        <v>17</v>
      </c>
      <c r="AC52" s="62">
        <v>7250000</v>
      </c>
      <c r="AH52" s="189"/>
      <c r="AI52" s="62"/>
      <c r="AN52" s="84">
        <f t="shared" si="4"/>
        <v>0</v>
      </c>
    </row>
    <row r="53" spans="1:40" ht="15" x14ac:dyDescent="0.2">
      <c r="A53" s="153"/>
      <c r="B53" s="177" t="s">
        <v>126</v>
      </c>
      <c r="C53" s="175"/>
      <c r="D53" s="176"/>
      <c r="E53" s="43"/>
      <c r="F53" s="44"/>
      <c r="G53" s="43"/>
      <c r="H53" s="44"/>
      <c r="I53" s="43"/>
      <c r="J53" s="62"/>
      <c r="L53" s="22"/>
      <c r="M53" s="62"/>
      <c r="Q53" s="20"/>
      <c r="R53" s="62"/>
      <c r="V53" s="22"/>
      <c r="W53" s="62"/>
      <c r="Z53" s="86"/>
      <c r="AB53" s="178" t="s">
        <v>19</v>
      </c>
      <c r="AC53" s="62">
        <v>637323</v>
      </c>
      <c r="AH53" s="189"/>
      <c r="AI53" s="62"/>
      <c r="AN53" s="84"/>
    </row>
    <row r="54" spans="1:40" ht="15" x14ac:dyDescent="0.2">
      <c r="A54" s="153"/>
      <c r="B54" s="177" t="s">
        <v>127</v>
      </c>
      <c r="C54" s="175"/>
      <c r="D54" s="176"/>
      <c r="E54" s="43"/>
      <c r="F54" s="44"/>
      <c r="G54" s="43"/>
      <c r="H54" s="44"/>
      <c r="I54" s="43"/>
      <c r="J54" s="62"/>
      <c r="L54" s="22"/>
      <c r="M54" s="62"/>
      <c r="Q54" s="20"/>
      <c r="R54" s="62"/>
      <c r="V54" s="22"/>
      <c r="W54" s="62"/>
      <c r="Z54" s="86"/>
      <c r="AB54" s="20" t="s">
        <v>17</v>
      </c>
      <c r="AC54" s="62">
        <v>1151140</v>
      </c>
      <c r="AH54" s="189"/>
      <c r="AI54" s="62"/>
      <c r="AN54" s="84"/>
    </row>
    <row r="55" spans="1:40" ht="15" x14ac:dyDescent="0.2">
      <c r="A55" s="153"/>
      <c r="B55" s="119" t="s">
        <v>77</v>
      </c>
      <c r="C55" s="116"/>
      <c r="D55" s="35"/>
      <c r="E55" s="34"/>
      <c r="F55" s="26"/>
      <c r="G55" s="46"/>
      <c r="H55" s="26"/>
      <c r="I55" s="34"/>
      <c r="J55" s="62"/>
      <c r="L55" s="22"/>
      <c r="M55" s="62"/>
      <c r="Q55" s="20" t="s">
        <v>17</v>
      </c>
      <c r="R55" s="62">
        <v>400000</v>
      </c>
      <c r="V55" s="22"/>
      <c r="W55" s="62"/>
      <c r="Z55" s="86"/>
      <c r="AB55" s="22"/>
      <c r="AC55" s="62"/>
      <c r="AH55" s="190"/>
      <c r="AI55" s="62"/>
      <c r="AN55" s="84">
        <f t="shared" ref="AN55:AN84" si="5">SUM(IF(L55="PAID",0,M55),IF(Q55="PAID",0,R55),IF(V55="PAID",0,W55),IF(AB55="PAID",0,AC55))</f>
        <v>0</v>
      </c>
    </row>
    <row r="56" spans="1:40" ht="15" x14ac:dyDescent="0.2">
      <c r="A56" s="153"/>
      <c r="B56" s="119" t="s">
        <v>78</v>
      </c>
      <c r="C56" s="116"/>
      <c r="D56" s="35"/>
      <c r="E56" s="34"/>
      <c r="F56" s="26"/>
      <c r="G56" s="46"/>
      <c r="H56" s="26"/>
      <c r="I56" s="34"/>
      <c r="J56" s="62"/>
      <c r="L56" s="22"/>
      <c r="M56" s="62"/>
      <c r="Q56" s="20" t="s">
        <v>17</v>
      </c>
      <c r="R56" s="62">
        <v>1000000</v>
      </c>
      <c r="V56" s="22"/>
      <c r="W56" s="62"/>
      <c r="Z56" s="86"/>
      <c r="AB56" s="22"/>
      <c r="AC56" s="62"/>
      <c r="AH56" s="190"/>
      <c r="AI56" s="62"/>
      <c r="AN56" s="84">
        <f t="shared" si="5"/>
        <v>0</v>
      </c>
    </row>
    <row r="57" spans="1:40" ht="15" x14ac:dyDescent="0.2">
      <c r="A57" s="153"/>
      <c r="B57" s="120" t="s">
        <v>79</v>
      </c>
      <c r="C57" s="93"/>
      <c r="D57" s="36"/>
      <c r="E57" s="22"/>
      <c r="F57" s="21"/>
      <c r="G57" s="47"/>
      <c r="H57" s="21"/>
      <c r="I57" s="31" t="s">
        <v>17</v>
      </c>
      <c r="J57" s="62">
        <v>600000</v>
      </c>
      <c r="L57" s="22"/>
      <c r="M57" s="62"/>
      <c r="Q57" s="20" t="s">
        <v>17</v>
      </c>
      <c r="R57" s="62">
        <v>600000</v>
      </c>
      <c r="T57" s="5"/>
      <c r="V57" s="22"/>
      <c r="W57" s="62"/>
      <c r="Y57" s="5"/>
      <c r="Z57" s="86"/>
      <c r="AB57" s="22"/>
      <c r="AC57" s="62"/>
      <c r="AE57" s="5"/>
      <c r="AH57" s="190"/>
      <c r="AI57" s="62"/>
      <c r="AK57" s="5"/>
      <c r="AN57" s="84">
        <f t="shared" si="5"/>
        <v>0</v>
      </c>
    </row>
    <row r="58" spans="1:40" thickBot="1" x14ac:dyDescent="0.25">
      <c r="A58" s="153"/>
      <c r="B58" s="130" t="s">
        <v>80</v>
      </c>
      <c r="C58" s="93"/>
      <c r="D58" s="36"/>
      <c r="E58" s="20" t="s">
        <v>17</v>
      </c>
      <c r="F58" s="21">
        <v>600000</v>
      </c>
      <c r="G58" s="47"/>
      <c r="H58" s="21"/>
      <c r="I58" s="22"/>
      <c r="J58" s="57"/>
      <c r="L58" s="20" t="s">
        <v>17</v>
      </c>
      <c r="M58" s="62">
        <v>200000</v>
      </c>
      <c r="Q58" s="22"/>
      <c r="R58" s="64"/>
      <c r="V58" s="22"/>
      <c r="W58" s="64"/>
      <c r="AB58" s="22"/>
      <c r="AC58" s="64"/>
      <c r="AH58" s="190"/>
      <c r="AI58" s="64"/>
      <c r="AN58" s="84">
        <f t="shared" si="5"/>
        <v>0</v>
      </c>
    </row>
    <row r="59" spans="1:40" ht="15" x14ac:dyDescent="0.2">
      <c r="A59" s="153"/>
      <c r="B59" s="179" t="s">
        <v>125</v>
      </c>
      <c r="C59" s="117"/>
      <c r="D59" s="38"/>
      <c r="E59" s="29" t="s">
        <v>17</v>
      </c>
      <c r="F59" s="30">
        <v>1020000</v>
      </c>
      <c r="G59" s="48"/>
      <c r="H59" s="30"/>
      <c r="I59" s="37"/>
      <c r="J59" s="57"/>
      <c r="L59" s="22"/>
      <c r="M59" s="62"/>
      <c r="Q59" s="22"/>
      <c r="R59" s="62"/>
      <c r="V59" s="22"/>
      <c r="W59" s="62"/>
      <c r="AB59" s="178" t="s">
        <v>19</v>
      </c>
      <c r="AC59" s="62">
        <v>1120000</v>
      </c>
      <c r="AH59" s="189"/>
      <c r="AI59" s="62"/>
      <c r="AN59" s="84">
        <f t="shared" si="5"/>
        <v>1120000</v>
      </c>
    </row>
    <row r="60" spans="1:40" ht="15" x14ac:dyDescent="0.2">
      <c r="A60" s="153"/>
      <c r="B60" s="121" t="s">
        <v>81</v>
      </c>
      <c r="C60" s="93"/>
      <c r="D60" s="36"/>
      <c r="E60" s="20" t="s">
        <v>17</v>
      </c>
      <c r="F60" s="21">
        <v>318134</v>
      </c>
      <c r="G60" s="47"/>
      <c r="H60" s="21"/>
      <c r="I60" s="22"/>
      <c r="J60" s="57"/>
      <c r="L60" s="22"/>
      <c r="M60" s="62"/>
      <c r="Q60" s="22"/>
      <c r="R60" s="62"/>
      <c r="V60" s="22"/>
      <c r="W60" s="62"/>
      <c r="AB60" s="22"/>
      <c r="AC60" s="62"/>
      <c r="AH60" s="190"/>
      <c r="AI60" s="62"/>
      <c r="AN60" s="84">
        <f t="shared" si="5"/>
        <v>0</v>
      </c>
    </row>
    <row r="61" spans="1:40" ht="15" x14ac:dyDescent="0.2">
      <c r="A61" s="153"/>
      <c r="B61" s="121" t="s">
        <v>82</v>
      </c>
      <c r="C61" s="93"/>
      <c r="D61" s="36"/>
      <c r="E61" s="20" t="s">
        <v>17</v>
      </c>
      <c r="F61" s="21">
        <v>248700</v>
      </c>
      <c r="G61" s="47"/>
      <c r="H61" s="21"/>
      <c r="I61" s="22"/>
      <c r="J61" s="57"/>
      <c r="L61" s="22"/>
      <c r="M61" s="62"/>
      <c r="Q61" s="22"/>
      <c r="R61" s="62"/>
      <c r="V61" s="22"/>
      <c r="W61" s="62"/>
      <c r="AB61" s="22"/>
      <c r="AC61" s="62"/>
      <c r="AH61" s="190"/>
      <c r="AI61" s="62"/>
      <c r="AN61" s="84">
        <f t="shared" si="5"/>
        <v>0</v>
      </c>
    </row>
    <row r="62" spans="1:40" ht="15" x14ac:dyDescent="0.2">
      <c r="A62" s="153"/>
      <c r="B62" s="121" t="s">
        <v>83</v>
      </c>
      <c r="C62" s="93"/>
      <c r="D62" s="36"/>
      <c r="E62" s="20" t="s">
        <v>17</v>
      </c>
      <c r="F62" s="21">
        <v>1029180</v>
      </c>
      <c r="G62" s="47"/>
      <c r="H62" s="21"/>
      <c r="I62" s="22"/>
      <c r="J62" s="57"/>
      <c r="L62" s="22"/>
      <c r="M62" s="62"/>
      <c r="Q62" s="22"/>
      <c r="R62" s="62"/>
      <c r="V62" s="22"/>
      <c r="W62" s="62"/>
      <c r="AB62" s="22"/>
      <c r="AC62" s="62"/>
      <c r="AH62" s="190"/>
      <c r="AI62" s="62"/>
      <c r="AN62" s="84">
        <f t="shared" si="5"/>
        <v>0</v>
      </c>
    </row>
    <row r="63" spans="1:40" ht="15" x14ac:dyDescent="0.2">
      <c r="A63" s="153"/>
      <c r="B63" s="121" t="s">
        <v>84</v>
      </c>
      <c r="C63" s="93"/>
      <c r="D63" s="36"/>
      <c r="E63" s="20" t="s">
        <v>17</v>
      </c>
      <c r="F63" s="21">
        <v>270000</v>
      </c>
      <c r="G63" s="47"/>
      <c r="H63" s="21"/>
      <c r="I63" s="22"/>
      <c r="J63" s="57"/>
      <c r="L63" s="22"/>
      <c r="M63" s="62"/>
      <c r="Q63" s="22"/>
      <c r="R63" s="62"/>
      <c r="V63" s="22"/>
      <c r="W63" s="62"/>
      <c r="AB63" s="22"/>
      <c r="AC63" s="62"/>
      <c r="AH63" s="190"/>
      <c r="AI63" s="62"/>
      <c r="AN63" s="84">
        <f t="shared" si="5"/>
        <v>0</v>
      </c>
    </row>
    <row r="64" spans="1:40" ht="15" x14ac:dyDescent="0.2">
      <c r="A64" s="153"/>
      <c r="B64" s="121" t="s">
        <v>85</v>
      </c>
      <c r="C64" s="93"/>
      <c r="D64" s="36"/>
      <c r="E64" s="20" t="s">
        <v>17</v>
      </c>
      <c r="F64" s="21">
        <v>1000000</v>
      </c>
      <c r="G64" s="47"/>
      <c r="H64" s="21"/>
      <c r="I64" s="22"/>
      <c r="J64" s="57"/>
      <c r="L64" s="22"/>
      <c r="M64" s="62"/>
      <c r="Q64" s="22"/>
      <c r="R64" s="62"/>
      <c r="V64" s="22"/>
      <c r="W64" s="62"/>
      <c r="AB64" s="22"/>
      <c r="AC64" s="62"/>
      <c r="AH64" s="190"/>
      <c r="AI64" s="62"/>
      <c r="AN64" s="84">
        <f t="shared" si="5"/>
        <v>0</v>
      </c>
    </row>
    <row r="65" spans="1:40" ht="15" x14ac:dyDescent="0.2">
      <c r="A65" s="153"/>
      <c r="B65" s="121" t="s">
        <v>86</v>
      </c>
      <c r="C65" s="93"/>
      <c r="D65" s="36"/>
      <c r="E65" s="20" t="s">
        <v>17</v>
      </c>
      <c r="F65" s="21">
        <v>3000000</v>
      </c>
      <c r="G65" s="47"/>
      <c r="H65" s="21"/>
      <c r="I65" s="22"/>
      <c r="J65" s="57"/>
      <c r="L65" s="22"/>
      <c r="M65" s="62"/>
      <c r="Q65" s="22"/>
      <c r="R65" s="62"/>
      <c r="V65" s="22"/>
      <c r="W65" s="62"/>
      <c r="AB65" s="22"/>
      <c r="AC65" s="62"/>
      <c r="AH65" s="190"/>
      <c r="AI65" s="62"/>
      <c r="AN65" s="84">
        <f t="shared" si="5"/>
        <v>0</v>
      </c>
    </row>
    <row r="66" spans="1:40" ht="15" x14ac:dyDescent="0.2">
      <c r="A66" s="153"/>
      <c r="B66" s="121" t="s">
        <v>87</v>
      </c>
      <c r="C66" s="93"/>
      <c r="D66" s="36"/>
      <c r="E66" s="20" t="s">
        <v>17</v>
      </c>
      <c r="F66" s="21">
        <v>1800000</v>
      </c>
      <c r="G66" s="47"/>
      <c r="H66" s="21"/>
      <c r="I66" s="22"/>
      <c r="J66" s="57"/>
      <c r="L66" s="22"/>
      <c r="M66" s="62"/>
      <c r="Q66" s="22"/>
      <c r="R66" s="62"/>
      <c r="V66" s="22"/>
      <c r="W66" s="62"/>
      <c r="AB66" s="22"/>
      <c r="AC66" s="62"/>
      <c r="AH66" s="190"/>
      <c r="AI66" s="62"/>
      <c r="AN66" s="84">
        <f t="shared" si="5"/>
        <v>0</v>
      </c>
    </row>
    <row r="67" spans="1:40" ht="15" x14ac:dyDescent="0.2">
      <c r="A67" s="153"/>
      <c r="B67" s="121" t="s">
        <v>88</v>
      </c>
      <c r="C67" s="93"/>
      <c r="D67" s="36"/>
      <c r="E67" s="22"/>
      <c r="F67" s="21"/>
      <c r="G67" s="20" t="s">
        <v>17</v>
      </c>
      <c r="H67" s="21">
        <v>2450000</v>
      </c>
      <c r="I67" s="22"/>
      <c r="J67" s="57"/>
      <c r="L67" s="22"/>
      <c r="M67" s="62"/>
      <c r="Q67" s="22"/>
      <c r="R67" s="62"/>
      <c r="V67" s="22"/>
      <c r="W67" s="62"/>
      <c r="AB67" s="22"/>
      <c r="AC67" s="62"/>
      <c r="AH67" s="190"/>
      <c r="AI67" s="62"/>
      <c r="AN67" s="84">
        <f t="shared" si="5"/>
        <v>0</v>
      </c>
    </row>
    <row r="68" spans="1:40" ht="15" x14ac:dyDescent="0.2">
      <c r="A68" s="153"/>
      <c r="B68" s="121" t="s">
        <v>89</v>
      </c>
      <c r="C68" s="93"/>
      <c r="D68" s="36"/>
      <c r="E68" s="22"/>
      <c r="F68" s="21"/>
      <c r="G68" s="47"/>
      <c r="H68" s="21"/>
      <c r="I68" s="20" t="s">
        <v>17</v>
      </c>
      <c r="J68" s="57">
        <v>860800</v>
      </c>
      <c r="L68" s="22"/>
      <c r="M68" s="62"/>
      <c r="Q68" s="22"/>
      <c r="R68" s="62"/>
      <c r="V68" s="22"/>
      <c r="W68" s="62"/>
      <c r="AB68" s="22"/>
      <c r="AC68" s="62"/>
      <c r="AH68" s="190"/>
      <c r="AI68" s="62"/>
      <c r="AN68" s="84">
        <f t="shared" si="5"/>
        <v>0</v>
      </c>
    </row>
    <row r="69" spans="1:40" ht="15" x14ac:dyDescent="0.2">
      <c r="A69" s="153"/>
      <c r="B69" s="122" t="s">
        <v>90</v>
      </c>
      <c r="C69" s="116"/>
      <c r="D69" s="35"/>
      <c r="E69" s="34"/>
      <c r="F69" s="26"/>
      <c r="G69" s="46"/>
      <c r="H69" s="26"/>
      <c r="I69" s="31" t="s">
        <v>17</v>
      </c>
      <c r="J69" s="57">
        <v>1046500</v>
      </c>
      <c r="L69" s="22"/>
      <c r="M69" s="62"/>
      <c r="Q69" s="22"/>
      <c r="R69" s="62"/>
      <c r="V69" s="22"/>
      <c r="W69" s="62"/>
      <c r="AB69" s="22"/>
      <c r="AC69" s="62"/>
      <c r="AH69" s="190"/>
      <c r="AI69" s="62"/>
      <c r="AN69" s="84">
        <f t="shared" si="5"/>
        <v>0</v>
      </c>
    </row>
    <row r="70" spans="1:40" ht="15" x14ac:dyDescent="0.2">
      <c r="A70" s="153"/>
      <c r="B70" s="122" t="s">
        <v>91</v>
      </c>
      <c r="C70" s="116"/>
      <c r="D70" s="35"/>
      <c r="E70" s="34"/>
      <c r="F70" s="26"/>
      <c r="G70" s="46"/>
      <c r="H70" s="26"/>
      <c r="I70" s="31" t="s">
        <v>17</v>
      </c>
      <c r="J70" s="57">
        <v>1159924</v>
      </c>
      <c r="L70" s="22"/>
      <c r="M70" s="62"/>
      <c r="Q70" s="22"/>
      <c r="R70" s="62"/>
      <c r="V70" s="22"/>
      <c r="W70" s="62"/>
      <c r="AB70" s="22"/>
      <c r="AC70" s="62"/>
      <c r="AH70" s="190"/>
      <c r="AI70" s="62"/>
      <c r="AN70" s="84">
        <f t="shared" si="5"/>
        <v>0</v>
      </c>
    </row>
    <row r="71" spans="1:40" ht="15" x14ac:dyDescent="0.2">
      <c r="A71" s="153"/>
      <c r="B71" s="122" t="s">
        <v>92</v>
      </c>
      <c r="C71" s="116"/>
      <c r="D71" s="35"/>
      <c r="E71" s="34"/>
      <c r="F71" s="26"/>
      <c r="G71" s="46"/>
      <c r="H71" s="26"/>
      <c r="I71" s="34"/>
      <c r="J71" s="57"/>
      <c r="L71" s="20" t="s">
        <v>17</v>
      </c>
      <c r="M71" s="62">
        <v>1159924</v>
      </c>
      <c r="Q71" s="22"/>
      <c r="R71" s="62"/>
      <c r="V71" s="22"/>
      <c r="W71" s="62"/>
      <c r="AB71" s="22"/>
      <c r="AC71" s="62"/>
      <c r="AH71" s="190"/>
      <c r="AI71" s="62"/>
      <c r="AN71" s="84">
        <f t="shared" si="5"/>
        <v>0</v>
      </c>
    </row>
    <row r="72" spans="1:40" ht="18" customHeight="1" x14ac:dyDescent="0.2">
      <c r="A72" s="153"/>
      <c r="B72" s="123" t="s">
        <v>93</v>
      </c>
      <c r="C72" s="116"/>
      <c r="D72" s="35"/>
      <c r="E72" s="34"/>
      <c r="F72" s="26"/>
      <c r="G72" s="46"/>
      <c r="H72" s="26"/>
      <c r="I72" s="34"/>
      <c r="J72" s="57"/>
      <c r="L72" s="22"/>
      <c r="M72" s="62"/>
      <c r="Q72" s="20" t="s">
        <v>17</v>
      </c>
      <c r="R72" s="62">
        <v>1426248</v>
      </c>
      <c r="V72" s="22"/>
      <c r="W72" s="62"/>
      <c r="AB72" s="22"/>
      <c r="AC72" s="62"/>
      <c r="AH72" s="190"/>
      <c r="AI72" s="62"/>
      <c r="AN72" s="84">
        <f t="shared" si="5"/>
        <v>0</v>
      </c>
    </row>
    <row r="73" spans="1:40" ht="15" x14ac:dyDescent="0.2">
      <c r="A73" s="153"/>
      <c r="B73" s="122" t="s">
        <v>94</v>
      </c>
      <c r="C73" s="116"/>
      <c r="D73" s="35"/>
      <c r="E73" s="34"/>
      <c r="F73" s="26"/>
      <c r="G73" s="46"/>
      <c r="H73" s="26"/>
      <c r="I73" s="34"/>
      <c r="J73" s="57"/>
      <c r="L73" s="22"/>
      <c r="M73" s="62"/>
      <c r="Q73" s="20" t="s">
        <v>17</v>
      </c>
      <c r="R73" s="62">
        <v>3853306</v>
      </c>
      <c r="V73" s="22"/>
      <c r="W73" s="62"/>
      <c r="AB73" s="22"/>
      <c r="AC73" s="62"/>
      <c r="AH73" s="190"/>
      <c r="AI73" s="62"/>
      <c r="AN73" s="84">
        <f t="shared" si="5"/>
        <v>0</v>
      </c>
    </row>
    <row r="74" spans="1:40" ht="15" x14ac:dyDescent="0.2">
      <c r="A74" s="153"/>
      <c r="B74" s="122" t="s">
        <v>95</v>
      </c>
      <c r="C74" s="116"/>
      <c r="D74" s="35"/>
      <c r="E74" s="34"/>
      <c r="F74" s="26"/>
      <c r="G74" s="46"/>
      <c r="H74" s="26"/>
      <c r="I74" s="34"/>
      <c r="J74" s="57"/>
      <c r="L74" s="22"/>
      <c r="M74" s="62"/>
      <c r="Q74" s="20" t="s">
        <v>17</v>
      </c>
      <c r="R74" s="62">
        <v>437800</v>
      </c>
      <c r="V74" s="22"/>
      <c r="W74" s="62"/>
      <c r="AB74" s="22"/>
      <c r="AC74" s="62"/>
      <c r="AH74" s="190"/>
      <c r="AI74" s="62"/>
      <c r="AN74" s="84">
        <f t="shared" si="5"/>
        <v>0</v>
      </c>
    </row>
    <row r="75" spans="1:40" ht="15" x14ac:dyDescent="0.2">
      <c r="A75" s="153"/>
      <c r="B75" s="122" t="s">
        <v>96</v>
      </c>
      <c r="C75" s="116"/>
      <c r="D75" s="35"/>
      <c r="E75" s="34"/>
      <c r="F75" s="26"/>
      <c r="G75" s="46"/>
      <c r="H75" s="26"/>
      <c r="I75" s="34"/>
      <c r="J75" s="57"/>
      <c r="L75" s="22"/>
      <c r="M75" s="62"/>
      <c r="Q75" s="20" t="s">
        <v>17</v>
      </c>
      <c r="R75" s="62">
        <v>2556000</v>
      </c>
      <c r="V75" s="22"/>
      <c r="W75" s="62"/>
      <c r="AB75" s="22"/>
      <c r="AC75" s="62"/>
      <c r="AH75" s="190"/>
      <c r="AI75" s="62"/>
      <c r="AN75" s="84">
        <f t="shared" si="5"/>
        <v>0</v>
      </c>
    </row>
    <row r="76" spans="1:40" ht="15" x14ac:dyDescent="0.2">
      <c r="A76" s="153"/>
      <c r="B76" s="139" t="s">
        <v>114</v>
      </c>
      <c r="C76" s="116"/>
      <c r="D76" s="35"/>
      <c r="E76" s="34"/>
      <c r="F76" s="26"/>
      <c r="G76" s="46"/>
      <c r="H76" s="26"/>
      <c r="I76" s="34"/>
      <c r="J76" s="56"/>
      <c r="L76" s="22"/>
      <c r="M76" s="62"/>
      <c r="Q76" s="22"/>
      <c r="R76" s="62"/>
      <c r="V76" s="22"/>
      <c r="W76" s="62"/>
      <c r="AB76" s="20" t="s">
        <v>17</v>
      </c>
      <c r="AC76" s="62">
        <v>698500</v>
      </c>
      <c r="AH76" s="190"/>
      <c r="AI76" s="62"/>
      <c r="AN76" s="84">
        <f t="shared" si="5"/>
        <v>0</v>
      </c>
    </row>
    <row r="77" spans="1:40" ht="15" x14ac:dyDescent="0.2">
      <c r="A77" s="153"/>
      <c r="B77" s="139" t="s">
        <v>119</v>
      </c>
      <c r="C77" s="116"/>
      <c r="D77" s="35"/>
      <c r="E77" s="34"/>
      <c r="F77" s="26"/>
      <c r="G77" s="46"/>
      <c r="H77" s="26"/>
      <c r="I77" s="34"/>
      <c r="J77" s="56"/>
      <c r="L77" s="22"/>
      <c r="M77" s="62"/>
      <c r="Q77" s="22"/>
      <c r="R77" s="62"/>
      <c r="V77" s="22"/>
      <c r="W77" s="62"/>
      <c r="AB77" s="20" t="s">
        <v>17</v>
      </c>
      <c r="AC77" s="62">
        <v>2175800</v>
      </c>
      <c r="AH77" s="190"/>
      <c r="AI77" s="62"/>
      <c r="AN77" s="84"/>
    </row>
    <row r="78" spans="1:40" ht="15" x14ac:dyDescent="0.2">
      <c r="A78" s="153"/>
      <c r="B78" s="139" t="s">
        <v>120</v>
      </c>
      <c r="C78" s="116"/>
      <c r="D78" s="35"/>
      <c r="E78" s="34"/>
      <c r="F78" s="26"/>
      <c r="G78" s="46"/>
      <c r="H78" s="26"/>
      <c r="I78" s="34"/>
      <c r="J78" s="56"/>
      <c r="L78" s="22"/>
      <c r="M78" s="62"/>
      <c r="Q78" s="22"/>
      <c r="R78" s="62"/>
      <c r="V78" s="22"/>
      <c r="W78" s="62"/>
      <c r="AB78" s="20" t="s">
        <v>17</v>
      </c>
      <c r="AC78" s="62">
        <v>619200</v>
      </c>
      <c r="AH78" s="190"/>
      <c r="AI78" s="62"/>
      <c r="AN78" s="84"/>
    </row>
    <row r="79" spans="1:40" ht="15" x14ac:dyDescent="0.2">
      <c r="A79" s="153"/>
      <c r="B79" s="139" t="s">
        <v>121</v>
      </c>
      <c r="C79" s="116"/>
      <c r="D79" s="35"/>
      <c r="E79" s="34"/>
      <c r="F79" s="26"/>
      <c r="G79" s="46"/>
      <c r="H79" s="26"/>
      <c r="I79" s="34"/>
      <c r="J79" s="56"/>
      <c r="L79" s="22"/>
      <c r="M79" s="62"/>
      <c r="Q79" s="22"/>
      <c r="R79" s="62"/>
      <c r="V79" s="22"/>
      <c r="W79" s="62"/>
      <c r="AB79" s="20" t="s">
        <v>17</v>
      </c>
      <c r="AC79" s="62">
        <v>2092524</v>
      </c>
      <c r="AH79" s="190"/>
      <c r="AI79" s="62"/>
      <c r="AN79" s="84"/>
    </row>
    <row r="80" spans="1:40" ht="15" x14ac:dyDescent="0.2">
      <c r="A80" s="153"/>
      <c r="B80" s="139" t="s">
        <v>128</v>
      </c>
      <c r="C80" s="116"/>
      <c r="D80" s="35"/>
      <c r="E80" s="34"/>
      <c r="F80" s="26"/>
      <c r="G80" s="46"/>
      <c r="H80" s="26"/>
      <c r="I80" s="34"/>
      <c r="J80" s="56"/>
      <c r="L80" s="22"/>
      <c r="M80" s="62"/>
      <c r="Q80" s="22"/>
      <c r="R80" s="62"/>
      <c r="V80" s="22"/>
      <c r="W80" s="62"/>
      <c r="AB80" s="20" t="s">
        <v>17</v>
      </c>
      <c r="AC80" s="62">
        <v>454857</v>
      </c>
      <c r="AH80" s="190"/>
      <c r="AI80" s="62"/>
      <c r="AN80" s="84"/>
    </row>
    <row r="81" spans="1:40" ht="15" x14ac:dyDescent="0.2">
      <c r="A81" s="153"/>
      <c r="B81" s="139" t="s">
        <v>129</v>
      </c>
      <c r="C81" s="116"/>
      <c r="D81" s="35"/>
      <c r="E81" s="34"/>
      <c r="F81" s="26"/>
      <c r="G81" s="46"/>
      <c r="H81" s="26"/>
      <c r="I81" s="34"/>
      <c r="J81" s="56"/>
      <c r="L81" s="22"/>
      <c r="M81" s="62"/>
      <c r="Q81" s="22"/>
      <c r="R81" s="62"/>
      <c r="V81" s="22"/>
      <c r="W81" s="62"/>
      <c r="AB81" s="20" t="s">
        <v>17</v>
      </c>
      <c r="AC81" s="62">
        <v>829010</v>
      </c>
      <c r="AH81" s="190"/>
      <c r="AI81" s="62"/>
      <c r="AN81" s="84"/>
    </row>
    <row r="82" spans="1:40" ht="15" x14ac:dyDescent="0.2">
      <c r="A82" s="153"/>
      <c r="B82" s="139" t="s">
        <v>124</v>
      </c>
      <c r="C82" s="116"/>
      <c r="D82" s="35"/>
      <c r="E82" s="34"/>
      <c r="F82" s="26"/>
      <c r="G82" s="46"/>
      <c r="H82" s="26"/>
      <c r="I82" s="34"/>
      <c r="J82" s="56"/>
      <c r="L82" s="22"/>
      <c r="M82" s="62"/>
      <c r="Q82" s="22"/>
      <c r="R82" s="62"/>
      <c r="V82" s="22"/>
      <c r="W82" s="62"/>
      <c r="AB82" s="140" t="s">
        <v>19</v>
      </c>
      <c r="AC82" s="62">
        <v>2700000</v>
      </c>
      <c r="AH82" s="188"/>
      <c r="AI82" s="62"/>
      <c r="AN82" s="84"/>
    </row>
    <row r="83" spans="1:40" ht="15" x14ac:dyDescent="0.2">
      <c r="A83" s="153"/>
      <c r="B83" s="141" t="s">
        <v>115</v>
      </c>
      <c r="C83" s="116"/>
      <c r="D83" s="35"/>
      <c r="E83" s="34"/>
      <c r="F83" s="26"/>
      <c r="G83" s="46"/>
      <c r="H83" s="26"/>
      <c r="I83" s="34"/>
      <c r="J83" s="56"/>
      <c r="L83" s="22"/>
      <c r="M83" s="62"/>
      <c r="Q83" s="22"/>
      <c r="R83" s="62"/>
      <c r="V83" s="22"/>
      <c r="W83" s="62"/>
      <c r="AB83" s="20" t="s">
        <v>17</v>
      </c>
      <c r="AC83" s="62">
        <v>724300</v>
      </c>
      <c r="AE83" s="5"/>
      <c r="AH83" s="190"/>
      <c r="AI83" s="62"/>
      <c r="AK83" s="5"/>
      <c r="AN83" s="84">
        <f t="shared" si="5"/>
        <v>0</v>
      </c>
    </row>
    <row r="84" spans="1:40" thickBot="1" x14ac:dyDescent="0.25">
      <c r="A84" s="154"/>
      <c r="B84" s="124" t="s">
        <v>97</v>
      </c>
      <c r="C84" s="95"/>
      <c r="D84" s="71"/>
      <c r="E84" s="27"/>
      <c r="F84" s="28"/>
      <c r="G84" s="74"/>
      <c r="H84" s="28"/>
      <c r="I84" s="27"/>
      <c r="J84" s="59"/>
      <c r="L84" s="22"/>
      <c r="M84" s="62"/>
      <c r="Q84" s="22"/>
      <c r="R84" s="62"/>
      <c r="V84" s="22"/>
      <c r="W84" s="62"/>
      <c r="AB84" s="22"/>
      <c r="AC84" s="62"/>
      <c r="AE84" s="5"/>
      <c r="AH84" s="22"/>
      <c r="AI84" s="62"/>
      <c r="AK84" s="5"/>
      <c r="AN84" s="84">
        <f t="shared" si="5"/>
        <v>0</v>
      </c>
    </row>
    <row r="85" spans="1:40" x14ac:dyDescent="0.2">
      <c r="F85" s="5"/>
    </row>
    <row r="86" spans="1:40" x14ac:dyDescent="0.2">
      <c r="A86" s="2" t="s">
        <v>98</v>
      </c>
      <c r="F86" s="5"/>
      <c r="L86" s="164"/>
      <c r="M86" s="164"/>
      <c r="O86" s="149" t="str">
        <f>"TOTAL "&amp;L1&amp;"'S BILLS"</f>
        <v>TOTAL JANUARY'S BILLS</v>
      </c>
      <c r="P86" s="149"/>
      <c r="T86" s="149" t="str">
        <f>"TOTAL "&amp;Q1&amp;"'S BILLS"</f>
        <v>TOTAL FEBRUARY'S BILLS</v>
      </c>
      <c r="U86" s="149"/>
      <c r="Y86" s="149" t="str">
        <f>"TOTAL "&amp;V1&amp;"'S BILLS"</f>
        <v>TOTAL MARCH'S BILLS</v>
      </c>
      <c r="Z86" s="149"/>
      <c r="AE86" s="149" t="str">
        <f>"TOTAL "&amp;AB1&amp;"'S BILLS"</f>
        <v>TOTAL APRIL'S BILLS</v>
      </c>
      <c r="AF86" s="149"/>
      <c r="AG86" s="180"/>
      <c r="AK86" s="149" t="str">
        <f>"TOTAL "&amp;AH1&amp;"'S BILLS"</f>
        <v>TOTAL APRIL'S BILLS</v>
      </c>
      <c r="AL86" s="149"/>
    </row>
    <row r="87" spans="1:40" ht="15" x14ac:dyDescent="0.2">
      <c r="A87" s="23" t="s">
        <v>30</v>
      </c>
      <c r="B87" s="3" t="s">
        <v>99</v>
      </c>
      <c r="F87" s="5"/>
      <c r="L87" s="75"/>
      <c r="M87"/>
      <c r="O87" s="69">
        <f>SUM(M:M)</f>
        <v>286899770.69976002</v>
      </c>
      <c r="P87" s="24" t="s">
        <v>100</v>
      </c>
      <c r="T87" s="80">
        <f>SUM(R:R)</f>
        <v>258403525</v>
      </c>
      <c r="U87" s="24" t="s">
        <v>100</v>
      </c>
      <c r="Y87" s="80">
        <f>SUM(W:W)</f>
        <v>235821816.55449998</v>
      </c>
      <c r="Z87" s="87" t="s">
        <v>100</v>
      </c>
      <c r="AE87" s="80">
        <f>SUM(AC:AC)</f>
        <v>201103635</v>
      </c>
      <c r="AF87" s="87" t="s">
        <v>100</v>
      </c>
      <c r="AG87" s="181"/>
      <c r="AK87" s="80">
        <f>SUM(AI:AI)</f>
        <v>2350339</v>
      </c>
      <c r="AL87" s="87" t="s">
        <v>100</v>
      </c>
    </row>
    <row r="88" spans="1:40" x14ac:dyDescent="0.2">
      <c r="L88" s="75"/>
      <c r="M88"/>
      <c r="O88" s="76">
        <f>SUMIFS(M:M,L:L,"PAID*")</f>
        <v>276899770.69976002</v>
      </c>
      <c r="P88" s="77" t="s">
        <v>17</v>
      </c>
      <c r="T88" s="81">
        <f>SUMIFS(R:R,Q:Q,"PAID*")</f>
        <v>248403525</v>
      </c>
      <c r="U88" s="77" t="s">
        <v>17</v>
      </c>
      <c r="Y88" s="81">
        <f>SUMIFS(W:W,V:V,"PAID*")</f>
        <v>235821816.55449998</v>
      </c>
      <c r="Z88" s="20" t="s">
        <v>17</v>
      </c>
      <c r="AE88" s="81">
        <f>SUMIFS(AC:AC,AB:AB,"PAID*")</f>
        <v>52876803</v>
      </c>
      <c r="AF88" s="20" t="s">
        <v>17</v>
      </c>
      <c r="AG88" s="182"/>
      <c r="AK88" s="81">
        <f>SUMIFS(AI:AI,AH:AH,"PAID*")</f>
        <v>2350339</v>
      </c>
      <c r="AL88" s="20" t="s">
        <v>17</v>
      </c>
    </row>
    <row r="89" spans="1:40" x14ac:dyDescent="0.2">
      <c r="A89" s="72" t="s">
        <v>101</v>
      </c>
      <c r="B89" s="73" t="s">
        <v>102</v>
      </c>
      <c r="L89" s="75"/>
      <c r="M89"/>
      <c r="O89" s="78">
        <f>O87-O88</f>
        <v>10000000</v>
      </c>
      <c r="P89" s="79" t="s">
        <v>103</v>
      </c>
      <c r="T89" s="82">
        <f>T87-T88</f>
        <v>10000000</v>
      </c>
      <c r="U89" s="79" t="s">
        <v>103</v>
      </c>
      <c r="Y89" s="82">
        <f>Y87-Y88</f>
        <v>0</v>
      </c>
      <c r="Z89" s="88" t="s">
        <v>103</v>
      </c>
      <c r="AE89" s="82">
        <f>AE87-AE88</f>
        <v>148226832</v>
      </c>
      <c r="AF89" s="88" t="s">
        <v>103</v>
      </c>
      <c r="AG89" s="183"/>
      <c r="AK89" s="82">
        <f>AK87-AK88</f>
        <v>0</v>
      </c>
      <c r="AL89" s="88" t="s">
        <v>103</v>
      </c>
    </row>
    <row r="90" spans="1:40" x14ac:dyDescent="0.2">
      <c r="T90" s="86" t="s">
        <v>109</v>
      </c>
    </row>
    <row r="91" spans="1:40" x14ac:dyDescent="0.2">
      <c r="T91" s="1"/>
      <c r="U91" s="1"/>
      <c r="Y91" s="5"/>
      <c r="AE91" s="170" t="s">
        <v>112</v>
      </c>
      <c r="AF91" s="171"/>
      <c r="AG91" s="184"/>
      <c r="AK91" s="170" t="s">
        <v>112</v>
      </c>
      <c r="AL91" s="171"/>
    </row>
    <row r="92" spans="1:40" x14ac:dyDescent="0.2">
      <c r="T92" s="5"/>
      <c r="U92" s="86"/>
      <c r="AE92" s="80"/>
      <c r="AF92" s="135" t="s">
        <v>100</v>
      </c>
      <c r="AG92" s="185"/>
      <c r="AK92" s="80"/>
      <c r="AL92" s="135" t="s">
        <v>100</v>
      </c>
      <c r="AM92" s="4"/>
    </row>
    <row r="93" spans="1:40" x14ac:dyDescent="0.2">
      <c r="T93" s="5"/>
      <c r="U93" s="86"/>
      <c r="AE93" s="81"/>
      <c r="AF93" s="136" t="s">
        <v>17</v>
      </c>
      <c r="AG93" s="186"/>
      <c r="AK93" s="81"/>
      <c r="AL93" s="136" t="s">
        <v>17</v>
      </c>
    </row>
    <row r="94" spans="1:40" x14ac:dyDescent="0.2">
      <c r="T94" s="5"/>
      <c r="U94" s="5"/>
      <c r="AE94" s="82">
        <f>(SUM(AC2:AC26)-('[4]TEGAL JAYA (Bar Groceries)'!$H$1+'[4]BUK BUNGA BAR (Groceries)'!$G$1))-SUMIF(AB2:AB26,"PAID*",AC2:AC26)</f>
        <v>110859760</v>
      </c>
      <c r="AF94" s="82" t="s">
        <v>103</v>
      </c>
      <c r="AG94" s="187"/>
      <c r="AK94" s="82">
        <f>(SUM(AI2:AI26)-('[4]TEGAL JAYA (Bar Groceries)'!$H$1+'[4]BUK BUNGA BAR (Groceries)'!$G$1))-SUMIF(AH2:AH26,"PAID*",AI2:AI26)</f>
        <v>-11220300</v>
      </c>
      <c r="AL94" s="82" t="s">
        <v>103</v>
      </c>
    </row>
    <row r="95" spans="1:40" x14ac:dyDescent="0.2">
      <c r="U95" s="4"/>
      <c r="AM95" s="4"/>
    </row>
    <row r="96" spans="1:40" x14ac:dyDescent="0.2">
      <c r="T96" s="1"/>
      <c r="U96" s="1"/>
      <c r="AE96" s="170" t="s">
        <v>113</v>
      </c>
      <c r="AF96" s="171"/>
      <c r="AG96" s="184"/>
      <c r="AK96" s="170" t="s">
        <v>113</v>
      </c>
      <c r="AL96" s="171"/>
    </row>
    <row r="97" spans="20:38" x14ac:dyDescent="0.2">
      <c r="T97" s="5"/>
      <c r="U97" s="86"/>
      <c r="AE97" s="80"/>
      <c r="AF97" s="135" t="s">
        <v>100</v>
      </c>
      <c r="AG97" s="185"/>
      <c r="AK97" s="80"/>
      <c r="AL97" s="135" t="s">
        <v>100</v>
      </c>
    </row>
    <row r="98" spans="20:38" x14ac:dyDescent="0.2">
      <c r="T98" s="5"/>
      <c r="U98" s="86"/>
      <c r="AE98" s="81"/>
      <c r="AF98" s="136" t="s">
        <v>17</v>
      </c>
      <c r="AG98" s="186"/>
      <c r="AK98" s="81"/>
      <c r="AL98" s="136" t="s">
        <v>17</v>
      </c>
    </row>
    <row r="99" spans="20:38" x14ac:dyDescent="0.2">
      <c r="T99" s="5"/>
      <c r="U99" s="5"/>
      <c r="AE99" s="82">
        <f>SUM(AC23:AC46)-('[5]TEGAL JAYA (Groceries)'!$H$1+'[5]BUK BUNGA (Groceries)'!$G$1)-SUMIF(AB23:AB46,"PAID*",AC23:AC46)</f>
        <v>798702</v>
      </c>
      <c r="AF99" s="82" t="s">
        <v>103</v>
      </c>
      <c r="AG99" s="187"/>
      <c r="AK99" s="82">
        <f>SUM(AI23:AI46)-('[5]TEGAL JAYA (Groceries)'!$H$1+'[5]BUK BUNGA (Groceries)'!$G$1)-SUMIF(AH23:AH46,"PAID*",AI23:AI46)</f>
        <v>-28322700</v>
      </c>
      <c r="AL99" s="82" t="s">
        <v>103</v>
      </c>
    </row>
  </sheetData>
  <mergeCells count="40">
    <mergeCell ref="AO38:AO39"/>
    <mergeCell ref="AE91:AF91"/>
    <mergeCell ref="AE96:AF96"/>
    <mergeCell ref="AO18:AO19"/>
    <mergeCell ref="AO25:AO26"/>
    <mergeCell ref="AH25:AH26"/>
    <mergeCell ref="AI25:AI26"/>
    <mergeCell ref="AJ25:AJ26"/>
    <mergeCell ref="AK25:AK26"/>
    <mergeCell ref="AK86:AL86"/>
    <mergeCell ref="AK91:AL91"/>
    <mergeCell ref="AK96:AL96"/>
    <mergeCell ref="AO8:AO9"/>
    <mergeCell ref="L86:M86"/>
    <mergeCell ref="O86:P86"/>
    <mergeCell ref="T86:U86"/>
    <mergeCell ref="Y86:Z86"/>
    <mergeCell ref="O25:O26"/>
    <mergeCell ref="Q25:Q26"/>
    <mergeCell ref="X25:X26"/>
    <mergeCell ref="Y25:Y26"/>
    <mergeCell ref="R25:R26"/>
    <mergeCell ref="S25:S26"/>
    <mergeCell ref="T25:T26"/>
    <mergeCell ref="V25:V26"/>
    <mergeCell ref="W25:W26"/>
    <mergeCell ref="AB25:AB26"/>
    <mergeCell ref="AC25:AC26"/>
    <mergeCell ref="B8:B9"/>
    <mergeCell ref="B18:B19"/>
    <mergeCell ref="A2:A22"/>
    <mergeCell ref="B25:B26"/>
    <mergeCell ref="A23:A26"/>
    <mergeCell ref="AD25:AD26"/>
    <mergeCell ref="AE25:AE26"/>
    <mergeCell ref="AE86:AF86"/>
    <mergeCell ref="A27:A46"/>
    <mergeCell ref="A47:A51"/>
    <mergeCell ref="A52:A84"/>
    <mergeCell ref="B38:B39"/>
  </mergeCells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 PAYMENT 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2025-12-01T08:04:00Z</dcterms:created>
  <dcterms:modified xsi:type="dcterms:W3CDTF">2026-05-06T10:51:50Z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1033-12.1.23155.23155</vt:lpwstr>
  </property>
</Properties>
</file>