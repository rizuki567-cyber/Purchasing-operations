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<sst xmlns="http://schemas.openxmlformats.org/spreadsheetml/2006/main" count="793" uniqueCount="172">
  <si>
    <t>DATE</t>
  </si>
  <si>
    <t>ITEM</t>
  </si>
  <si>
    <t>QYT</t>
  </si>
  <si>
    <t>PRICE</t>
  </si>
  <si>
    <t>SUBTOTAL</t>
  </si>
  <si>
    <t>TOTAL</t>
  </si>
  <si>
    <t>BU BUNGA OCTOBER</t>
  </si>
  <si>
    <t>TOTALPRICE</t>
  </si>
  <si>
    <t>sour cream</t>
  </si>
  <si>
    <t>orange</t>
  </si>
  <si>
    <t>milac</t>
  </si>
  <si>
    <t>lemon</t>
  </si>
  <si>
    <t>milk</t>
  </si>
  <si>
    <t>TOTAL OUTSTANDING KITCHEN</t>
  </si>
  <si>
    <t>pineapple</t>
  </si>
  <si>
    <t>cream cheese</t>
  </si>
  <si>
    <t>TOTAL OUTSTANDING BAR</t>
  </si>
  <si>
    <t>lime</t>
  </si>
  <si>
    <t>black sesame seed</t>
  </si>
  <si>
    <t>GRAND TOTAL</t>
  </si>
  <si>
    <t>apple</t>
  </si>
  <si>
    <t>spaghetti</t>
  </si>
  <si>
    <t>carrot</t>
  </si>
  <si>
    <t>fettuchine</t>
  </si>
  <si>
    <t>mango</t>
  </si>
  <si>
    <t>mix berry</t>
  </si>
  <si>
    <t>mustard</t>
  </si>
  <si>
    <t>double zero</t>
  </si>
  <si>
    <t>watermelon</t>
  </si>
  <si>
    <t>cocoa powder</t>
  </si>
  <si>
    <t>fresh milk</t>
  </si>
  <si>
    <t>rum</t>
  </si>
  <si>
    <t>oat milk</t>
  </si>
  <si>
    <t>dragon fruit</t>
  </si>
  <si>
    <t>almond milk</t>
  </si>
  <si>
    <t>romaine</t>
  </si>
  <si>
    <t>oil</t>
  </si>
  <si>
    <t>chia seeds</t>
  </si>
  <si>
    <t>olive oil</t>
  </si>
  <si>
    <t>yeast</t>
  </si>
  <si>
    <t>mint</t>
  </si>
  <si>
    <t>strawberry</t>
  </si>
  <si>
    <t>parmesan grated</t>
  </si>
  <si>
    <t>sosis</t>
  </si>
  <si>
    <t>baking powder</t>
  </si>
  <si>
    <t>red loloroso</t>
  </si>
  <si>
    <t>lady finger</t>
  </si>
  <si>
    <t>scrubber</t>
  </si>
  <si>
    <t>baking paper</t>
  </si>
  <si>
    <t>butter</t>
  </si>
  <si>
    <t>tomato peeled</t>
  </si>
  <si>
    <t>tomato sauce</t>
  </si>
  <si>
    <t>kyuri cucumber</t>
  </si>
  <si>
    <t>cucumber</t>
  </si>
  <si>
    <t>mozarela block</t>
  </si>
  <si>
    <t>trash bag</t>
  </si>
  <si>
    <t>white pear</t>
  </si>
  <si>
    <t>ginger</t>
  </si>
  <si>
    <t>roma biscuit</t>
  </si>
  <si>
    <t>chilli</t>
  </si>
  <si>
    <t>green pears</t>
  </si>
  <si>
    <t>sugar</t>
  </si>
  <si>
    <t>semolina</t>
  </si>
  <si>
    <t>barbeque sauce</t>
  </si>
  <si>
    <t>bangkok sauce</t>
  </si>
  <si>
    <t>coconut cream</t>
  </si>
  <si>
    <t>aluminium foil</t>
  </si>
  <si>
    <t>salad oil</t>
  </si>
  <si>
    <t>oregano</t>
  </si>
  <si>
    <t>chilli flakes</t>
  </si>
  <si>
    <t>raw honey</t>
  </si>
  <si>
    <t>gelatin</t>
  </si>
  <si>
    <t>chocolate powder</t>
  </si>
  <si>
    <t>mayo maestro</t>
  </si>
  <si>
    <t>kewpie maestro</t>
  </si>
  <si>
    <t>sunkist</t>
  </si>
  <si>
    <t>parmesan block</t>
  </si>
  <si>
    <t>french fries</t>
  </si>
  <si>
    <t>penne</t>
  </si>
  <si>
    <t>sariwangi tea</t>
  </si>
  <si>
    <t>bacon</t>
  </si>
  <si>
    <t>nutella</t>
  </si>
  <si>
    <t>sponge</t>
  </si>
  <si>
    <t>gorgonzola</t>
  </si>
  <si>
    <t>brie cheese</t>
  </si>
  <si>
    <t>avocado</t>
  </si>
  <si>
    <t>eggplant</t>
  </si>
  <si>
    <t>tomato</t>
  </si>
  <si>
    <t>parsley</t>
  </si>
  <si>
    <t>chocolate bar collata</t>
  </si>
  <si>
    <t>brown sugar</t>
  </si>
  <si>
    <t>baked bean</t>
  </si>
  <si>
    <t>vinegar</t>
  </si>
  <si>
    <t>honey</t>
  </si>
  <si>
    <t>chick peas</t>
  </si>
  <si>
    <t>tortilla</t>
  </si>
  <si>
    <t>sesame dressing</t>
  </si>
  <si>
    <t>sweet condensed milk</t>
  </si>
  <si>
    <t>maizena flour</t>
  </si>
  <si>
    <t>evaporated milk</t>
  </si>
  <si>
    <t>chocolate chips</t>
  </si>
  <si>
    <t>plastic wrap</t>
  </si>
  <si>
    <t>plastic package</t>
  </si>
  <si>
    <t>beetroot</t>
  </si>
  <si>
    <t>tomato cherry red</t>
  </si>
  <si>
    <t>tomato cherry yellow</t>
  </si>
  <si>
    <t>snaps</t>
  </si>
  <si>
    <t>ground nuts</t>
  </si>
  <si>
    <t>pumpkin seed</t>
  </si>
  <si>
    <t>cashew nut</t>
  </si>
  <si>
    <t>fetta cheese</t>
  </si>
  <si>
    <t>shallot</t>
  </si>
  <si>
    <t>wild rocket</t>
  </si>
  <si>
    <t>cherry can</t>
  </si>
  <si>
    <t>oatmeal</t>
  </si>
  <si>
    <t>basil</t>
  </si>
  <si>
    <t>ham</t>
  </si>
  <si>
    <t>jalapeno</t>
  </si>
  <si>
    <t>banana</t>
  </si>
  <si>
    <t>green pepper</t>
  </si>
  <si>
    <t>quail eggs</t>
  </si>
  <si>
    <t>soy milk</t>
  </si>
  <si>
    <t>potato</t>
  </si>
  <si>
    <t>sweet potato</t>
  </si>
  <si>
    <t>slice cheddar</t>
  </si>
  <si>
    <t>big chilli</t>
  </si>
  <si>
    <t>mushroom button</t>
  </si>
  <si>
    <t>lettuce green</t>
  </si>
  <si>
    <t>iceberg</t>
  </si>
  <si>
    <t>dolphin salt</t>
  </si>
  <si>
    <t>totole</t>
  </si>
  <si>
    <t>whole wheat flour</t>
  </si>
  <si>
    <t>chilli sauce</t>
  </si>
  <si>
    <t>lychee can</t>
  </si>
  <si>
    <t>cling</t>
  </si>
  <si>
    <t>hand glove L</t>
  </si>
  <si>
    <t>tali rafia</t>
  </si>
  <si>
    <t>iron glue</t>
  </si>
  <si>
    <t>spring onion</t>
  </si>
  <si>
    <t>korea glue</t>
  </si>
  <si>
    <t>pumpkin</t>
  </si>
  <si>
    <t>peanut butter</t>
  </si>
  <si>
    <t>eggs</t>
  </si>
  <si>
    <t>sausage</t>
  </si>
  <si>
    <t>cinnamon stick</t>
  </si>
  <si>
    <t>baby spinach</t>
  </si>
  <si>
    <t>baby cucumber</t>
  </si>
  <si>
    <t>black olive</t>
  </si>
  <si>
    <t>vanilla extract</t>
  </si>
  <si>
    <t>capers</t>
  </si>
  <si>
    <t>white sesame seed</t>
  </si>
  <si>
    <t>cakra flour</t>
  </si>
  <si>
    <t>portable gas</t>
  </si>
  <si>
    <t>cutleries plastic</t>
  </si>
  <si>
    <t>leek</t>
  </si>
  <si>
    <t>red pepper</t>
  </si>
  <si>
    <t>yellow pepper</t>
  </si>
  <si>
    <t>zuccini</t>
  </si>
  <si>
    <t>piping bag</t>
  </si>
  <si>
    <t>bertolli white grape vinegar</t>
  </si>
  <si>
    <t>cheesecake takeaway mika</t>
  </si>
  <si>
    <t>basmati rice</t>
  </si>
  <si>
    <t>red rice</t>
  </si>
  <si>
    <t>tabasco</t>
  </si>
  <si>
    <t>spinach</t>
  </si>
  <si>
    <t>almond nuts</t>
  </si>
  <si>
    <t>edamame</t>
  </si>
  <si>
    <t>dishwashing wire</t>
  </si>
  <si>
    <t>dishwashing soap sunlight</t>
  </si>
  <si>
    <t>vanilla essence</t>
  </si>
  <si>
    <t>lettuce red</t>
  </si>
  <si>
    <t>aragula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</si>
</sst>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_-&quot;Rp&quot;* #,##0_-;\-&quot;Rp&quot;* #,##0_-;_-&quot;Rp&quot;* &quot;-&quot;??_-;_-@_-"/>
    <numFmt numFmtId="180" formatCode="_ [$IDR]\ * #,##0_ ;_ [$IDR]\ * \-#,##0_ ;_ [$IDR]\ * &quot;-&quot;_ ;_ @_ "/>
  </numFmts>
  <fonts count="26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sz val="12"/>
      <color theme="1"/>
      <name val="Cambria"/>
      <charset val="134"/>
    </font>
    <font>
      <b/>
      <sz val="28"/>
      <color theme="1"/>
      <name val="Times New Roman"/>
      <charset val="134"/>
    </font>
    <font>
      <b/>
      <sz val="14"/>
      <color theme="1"/>
      <name val="Garamond"/>
      <charset val="134"/>
    </font>
    <font>
      <b/>
      <sz val="12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9" borderId="11" applyNumberFormat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8" fillId="10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8" fontId="0" fillId="0" borderId="0" xfId="0" applyNumberFormat="1" applyFill="1" applyBorder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NumberFormat="1" applyFill="1" applyAlignment="1">
      <alignment vertical="center"/>
    </xf>
    <xf numFmtId="0" fontId="0" fillId="0" borderId="0" xfId="0" applyFill="1" applyBorder="1" applyAlignment="1">
      <alignment vertical="center"/>
    </xf>
    <xf numFmtId="178" fontId="1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center" vertical="center"/>
    </xf>
    <xf numFmtId="179" fontId="0" fillId="4" borderId="1" xfId="0" applyNumberForma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79" fontId="0" fillId="0" borderId="0" xfId="0" applyNumberFormat="1" applyFill="1" applyAlignment="1">
      <alignment vertical="center"/>
    </xf>
    <xf numFmtId="178" fontId="0" fillId="0" borderId="4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left" vertical="center"/>
    </xf>
    <xf numFmtId="0" fontId="0" fillId="0" borderId="5" xfId="0" applyNumberFormat="1" applyFill="1" applyBorder="1" applyAlignment="1">
      <alignment horizontal="center" vertical="center"/>
    </xf>
    <xf numFmtId="179" fontId="0" fillId="4" borderId="5" xfId="0" applyNumberFormat="1" applyFill="1" applyBorder="1" applyAlignment="1">
      <alignment horizontal="center" vertical="center"/>
    </xf>
    <xf numFmtId="179" fontId="0" fillId="0" borderId="4" xfId="0" applyNumberForma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178" fontId="5" fillId="4" borderId="1" xfId="0" applyNumberFormat="1" applyFont="1" applyFill="1" applyBorder="1" applyAlignment="1">
      <alignment horizontal="center" vertical="center"/>
    </xf>
    <xf numFmtId="180" fontId="6" fillId="6" borderId="0" xfId="0" applyNumberFormat="1" applyFont="1" applyFill="1" applyAlignment="1">
      <alignment vertical="center"/>
    </xf>
    <xf numFmtId="180" fontId="6" fillId="2" borderId="0" xfId="0" applyNumberFormat="1" applyFont="1" applyFill="1" applyAlignment="1">
      <alignment vertical="center"/>
    </xf>
    <xf numFmtId="178" fontId="5" fillId="4" borderId="4" xfId="0" applyNumberFormat="1" applyFont="1" applyFill="1" applyBorder="1" applyAlignment="1">
      <alignment horizontal="center" vertical="center"/>
    </xf>
    <xf numFmtId="178" fontId="5" fillId="4" borderId="5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9" fontId="0" fillId="4" borderId="4" xfId="0" applyNumberFormat="1" applyFill="1" applyBorder="1" applyAlignment="1">
      <alignment horizontal="center" vertical="center"/>
    </xf>
    <xf numFmtId="178" fontId="0" fillId="0" borderId="5" xfId="0" applyNumberFormat="1" applyFill="1" applyBorder="1" applyAlignment="1">
      <alignment horizontal="center" vertical="center"/>
    </xf>
    <xf numFmtId="179" fontId="0" fillId="0" borderId="5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5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178" fontId="5" fillId="4" borderId="6" xfId="0" applyNumberFormat="1" applyFont="1" applyFill="1" applyBorder="1" applyAlignment="1">
      <alignment horizontal="center" vertical="center"/>
    </xf>
    <xf numFmtId="179" fontId="0" fillId="4" borderId="6" xfId="0" applyNumberFormat="1" applyFill="1" applyBorder="1" applyAlignment="1">
      <alignment horizontal="center" vertical="center"/>
    </xf>
    <xf numFmtId="178" fontId="0" fillId="0" borderId="6" xfId="0" applyNumberFormat="1" applyFill="1" applyBorder="1" applyAlignment="1">
      <alignment horizontal="center" vertical="center"/>
    </xf>
    <xf numFmtId="179" fontId="0" fillId="0" borderId="6" xfId="0" applyNumberFormat="1" applyFill="1" applyBorder="1" applyAlignment="1">
      <alignment horizontal="center" vertical="center"/>
    </xf>
    <xf numFmtId="0" fontId="0" fillId="0" borderId="6" xfId="0" applyFill="1" applyBorder="1" applyAlignment="1">
      <alignment horizontal="left" vertical="center"/>
    </xf>
    <xf numFmtId="0" fontId="0" fillId="0" borderId="6" xfId="0" applyNumberFormat="1" applyFill="1" applyBorder="1" applyAlignment="1">
      <alignment horizontal="center" vertical="center"/>
    </xf>
    <xf numFmtId="179" fontId="0" fillId="4" borderId="1" xfId="0" applyNumberFormat="1" applyFill="1" applyBorder="1" applyAlignment="1">
      <alignment vertical="center"/>
    </xf>
    <xf numFmtId="179" fontId="0" fillId="0" borderId="1" xfId="0" applyNumberFormat="1" applyFill="1" applyBorder="1" applyAlignment="1">
      <alignment vertical="center"/>
    </xf>
    <xf numFmtId="178" fontId="0" fillId="0" borderId="0" xfId="0" applyNumberFormat="1" applyFill="1" applyAlignment="1">
      <alignment vertical="center"/>
    </xf>
    <xf numFmtId="0" fontId="0" fillId="0" borderId="1" xfId="0" applyNumberFormat="1" applyFill="1" applyBorder="1" applyAlignment="1">
      <alignment vertical="center"/>
    </xf>
    <xf numFmtId="179" fontId="0" fillId="0" borderId="0" xfId="0" applyNumberForma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42"/>
  <sheetViews>
    <sheetView tabSelected="1" zoomScale="85" zoomScaleNormal="85" topLeftCell="E1" workbookViewId="0">
      <selection activeCell="J12" sqref="J12"/>
    </sheetView>
  </sheetViews>
  <sheetFormatPr defaultColWidth="9.14285714285714" defaultRowHeight="15"/>
  <cols>
    <col min="1" max="1" width="24.7619047619048" style="2" customWidth="1"/>
    <col min="2" max="2" width="28.5714285714286" style="3" customWidth="1"/>
    <col min="3" max="3" width="10.7904761904762" style="4" customWidth="1"/>
    <col min="4" max="4" width="12.1428571428571" style="1" customWidth="1"/>
    <col min="5" max="5" width="15.5714285714286" style="1" customWidth="1"/>
    <col min="6" max="6" width="15.8" style="5" customWidth="1"/>
    <col min="7" max="7" width="11.2857142857143" style="1" customWidth="1"/>
    <col min="8" max="8" width="26.5714285714286" style="1" customWidth="1"/>
    <col min="9" max="9" width="26" style="1" customWidth="1"/>
    <col min="10" max="10" width="34.7142857142857" style="1" customWidth="1"/>
    <col min="11" max="11" width="9.14285714285714" style="1"/>
    <col min="12" max="12" width="13.8571428571429" style="1" customWidth="1"/>
    <col min="13" max="14" width="9.14285714285714" style="1"/>
    <col min="15" max="15" width="11.4285714285714" style="1" customWidth="1"/>
    <col min="16" max="16" width="13.8571428571429" style="1" customWidth="1"/>
    <col min="17" max="17" width="18.1428571428571" style="1" customWidth="1"/>
    <col min="18" max="16384" width="9.14285714285714" style="1"/>
  </cols>
  <sheetData>
    <row r="1" s="1" customFormat="1" ht="22" customHeight="1" spans="1:17">
      <c r="A1" s="6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9" t="s">
        <v>5</v>
      </c>
      <c r="H1" s="11" t="s">
        <v>6</v>
      </c>
      <c r="I1" s="11"/>
      <c r="J1" s="11"/>
      <c r="L1" s="24" t="s">
        <v>0</v>
      </c>
      <c r="M1" s="9" t="s">
        <v>1</v>
      </c>
      <c r="N1" s="8" t="s">
        <v>2</v>
      </c>
      <c r="O1" s="9" t="s">
        <v>3</v>
      </c>
      <c r="P1" s="9" t="s">
        <v>7</v>
      </c>
      <c r="Q1" s="30" t="s">
        <v>5</v>
      </c>
    </row>
    <row r="2" s="1" customFormat="1" spans="1:17">
      <c r="A2" s="12">
        <v>45931</v>
      </c>
      <c r="B2" s="13" t="s">
        <v>8</v>
      </c>
      <c r="C2" s="14">
        <v>3</v>
      </c>
      <c r="D2" s="15">
        <v>170000</v>
      </c>
      <c r="E2" s="15">
        <f t="shared" ref="E2:E12" si="0">SUM(C2*D2)</f>
        <v>510000</v>
      </c>
      <c r="F2" s="16">
        <f>SUM(E2:E14)</f>
        <v>2525000</v>
      </c>
      <c r="L2" s="25">
        <v>45931</v>
      </c>
      <c r="M2" s="13" t="s">
        <v>9</v>
      </c>
      <c r="N2" s="14">
        <v>4</v>
      </c>
      <c r="O2" s="15">
        <v>20000</v>
      </c>
      <c r="P2" s="15">
        <f t="shared" ref="P2:P7" si="1">SUM(N2*O2)</f>
        <v>80000</v>
      </c>
      <c r="Q2" s="15">
        <f>SUM(P2:P13)</f>
        <v>833000</v>
      </c>
    </row>
    <row r="3" s="1" customFormat="1" spans="1:17">
      <c r="A3" s="12"/>
      <c r="B3" s="13" t="s">
        <v>10</v>
      </c>
      <c r="C3" s="14">
        <v>4</v>
      </c>
      <c r="D3" s="15">
        <v>90000</v>
      </c>
      <c r="E3" s="15">
        <f t="shared" si="0"/>
        <v>360000</v>
      </c>
      <c r="F3" s="16"/>
      <c r="L3" s="25"/>
      <c r="M3" s="13" t="s">
        <v>11</v>
      </c>
      <c r="N3" s="14">
        <v>4</v>
      </c>
      <c r="O3" s="15">
        <v>80000</v>
      </c>
      <c r="P3" s="15">
        <f t="shared" si="1"/>
        <v>320000</v>
      </c>
      <c r="Q3" s="15"/>
    </row>
    <row r="4" s="1" customFormat="1" ht="18.75" spans="1:17">
      <c r="A4" s="12"/>
      <c r="B4" s="13" t="s">
        <v>12</v>
      </c>
      <c r="C4" s="14">
        <v>3</v>
      </c>
      <c r="D4" s="15">
        <v>22000</v>
      </c>
      <c r="E4" s="15">
        <f t="shared" si="0"/>
        <v>66000</v>
      </c>
      <c r="F4" s="16"/>
      <c r="H4" s="17" t="s">
        <v>13</v>
      </c>
      <c r="I4" s="17"/>
      <c r="J4" s="26">
        <f>F441</f>
        <v>57754000</v>
      </c>
      <c r="L4" s="25"/>
      <c r="M4" s="13" t="s">
        <v>14</v>
      </c>
      <c r="N4" s="14">
        <v>6</v>
      </c>
      <c r="O4" s="15">
        <v>10000</v>
      </c>
      <c r="P4" s="15">
        <f t="shared" si="1"/>
        <v>60000</v>
      </c>
      <c r="Q4" s="15"/>
    </row>
    <row r="5" s="1" customFormat="1" ht="18.75" spans="1:17">
      <c r="A5" s="12"/>
      <c r="B5" s="13" t="s">
        <v>15</v>
      </c>
      <c r="C5" s="14">
        <v>6</v>
      </c>
      <c r="D5" s="15">
        <v>75000</v>
      </c>
      <c r="E5" s="15">
        <f t="shared" si="0"/>
        <v>450000</v>
      </c>
      <c r="F5" s="16"/>
      <c r="H5" s="17" t="s">
        <v>16</v>
      </c>
      <c r="I5" s="17"/>
      <c r="J5" s="26">
        <f>Q340</f>
        <v>21722000</v>
      </c>
      <c r="L5" s="25"/>
      <c r="M5" s="13" t="s">
        <v>17</v>
      </c>
      <c r="N5" s="14">
        <v>0.5</v>
      </c>
      <c r="O5" s="15">
        <v>30000</v>
      </c>
      <c r="P5" s="15">
        <f t="shared" si="1"/>
        <v>15000</v>
      </c>
      <c r="Q5" s="15"/>
    </row>
    <row r="6" s="1" customFormat="1" ht="18.75" spans="1:17">
      <c r="A6" s="12"/>
      <c r="B6" s="13" t="s">
        <v>18</v>
      </c>
      <c r="C6" s="14">
        <v>0.2</v>
      </c>
      <c r="D6" s="15">
        <v>100000</v>
      </c>
      <c r="E6" s="15">
        <f t="shared" si="0"/>
        <v>20000</v>
      </c>
      <c r="F6" s="16"/>
      <c r="H6" s="17" t="s">
        <v>19</v>
      </c>
      <c r="I6" s="17"/>
      <c r="J6" s="27">
        <f>SUM(J4:J5)</f>
        <v>79476000</v>
      </c>
      <c r="L6" s="25"/>
      <c r="M6" s="13" t="s">
        <v>20</v>
      </c>
      <c r="N6" s="14">
        <v>1</v>
      </c>
      <c r="O6" s="15">
        <v>48000</v>
      </c>
      <c r="P6" s="15">
        <f t="shared" si="1"/>
        <v>48000</v>
      </c>
      <c r="Q6" s="15"/>
    </row>
    <row r="7" s="1" customFormat="1" spans="1:17">
      <c r="A7" s="12"/>
      <c r="B7" s="13" t="s">
        <v>21</v>
      </c>
      <c r="C7" s="14">
        <v>3</v>
      </c>
      <c r="D7" s="15">
        <v>25000</v>
      </c>
      <c r="E7" s="15">
        <f t="shared" si="0"/>
        <v>75000</v>
      </c>
      <c r="F7" s="16"/>
      <c r="L7" s="25"/>
      <c r="M7" s="13" t="s">
        <v>22</v>
      </c>
      <c r="N7" s="14">
        <v>1</v>
      </c>
      <c r="O7" s="15">
        <v>25000</v>
      </c>
      <c r="P7" s="15">
        <f t="shared" si="1"/>
        <v>25000</v>
      </c>
      <c r="Q7" s="15"/>
    </row>
    <row r="8" s="1" customFormat="1" spans="1:17">
      <c r="A8" s="12"/>
      <c r="B8" s="13" t="s">
        <v>23</v>
      </c>
      <c r="C8" s="14">
        <v>3</v>
      </c>
      <c r="D8" s="15">
        <v>25000</v>
      </c>
      <c r="E8" s="15">
        <f t="shared" si="0"/>
        <v>75000</v>
      </c>
      <c r="F8" s="16"/>
      <c r="L8" s="25"/>
      <c r="M8" s="13" t="s">
        <v>24</v>
      </c>
      <c r="N8" s="14">
        <v>1.08</v>
      </c>
      <c r="O8" s="15">
        <v>40000</v>
      </c>
      <c r="P8" s="15">
        <v>43000</v>
      </c>
      <c r="Q8" s="15"/>
    </row>
    <row r="9" s="1" customFormat="1" spans="1:17">
      <c r="A9" s="12"/>
      <c r="B9" s="13" t="s">
        <v>25</v>
      </c>
      <c r="C9" s="14">
        <v>1</v>
      </c>
      <c r="D9" s="15">
        <v>130000</v>
      </c>
      <c r="E9" s="15">
        <f t="shared" si="0"/>
        <v>130000</v>
      </c>
      <c r="F9" s="16"/>
      <c r="L9" s="25"/>
      <c r="M9" s="13" t="s">
        <v>26</v>
      </c>
      <c r="N9" s="14">
        <v>0.3</v>
      </c>
      <c r="O9" s="15">
        <v>15000</v>
      </c>
      <c r="P9" s="15">
        <v>5000</v>
      </c>
      <c r="Q9" s="15"/>
    </row>
    <row r="10" s="1" customFormat="1" spans="1:17">
      <c r="A10" s="12"/>
      <c r="B10" s="13" t="s">
        <v>27</v>
      </c>
      <c r="C10" s="14">
        <v>3</v>
      </c>
      <c r="D10" s="15">
        <v>200000</v>
      </c>
      <c r="E10" s="15">
        <f t="shared" si="0"/>
        <v>600000</v>
      </c>
      <c r="F10" s="16"/>
      <c r="L10" s="25"/>
      <c r="M10" s="13" t="s">
        <v>28</v>
      </c>
      <c r="N10" s="14">
        <v>3.495</v>
      </c>
      <c r="O10" s="15">
        <v>15000</v>
      </c>
      <c r="P10" s="15">
        <v>52000</v>
      </c>
      <c r="Q10" s="15"/>
    </row>
    <row r="11" s="1" customFormat="1" spans="1:17">
      <c r="A11" s="12"/>
      <c r="B11" s="13" t="s">
        <v>29</v>
      </c>
      <c r="C11" s="14">
        <v>3</v>
      </c>
      <c r="D11" s="15">
        <v>55000</v>
      </c>
      <c r="E11" s="15">
        <f t="shared" si="0"/>
        <v>165000</v>
      </c>
      <c r="F11" s="16"/>
      <c r="H11" s="18"/>
      <c r="L11" s="25"/>
      <c r="M11" s="13" t="s">
        <v>30</v>
      </c>
      <c r="N11" s="14">
        <v>4</v>
      </c>
      <c r="O11" s="15">
        <v>24000</v>
      </c>
      <c r="P11" s="15">
        <f t="shared" ref="P11:P17" si="2">SUM(N11*O11)</f>
        <v>96000</v>
      </c>
      <c r="Q11" s="15"/>
    </row>
    <row r="12" s="1" customFormat="1" spans="1:17">
      <c r="A12" s="12"/>
      <c r="B12" s="13" t="s">
        <v>31</v>
      </c>
      <c r="C12" s="14">
        <v>1</v>
      </c>
      <c r="D12" s="15">
        <v>20000</v>
      </c>
      <c r="E12" s="15">
        <f t="shared" si="0"/>
        <v>20000</v>
      </c>
      <c r="F12" s="16"/>
      <c r="L12" s="25"/>
      <c r="M12" s="13" t="s">
        <v>32</v>
      </c>
      <c r="N12" s="14">
        <v>1</v>
      </c>
      <c r="O12" s="15">
        <v>40000</v>
      </c>
      <c r="P12" s="15">
        <f t="shared" si="2"/>
        <v>40000</v>
      </c>
      <c r="Q12" s="15"/>
    </row>
    <row r="13" s="1" customFormat="1" spans="1:17">
      <c r="A13" s="12"/>
      <c r="B13" s="13" t="s">
        <v>33</v>
      </c>
      <c r="C13" s="14">
        <v>1.14</v>
      </c>
      <c r="D13" s="15">
        <v>30000</v>
      </c>
      <c r="E13" s="15">
        <v>34000</v>
      </c>
      <c r="F13" s="16"/>
      <c r="L13" s="25"/>
      <c r="M13" s="13" t="s">
        <v>34</v>
      </c>
      <c r="N13" s="14">
        <v>1</v>
      </c>
      <c r="O13" s="15">
        <v>49000</v>
      </c>
      <c r="P13" s="15">
        <f t="shared" si="2"/>
        <v>49000</v>
      </c>
      <c r="Q13" s="15"/>
    </row>
    <row r="14" s="1" customFormat="1" spans="1:17">
      <c r="A14" s="12"/>
      <c r="B14" s="13" t="s">
        <v>35</v>
      </c>
      <c r="C14" s="14">
        <v>0.5</v>
      </c>
      <c r="D14" s="15">
        <v>40000</v>
      </c>
      <c r="E14" s="15">
        <f t="shared" ref="E14:E33" si="3">SUM(C14*D14)</f>
        <v>20000</v>
      </c>
      <c r="F14" s="16"/>
      <c r="L14" s="25">
        <v>45932</v>
      </c>
      <c r="M14" s="13" t="s">
        <v>9</v>
      </c>
      <c r="N14" s="14">
        <v>4</v>
      </c>
      <c r="O14" s="15">
        <v>20000</v>
      </c>
      <c r="P14" s="15">
        <f t="shared" si="2"/>
        <v>80000</v>
      </c>
      <c r="Q14" s="15">
        <f>SUM(P14:P23)</f>
        <v>727000</v>
      </c>
    </row>
    <row r="15" s="1" customFormat="1" spans="1:17">
      <c r="A15" s="12">
        <v>45932</v>
      </c>
      <c r="B15" s="13" t="s">
        <v>36</v>
      </c>
      <c r="C15" s="14">
        <v>1</v>
      </c>
      <c r="D15" s="15">
        <v>100000</v>
      </c>
      <c r="E15" s="15">
        <f t="shared" si="3"/>
        <v>100000</v>
      </c>
      <c r="F15" s="16">
        <f>SUM(E15:E28)</f>
        <v>2588000</v>
      </c>
      <c r="L15" s="25"/>
      <c r="M15" s="13" t="s">
        <v>11</v>
      </c>
      <c r="N15" s="14">
        <v>4</v>
      </c>
      <c r="O15" s="15">
        <v>80000</v>
      </c>
      <c r="P15" s="15">
        <f t="shared" si="2"/>
        <v>320000</v>
      </c>
      <c r="Q15" s="15"/>
    </row>
    <row r="16" s="1" customFormat="1" spans="1:17">
      <c r="A16" s="12"/>
      <c r="B16" s="13" t="s">
        <v>37</v>
      </c>
      <c r="C16" s="14">
        <v>0.25</v>
      </c>
      <c r="D16" s="15">
        <v>90000</v>
      </c>
      <c r="E16" s="15">
        <v>23000</v>
      </c>
      <c r="F16" s="16"/>
      <c r="L16" s="25"/>
      <c r="M16" s="13" t="s">
        <v>14</v>
      </c>
      <c r="N16" s="14">
        <v>6</v>
      </c>
      <c r="O16" s="15">
        <v>10000</v>
      </c>
      <c r="P16" s="15">
        <f t="shared" si="2"/>
        <v>60000</v>
      </c>
      <c r="Q16" s="15"/>
    </row>
    <row r="17" s="1" customFormat="1" spans="1:17">
      <c r="A17" s="12"/>
      <c r="B17" s="13" t="s">
        <v>38</v>
      </c>
      <c r="C17" s="14">
        <v>2</v>
      </c>
      <c r="D17" s="15">
        <v>360000</v>
      </c>
      <c r="E17" s="15">
        <f t="shared" si="3"/>
        <v>720000</v>
      </c>
      <c r="F17" s="16"/>
      <c r="L17" s="25"/>
      <c r="M17" s="13" t="s">
        <v>17</v>
      </c>
      <c r="N17" s="14">
        <v>0.5</v>
      </c>
      <c r="O17" s="15">
        <v>30000</v>
      </c>
      <c r="P17" s="15">
        <f t="shared" si="2"/>
        <v>15000</v>
      </c>
      <c r="Q17" s="15"/>
    </row>
    <row r="18" s="1" customFormat="1" spans="1:17">
      <c r="A18" s="12"/>
      <c r="B18" s="13" t="s">
        <v>39</v>
      </c>
      <c r="C18" s="14">
        <v>1</v>
      </c>
      <c r="D18" s="15">
        <v>60000</v>
      </c>
      <c r="E18" s="15">
        <f t="shared" si="3"/>
        <v>60000</v>
      </c>
      <c r="F18" s="16"/>
      <c r="L18" s="25"/>
      <c r="M18" s="13" t="s">
        <v>26</v>
      </c>
      <c r="N18" s="14">
        <v>0.3</v>
      </c>
      <c r="O18" s="15">
        <v>15000</v>
      </c>
      <c r="P18" s="15">
        <v>5000</v>
      </c>
      <c r="Q18" s="15"/>
    </row>
    <row r="19" s="1" customFormat="1" spans="1:17">
      <c r="A19" s="12"/>
      <c r="B19" s="13" t="s">
        <v>12</v>
      </c>
      <c r="C19" s="14">
        <v>3</v>
      </c>
      <c r="D19" s="15">
        <v>22000</v>
      </c>
      <c r="E19" s="15">
        <f t="shared" si="3"/>
        <v>66000</v>
      </c>
      <c r="F19" s="16"/>
      <c r="L19" s="25"/>
      <c r="M19" s="13" t="s">
        <v>40</v>
      </c>
      <c r="N19" s="14">
        <v>0.3</v>
      </c>
      <c r="O19" s="15">
        <v>60000</v>
      </c>
      <c r="P19" s="15">
        <f t="shared" ref="P19:P28" si="4">SUM(N19*O19)</f>
        <v>18000</v>
      </c>
      <c r="Q19" s="15"/>
    </row>
    <row r="20" s="1" customFormat="1" spans="1:17">
      <c r="A20" s="12"/>
      <c r="B20" s="13" t="s">
        <v>10</v>
      </c>
      <c r="C20" s="14">
        <v>2</v>
      </c>
      <c r="D20" s="15">
        <v>90000</v>
      </c>
      <c r="E20" s="15">
        <f t="shared" si="3"/>
        <v>180000</v>
      </c>
      <c r="F20" s="16"/>
      <c r="L20" s="25"/>
      <c r="M20" s="13" t="s">
        <v>41</v>
      </c>
      <c r="N20" s="14">
        <v>0.25</v>
      </c>
      <c r="O20" s="15">
        <v>100000</v>
      </c>
      <c r="P20" s="15">
        <f t="shared" si="4"/>
        <v>25000</v>
      </c>
      <c r="Q20" s="15"/>
    </row>
    <row r="21" s="1" customFormat="1" spans="1:17">
      <c r="A21" s="12"/>
      <c r="B21" s="13" t="s">
        <v>42</v>
      </c>
      <c r="C21" s="14">
        <v>3</v>
      </c>
      <c r="D21" s="15">
        <v>200000</v>
      </c>
      <c r="E21" s="15">
        <f t="shared" si="3"/>
        <v>600000</v>
      </c>
      <c r="F21" s="16"/>
      <c r="L21" s="25"/>
      <c r="M21" s="13" t="s">
        <v>28</v>
      </c>
      <c r="N21" s="14">
        <v>4.53</v>
      </c>
      <c r="O21" s="15">
        <v>15000</v>
      </c>
      <c r="P21" s="15">
        <v>68000</v>
      </c>
      <c r="Q21" s="15"/>
    </row>
    <row r="22" s="1" customFormat="1" spans="1:17">
      <c r="A22" s="12"/>
      <c r="B22" s="13" t="s">
        <v>43</v>
      </c>
      <c r="C22" s="14">
        <v>3</v>
      </c>
      <c r="D22" s="15">
        <v>45000</v>
      </c>
      <c r="E22" s="15">
        <f t="shared" si="3"/>
        <v>135000</v>
      </c>
      <c r="F22" s="16"/>
      <c r="L22" s="25"/>
      <c r="M22" s="13" t="s">
        <v>30</v>
      </c>
      <c r="N22" s="14">
        <v>4</v>
      </c>
      <c r="O22" s="15">
        <v>24000</v>
      </c>
      <c r="P22" s="15">
        <f t="shared" si="4"/>
        <v>96000</v>
      </c>
      <c r="Q22" s="15"/>
    </row>
    <row r="23" s="1" customFormat="1" spans="1:17">
      <c r="A23" s="12"/>
      <c r="B23" s="13" t="s">
        <v>44</v>
      </c>
      <c r="C23" s="14">
        <v>2</v>
      </c>
      <c r="D23" s="15">
        <v>60000</v>
      </c>
      <c r="E23" s="15">
        <f t="shared" si="3"/>
        <v>120000</v>
      </c>
      <c r="F23" s="16"/>
      <c r="L23" s="25"/>
      <c r="M23" s="13" t="s">
        <v>32</v>
      </c>
      <c r="N23" s="14">
        <v>1</v>
      </c>
      <c r="O23" s="15">
        <v>40000</v>
      </c>
      <c r="P23" s="15">
        <f t="shared" si="4"/>
        <v>40000</v>
      </c>
      <c r="Q23" s="15"/>
    </row>
    <row r="24" s="1" customFormat="1" spans="1:17">
      <c r="A24" s="12"/>
      <c r="B24" s="13" t="s">
        <v>45</v>
      </c>
      <c r="C24" s="14">
        <v>0.3</v>
      </c>
      <c r="D24" s="15">
        <v>80000</v>
      </c>
      <c r="E24" s="15">
        <f t="shared" si="3"/>
        <v>24000</v>
      </c>
      <c r="F24" s="16"/>
      <c r="L24" s="28">
        <v>45933</v>
      </c>
      <c r="M24" s="20" t="s">
        <v>9</v>
      </c>
      <c r="N24" s="21">
        <v>4</v>
      </c>
      <c r="O24" s="22">
        <v>20000</v>
      </c>
      <c r="P24" s="15">
        <f t="shared" si="4"/>
        <v>80000</v>
      </c>
      <c r="Q24" s="31">
        <f>SUM(P24:P31)</f>
        <v>576000</v>
      </c>
    </row>
    <row r="25" s="1" customFormat="1" spans="1:17">
      <c r="A25" s="12"/>
      <c r="B25" s="13" t="s">
        <v>46</v>
      </c>
      <c r="C25" s="14">
        <v>2</v>
      </c>
      <c r="D25" s="15">
        <v>55000</v>
      </c>
      <c r="E25" s="15">
        <f t="shared" si="3"/>
        <v>110000</v>
      </c>
      <c r="F25" s="16"/>
      <c r="L25" s="28"/>
      <c r="M25" s="13" t="s">
        <v>11</v>
      </c>
      <c r="N25" s="14">
        <v>2.1</v>
      </c>
      <c r="O25" s="15">
        <v>80000</v>
      </c>
      <c r="P25" s="15">
        <f t="shared" si="4"/>
        <v>168000</v>
      </c>
      <c r="Q25" s="31"/>
    </row>
    <row r="26" s="1" customFormat="1" spans="1:17">
      <c r="A26" s="12"/>
      <c r="B26" s="13" t="s">
        <v>47</v>
      </c>
      <c r="C26" s="14">
        <v>14</v>
      </c>
      <c r="D26" s="15">
        <v>5000</v>
      </c>
      <c r="E26" s="15">
        <f t="shared" si="3"/>
        <v>70000</v>
      </c>
      <c r="F26" s="16"/>
      <c r="L26" s="28"/>
      <c r="M26" s="13" t="s">
        <v>14</v>
      </c>
      <c r="N26" s="14">
        <v>4</v>
      </c>
      <c r="O26" s="15">
        <v>10000</v>
      </c>
      <c r="P26" s="15">
        <f t="shared" si="4"/>
        <v>40000</v>
      </c>
      <c r="Q26" s="31"/>
    </row>
    <row r="27" s="1" customFormat="1" spans="1:17">
      <c r="A27" s="12"/>
      <c r="B27" s="13" t="s">
        <v>15</v>
      </c>
      <c r="C27" s="14">
        <v>4</v>
      </c>
      <c r="D27" s="15">
        <v>75000</v>
      </c>
      <c r="E27" s="15">
        <f t="shared" si="3"/>
        <v>300000</v>
      </c>
      <c r="F27" s="16"/>
      <c r="L27" s="28"/>
      <c r="M27" s="13" t="s">
        <v>41</v>
      </c>
      <c r="N27" s="14">
        <v>0.5</v>
      </c>
      <c r="O27" s="15">
        <v>100000</v>
      </c>
      <c r="P27" s="15">
        <f t="shared" si="4"/>
        <v>50000</v>
      </c>
      <c r="Q27" s="31"/>
    </row>
    <row r="28" s="1" customFormat="1" spans="1:17">
      <c r="A28" s="12"/>
      <c r="B28" s="13" t="s">
        <v>48</v>
      </c>
      <c r="C28" s="14">
        <v>2</v>
      </c>
      <c r="D28" s="15">
        <v>40000</v>
      </c>
      <c r="E28" s="15">
        <f t="shared" si="3"/>
        <v>80000</v>
      </c>
      <c r="F28" s="16"/>
      <c r="L28" s="28"/>
      <c r="M28" s="13" t="s">
        <v>22</v>
      </c>
      <c r="N28" s="14">
        <v>1</v>
      </c>
      <c r="O28" s="15">
        <v>25000</v>
      </c>
      <c r="P28" s="15">
        <f t="shared" si="4"/>
        <v>25000</v>
      </c>
      <c r="Q28" s="31"/>
    </row>
    <row r="29" s="1" customFormat="1" spans="1:17">
      <c r="A29" s="12">
        <v>45933</v>
      </c>
      <c r="B29" s="13" t="s">
        <v>49</v>
      </c>
      <c r="C29" s="14">
        <v>3</v>
      </c>
      <c r="D29" s="15">
        <v>30000</v>
      </c>
      <c r="E29" s="15">
        <f t="shared" si="3"/>
        <v>90000</v>
      </c>
      <c r="F29" s="16">
        <f>SUM(E29:E40)</f>
        <v>2804000</v>
      </c>
      <c r="L29" s="28"/>
      <c r="M29" s="13" t="s">
        <v>28</v>
      </c>
      <c r="N29" s="14">
        <v>4.76</v>
      </c>
      <c r="O29" s="15">
        <v>15000</v>
      </c>
      <c r="P29" s="15">
        <v>71000</v>
      </c>
      <c r="Q29" s="31"/>
    </row>
    <row r="30" s="1" customFormat="1" spans="1:17">
      <c r="A30" s="12"/>
      <c r="B30" s="13" t="s">
        <v>50</v>
      </c>
      <c r="C30" s="14">
        <v>4</v>
      </c>
      <c r="D30" s="15">
        <v>120000</v>
      </c>
      <c r="E30" s="15">
        <f t="shared" si="3"/>
        <v>480000</v>
      </c>
      <c r="F30" s="16"/>
      <c r="L30" s="28"/>
      <c r="M30" s="13" t="s">
        <v>24</v>
      </c>
      <c r="N30" s="14">
        <v>1.15</v>
      </c>
      <c r="O30" s="15">
        <v>40000</v>
      </c>
      <c r="P30" s="15">
        <f t="shared" ref="P30:P34" si="5">SUM(N30*O30)</f>
        <v>46000</v>
      </c>
      <c r="Q30" s="31"/>
    </row>
    <row r="31" s="1" customFormat="1" spans="1:17">
      <c r="A31" s="12"/>
      <c r="B31" s="13" t="s">
        <v>51</v>
      </c>
      <c r="C31" s="14">
        <v>3</v>
      </c>
      <c r="D31" s="15">
        <v>20000</v>
      </c>
      <c r="E31" s="15">
        <f t="shared" si="3"/>
        <v>60000</v>
      </c>
      <c r="F31" s="16"/>
      <c r="L31" s="29"/>
      <c r="M31" s="13" t="s">
        <v>30</v>
      </c>
      <c r="N31" s="14">
        <v>4</v>
      </c>
      <c r="O31" s="15">
        <v>24000</v>
      </c>
      <c r="P31" s="15">
        <f t="shared" si="5"/>
        <v>96000</v>
      </c>
      <c r="Q31" s="22"/>
    </row>
    <row r="32" s="1" customFormat="1" spans="1:17">
      <c r="A32" s="12"/>
      <c r="B32" s="13" t="s">
        <v>12</v>
      </c>
      <c r="C32" s="14">
        <v>3</v>
      </c>
      <c r="D32" s="15">
        <v>22000</v>
      </c>
      <c r="E32" s="15">
        <f t="shared" si="3"/>
        <v>66000</v>
      </c>
      <c r="F32" s="16"/>
      <c r="L32" s="25">
        <v>45934</v>
      </c>
      <c r="M32" s="13" t="s">
        <v>9</v>
      </c>
      <c r="N32" s="14">
        <v>3</v>
      </c>
      <c r="O32" s="15">
        <v>20000</v>
      </c>
      <c r="P32" s="15">
        <f t="shared" si="5"/>
        <v>60000</v>
      </c>
      <c r="Q32" s="15">
        <f>SUM(P32:P43)</f>
        <v>687000</v>
      </c>
    </row>
    <row r="33" s="1" customFormat="1" spans="1:17">
      <c r="A33" s="12"/>
      <c r="B33" s="13" t="s">
        <v>10</v>
      </c>
      <c r="C33" s="14">
        <v>3</v>
      </c>
      <c r="D33" s="15">
        <v>90000</v>
      </c>
      <c r="E33" s="15">
        <f t="shared" si="3"/>
        <v>270000</v>
      </c>
      <c r="F33" s="16"/>
      <c r="L33" s="25"/>
      <c r="M33" s="13" t="s">
        <v>20</v>
      </c>
      <c r="N33" s="14">
        <v>1</v>
      </c>
      <c r="O33" s="15">
        <v>48000</v>
      </c>
      <c r="P33" s="15">
        <f t="shared" si="5"/>
        <v>48000</v>
      </c>
      <c r="Q33" s="15"/>
    </row>
    <row r="34" s="1" customFormat="1" spans="1:17">
      <c r="A34" s="12"/>
      <c r="B34" s="13" t="s">
        <v>52</v>
      </c>
      <c r="C34" s="14">
        <v>0.525</v>
      </c>
      <c r="D34" s="15">
        <v>15000</v>
      </c>
      <c r="E34" s="15">
        <v>8000</v>
      </c>
      <c r="F34" s="16"/>
      <c r="L34" s="25"/>
      <c r="M34" s="13" t="s">
        <v>53</v>
      </c>
      <c r="N34" s="14">
        <v>1</v>
      </c>
      <c r="O34" s="15">
        <v>18000</v>
      </c>
      <c r="P34" s="15">
        <f t="shared" si="5"/>
        <v>18000</v>
      </c>
      <c r="Q34" s="15"/>
    </row>
    <row r="35" s="1" customFormat="1" spans="1:17">
      <c r="A35" s="12"/>
      <c r="B35" s="13" t="s">
        <v>27</v>
      </c>
      <c r="C35" s="14">
        <v>2</v>
      </c>
      <c r="D35" s="15">
        <v>200000</v>
      </c>
      <c r="E35" s="15">
        <f t="shared" ref="E35:E56" si="6">SUM(C35*D35)</f>
        <v>400000</v>
      </c>
      <c r="F35" s="16"/>
      <c r="L35" s="25"/>
      <c r="M35" s="13" t="s">
        <v>26</v>
      </c>
      <c r="N35" s="14">
        <v>0.3</v>
      </c>
      <c r="O35" s="15">
        <v>15000</v>
      </c>
      <c r="P35" s="15">
        <v>5000</v>
      </c>
      <c r="Q35" s="15"/>
    </row>
    <row r="36" s="1" customFormat="1" spans="1:17">
      <c r="A36" s="12"/>
      <c r="B36" s="13" t="s">
        <v>15</v>
      </c>
      <c r="C36" s="14">
        <v>4</v>
      </c>
      <c r="D36" s="15">
        <v>75000</v>
      </c>
      <c r="E36" s="15">
        <f t="shared" si="6"/>
        <v>300000</v>
      </c>
      <c r="F36" s="16"/>
      <c r="L36" s="25"/>
      <c r="M36" s="13" t="s">
        <v>17</v>
      </c>
      <c r="N36" s="14">
        <v>0.5</v>
      </c>
      <c r="O36" s="15">
        <v>30000</v>
      </c>
      <c r="P36" s="15">
        <f t="shared" ref="P36:P40" si="7">SUM(N36*O36)</f>
        <v>15000</v>
      </c>
      <c r="Q36" s="15"/>
    </row>
    <row r="37" s="1" customFormat="1" spans="1:17">
      <c r="A37" s="12"/>
      <c r="B37" s="13" t="s">
        <v>54</v>
      </c>
      <c r="C37" s="14">
        <v>3</v>
      </c>
      <c r="D37" s="15">
        <v>330000</v>
      </c>
      <c r="E37" s="15">
        <f t="shared" si="6"/>
        <v>990000</v>
      </c>
      <c r="F37" s="16"/>
      <c r="L37" s="25"/>
      <c r="M37" s="13" t="s">
        <v>40</v>
      </c>
      <c r="N37" s="14">
        <v>0.3</v>
      </c>
      <c r="O37" s="15">
        <v>60000</v>
      </c>
      <c r="P37" s="15">
        <f t="shared" si="7"/>
        <v>18000</v>
      </c>
      <c r="Q37" s="15"/>
    </row>
    <row r="38" s="1" customFormat="1" spans="1:17">
      <c r="A38" s="12"/>
      <c r="B38" s="13" t="s">
        <v>55</v>
      </c>
      <c r="C38" s="14">
        <v>3</v>
      </c>
      <c r="D38" s="15">
        <v>20000</v>
      </c>
      <c r="E38" s="15">
        <f t="shared" si="6"/>
        <v>60000</v>
      </c>
      <c r="F38" s="16"/>
      <c r="L38" s="25"/>
      <c r="M38" s="13" t="s">
        <v>30</v>
      </c>
      <c r="N38" s="14">
        <v>3</v>
      </c>
      <c r="O38" s="15">
        <v>24000</v>
      </c>
      <c r="P38" s="15">
        <f t="shared" si="7"/>
        <v>72000</v>
      </c>
      <c r="Q38" s="15"/>
    </row>
    <row r="39" s="1" customFormat="1" spans="1:17">
      <c r="A39" s="12"/>
      <c r="B39" s="13" t="s">
        <v>35</v>
      </c>
      <c r="C39" s="14">
        <v>0.5</v>
      </c>
      <c r="D39" s="15">
        <v>40000</v>
      </c>
      <c r="E39" s="15">
        <f t="shared" si="6"/>
        <v>20000</v>
      </c>
      <c r="F39" s="16"/>
      <c r="L39" s="25"/>
      <c r="M39" s="13" t="s">
        <v>34</v>
      </c>
      <c r="N39" s="14">
        <v>1</v>
      </c>
      <c r="O39" s="15">
        <v>49000</v>
      </c>
      <c r="P39" s="15">
        <f t="shared" si="7"/>
        <v>49000</v>
      </c>
      <c r="Q39" s="15"/>
    </row>
    <row r="40" s="1" customFormat="1" spans="1:17">
      <c r="A40" s="12"/>
      <c r="B40" s="13" t="s">
        <v>56</v>
      </c>
      <c r="C40" s="14">
        <v>2</v>
      </c>
      <c r="D40" s="15">
        <v>30000</v>
      </c>
      <c r="E40" s="15">
        <f t="shared" si="6"/>
        <v>60000</v>
      </c>
      <c r="F40" s="16"/>
      <c r="L40" s="25"/>
      <c r="M40" s="13" t="s">
        <v>11</v>
      </c>
      <c r="N40" s="14">
        <v>4</v>
      </c>
      <c r="O40" s="15">
        <v>80000</v>
      </c>
      <c r="P40" s="15">
        <f t="shared" si="7"/>
        <v>320000</v>
      </c>
      <c r="Q40" s="15"/>
    </row>
    <row r="41" s="1" customFormat="1" spans="1:17">
      <c r="A41" s="12">
        <v>45934</v>
      </c>
      <c r="B41" s="13" t="s">
        <v>45</v>
      </c>
      <c r="C41" s="14">
        <v>0.3</v>
      </c>
      <c r="D41" s="15">
        <v>80000</v>
      </c>
      <c r="E41" s="15">
        <f t="shared" si="6"/>
        <v>24000</v>
      </c>
      <c r="F41" s="16">
        <f>SUM(E41:E56)</f>
        <v>2069000</v>
      </c>
      <c r="L41" s="25"/>
      <c r="M41" s="13" t="s">
        <v>57</v>
      </c>
      <c r="N41" s="14">
        <v>0.5</v>
      </c>
      <c r="O41" s="15">
        <v>35000</v>
      </c>
      <c r="P41" s="15">
        <v>18000</v>
      </c>
      <c r="Q41" s="15"/>
    </row>
    <row r="42" s="1" customFormat="1" spans="1:17">
      <c r="A42" s="12"/>
      <c r="B42" s="13" t="s">
        <v>58</v>
      </c>
      <c r="C42" s="14">
        <v>2</v>
      </c>
      <c r="D42" s="15">
        <v>15000</v>
      </c>
      <c r="E42" s="15">
        <f t="shared" si="6"/>
        <v>30000</v>
      </c>
      <c r="F42" s="16"/>
      <c r="L42" s="25"/>
      <c r="M42" s="13" t="s">
        <v>59</v>
      </c>
      <c r="N42" s="14">
        <v>0.3</v>
      </c>
      <c r="O42" s="15">
        <v>45000</v>
      </c>
      <c r="P42" s="15">
        <v>14000</v>
      </c>
      <c r="Q42" s="15"/>
    </row>
    <row r="43" s="1" customFormat="1" spans="1:17">
      <c r="A43" s="12"/>
      <c r="B43" s="13" t="s">
        <v>60</v>
      </c>
      <c r="C43" s="14">
        <v>1</v>
      </c>
      <c r="D43" s="15">
        <v>70000</v>
      </c>
      <c r="E43" s="15">
        <f t="shared" si="6"/>
        <v>70000</v>
      </c>
      <c r="F43" s="16"/>
      <c r="L43" s="25"/>
      <c r="M43" s="13" t="s">
        <v>61</v>
      </c>
      <c r="N43" s="14">
        <v>2</v>
      </c>
      <c r="O43" s="15">
        <v>25000</v>
      </c>
      <c r="P43" s="15">
        <f t="shared" ref="P43:P49" si="8">SUM(N43*O43)</f>
        <v>50000</v>
      </c>
      <c r="Q43" s="15"/>
    </row>
    <row r="44" s="1" customFormat="1" spans="1:17">
      <c r="A44" s="12"/>
      <c r="B44" s="13" t="s">
        <v>25</v>
      </c>
      <c r="C44" s="14">
        <v>1</v>
      </c>
      <c r="D44" s="15">
        <v>130000</v>
      </c>
      <c r="E44" s="15">
        <f t="shared" si="6"/>
        <v>130000</v>
      </c>
      <c r="F44" s="16"/>
      <c r="L44" s="25">
        <v>45935</v>
      </c>
      <c r="M44" s="13" t="s">
        <v>9</v>
      </c>
      <c r="N44" s="14">
        <v>3</v>
      </c>
      <c r="O44" s="15">
        <v>20000</v>
      </c>
      <c r="P44" s="15">
        <f t="shared" si="8"/>
        <v>60000</v>
      </c>
      <c r="Q44" s="15">
        <f>SUM(P44:P54)</f>
        <v>799000</v>
      </c>
    </row>
    <row r="45" s="1" customFormat="1" spans="1:17">
      <c r="A45" s="12"/>
      <c r="B45" s="13" t="s">
        <v>62</v>
      </c>
      <c r="C45" s="14">
        <v>1</v>
      </c>
      <c r="D45" s="15">
        <v>55000</v>
      </c>
      <c r="E45" s="15">
        <f t="shared" si="6"/>
        <v>55000</v>
      </c>
      <c r="F45" s="16"/>
      <c r="L45" s="25"/>
      <c r="M45" s="13" t="s">
        <v>20</v>
      </c>
      <c r="N45" s="14">
        <v>1</v>
      </c>
      <c r="O45" s="15">
        <v>48000</v>
      </c>
      <c r="P45" s="15">
        <f t="shared" si="8"/>
        <v>48000</v>
      </c>
      <c r="Q45" s="15"/>
    </row>
    <row r="46" s="1" customFormat="1" spans="1:17">
      <c r="A46" s="12"/>
      <c r="B46" s="13" t="s">
        <v>63</v>
      </c>
      <c r="C46" s="14">
        <v>5</v>
      </c>
      <c r="D46" s="15">
        <v>40000</v>
      </c>
      <c r="E46" s="15">
        <f t="shared" si="6"/>
        <v>200000</v>
      </c>
      <c r="F46" s="16"/>
      <c r="L46" s="25"/>
      <c r="M46" s="13" t="s">
        <v>53</v>
      </c>
      <c r="N46" s="14">
        <v>1</v>
      </c>
      <c r="O46" s="15">
        <v>15000</v>
      </c>
      <c r="P46" s="15">
        <f t="shared" si="8"/>
        <v>15000</v>
      </c>
      <c r="Q46" s="15"/>
    </row>
    <row r="47" s="1" customFormat="1" spans="1:17">
      <c r="A47" s="12"/>
      <c r="B47" s="13" t="s">
        <v>64</v>
      </c>
      <c r="C47" s="14">
        <v>2</v>
      </c>
      <c r="D47" s="15">
        <v>20000</v>
      </c>
      <c r="E47" s="15">
        <f t="shared" si="6"/>
        <v>40000</v>
      </c>
      <c r="F47" s="16"/>
      <c r="L47" s="25"/>
      <c r="M47" s="13" t="s">
        <v>30</v>
      </c>
      <c r="N47" s="14">
        <v>5</v>
      </c>
      <c r="O47" s="15">
        <v>24000</v>
      </c>
      <c r="P47" s="15">
        <f t="shared" si="8"/>
        <v>120000</v>
      </c>
      <c r="Q47" s="15"/>
    </row>
    <row r="48" s="1" customFormat="1" spans="1:17">
      <c r="A48" s="12"/>
      <c r="B48" s="13" t="s">
        <v>65</v>
      </c>
      <c r="C48" s="14">
        <v>2</v>
      </c>
      <c r="D48" s="15">
        <v>220000</v>
      </c>
      <c r="E48" s="15">
        <f t="shared" si="6"/>
        <v>440000</v>
      </c>
      <c r="F48" s="16"/>
      <c r="L48" s="25"/>
      <c r="M48" s="13" t="s">
        <v>11</v>
      </c>
      <c r="N48" s="14">
        <v>3</v>
      </c>
      <c r="O48" s="15">
        <v>80000</v>
      </c>
      <c r="P48" s="15">
        <f t="shared" si="8"/>
        <v>240000</v>
      </c>
      <c r="Q48" s="15"/>
    </row>
    <row r="49" s="1" customFormat="1" spans="1:17">
      <c r="A49" s="12"/>
      <c r="B49" s="13" t="s">
        <v>66</v>
      </c>
      <c r="C49" s="14">
        <v>2</v>
      </c>
      <c r="D49" s="15">
        <v>35000</v>
      </c>
      <c r="E49" s="15">
        <f t="shared" si="6"/>
        <v>70000</v>
      </c>
      <c r="F49" s="16"/>
      <c r="L49" s="25"/>
      <c r="M49" s="13" t="s">
        <v>24</v>
      </c>
      <c r="N49" s="14">
        <v>1</v>
      </c>
      <c r="O49" s="15">
        <v>40000</v>
      </c>
      <c r="P49" s="15">
        <f t="shared" si="8"/>
        <v>40000</v>
      </c>
      <c r="Q49" s="15"/>
    </row>
    <row r="50" s="1" customFormat="1" spans="1:17">
      <c r="A50" s="12"/>
      <c r="B50" s="13" t="s">
        <v>67</v>
      </c>
      <c r="C50" s="14">
        <v>2</v>
      </c>
      <c r="D50" s="15">
        <v>210000</v>
      </c>
      <c r="E50" s="15">
        <f t="shared" si="6"/>
        <v>420000</v>
      </c>
      <c r="F50" s="16"/>
      <c r="L50" s="25"/>
      <c r="M50" s="13" t="s">
        <v>28</v>
      </c>
      <c r="N50" s="14">
        <v>7.736</v>
      </c>
      <c r="O50" s="15">
        <v>15000</v>
      </c>
      <c r="P50" s="15">
        <v>116000</v>
      </c>
      <c r="Q50" s="15"/>
    </row>
    <row r="51" s="1" customFormat="1" spans="1:17">
      <c r="A51" s="12"/>
      <c r="B51" s="13" t="s">
        <v>68</v>
      </c>
      <c r="C51" s="14">
        <v>2</v>
      </c>
      <c r="D51" s="15">
        <v>30000</v>
      </c>
      <c r="E51" s="15">
        <f t="shared" si="6"/>
        <v>60000</v>
      </c>
      <c r="F51" s="16"/>
      <c r="L51" s="25"/>
      <c r="M51" s="13" t="s">
        <v>41</v>
      </c>
      <c r="N51" s="14">
        <v>0.5</v>
      </c>
      <c r="O51" s="15">
        <v>100000</v>
      </c>
      <c r="P51" s="15">
        <f t="shared" ref="P51:P57" si="9">SUM(N51*O51)</f>
        <v>50000</v>
      </c>
      <c r="Q51" s="15"/>
    </row>
    <row r="52" s="1" customFormat="1" spans="1:17">
      <c r="A52" s="12"/>
      <c r="B52" s="13" t="s">
        <v>69</v>
      </c>
      <c r="C52" s="14">
        <v>2</v>
      </c>
      <c r="D52" s="15">
        <v>28000</v>
      </c>
      <c r="E52" s="15">
        <f t="shared" si="6"/>
        <v>56000</v>
      </c>
      <c r="F52" s="16"/>
      <c r="L52" s="25"/>
      <c r="M52" s="13" t="s">
        <v>70</v>
      </c>
      <c r="N52" s="14">
        <v>1</v>
      </c>
      <c r="O52" s="15">
        <v>35000</v>
      </c>
      <c r="P52" s="15">
        <f t="shared" si="9"/>
        <v>35000</v>
      </c>
      <c r="Q52" s="15"/>
    </row>
    <row r="53" s="1" customFormat="1" spans="1:17">
      <c r="A53" s="12"/>
      <c r="B53" s="13" t="s">
        <v>71</v>
      </c>
      <c r="C53" s="14">
        <v>12</v>
      </c>
      <c r="D53" s="15">
        <v>7000</v>
      </c>
      <c r="E53" s="15">
        <f t="shared" si="6"/>
        <v>84000</v>
      </c>
      <c r="F53" s="16"/>
      <c r="L53" s="25"/>
      <c r="M53" s="13" t="s">
        <v>72</v>
      </c>
      <c r="N53" s="14">
        <v>1</v>
      </c>
      <c r="O53" s="15">
        <v>55000</v>
      </c>
      <c r="P53" s="15">
        <f t="shared" si="9"/>
        <v>55000</v>
      </c>
      <c r="Q53" s="15"/>
    </row>
    <row r="54" s="1" customFormat="1" spans="1:17">
      <c r="A54" s="12"/>
      <c r="B54" s="13" t="s">
        <v>73</v>
      </c>
      <c r="C54" s="14">
        <v>1</v>
      </c>
      <c r="D54" s="15">
        <v>40000</v>
      </c>
      <c r="E54" s="15">
        <f t="shared" si="6"/>
        <v>40000</v>
      </c>
      <c r="F54" s="16"/>
      <c r="L54" s="25"/>
      <c r="M54" s="13" t="s">
        <v>61</v>
      </c>
      <c r="N54" s="14">
        <v>1</v>
      </c>
      <c r="O54" s="15">
        <v>20000</v>
      </c>
      <c r="P54" s="15">
        <f t="shared" si="9"/>
        <v>20000</v>
      </c>
      <c r="Q54" s="15"/>
    </row>
    <row r="55" s="1" customFormat="1" spans="1:17">
      <c r="A55" s="12"/>
      <c r="B55" s="13" t="s">
        <v>74</v>
      </c>
      <c r="C55" s="14">
        <v>2</v>
      </c>
      <c r="D55" s="15">
        <v>100000</v>
      </c>
      <c r="E55" s="15">
        <f t="shared" si="6"/>
        <v>200000</v>
      </c>
      <c r="F55" s="16"/>
      <c r="L55" s="25">
        <v>45936</v>
      </c>
      <c r="M55" s="13" t="s">
        <v>9</v>
      </c>
      <c r="N55" s="14">
        <v>5</v>
      </c>
      <c r="O55" s="15">
        <v>20000</v>
      </c>
      <c r="P55" s="15">
        <f t="shared" si="9"/>
        <v>100000</v>
      </c>
      <c r="Q55" s="15">
        <f>SUM(P55:P65)</f>
        <v>821000</v>
      </c>
    </row>
    <row r="56" s="1" customFormat="1" spans="1:17">
      <c r="A56" s="12"/>
      <c r="B56" s="13" t="s">
        <v>55</v>
      </c>
      <c r="C56" s="14">
        <v>5</v>
      </c>
      <c r="D56" s="15">
        <v>30000</v>
      </c>
      <c r="E56" s="15">
        <f t="shared" si="6"/>
        <v>150000</v>
      </c>
      <c r="F56" s="16"/>
      <c r="L56" s="25"/>
      <c r="M56" s="13" t="s">
        <v>20</v>
      </c>
      <c r="N56" s="14">
        <v>1</v>
      </c>
      <c r="O56" s="15">
        <v>48000</v>
      </c>
      <c r="P56" s="15">
        <f t="shared" si="9"/>
        <v>48000</v>
      </c>
      <c r="Q56" s="15"/>
    </row>
    <row r="57" s="1" customFormat="1" spans="1:17">
      <c r="A57" s="12">
        <v>45934</v>
      </c>
      <c r="B57" s="13" t="s">
        <v>33</v>
      </c>
      <c r="C57" s="14">
        <v>2.274</v>
      </c>
      <c r="D57" s="15">
        <v>30000</v>
      </c>
      <c r="E57" s="15">
        <v>68000</v>
      </c>
      <c r="F57" s="16">
        <f>SUM(E57:E58)</f>
        <v>91000</v>
      </c>
      <c r="L57" s="25"/>
      <c r="M57" s="13" t="s">
        <v>11</v>
      </c>
      <c r="N57" s="14">
        <v>3</v>
      </c>
      <c r="O57" s="15">
        <v>80000</v>
      </c>
      <c r="P57" s="15">
        <f t="shared" si="9"/>
        <v>240000</v>
      </c>
      <c r="Q57" s="15"/>
    </row>
    <row r="58" s="1" customFormat="1" spans="1:17">
      <c r="A58" s="12"/>
      <c r="B58" s="13" t="s">
        <v>75</v>
      </c>
      <c r="C58" s="14">
        <v>0.615</v>
      </c>
      <c r="D58" s="15">
        <v>38000</v>
      </c>
      <c r="E58" s="15">
        <v>23000</v>
      </c>
      <c r="F58" s="16"/>
      <c r="L58" s="25"/>
      <c r="M58" s="13" t="s">
        <v>24</v>
      </c>
      <c r="N58" s="14">
        <v>1.08</v>
      </c>
      <c r="O58" s="15">
        <v>40000</v>
      </c>
      <c r="P58" s="15">
        <v>43000</v>
      </c>
      <c r="Q58" s="15"/>
    </row>
    <row r="59" s="1" customFormat="1" spans="1:17">
      <c r="A59" s="12">
        <v>45935</v>
      </c>
      <c r="B59" s="13" t="s">
        <v>36</v>
      </c>
      <c r="C59" s="14">
        <v>1</v>
      </c>
      <c r="D59" s="15">
        <v>130000</v>
      </c>
      <c r="E59" s="15">
        <f t="shared" ref="E59:E74" si="10">SUM(C59*D59)</f>
        <v>130000</v>
      </c>
      <c r="F59" s="16">
        <f>SUM(E59:E61)</f>
        <v>1065000</v>
      </c>
      <c r="L59" s="25"/>
      <c r="M59" s="13" t="s">
        <v>41</v>
      </c>
      <c r="N59" s="14">
        <v>0.5</v>
      </c>
      <c r="O59" s="15">
        <v>100000</v>
      </c>
      <c r="P59" s="15">
        <f t="shared" ref="P59:P78" si="11">SUM(N59*O59)</f>
        <v>50000</v>
      </c>
      <c r="Q59" s="15"/>
    </row>
    <row r="60" s="1" customFormat="1" spans="1:17">
      <c r="A60" s="12"/>
      <c r="B60" s="13" t="s">
        <v>76</v>
      </c>
      <c r="C60" s="14">
        <v>1</v>
      </c>
      <c r="D60" s="15">
        <v>275000</v>
      </c>
      <c r="E60" s="15">
        <f t="shared" si="10"/>
        <v>275000</v>
      </c>
      <c r="F60" s="16"/>
      <c r="L60" s="25"/>
      <c r="M60" s="13" t="s">
        <v>14</v>
      </c>
      <c r="N60" s="14">
        <v>10</v>
      </c>
      <c r="O60" s="15">
        <v>10000</v>
      </c>
      <c r="P60" s="15">
        <f t="shared" si="11"/>
        <v>100000</v>
      </c>
      <c r="Q60" s="15"/>
    </row>
    <row r="61" s="1" customFormat="1" spans="1:17">
      <c r="A61" s="12"/>
      <c r="B61" s="13" t="s">
        <v>54</v>
      </c>
      <c r="C61" s="14">
        <v>2</v>
      </c>
      <c r="D61" s="15">
        <v>330000</v>
      </c>
      <c r="E61" s="15">
        <f t="shared" si="10"/>
        <v>660000</v>
      </c>
      <c r="F61" s="16"/>
      <c r="L61" s="25"/>
      <c r="M61" s="13" t="s">
        <v>26</v>
      </c>
      <c r="N61" s="14">
        <v>0.3</v>
      </c>
      <c r="O61" s="15">
        <v>15000</v>
      </c>
      <c r="P61" s="15">
        <v>5000</v>
      </c>
      <c r="Q61" s="15"/>
    </row>
    <row r="62" s="1" customFormat="1" spans="1:17">
      <c r="A62" s="12">
        <v>45935</v>
      </c>
      <c r="B62" s="13" t="s">
        <v>77</v>
      </c>
      <c r="C62" s="14">
        <v>2.5</v>
      </c>
      <c r="D62" s="15">
        <v>52000</v>
      </c>
      <c r="E62" s="15">
        <f t="shared" si="10"/>
        <v>130000</v>
      </c>
      <c r="F62" s="16">
        <f>SUM(E62:E63)</f>
        <v>310000</v>
      </c>
      <c r="L62" s="25"/>
      <c r="M62" s="13" t="s">
        <v>30</v>
      </c>
      <c r="N62" s="14">
        <v>5</v>
      </c>
      <c r="O62" s="15">
        <v>24000</v>
      </c>
      <c r="P62" s="15">
        <f t="shared" si="11"/>
        <v>120000</v>
      </c>
      <c r="Q62" s="15"/>
    </row>
    <row r="63" s="1" customFormat="1" spans="1:17">
      <c r="A63" s="12"/>
      <c r="B63" s="13" t="s">
        <v>10</v>
      </c>
      <c r="C63" s="14">
        <v>2</v>
      </c>
      <c r="D63" s="15">
        <v>90000</v>
      </c>
      <c r="E63" s="15">
        <f t="shared" si="10"/>
        <v>180000</v>
      </c>
      <c r="F63" s="16"/>
      <c r="L63" s="25"/>
      <c r="M63" s="13" t="s">
        <v>32</v>
      </c>
      <c r="N63" s="14">
        <v>1</v>
      </c>
      <c r="O63" s="15">
        <v>40000</v>
      </c>
      <c r="P63" s="15">
        <f t="shared" si="11"/>
        <v>40000</v>
      </c>
      <c r="Q63" s="15"/>
    </row>
    <row r="64" s="1" customFormat="1" spans="1:17">
      <c r="A64" s="19">
        <v>45936</v>
      </c>
      <c r="B64" s="20" t="s">
        <v>48</v>
      </c>
      <c r="C64" s="21">
        <v>2</v>
      </c>
      <c r="D64" s="22">
        <v>40000</v>
      </c>
      <c r="E64" s="15">
        <f t="shared" si="10"/>
        <v>80000</v>
      </c>
      <c r="F64" s="23">
        <f>SUM(E64:E77)</f>
        <v>1476000</v>
      </c>
      <c r="L64" s="25"/>
      <c r="M64" s="13" t="s">
        <v>61</v>
      </c>
      <c r="N64" s="14">
        <v>1</v>
      </c>
      <c r="O64" s="15">
        <v>25000</v>
      </c>
      <c r="P64" s="15">
        <f t="shared" si="11"/>
        <v>25000</v>
      </c>
      <c r="Q64" s="15"/>
    </row>
    <row r="65" s="1" customFormat="1" spans="1:17">
      <c r="A65" s="19"/>
      <c r="B65" s="13" t="s">
        <v>78</v>
      </c>
      <c r="C65" s="14">
        <v>2</v>
      </c>
      <c r="D65" s="15">
        <v>25000</v>
      </c>
      <c r="E65" s="15">
        <f t="shared" si="10"/>
        <v>50000</v>
      </c>
      <c r="F65" s="23"/>
      <c r="L65" s="25"/>
      <c r="M65" s="13" t="s">
        <v>79</v>
      </c>
      <c r="N65" s="14">
        <v>2</v>
      </c>
      <c r="O65" s="15">
        <v>25000</v>
      </c>
      <c r="P65" s="15">
        <f t="shared" si="11"/>
        <v>50000</v>
      </c>
      <c r="Q65" s="15"/>
    </row>
    <row r="66" s="1" customFormat="1" spans="1:17">
      <c r="A66" s="19"/>
      <c r="B66" s="13" t="s">
        <v>21</v>
      </c>
      <c r="C66" s="14">
        <v>2</v>
      </c>
      <c r="D66" s="15">
        <v>25000</v>
      </c>
      <c r="E66" s="15">
        <f t="shared" si="10"/>
        <v>50000</v>
      </c>
      <c r="F66" s="23"/>
      <c r="L66" s="25">
        <v>45937</v>
      </c>
      <c r="M66" s="13" t="s">
        <v>9</v>
      </c>
      <c r="N66" s="14">
        <v>3</v>
      </c>
      <c r="O66" s="15">
        <v>20000</v>
      </c>
      <c r="P66" s="15">
        <f t="shared" si="11"/>
        <v>60000</v>
      </c>
      <c r="Q66" s="15">
        <f>SUM(P66:P74)</f>
        <v>759000</v>
      </c>
    </row>
    <row r="67" s="1" customFormat="1" spans="1:17">
      <c r="A67" s="19"/>
      <c r="B67" s="13" t="s">
        <v>15</v>
      </c>
      <c r="C67" s="14">
        <v>4</v>
      </c>
      <c r="D67" s="15">
        <v>75000</v>
      </c>
      <c r="E67" s="15">
        <f t="shared" si="10"/>
        <v>300000</v>
      </c>
      <c r="F67" s="23"/>
      <c r="L67" s="25"/>
      <c r="M67" s="13" t="s">
        <v>11</v>
      </c>
      <c r="N67" s="14">
        <v>4</v>
      </c>
      <c r="O67" s="15">
        <v>80000</v>
      </c>
      <c r="P67" s="15">
        <f t="shared" si="11"/>
        <v>320000</v>
      </c>
      <c r="Q67" s="15"/>
    </row>
    <row r="68" s="1" customFormat="1" spans="1:17">
      <c r="A68" s="19"/>
      <c r="B68" s="13" t="s">
        <v>80</v>
      </c>
      <c r="C68" s="14">
        <v>2</v>
      </c>
      <c r="D68" s="15">
        <v>170000</v>
      </c>
      <c r="E68" s="15">
        <f t="shared" si="10"/>
        <v>340000</v>
      </c>
      <c r="F68" s="23"/>
      <c r="L68" s="25"/>
      <c r="M68" s="13" t="s">
        <v>14</v>
      </c>
      <c r="N68" s="14">
        <v>8</v>
      </c>
      <c r="O68" s="15">
        <v>10000</v>
      </c>
      <c r="P68" s="15">
        <f t="shared" si="11"/>
        <v>80000</v>
      </c>
      <c r="Q68" s="15"/>
    </row>
    <row r="69" s="1" customFormat="1" spans="1:17">
      <c r="A69" s="19"/>
      <c r="B69" s="13" t="s">
        <v>45</v>
      </c>
      <c r="C69" s="14">
        <v>0.3</v>
      </c>
      <c r="D69" s="15">
        <v>80000</v>
      </c>
      <c r="E69" s="15">
        <f t="shared" si="10"/>
        <v>24000</v>
      </c>
      <c r="F69" s="23"/>
      <c r="L69" s="25"/>
      <c r="M69" s="13" t="s">
        <v>17</v>
      </c>
      <c r="N69" s="14">
        <v>0.3</v>
      </c>
      <c r="O69" s="15">
        <v>30000</v>
      </c>
      <c r="P69" s="15">
        <f t="shared" si="11"/>
        <v>9000</v>
      </c>
      <c r="Q69" s="15"/>
    </row>
    <row r="70" s="1" customFormat="1" spans="1:17">
      <c r="A70" s="19"/>
      <c r="B70" s="13" t="s">
        <v>81</v>
      </c>
      <c r="C70" s="14">
        <v>1</v>
      </c>
      <c r="D70" s="15">
        <v>160000</v>
      </c>
      <c r="E70" s="15">
        <f t="shared" si="10"/>
        <v>160000</v>
      </c>
      <c r="F70" s="23"/>
      <c r="L70" s="25"/>
      <c r="M70" s="13" t="s">
        <v>53</v>
      </c>
      <c r="N70" s="14">
        <v>1</v>
      </c>
      <c r="O70" s="15">
        <v>15000</v>
      </c>
      <c r="P70" s="15">
        <f t="shared" si="11"/>
        <v>15000</v>
      </c>
      <c r="Q70" s="15"/>
    </row>
    <row r="71" s="1" customFormat="1" spans="1:17">
      <c r="A71" s="19"/>
      <c r="B71" s="13" t="s">
        <v>82</v>
      </c>
      <c r="C71" s="14">
        <v>10</v>
      </c>
      <c r="D71" s="15">
        <v>5000</v>
      </c>
      <c r="E71" s="15">
        <f t="shared" si="10"/>
        <v>50000</v>
      </c>
      <c r="F71" s="23"/>
      <c r="L71" s="25"/>
      <c r="M71" s="13" t="s">
        <v>22</v>
      </c>
      <c r="N71" s="14">
        <v>2</v>
      </c>
      <c r="O71" s="15">
        <v>25000</v>
      </c>
      <c r="P71" s="15">
        <f t="shared" si="11"/>
        <v>50000</v>
      </c>
      <c r="Q71" s="15"/>
    </row>
    <row r="72" s="1" customFormat="1" spans="1:17">
      <c r="A72" s="19"/>
      <c r="B72" s="13" t="s">
        <v>83</v>
      </c>
      <c r="C72" s="14">
        <v>1</v>
      </c>
      <c r="D72" s="15">
        <v>195000</v>
      </c>
      <c r="E72" s="15">
        <f t="shared" si="10"/>
        <v>195000</v>
      </c>
      <c r="F72" s="23"/>
      <c r="L72" s="25"/>
      <c r="M72" s="13" t="s">
        <v>30</v>
      </c>
      <c r="N72" s="14">
        <v>4</v>
      </c>
      <c r="O72" s="15">
        <v>24000</v>
      </c>
      <c r="P72" s="15">
        <f t="shared" si="11"/>
        <v>96000</v>
      </c>
      <c r="Q72" s="15"/>
    </row>
    <row r="73" s="1" customFormat="1" spans="1:17">
      <c r="A73" s="19"/>
      <c r="B73" s="13" t="s">
        <v>84</v>
      </c>
      <c r="C73" s="14">
        <v>1</v>
      </c>
      <c r="D73" s="15">
        <v>95000</v>
      </c>
      <c r="E73" s="15">
        <f t="shared" si="10"/>
        <v>95000</v>
      </c>
      <c r="F73" s="23"/>
      <c r="L73" s="25"/>
      <c r="M73" s="13" t="s">
        <v>32</v>
      </c>
      <c r="N73" s="14">
        <v>2</v>
      </c>
      <c r="O73" s="15">
        <v>40000</v>
      </c>
      <c r="P73" s="15">
        <f t="shared" si="11"/>
        <v>80000</v>
      </c>
      <c r="Q73" s="15"/>
    </row>
    <row r="74" s="1" customFormat="1" spans="1:17">
      <c r="A74" s="19"/>
      <c r="B74" s="13" t="s">
        <v>85</v>
      </c>
      <c r="C74" s="14">
        <v>2</v>
      </c>
      <c r="D74" s="15">
        <v>40000</v>
      </c>
      <c r="E74" s="15">
        <f t="shared" si="10"/>
        <v>80000</v>
      </c>
      <c r="F74" s="23"/>
      <c r="L74" s="25"/>
      <c r="M74" s="13" t="s">
        <v>34</v>
      </c>
      <c r="N74" s="14">
        <v>1</v>
      </c>
      <c r="O74" s="15">
        <v>49000</v>
      </c>
      <c r="P74" s="15">
        <f t="shared" si="11"/>
        <v>49000</v>
      </c>
      <c r="Q74" s="15"/>
    </row>
    <row r="75" s="1" customFormat="1" spans="1:17">
      <c r="A75" s="19"/>
      <c r="B75" s="13" t="s">
        <v>86</v>
      </c>
      <c r="C75" s="14">
        <v>1.5</v>
      </c>
      <c r="D75" s="15">
        <v>15000</v>
      </c>
      <c r="E75" s="15">
        <v>23000</v>
      </c>
      <c r="F75" s="23"/>
      <c r="L75" s="25">
        <v>45938</v>
      </c>
      <c r="M75" s="13" t="s">
        <v>9</v>
      </c>
      <c r="N75" s="14">
        <v>3</v>
      </c>
      <c r="O75" s="15">
        <v>20000</v>
      </c>
      <c r="P75" s="15">
        <f t="shared" si="11"/>
        <v>60000</v>
      </c>
      <c r="Q75" s="15">
        <f>SUM(P75:P86)</f>
        <v>733000</v>
      </c>
    </row>
    <row r="76" s="1" customFormat="1" spans="1:17">
      <c r="A76" s="19"/>
      <c r="B76" s="13" t="s">
        <v>87</v>
      </c>
      <c r="C76" s="14">
        <v>1.5</v>
      </c>
      <c r="D76" s="15">
        <v>15000</v>
      </c>
      <c r="E76" s="15">
        <v>23000</v>
      </c>
      <c r="F76" s="23"/>
      <c r="L76" s="25"/>
      <c r="M76" s="13" t="s">
        <v>11</v>
      </c>
      <c r="N76" s="14">
        <v>3</v>
      </c>
      <c r="O76" s="15">
        <v>80000</v>
      </c>
      <c r="P76" s="15">
        <f t="shared" si="11"/>
        <v>240000</v>
      </c>
      <c r="Q76" s="15"/>
    </row>
    <row r="77" s="1" customFormat="1" spans="1:17">
      <c r="A77" s="32"/>
      <c r="B77" s="13" t="s">
        <v>88</v>
      </c>
      <c r="C77" s="14">
        <v>0.1</v>
      </c>
      <c r="D77" s="15">
        <v>60000</v>
      </c>
      <c r="E77" s="15">
        <f t="shared" ref="E77:E79" si="12">SUM(C77*D77)</f>
        <v>6000</v>
      </c>
      <c r="F77" s="33"/>
      <c r="L77" s="25"/>
      <c r="M77" s="13" t="s">
        <v>75</v>
      </c>
      <c r="N77" s="14">
        <v>1</v>
      </c>
      <c r="O77" s="15">
        <v>40000</v>
      </c>
      <c r="P77" s="15">
        <f t="shared" si="11"/>
        <v>40000</v>
      </c>
      <c r="Q77" s="15"/>
    </row>
    <row r="78" s="1" customFormat="1" spans="1:17">
      <c r="A78" s="12">
        <v>45936</v>
      </c>
      <c r="B78" s="13" t="s">
        <v>89</v>
      </c>
      <c r="C78" s="14">
        <v>1</v>
      </c>
      <c r="D78" s="15">
        <v>165000</v>
      </c>
      <c r="E78" s="15">
        <f t="shared" si="12"/>
        <v>165000</v>
      </c>
      <c r="F78" s="16">
        <f>SUM(E78:E81)</f>
        <v>313000</v>
      </c>
      <c r="L78" s="25"/>
      <c r="M78" s="13" t="s">
        <v>14</v>
      </c>
      <c r="N78" s="14">
        <v>6</v>
      </c>
      <c r="O78" s="15">
        <v>10000</v>
      </c>
      <c r="P78" s="15">
        <f t="shared" si="11"/>
        <v>60000</v>
      </c>
      <c r="Q78" s="15"/>
    </row>
    <row r="79" s="1" customFormat="1" spans="1:17">
      <c r="A79" s="12"/>
      <c r="B79" s="13" t="s">
        <v>49</v>
      </c>
      <c r="C79" s="14">
        <v>3</v>
      </c>
      <c r="D79" s="15">
        <v>25000</v>
      </c>
      <c r="E79" s="15">
        <f t="shared" si="12"/>
        <v>75000</v>
      </c>
      <c r="F79" s="16"/>
      <c r="L79" s="25"/>
      <c r="M79" s="13" t="s">
        <v>20</v>
      </c>
      <c r="N79" s="14">
        <v>1.1</v>
      </c>
      <c r="O79" s="15">
        <v>48000</v>
      </c>
      <c r="P79" s="15">
        <v>53000</v>
      </c>
      <c r="Q79" s="15"/>
    </row>
    <row r="80" s="1" customFormat="1" spans="1:17">
      <c r="A80" s="12"/>
      <c r="B80" s="13" t="s">
        <v>90</v>
      </c>
      <c r="C80" s="14">
        <v>0.5</v>
      </c>
      <c r="D80" s="15">
        <v>35000</v>
      </c>
      <c r="E80" s="15">
        <v>18000</v>
      </c>
      <c r="F80" s="16"/>
      <c r="L80" s="25"/>
      <c r="M80" s="13" t="s">
        <v>26</v>
      </c>
      <c r="N80" s="14">
        <v>0.3</v>
      </c>
      <c r="O80" s="15">
        <v>15000</v>
      </c>
      <c r="P80" s="15">
        <v>5000</v>
      </c>
      <c r="Q80" s="15"/>
    </row>
    <row r="81" s="1" customFormat="1" spans="1:17">
      <c r="A81" s="12"/>
      <c r="B81" s="13" t="s">
        <v>24</v>
      </c>
      <c r="C81" s="14">
        <v>1.382</v>
      </c>
      <c r="D81" s="15">
        <v>40000</v>
      </c>
      <c r="E81" s="15">
        <v>55000</v>
      </c>
      <c r="F81" s="16"/>
      <c r="L81" s="25"/>
      <c r="M81" s="34" t="s">
        <v>24</v>
      </c>
      <c r="N81" s="35">
        <v>2</v>
      </c>
      <c r="O81" s="15">
        <v>40000</v>
      </c>
      <c r="P81" s="15">
        <f t="shared" ref="P81:P87" si="13">SUM(N81*O81)</f>
        <v>80000</v>
      </c>
      <c r="Q81" s="15"/>
    </row>
    <row r="82" s="1" customFormat="1" spans="1:17">
      <c r="A82" s="12">
        <v>45937</v>
      </c>
      <c r="B82" s="13" t="s">
        <v>15</v>
      </c>
      <c r="C82" s="14">
        <v>4</v>
      </c>
      <c r="D82" s="15">
        <v>75000</v>
      </c>
      <c r="E82" s="15">
        <f t="shared" ref="E82:E145" si="14">SUM(C82*D82)</f>
        <v>300000</v>
      </c>
      <c r="F82" s="16">
        <f>SUM(E82:E97)</f>
        <v>3085000</v>
      </c>
      <c r="L82" s="25"/>
      <c r="M82" s="34" t="s">
        <v>17</v>
      </c>
      <c r="N82" s="35">
        <v>0.3</v>
      </c>
      <c r="O82" s="15">
        <v>30000</v>
      </c>
      <c r="P82" s="15">
        <f t="shared" si="13"/>
        <v>9000</v>
      </c>
      <c r="Q82" s="15"/>
    </row>
    <row r="83" s="1" customFormat="1" spans="1:17">
      <c r="A83" s="12"/>
      <c r="B83" s="13" t="s">
        <v>63</v>
      </c>
      <c r="C83" s="14">
        <v>5</v>
      </c>
      <c r="D83" s="15">
        <v>40000</v>
      </c>
      <c r="E83" s="15">
        <f t="shared" si="14"/>
        <v>200000</v>
      </c>
      <c r="F83" s="16"/>
      <c r="L83" s="25"/>
      <c r="M83" s="34" t="s">
        <v>53</v>
      </c>
      <c r="N83" s="35">
        <v>1.2</v>
      </c>
      <c r="O83" s="15">
        <v>15000</v>
      </c>
      <c r="P83" s="15">
        <f t="shared" si="13"/>
        <v>18000</v>
      </c>
      <c r="Q83" s="15"/>
    </row>
    <row r="84" s="1" customFormat="1" spans="1:17">
      <c r="A84" s="12"/>
      <c r="B84" s="13" t="s">
        <v>91</v>
      </c>
      <c r="C84" s="14">
        <v>3</v>
      </c>
      <c r="D84" s="15">
        <v>30000</v>
      </c>
      <c r="E84" s="15">
        <f t="shared" si="14"/>
        <v>90000</v>
      </c>
      <c r="F84" s="16"/>
      <c r="L84" s="25"/>
      <c r="M84" s="34" t="s">
        <v>30</v>
      </c>
      <c r="N84" s="35">
        <v>2</v>
      </c>
      <c r="O84" s="15">
        <v>24000</v>
      </c>
      <c r="P84" s="15">
        <f t="shared" si="13"/>
        <v>48000</v>
      </c>
      <c r="Q84" s="15"/>
    </row>
    <row r="85" s="1" customFormat="1" spans="1:17">
      <c r="A85" s="12"/>
      <c r="B85" s="13" t="s">
        <v>92</v>
      </c>
      <c r="C85" s="14">
        <v>3</v>
      </c>
      <c r="D85" s="15">
        <v>20000</v>
      </c>
      <c r="E85" s="15">
        <f t="shared" si="14"/>
        <v>60000</v>
      </c>
      <c r="F85" s="16"/>
      <c r="L85" s="25"/>
      <c r="M85" s="34" t="s">
        <v>93</v>
      </c>
      <c r="N85" s="35">
        <v>2</v>
      </c>
      <c r="O85" s="15">
        <v>35000</v>
      </c>
      <c r="P85" s="15">
        <f t="shared" si="13"/>
        <v>70000</v>
      </c>
      <c r="Q85" s="15"/>
    </row>
    <row r="86" s="1" customFormat="1" spans="1:17">
      <c r="A86" s="12"/>
      <c r="B86" s="13" t="s">
        <v>94</v>
      </c>
      <c r="C86" s="14">
        <v>6</v>
      </c>
      <c r="D86" s="15">
        <v>30000</v>
      </c>
      <c r="E86" s="15">
        <f t="shared" si="14"/>
        <v>180000</v>
      </c>
      <c r="F86" s="16"/>
      <c r="L86" s="25"/>
      <c r="M86" s="34" t="s">
        <v>41</v>
      </c>
      <c r="N86" s="35">
        <v>0.5</v>
      </c>
      <c r="O86" s="15">
        <v>100000</v>
      </c>
      <c r="P86" s="15">
        <f t="shared" si="13"/>
        <v>50000</v>
      </c>
      <c r="Q86" s="15"/>
    </row>
    <row r="87" s="1" customFormat="1" spans="1:17">
      <c r="A87" s="12"/>
      <c r="B87" s="13" t="s">
        <v>50</v>
      </c>
      <c r="C87" s="14">
        <v>4</v>
      </c>
      <c r="D87" s="15">
        <v>120000</v>
      </c>
      <c r="E87" s="15">
        <f t="shared" si="14"/>
        <v>480000</v>
      </c>
      <c r="F87" s="16"/>
      <c r="L87" s="25">
        <v>45939</v>
      </c>
      <c r="M87" s="34" t="s">
        <v>9</v>
      </c>
      <c r="N87" s="35">
        <v>3</v>
      </c>
      <c r="O87" s="15">
        <v>20000</v>
      </c>
      <c r="P87" s="15">
        <f t="shared" si="13"/>
        <v>60000</v>
      </c>
      <c r="Q87" s="15">
        <f>SUM(P87:P95)</f>
        <v>478000</v>
      </c>
    </row>
    <row r="88" s="1" customFormat="1" spans="1:17">
      <c r="A88" s="12"/>
      <c r="B88" s="13" t="s">
        <v>12</v>
      </c>
      <c r="C88" s="14">
        <v>5</v>
      </c>
      <c r="D88" s="15">
        <v>22000</v>
      </c>
      <c r="E88" s="15">
        <f t="shared" si="14"/>
        <v>110000</v>
      </c>
      <c r="F88" s="16"/>
      <c r="L88" s="25"/>
      <c r="M88" s="34" t="s">
        <v>11</v>
      </c>
      <c r="N88" s="35">
        <v>2.13</v>
      </c>
      <c r="O88" s="15">
        <v>80000</v>
      </c>
      <c r="P88" s="15">
        <v>170000</v>
      </c>
      <c r="Q88" s="15"/>
    </row>
    <row r="89" s="1" customFormat="1" spans="1:17">
      <c r="A89" s="12"/>
      <c r="B89" s="13" t="s">
        <v>10</v>
      </c>
      <c r="C89" s="14">
        <v>3</v>
      </c>
      <c r="D89" s="15">
        <v>90000</v>
      </c>
      <c r="E89" s="15">
        <f t="shared" si="14"/>
        <v>270000</v>
      </c>
      <c r="F89" s="16"/>
      <c r="L89" s="25"/>
      <c r="M89" s="34" t="s">
        <v>75</v>
      </c>
      <c r="N89" s="35">
        <v>1</v>
      </c>
      <c r="O89" s="15">
        <v>40000</v>
      </c>
      <c r="P89" s="15">
        <f t="shared" ref="P89:P116" si="15">SUM(N89*O89)</f>
        <v>40000</v>
      </c>
      <c r="Q89" s="15"/>
    </row>
    <row r="90" s="1" customFormat="1" spans="1:17">
      <c r="A90" s="12"/>
      <c r="B90" s="13" t="s">
        <v>95</v>
      </c>
      <c r="C90" s="14">
        <v>3</v>
      </c>
      <c r="D90" s="15">
        <v>90000</v>
      </c>
      <c r="E90" s="15">
        <f t="shared" si="14"/>
        <v>270000</v>
      </c>
      <c r="F90" s="16"/>
      <c r="L90" s="25"/>
      <c r="M90" s="34" t="s">
        <v>14</v>
      </c>
      <c r="N90" s="35">
        <v>4</v>
      </c>
      <c r="O90" s="15">
        <v>10000</v>
      </c>
      <c r="P90" s="15">
        <f t="shared" si="15"/>
        <v>40000</v>
      </c>
      <c r="Q90" s="15"/>
    </row>
    <row r="91" s="1" customFormat="1" spans="1:17">
      <c r="A91" s="12"/>
      <c r="B91" s="13" t="s">
        <v>49</v>
      </c>
      <c r="C91" s="14">
        <v>2</v>
      </c>
      <c r="D91" s="15">
        <v>25000</v>
      </c>
      <c r="E91" s="15">
        <f t="shared" si="14"/>
        <v>50000</v>
      </c>
      <c r="F91" s="16"/>
      <c r="L91" s="25"/>
      <c r="M91" s="34" t="s">
        <v>17</v>
      </c>
      <c r="N91" s="35">
        <v>0.3</v>
      </c>
      <c r="O91" s="15">
        <v>30000</v>
      </c>
      <c r="P91" s="15">
        <f t="shared" si="15"/>
        <v>9000</v>
      </c>
      <c r="Q91" s="15"/>
    </row>
    <row r="92" s="1" customFormat="1" spans="1:17">
      <c r="A92" s="12"/>
      <c r="B92" s="13" t="s">
        <v>96</v>
      </c>
      <c r="C92" s="14">
        <v>2</v>
      </c>
      <c r="D92" s="15">
        <v>120000</v>
      </c>
      <c r="E92" s="15">
        <f t="shared" si="14"/>
        <v>240000</v>
      </c>
      <c r="F92" s="16"/>
      <c r="L92" s="25"/>
      <c r="M92" s="34" t="s">
        <v>53</v>
      </c>
      <c r="N92" s="35">
        <v>1</v>
      </c>
      <c r="O92" s="15">
        <v>15000</v>
      </c>
      <c r="P92" s="15">
        <f t="shared" si="15"/>
        <v>15000</v>
      </c>
      <c r="Q92" s="15"/>
    </row>
    <row r="93" s="1" customFormat="1" spans="1:17">
      <c r="A93" s="12"/>
      <c r="B93" s="13" t="s">
        <v>11</v>
      </c>
      <c r="C93" s="14">
        <v>2</v>
      </c>
      <c r="D93" s="15">
        <v>30000</v>
      </c>
      <c r="E93" s="15">
        <f t="shared" si="14"/>
        <v>60000</v>
      </c>
      <c r="F93" s="16"/>
      <c r="L93" s="25"/>
      <c r="M93" s="34" t="s">
        <v>30</v>
      </c>
      <c r="N93" s="35">
        <v>2</v>
      </c>
      <c r="O93" s="15">
        <v>24000</v>
      </c>
      <c r="P93" s="15">
        <f t="shared" si="15"/>
        <v>48000</v>
      </c>
      <c r="Q93" s="15"/>
    </row>
    <row r="94" s="1" customFormat="1" spans="1:17">
      <c r="A94" s="12"/>
      <c r="B94" s="13" t="s">
        <v>77</v>
      </c>
      <c r="C94" s="14">
        <v>3</v>
      </c>
      <c r="D94" s="15">
        <v>85000</v>
      </c>
      <c r="E94" s="15">
        <f t="shared" si="14"/>
        <v>255000</v>
      </c>
      <c r="F94" s="16"/>
      <c r="L94" s="25"/>
      <c r="M94" s="34" t="s">
        <v>97</v>
      </c>
      <c r="N94" s="35">
        <v>2</v>
      </c>
      <c r="O94" s="15">
        <v>18000</v>
      </c>
      <c r="P94" s="15">
        <f t="shared" si="15"/>
        <v>36000</v>
      </c>
      <c r="Q94" s="15"/>
    </row>
    <row r="95" s="1" customFormat="1" spans="1:17">
      <c r="A95" s="12"/>
      <c r="B95" s="13" t="s">
        <v>98</v>
      </c>
      <c r="C95" s="14">
        <v>2</v>
      </c>
      <c r="D95" s="15">
        <v>30000</v>
      </c>
      <c r="E95" s="15">
        <f t="shared" si="14"/>
        <v>60000</v>
      </c>
      <c r="F95" s="16"/>
      <c r="L95" s="25"/>
      <c r="M95" s="34" t="s">
        <v>99</v>
      </c>
      <c r="N95" s="35">
        <v>2</v>
      </c>
      <c r="O95" s="15">
        <v>30000</v>
      </c>
      <c r="P95" s="15">
        <f t="shared" si="15"/>
        <v>60000</v>
      </c>
      <c r="Q95" s="15"/>
    </row>
    <row r="96" s="1" customFormat="1" spans="1:17">
      <c r="A96" s="12"/>
      <c r="B96" s="13" t="s">
        <v>27</v>
      </c>
      <c r="C96" s="14">
        <v>2</v>
      </c>
      <c r="D96" s="15">
        <v>200000</v>
      </c>
      <c r="E96" s="15">
        <f t="shared" si="14"/>
        <v>400000</v>
      </c>
      <c r="F96" s="16"/>
      <c r="L96" s="25">
        <v>45940</v>
      </c>
      <c r="M96" s="34" t="s">
        <v>9</v>
      </c>
      <c r="N96" s="35">
        <v>6</v>
      </c>
      <c r="O96" s="15">
        <v>20000</v>
      </c>
      <c r="P96" s="15">
        <f t="shared" si="15"/>
        <v>120000</v>
      </c>
      <c r="Q96" s="15">
        <f>SUM(P96:P108)</f>
        <v>954000</v>
      </c>
    </row>
    <row r="97" s="1" customFormat="1" spans="1:17">
      <c r="A97" s="12"/>
      <c r="B97" s="13" t="s">
        <v>100</v>
      </c>
      <c r="C97" s="14">
        <v>2</v>
      </c>
      <c r="D97" s="15">
        <v>30000</v>
      </c>
      <c r="E97" s="15">
        <f t="shared" si="14"/>
        <v>60000</v>
      </c>
      <c r="F97" s="16"/>
      <c r="L97" s="25"/>
      <c r="M97" s="34" t="s">
        <v>20</v>
      </c>
      <c r="N97" s="35">
        <v>1</v>
      </c>
      <c r="O97" s="15">
        <v>48000</v>
      </c>
      <c r="P97" s="15">
        <f t="shared" si="15"/>
        <v>48000</v>
      </c>
      <c r="Q97" s="15"/>
    </row>
    <row r="98" s="1" customFormat="1" spans="1:17">
      <c r="A98" s="12">
        <v>45938</v>
      </c>
      <c r="B98" s="13" t="s">
        <v>73</v>
      </c>
      <c r="C98" s="14">
        <v>2</v>
      </c>
      <c r="D98" s="15">
        <v>40000</v>
      </c>
      <c r="E98" s="15">
        <f t="shared" si="14"/>
        <v>80000</v>
      </c>
      <c r="F98" s="16">
        <f>SUM(E98:E107)</f>
        <v>1448000</v>
      </c>
      <c r="L98" s="25"/>
      <c r="M98" s="34" t="s">
        <v>53</v>
      </c>
      <c r="N98" s="35">
        <v>1</v>
      </c>
      <c r="O98" s="15">
        <v>15000</v>
      </c>
      <c r="P98" s="15">
        <f t="shared" si="15"/>
        <v>15000</v>
      </c>
      <c r="Q98" s="15"/>
    </row>
    <row r="99" s="1" customFormat="1" spans="1:17">
      <c r="A99" s="12"/>
      <c r="B99" s="13" t="s">
        <v>12</v>
      </c>
      <c r="C99" s="14">
        <v>3</v>
      </c>
      <c r="D99" s="15">
        <v>22000</v>
      </c>
      <c r="E99" s="15">
        <f t="shared" si="14"/>
        <v>66000</v>
      </c>
      <c r="F99" s="16"/>
      <c r="L99" s="25"/>
      <c r="M99" s="34" t="s">
        <v>26</v>
      </c>
      <c r="N99" s="35">
        <v>0.4</v>
      </c>
      <c r="O99" s="15">
        <v>15000</v>
      </c>
      <c r="P99" s="15">
        <f t="shared" si="15"/>
        <v>6000</v>
      </c>
      <c r="Q99" s="15"/>
    </row>
    <row r="100" s="1" customFormat="1" spans="1:17">
      <c r="A100" s="12"/>
      <c r="B100" s="13" t="s">
        <v>10</v>
      </c>
      <c r="C100" s="14">
        <v>3</v>
      </c>
      <c r="D100" s="15">
        <v>90000</v>
      </c>
      <c r="E100" s="15">
        <f t="shared" si="14"/>
        <v>270000</v>
      </c>
      <c r="F100" s="16"/>
      <c r="L100" s="25"/>
      <c r="M100" s="34" t="s">
        <v>17</v>
      </c>
      <c r="N100" s="35">
        <v>0.3</v>
      </c>
      <c r="O100" s="15">
        <v>30000</v>
      </c>
      <c r="P100" s="15">
        <f t="shared" si="15"/>
        <v>9000</v>
      </c>
      <c r="Q100" s="15"/>
    </row>
    <row r="101" s="1" customFormat="1" spans="1:17">
      <c r="A101" s="12"/>
      <c r="B101" s="13" t="s">
        <v>15</v>
      </c>
      <c r="C101" s="14">
        <v>4</v>
      </c>
      <c r="D101" s="15">
        <v>75000</v>
      </c>
      <c r="E101" s="15">
        <f t="shared" si="14"/>
        <v>300000</v>
      </c>
      <c r="F101" s="16"/>
      <c r="L101" s="25"/>
      <c r="M101" s="34" t="s">
        <v>40</v>
      </c>
      <c r="N101" s="35">
        <v>0.3</v>
      </c>
      <c r="O101" s="15">
        <v>60000</v>
      </c>
      <c r="P101" s="15">
        <f t="shared" si="15"/>
        <v>18000</v>
      </c>
      <c r="Q101" s="15"/>
    </row>
    <row r="102" s="1" customFormat="1" spans="1:17">
      <c r="A102" s="12"/>
      <c r="B102" s="13" t="s">
        <v>55</v>
      </c>
      <c r="C102" s="14">
        <v>5</v>
      </c>
      <c r="D102" s="15">
        <v>20000</v>
      </c>
      <c r="E102" s="15">
        <f t="shared" si="14"/>
        <v>100000</v>
      </c>
      <c r="F102" s="16"/>
      <c r="L102" s="25"/>
      <c r="M102" s="34" t="s">
        <v>30</v>
      </c>
      <c r="N102" s="35">
        <v>2</v>
      </c>
      <c r="O102" s="15">
        <v>24000</v>
      </c>
      <c r="P102" s="15">
        <f t="shared" si="15"/>
        <v>48000</v>
      </c>
      <c r="Q102" s="15"/>
    </row>
    <row r="103" s="1" customFormat="1" spans="1:17">
      <c r="A103" s="12"/>
      <c r="B103" s="13" t="s">
        <v>36</v>
      </c>
      <c r="C103" s="14">
        <v>1</v>
      </c>
      <c r="D103" s="15">
        <v>100000</v>
      </c>
      <c r="E103" s="15">
        <f t="shared" si="14"/>
        <v>100000</v>
      </c>
      <c r="F103" s="16"/>
      <c r="L103" s="25"/>
      <c r="M103" s="34" t="s">
        <v>32</v>
      </c>
      <c r="N103" s="35">
        <v>2</v>
      </c>
      <c r="O103" s="15">
        <v>40000</v>
      </c>
      <c r="P103" s="15">
        <f t="shared" si="15"/>
        <v>80000</v>
      </c>
      <c r="Q103" s="15"/>
    </row>
    <row r="104" s="1" customFormat="1" spans="1:17">
      <c r="A104" s="12"/>
      <c r="B104" s="13" t="s">
        <v>101</v>
      </c>
      <c r="C104" s="14">
        <v>2</v>
      </c>
      <c r="D104" s="15">
        <v>200000</v>
      </c>
      <c r="E104" s="15">
        <f t="shared" si="14"/>
        <v>400000</v>
      </c>
      <c r="F104" s="16"/>
      <c r="L104" s="25"/>
      <c r="M104" s="34" t="s">
        <v>11</v>
      </c>
      <c r="N104" s="35">
        <v>4</v>
      </c>
      <c r="O104" s="15">
        <v>80000</v>
      </c>
      <c r="P104" s="15">
        <f t="shared" si="15"/>
        <v>320000</v>
      </c>
      <c r="Q104" s="15"/>
    </row>
    <row r="105" s="1" customFormat="1" spans="1:17">
      <c r="A105" s="12"/>
      <c r="B105" s="13" t="s">
        <v>78</v>
      </c>
      <c r="C105" s="14">
        <v>2</v>
      </c>
      <c r="D105" s="15">
        <v>25000</v>
      </c>
      <c r="E105" s="15">
        <f t="shared" si="14"/>
        <v>50000</v>
      </c>
      <c r="F105" s="16"/>
      <c r="L105" s="25"/>
      <c r="M105" s="34" t="s">
        <v>24</v>
      </c>
      <c r="N105" s="35">
        <v>1</v>
      </c>
      <c r="O105" s="15">
        <v>40000</v>
      </c>
      <c r="P105" s="15">
        <f t="shared" si="15"/>
        <v>40000</v>
      </c>
      <c r="Q105" s="15"/>
    </row>
    <row r="106" s="1" customFormat="1" spans="1:17">
      <c r="A106" s="12"/>
      <c r="B106" s="13" t="s">
        <v>45</v>
      </c>
      <c r="C106" s="14">
        <v>0.4</v>
      </c>
      <c r="D106" s="15">
        <v>80000</v>
      </c>
      <c r="E106" s="15">
        <f t="shared" si="14"/>
        <v>32000</v>
      </c>
      <c r="F106" s="16"/>
      <c r="G106" s="18"/>
      <c r="L106" s="25"/>
      <c r="M106" s="34" t="s">
        <v>55</v>
      </c>
      <c r="N106" s="35">
        <v>5</v>
      </c>
      <c r="O106" s="15">
        <v>20000</v>
      </c>
      <c r="P106" s="15">
        <f t="shared" si="15"/>
        <v>100000</v>
      </c>
      <c r="Q106" s="15"/>
    </row>
    <row r="107" s="1" customFormat="1" spans="1:17">
      <c r="A107" s="12"/>
      <c r="B107" s="13" t="s">
        <v>102</v>
      </c>
      <c r="C107" s="14">
        <v>2</v>
      </c>
      <c r="D107" s="15">
        <v>25000</v>
      </c>
      <c r="E107" s="15">
        <f t="shared" si="14"/>
        <v>50000</v>
      </c>
      <c r="F107" s="16"/>
      <c r="G107" s="18"/>
      <c r="L107" s="25"/>
      <c r="M107" s="34" t="s">
        <v>103</v>
      </c>
      <c r="N107" s="35">
        <v>1</v>
      </c>
      <c r="O107" s="15">
        <v>50000</v>
      </c>
      <c r="P107" s="15">
        <f t="shared" si="15"/>
        <v>50000</v>
      </c>
      <c r="Q107" s="15"/>
    </row>
    <row r="108" s="1" customFormat="1" spans="1:17">
      <c r="A108" s="12">
        <v>45938</v>
      </c>
      <c r="B108" s="13" t="s">
        <v>104</v>
      </c>
      <c r="C108" s="14">
        <v>0.4</v>
      </c>
      <c r="D108" s="15">
        <v>80000</v>
      </c>
      <c r="E108" s="15">
        <f t="shared" si="14"/>
        <v>32000</v>
      </c>
      <c r="F108" s="16">
        <f>SUM(E108:E110)</f>
        <v>78000</v>
      </c>
      <c r="G108" s="18"/>
      <c r="L108" s="25"/>
      <c r="M108" s="34" t="s">
        <v>61</v>
      </c>
      <c r="N108" s="35">
        <v>4</v>
      </c>
      <c r="O108" s="15">
        <v>25000</v>
      </c>
      <c r="P108" s="15">
        <f t="shared" si="15"/>
        <v>100000</v>
      </c>
      <c r="Q108" s="15"/>
    </row>
    <row r="109" s="1" customFormat="1" spans="1:17">
      <c r="A109" s="12"/>
      <c r="B109" s="13" t="s">
        <v>105</v>
      </c>
      <c r="C109" s="14">
        <v>0.4</v>
      </c>
      <c r="D109" s="15">
        <v>100000</v>
      </c>
      <c r="E109" s="15">
        <f t="shared" si="14"/>
        <v>40000</v>
      </c>
      <c r="F109" s="16"/>
      <c r="G109" s="18"/>
      <c r="L109" s="25">
        <v>45941</v>
      </c>
      <c r="M109" s="34" t="s">
        <v>9</v>
      </c>
      <c r="N109" s="35">
        <v>3</v>
      </c>
      <c r="O109" s="15">
        <v>20000</v>
      </c>
      <c r="P109" s="15">
        <f t="shared" si="15"/>
        <v>60000</v>
      </c>
      <c r="Q109" s="15">
        <f>SUM(P109:P119)</f>
        <v>730000</v>
      </c>
    </row>
    <row r="110" s="1" customFormat="1" spans="1:17">
      <c r="A110" s="12"/>
      <c r="B110" s="13" t="s">
        <v>106</v>
      </c>
      <c r="C110" s="14">
        <v>0.3</v>
      </c>
      <c r="D110" s="15">
        <v>20000</v>
      </c>
      <c r="E110" s="15">
        <f t="shared" si="14"/>
        <v>6000</v>
      </c>
      <c r="F110" s="16"/>
      <c r="G110" s="18"/>
      <c r="L110" s="25"/>
      <c r="M110" s="34" t="s">
        <v>11</v>
      </c>
      <c r="N110" s="35">
        <v>4</v>
      </c>
      <c r="O110" s="15">
        <v>80000</v>
      </c>
      <c r="P110" s="15">
        <f t="shared" si="15"/>
        <v>320000</v>
      </c>
      <c r="Q110" s="15"/>
    </row>
    <row r="111" s="1" customFormat="1" spans="1:17">
      <c r="A111" s="12">
        <v>45939</v>
      </c>
      <c r="B111" s="13" t="s">
        <v>107</v>
      </c>
      <c r="C111" s="14">
        <v>1</v>
      </c>
      <c r="D111" s="15">
        <v>50000</v>
      </c>
      <c r="E111" s="15">
        <f t="shared" si="14"/>
        <v>50000</v>
      </c>
      <c r="F111" s="16">
        <f>SUM(E111:E123)</f>
        <v>1659000</v>
      </c>
      <c r="G111" s="18"/>
      <c r="L111" s="25"/>
      <c r="M111" s="34" t="s">
        <v>20</v>
      </c>
      <c r="N111" s="35">
        <v>1</v>
      </c>
      <c r="O111" s="15">
        <v>48000</v>
      </c>
      <c r="P111" s="15">
        <f t="shared" si="15"/>
        <v>48000</v>
      </c>
      <c r="Q111" s="15"/>
    </row>
    <row r="112" s="1" customFormat="1" spans="1:17">
      <c r="A112" s="12"/>
      <c r="B112" s="13" t="s">
        <v>108</v>
      </c>
      <c r="C112" s="14">
        <v>0.5</v>
      </c>
      <c r="D112" s="15">
        <v>100000</v>
      </c>
      <c r="E112" s="15">
        <f t="shared" si="14"/>
        <v>50000</v>
      </c>
      <c r="F112" s="16"/>
      <c r="G112" s="18"/>
      <c r="L112" s="25"/>
      <c r="M112" s="34" t="s">
        <v>53</v>
      </c>
      <c r="N112" s="35">
        <v>1</v>
      </c>
      <c r="O112" s="15">
        <v>15000</v>
      </c>
      <c r="P112" s="15">
        <f t="shared" si="15"/>
        <v>15000</v>
      </c>
      <c r="Q112" s="15"/>
    </row>
    <row r="113" s="1" customFormat="1" spans="1:17">
      <c r="A113" s="12"/>
      <c r="B113" s="13" t="s">
        <v>109</v>
      </c>
      <c r="C113" s="14">
        <v>1</v>
      </c>
      <c r="D113" s="15">
        <v>160000</v>
      </c>
      <c r="E113" s="15">
        <f t="shared" si="14"/>
        <v>160000</v>
      </c>
      <c r="F113" s="16"/>
      <c r="G113" s="18"/>
      <c r="L113" s="25"/>
      <c r="M113" s="34" t="s">
        <v>26</v>
      </c>
      <c r="N113" s="35">
        <v>0.4</v>
      </c>
      <c r="O113" s="15">
        <v>15000</v>
      </c>
      <c r="P113" s="15">
        <f t="shared" si="15"/>
        <v>6000</v>
      </c>
      <c r="Q113" s="15"/>
    </row>
    <row r="114" s="1" customFormat="1" spans="1:17">
      <c r="A114" s="12"/>
      <c r="B114" s="13" t="s">
        <v>21</v>
      </c>
      <c r="C114" s="14">
        <v>3</v>
      </c>
      <c r="D114" s="15">
        <v>25000</v>
      </c>
      <c r="E114" s="15">
        <f t="shared" si="14"/>
        <v>75000</v>
      </c>
      <c r="F114" s="16"/>
      <c r="G114" s="18"/>
      <c r="L114" s="25"/>
      <c r="M114" s="34" t="s">
        <v>17</v>
      </c>
      <c r="N114" s="35">
        <v>0.3</v>
      </c>
      <c r="O114" s="15">
        <v>30000</v>
      </c>
      <c r="P114" s="15">
        <f t="shared" si="15"/>
        <v>9000</v>
      </c>
      <c r="Q114" s="15"/>
    </row>
    <row r="115" s="1" customFormat="1" spans="1:17">
      <c r="A115" s="12"/>
      <c r="B115" s="13" t="s">
        <v>66</v>
      </c>
      <c r="C115" s="14">
        <v>2</v>
      </c>
      <c r="D115" s="15">
        <v>35000</v>
      </c>
      <c r="E115" s="15">
        <f t="shared" si="14"/>
        <v>70000</v>
      </c>
      <c r="F115" s="16"/>
      <c r="G115" s="18"/>
      <c r="L115" s="25"/>
      <c r="M115" s="34" t="s">
        <v>41</v>
      </c>
      <c r="N115" s="35">
        <v>0.5</v>
      </c>
      <c r="O115" s="15">
        <v>100000</v>
      </c>
      <c r="P115" s="15">
        <f t="shared" si="15"/>
        <v>50000</v>
      </c>
      <c r="Q115" s="15"/>
    </row>
    <row r="116" s="1" customFormat="1" spans="1:17">
      <c r="A116" s="12"/>
      <c r="B116" s="13" t="s">
        <v>65</v>
      </c>
      <c r="C116" s="14">
        <v>2</v>
      </c>
      <c r="D116" s="15">
        <v>220000</v>
      </c>
      <c r="E116" s="15">
        <f t="shared" si="14"/>
        <v>440000</v>
      </c>
      <c r="F116" s="16"/>
      <c r="G116" s="18"/>
      <c r="L116" s="25"/>
      <c r="M116" s="34" t="s">
        <v>24</v>
      </c>
      <c r="N116" s="35">
        <v>1</v>
      </c>
      <c r="O116" s="15">
        <v>40000</v>
      </c>
      <c r="P116" s="15">
        <f t="shared" si="15"/>
        <v>40000</v>
      </c>
      <c r="Q116" s="15"/>
    </row>
    <row r="117" s="1" customFormat="1" spans="1:17">
      <c r="A117" s="12"/>
      <c r="B117" s="13" t="s">
        <v>12</v>
      </c>
      <c r="C117" s="14">
        <v>2</v>
      </c>
      <c r="D117" s="15">
        <v>22000</v>
      </c>
      <c r="E117" s="15">
        <f t="shared" si="14"/>
        <v>44000</v>
      </c>
      <c r="F117" s="16"/>
      <c r="G117" s="18"/>
      <c r="L117" s="25"/>
      <c r="M117" s="34" t="s">
        <v>28</v>
      </c>
      <c r="N117" s="35">
        <v>3.3</v>
      </c>
      <c r="O117" s="15">
        <v>15000</v>
      </c>
      <c r="P117" s="15">
        <v>50000</v>
      </c>
      <c r="Q117" s="15"/>
    </row>
    <row r="118" s="1" customFormat="1" spans="1:17">
      <c r="A118" s="12"/>
      <c r="B118" s="13" t="s">
        <v>10</v>
      </c>
      <c r="C118" s="14">
        <v>2</v>
      </c>
      <c r="D118" s="15">
        <v>90000</v>
      </c>
      <c r="E118" s="15">
        <f t="shared" si="14"/>
        <v>180000</v>
      </c>
      <c r="F118" s="16"/>
      <c r="G118" s="18"/>
      <c r="L118" s="25"/>
      <c r="M118" s="34" t="s">
        <v>30</v>
      </c>
      <c r="N118" s="35">
        <v>3</v>
      </c>
      <c r="O118" s="15">
        <v>24000</v>
      </c>
      <c r="P118" s="15">
        <f t="shared" ref="P118:P123" si="16">SUM(N118*O118)</f>
        <v>72000</v>
      </c>
      <c r="Q118" s="15"/>
    </row>
    <row r="119" s="1" customFormat="1" spans="1:17">
      <c r="A119" s="12"/>
      <c r="B119" s="13" t="s">
        <v>110</v>
      </c>
      <c r="C119" s="14">
        <v>2</v>
      </c>
      <c r="D119" s="15">
        <v>90000</v>
      </c>
      <c r="E119" s="15">
        <f t="shared" si="14"/>
        <v>180000</v>
      </c>
      <c r="F119" s="16"/>
      <c r="G119" s="18"/>
      <c r="L119" s="25"/>
      <c r="M119" s="34" t="s">
        <v>99</v>
      </c>
      <c r="N119" s="35">
        <v>2</v>
      </c>
      <c r="O119" s="15">
        <v>30000</v>
      </c>
      <c r="P119" s="15">
        <f t="shared" si="16"/>
        <v>60000</v>
      </c>
      <c r="Q119" s="15"/>
    </row>
    <row r="120" s="1" customFormat="1" spans="1:17">
      <c r="A120" s="12"/>
      <c r="B120" s="13" t="s">
        <v>8</v>
      </c>
      <c r="C120" s="14">
        <v>2</v>
      </c>
      <c r="D120" s="15">
        <v>160000</v>
      </c>
      <c r="E120" s="15">
        <f t="shared" si="14"/>
        <v>320000</v>
      </c>
      <c r="F120" s="16"/>
      <c r="G120" s="18"/>
      <c r="L120" s="25">
        <v>45942</v>
      </c>
      <c r="M120" s="34" t="s">
        <v>9</v>
      </c>
      <c r="N120" s="35">
        <v>2</v>
      </c>
      <c r="O120" s="15">
        <v>20000</v>
      </c>
      <c r="P120" s="15">
        <f t="shared" si="16"/>
        <v>40000</v>
      </c>
      <c r="Q120" s="15">
        <f>SUM(P120:P129)</f>
        <v>602000</v>
      </c>
    </row>
    <row r="121" s="1" customFormat="1" spans="1:17">
      <c r="A121" s="12"/>
      <c r="B121" s="13" t="s">
        <v>111</v>
      </c>
      <c r="C121" s="14">
        <v>0.2</v>
      </c>
      <c r="D121" s="15">
        <v>70000</v>
      </c>
      <c r="E121" s="15">
        <f t="shared" si="14"/>
        <v>14000</v>
      </c>
      <c r="F121" s="16"/>
      <c r="G121" s="18"/>
      <c r="L121" s="25"/>
      <c r="M121" s="34" t="s">
        <v>11</v>
      </c>
      <c r="N121" s="35">
        <v>2</v>
      </c>
      <c r="O121" s="15">
        <v>80000</v>
      </c>
      <c r="P121" s="15">
        <f t="shared" si="16"/>
        <v>160000</v>
      </c>
      <c r="Q121" s="15"/>
    </row>
    <row r="122" s="1" customFormat="1" spans="1:17">
      <c r="A122" s="12"/>
      <c r="B122" s="13" t="s">
        <v>112</v>
      </c>
      <c r="C122" s="14">
        <v>0.2</v>
      </c>
      <c r="D122" s="15">
        <v>80000</v>
      </c>
      <c r="E122" s="15">
        <f t="shared" si="14"/>
        <v>16000</v>
      </c>
      <c r="F122" s="16"/>
      <c r="G122" s="18"/>
      <c r="L122" s="25"/>
      <c r="M122" s="34" t="s">
        <v>14</v>
      </c>
      <c r="N122" s="35">
        <v>6</v>
      </c>
      <c r="O122" s="15">
        <v>1000</v>
      </c>
      <c r="P122" s="15">
        <f t="shared" si="16"/>
        <v>6000</v>
      </c>
      <c r="Q122" s="15"/>
    </row>
    <row r="123" s="1" customFormat="1" spans="1:17">
      <c r="A123" s="12"/>
      <c r="B123" s="13" t="s">
        <v>55</v>
      </c>
      <c r="C123" s="14">
        <v>3</v>
      </c>
      <c r="D123" s="15">
        <v>20000</v>
      </c>
      <c r="E123" s="15">
        <f t="shared" si="14"/>
        <v>60000</v>
      </c>
      <c r="F123" s="16"/>
      <c r="G123" s="18"/>
      <c r="L123" s="25"/>
      <c r="M123" s="34" t="s">
        <v>17</v>
      </c>
      <c r="N123" s="35">
        <v>0.3</v>
      </c>
      <c r="O123" s="15">
        <v>30000</v>
      </c>
      <c r="P123" s="15">
        <f t="shared" si="16"/>
        <v>9000</v>
      </c>
      <c r="Q123" s="15"/>
    </row>
    <row r="124" s="1" customFormat="1" spans="1:17">
      <c r="A124" s="19">
        <v>45939</v>
      </c>
      <c r="B124" s="20" t="s">
        <v>56</v>
      </c>
      <c r="C124" s="21">
        <v>3</v>
      </c>
      <c r="D124" s="22">
        <v>30000</v>
      </c>
      <c r="E124" s="15">
        <f t="shared" si="14"/>
        <v>90000</v>
      </c>
      <c r="F124" s="23">
        <f>SUM(E124:E125)</f>
        <v>105000</v>
      </c>
      <c r="G124" s="18"/>
      <c r="L124" s="25"/>
      <c r="M124" s="34" t="s">
        <v>28</v>
      </c>
      <c r="N124" s="35">
        <v>3.674</v>
      </c>
      <c r="O124" s="15">
        <v>15000</v>
      </c>
      <c r="P124" s="15">
        <v>55000</v>
      </c>
      <c r="Q124" s="15"/>
    </row>
    <row r="125" s="1" customFormat="1" spans="1:17">
      <c r="A125" s="32"/>
      <c r="B125" s="13" t="s">
        <v>86</v>
      </c>
      <c r="C125" s="14">
        <v>1</v>
      </c>
      <c r="D125" s="15">
        <v>15000</v>
      </c>
      <c r="E125" s="15">
        <f t="shared" si="14"/>
        <v>15000</v>
      </c>
      <c r="F125" s="33"/>
      <c r="G125" s="18"/>
      <c r="L125" s="25"/>
      <c r="M125" s="34" t="s">
        <v>113</v>
      </c>
      <c r="N125" s="35">
        <v>2</v>
      </c>
      <c r="O125" s="15">
        <v>55000</v>
      </c>
      <c r="P125" s="15">
        <f t="shared" ref="P125:P133" si="17">SUM(N125*O125)</f>
        <v>110000</v>
      </c>
      <c r="Q125" s="15"/>
    </row>
    <row r="126" s="1" customFormat="1" spans="1:17">
      <c r="A126" s="12">
        <v>45940</v>
      </c>
      <c r="B126" s="13" t="s">
        <v>11</v>
      </c>
      <c r="C126" s="14">
        <v>1</v>
      </c>
      <c r="D126" s="15">
        <v>80000</v>
      </c>
      <c r="E126" s="15">
        <f t="shared" si="14"/>
        <v>80000</v>
      </c>
      <c r="F126" s="16">
        <f>SUM(E126:E135)</f>
        <v>1471000</v>
      </c>
      <c r="G126" s="18"/>
      <c r="L126" s="25"/>
      <c r="M126" s="34" t="s">
        <v>30</v>
      </c>
      <c r="N126" s="35">
        <v>5</v>
      </c>
      <c r="O126" s="15">
        <v>24000</v>
      </c>
      <c r="P126" s="15">
        <f t="shared" si="17"/>
        <v>120000</v>
      </c>
      <c r="Q126" s="15"/>
    </row>
    <row r="127" s="1" customFormat="1" spans="1:17">
      <c r="A127" s="12"/>
      <c r="B127" s="13" t="s">
        <v>48</v>
      </c>
      <c r="C127" s="14">
        <v>2</v>
      </c>
      <c r="D127" s="15">
        <v>40000</v>
      </c>
      <c r="E127" s="15">
        <f t="shared" si="14"/>
        <v>80000</v>
      </c>
      <c r="F127" s="16"/>
      <c r="G127" s="18"/>
      <c r="L127" s="25"/>
      <c r="M127" s="34" t="s">
        <v>32</v>
      </c>
      <c r="N127" s="35">
        <v>1</v>
      </c>
      <c r="O127" s="15">
        <v>40000</v>
      </c>
      <c r="P127" s="15">
        <f t="shared" si="17"/>
        <v>40000</v>
      </c>
      <c r="Q127" s="15"/>
    </row>
    <row r="128" s="1" customFormat="1" spans="1:17">
      <c r="A128" s="12"/>
      <c r="B128" s="13" t="s">
        <v>114</v>
      </c>
      <c r="C128" s="14">
        <v>3</v>
      </c>
      <c r="D128" s="15">
        <v>55000</v>
      </c>
      <c r="E128" s="15">
        <f t="shared" si="14"/>
        <v>165000</v>
      </c>
      <c r="F128" s="16"/>
      <c r="G128" s="18"/>
      <c r="L128" s="25"/>
      <c r="M128" s="34" t="s">
        <v>61</v>
      </c>
      <c r="N128" s="35">
        <v>2</v>
      </c>
      <c r="O128" s="15">
        <v>25000</v>
      </c>
      <c r="P128" s="15">
        <f t="shared" si="17"/>
        <v>50000</v>
      </c>
      <c r="Q128" s="15"/>
    </row>
    <row r="129" s="1" customFormat="1" spans="1:17">
      <c r="A129" s="12"/>
      <c r="B129" s="13" t="s">
        <v>61</v>
      </c>
      <c r="C129" s="14">
        <v>2</v>
      </c>
      <c r="D129" s="15">
        <v>20000</v>
      </c>
      <c r="E129" s="15">
        <f t="shared" si="14"/>
        <v>40000</v>
      </c>
      <c r="F129" s="16"/>
      <c r="G129" s="18"/>
      <c r="L129" s="25"/>
      <c r="M129" s="34" t="s">
        <v>115</v>
      </c>
      <c r="N129" s="35">
        <v>0.2</v>
      </c>
      <c r="O129" s="15">
        <v>60000</v>
      </c>
      <c r="P129" s="15">
        <f t="shared" si="17"/>
        <v>12000</v>
      </c>
      <c r="Q129" s="15"/>
    </row>
    <row r="130" s="1" customFormat="1" spans="1:17">
      <c r="A130" s="12"/>
      <c r="B130" s="13" t="s">
        <v>50</v>
      </c>
      <c r="C130" s="14">
        <v>4</v>
      </c>
      <c r="D130" s="15">
        <v>120000</v>
      </c>
      <c r="E130" s="15">
        <f t="shared" si="14"/>
        <v>480000</v>
      </c>
      <c r="F130" s="16"/>
      <c r="G130" s="18"/>
      <c r="L130" s="25">
        <v>45943</v>
      </c>
      <c r="M130" s="34" t="s">
        <v>9</v>
      </c>
      <c r="N130" s="35">
        <v>3</v>
      </c>
      <c r="O130" s="15">
        <v>25000</v>
      </c>
      <c r="P130" s="15">
        <f t="shared" si="17"/>
        <v>75000</v>
      </c>
      <c r="Q130" s="15">
        <f>SUM(P130:P140)</f>
        <v>824000</v>
      </c>
    </row>
    <row r="131" s="1" customFormat="1" spans="1:17">
      <c r="A131" s="12"/>
      <c r="B131" s="13" t="s">
        <v>12</v>
      </c>
      <c r="C131" s="14">
        <v>2</v>
      </c>
      <c r="D131" s="15">
        <v>22000</v>
      </c>
      <c r="E131" s="15">
        <f t="shared" si="14"/>
        <v>44000</v>
      </c>
      <c r="F131" s="16"/>
      <c r="G131" s="18"/>
      <c r="L131" s="25"/>
      <c r="M131" s="34" t="s">
        <v>11</v>
      </c>
      <c r="N131" s="35">
        <v>3</v>
      </c>
      <c r="O131" s="15">
        <v>80000</v>
      </c>
      <c r="P131" s="15">
        <f t="shared" si="17"/>
        <v>240000</v>
      </c>
      <c r="Q131" s="15"/>
    </row>
    <row r="132" s="1" customFormat="1" spans="1:17">
      <c r="A132" s="12"/>
      <c r="B132" s="13" t="s">
        <v>80</v>
      </c>
      <c r="C132" s="14">
        <v>3</v>
      </c>
      <c r="D132" s="15">
        <v>170000</v>
      </c>
      <c r="E132" s="15">
        <f t="shared" si="14"/>
        <v>510000</v>
      </c>
      <c r="F132" s="16"/>
      <c r="G132" s="18"/>
      <c r="L132" s="25"/>
      <c r="M132" s="34" t="s">
        <v>14</v>
      </c>
      <c r="N132" s="35">
        <v>6</v>
      </c>
      <c r="O132" s="15">
        <v>10000</v>
      </c>
      <c r="P132" s="15">
        <f t="shared" si="17"/>
        <v>60000</v>
      </c>
      <c r="Q132" s="15"/>
    </row>
    <row r="133" s="1" customFormat="1" spans="1:17">
      <c r="A133" s="12"/>
      <c r="B133" s="13" t="s">
        <v>45</v>
      </c>
      <c r="C133" s="14">
        <v>0.3</v>
      </c>
      <c r="D133" s="15">
        <v>80000</v>
      </c>
      <c r="E133" s="15">
        <f t="shared" si="14"/>
        <v>24000</v>
      </c>
      <c r="F133" s="16"/>
      <c r="L133" s="25"/>
      <c r="M133" s="34" t="s">
        <v>17</v>
      </c>
      <c r="N133" s="35">
        <v>0.3</v>
      </c>
      <c r="O133" s="15">
        <v>30000</v>
      </c>
      <c r="P133" s="15">
        <f t="shared" si="17"/>
        <v>9000</v>
      </c>
      <c r="Q133" s="15"/>
    </row>
    <row r="134" s="1" customFormat="1" spans="1:17">
      <c r="A134" s="12"/>
      <c r="B134" s="13" t="s">
        <v>33</v>
      </c>
      <c r="C134" s="14">
        <v>1.5</v>
      </c>
      <c r="D134" s="15">
        <v>28000</v>
      </c>
      <c r="E134" s="15">
        <f t="shared" si="14"/>
        <v>42000</v>
      </c>
      <c r="F134" s="16"/>
      <c r="L134" s="25"/>
      <c r="M134" s="34" t="s">
        <v>28</v>
      </c>
      <c r="N134" s="35">
        <v>4.32</v>
      </c>
      <c r="O134" s="15">
        <v>15000</v>
      </c>
      <c r="P134" s="15">
        <v>65000</v>
      </c>
      <c r="Q134" s="15"/>
    </row>
    <row r="135" s="1" customFormat="1" spans="1:17">
      <c r="A135" s="12"/>
      <c r="B135" s="13" t="s">
        <v>88</v>
      </c>
      <c r="C135" s="14">
        <v>0.1</v>
      </c>
      <c r="D135" s="15">
        <v>60000</v>
      </c>
      <c r="E135" s="15">
        <f t="shared" si="14"/>
        <v>6000</v>
      </c>
      <c r="F135" s="16"/>
      <c r="L135" s="25"/>
      <c r="M135" s="34" t="s">
        <v>41</v>
      </c>
      <c r="N135" s="35">
        <v>0.5</v>
      </c>
      <c r="O135" s="15">
        <v>100000</v>
      </c>
      <c r="P135" s="15">
        <f t="shared" ref="P135:P144" si="18">SUM(N135*O135)</f>
        <v>50000</v>
      </c>
      <c r="Q135" s="15"/>
    </row>
    <row r="136" s="1" customFormat="1" spans="1:17">
      <c r="A136" s="12">
        <v>45941</v>
      </c>
      <c r="B136" s="13" t="s">
        <v>38</v>
      </c>
      <c r="C136" s="14">
        <v>3</v>
      </c>
      <c r="D136" s="15">
        <v>360000</v>
      </c>
      <c r="E136" s="15">
        <f t="shared" si="14"/>
        <v>1080000</v>
      </c>
      <c r="F136" s="16">
        <f>SUM(E136:E149)</f>
        <v>2995000</v>
      </c>
      <c r="L136" s="25"/>
      <c r="M136" s="34" t="s">
        <v>26</v>
      </c>
      <c r="N136" s="35">
        <v>0.3</v>
      </c>
      <c r="O136" s="15">
        <v>15000</v>
      </c>
      <c r="P136" s="15">
        <v>5000</v>
      </c>
      <c r="Q136" s="15"/>
    </row>
    <row r="137" s="1" customFormat="1" spans="1:17">
      <c r="A137" s="12"/>
      <c r="B137" s="13" t="s">
        <v>93</v>
      </c>
      <c r="C137" s="14">
        <v>2</v>
      </c>
      <c r="D137" s="15">
        <v>35000</v>
      </c>
      <c r="E137" s="15">
        <f t="shared" si="14"/>
        <v>70000</v>
      </c>
      <c r="F137" s="16"/>
      <c r="L137" s="25"/>
      <c r="M137" s="34" t="s">
        <v>24</v>
      </c>
      <c r="N137" s="35">
        <v>1</v>
      </c>
      <c r="O137" s="15">
        <v>40000</v>
      </c>
      <c r="P137" s="15">
        <f t="shared" si="18"/>
        <v>40000</v>
      </c>
      <c r="Q137" s="15"/>
    </row>
    <row r="138" s="1" customFormat="1" spans="1:17">
      <c r="A138" s="12"/>
      <c r="B138" s="13" t="s">
        <v>64</v>
      </c>
      <c r="C138" s="14">
        <v>2</v>
      </c>
      <c r="D138" s="15">
        <v>20000</v>
      </c>
      <c r="E138" s="15">
        <f t="shared" si="14"/>
        <v>40000</v>
      </c>
      <c r="F138" s="16"/>
      <c r="L138" s="25"/>
      <c r="M138" s="34" t="s">
        <v>20</v>
      </c>
      <c r="N138" s="35">
        <v>1</v>
      </c>
      <c r="O138" s="15">
        <v>48000</v>
      </c>
      <c r="P138" s="15">
        <f t="shared" si="18"/>
        <v>48000</v>
      </c>
      <c r="Q138" s="15"/>
    </row>
    <row r="139" s="1" customFormat="1" spans="1:17">
      <c r="A139" s="12"/>
      <c r="B139" s="13" t="s">
        <v>50</v>
      </c>
      <c r="C139" s="14">
        <v>4</v>
      </c>
      <c r="D139" s="15">
        <v>120000</v>
      </c>
      <c r="E139" s="15">
        <f t="shared" si="14"/>
        <v>480000</v>
      </c>
      <c r="F139" s="16"/>
      <c r="L139" s="25"/>
      <c r="M139" s="34" t="s">
        <v>30</v>
      </c>
      <c r="N139" s="35">
        <v>8</v>
      </c>
      <c r="O139" s="15">
        <v>24000</v>
      </c>
      <c r="P139" s="15">
        <f t="shared" si="18"/>
        <v>192000</v>
      </c>
      <c r="Q139" s="15"/>
    </row>
    <row r="140" s="1" customFormat="1" spans="1:17">
      <c r="A140" s="12"/>
      <c r="B140" s="13" t="s">
        <v>36</v>
      </c>
      <c r="C140" s="14">
        <v>1</v>
      </c>
      <c r="D140" s="15">
        <v>100000</v>
      </c>
      <c r="E140" s="15">
        <f t="shared" si="14"/>
        <v>100000</v>
      </c>
      <c r="F140" s="16"/>
      <c r="L140" s="25"/>
      <c r="M140" s="34" t="s">
        <v>32</v>
      </c>
      <c r="N140" s="35">
        <v>1</v>
      </c>
      <c r="O140" s="15">
        <v>40000</v>
      </c>
      <c r="P140" s="15">
        <f t="shared" si="18"/>
        <v>40000</v>
      </c>
      <c r="Q140" s="15"/>
    </row>
    <row r="141" s="1" customFormat="1" spans="1:17">
      <c r="A141" s="12"/>
      <c r="B141" s="13" t="s">
        <v>116</v>
      </c>
      <c r="C141" s="14">
        <v>2</v>
      </c>
      <c r="D141" s="15">
        <v>170000</v>
      </c>
      <c r="E141" s="15">
        <f t="shared" si="14"/>
        <v>340000</v>
      </c>
      <c r="F141" s="16"/>
      <c r="L141" s="25">
        <v>45944</v>
      </c>
      <c r="M141" s="34" t="s">
        <v>9</v>
      </c>
      <c r="N141" s="35">
        <v>3</v>
      </c>
      <c r="O141" s="15">
        <v>25000</v>
      </c>
      <c r="P141" s="15">
        <f t="shared" si="18"/>
        <v>75000</v>
      </c>
      <c r="Q141" s="15">
        <f>SUM(P141:P154)</f>
        <v>1004000</v>
      </c>
    </row>
    <row r="142" s="1" customFormat="1" spans="1:17">
      <c r="A142" s="12"/>
      <c r="B142" s="13" t="s">
        <v>10</v>
      </c>
      <c r="C142" s="14">
        <v>2</v>
      </c>
      <c r="D142" s="15">
        <v>90000</v>
      </c>
      <c r="E142" s="15">
        <f t="shared" si="14"/>
        <v>180000</v>
      </c>
      <c r="F142" s="16"/>
      <c r="L142" s="25"/>
      <c r="M142" s="34" t="s">
        <v>11</v>
      </c>
      <c r="N142" s="35">
        <v>3</v>
      </c>
      <c r="O142" s="15">
        <v>80000</v>
      </c>
      <c r="P142" s="15">
        <f t="shared" si="18"/>
        <v>240000</v>
      </c>
      <c r="Q142" s="15"/>
    </row>
    <row r="143" s="1" customFormat="1" spans="1:17">
      <c r="A143" s="12"/>
      <c r="B143" s="13" t="s">
        <v>12</v>
      </c>
      <c r="C143" s="14">
        <v>2</v>
      </c>
      <c r="D143" s="15">
        <v>22000</v>
      </c>
      <c r="E143" s="15">
        <f t="shared" si="14"/>
        <v>44000</v>
      </c>
      <c r="F143" s="16"/>
      <c r="L143" s="25"/>
      <c r="M143" s="34" t="s">
        <v>14</v>
      </c>
      <c r="N143" s="35">
        <v>8</v>
      </c>
      <c r="O143" s="15">
        <v>10000</v>
      </c>
      <c r="P143" s="15">
        <f t="shared" si="18"/>
        <v>80000</v>
      </c>
      <c r="Q143" s="15"/>
    </row>
    <row r="144" s="1" customFormat="1" spans="1:17">
      <c r="A144" s="12"/>
      <c r="B144" s="13" t="s">
        <v>95</v>
      </c>
      <c r="C144" s="14">
        <v>2</v>
      </c>
      <c r="D144" s="15">
        <v>90000</v>
      </c>
      <c r="E144" s="15">
        <f t="shared" si="14"/>
        <v>180000</v>
      </c>
      <c r="F144" s="16"/>
      <c r="L144" s="25"/>
      <c r="M144" s="34" t="s">
        <v>17</v>
      </c>
      <c r="N144" s="35">
        <v>0.5</v>
      </c>
      <c r="O144" s="15">
        <v>30000</v>
      </c>
      <c r="P144" s="15">
        <f t="shared" si="18"/>
        <v>15000</v>
      </c>
      <c r="Q144" s="15"/>
    </row>
    <row r="145" s="1" customFormat="1" spans="1:17">
      <c r="A145" s="12"/>
      <c r="B145" s="13" t="s">
        <v>24</v>
      </c>
      <c r="C145" s="14">
        <v>2</v>
      </c>
      <c r="D145" s="15">
        <v>40000</v>
      </c>
      <c r="E145" s="15">
        <f t="shared" si="14"/>
        <v>80000</v>
      </c>
      <c r="F145" s="16"/>
      <c r="L145" s="25"/>
      <c r="M145" s="34" t="s">
        <v>28</v>
      </c>
      <c r="N145" s="35">
        <v>3.79</v>
      </c>
      <c r="O145" s="15">
        <v>15000</v>
      </c>
      <c r="P145" s="15">
        <v>57000</v>
      </c>
      <c r="Q145" s="15"/>
    </row>
    <row r="146" s="1" customFormat="1" spans="1:17">
      <c r="A146" s="12"/>
      <c r="B146" s="13" t="s">
        <v>83</v>
      </c>
      <c r="C146" s="14">
        <v>1</v>
      </c>
      <c r="D146" s="15">
        <v>195000</v>
      </c>
      <c r="E146" s="15">
        <f t="shared" ref="E146:E153" si="19">SUM(C146*D146)</f>
        <v>195000</v>
      </c>
      <c r="F146" s="16"/>
      <c r="L146" s="25"/>
      <c r="M146" s="34" t="s">
        <v>41</v>
      </c>
      <c r="N146" s="35">
        <v>0.5</v>
      </c>
      <c r="O146" s="15">
        <v>100000</v>
      </c>
      <c r="P146" s="15">
        <f t="shared" ref="P146:P159" si="20">SUM(N146*O146)</f>
        <v>50000</v>
      </c>
      <c r="Q146" s="15"/>
    </row>
    <row r="147" s="1" customFormat="1" spans="1:17">
      <c r="A147" s="12"/>
      <c r="B147" s="13" t="s">
        <v>58</v>
      </c>
      <c r="C147" s="14">
        <v>2</v>
      </c>
      <c r="D147" s="15">
        <v>15000</v>
      </c>
      <c r="E147" s="15">
        <f t="shared" si="19"/>
        <v>30000</v>
      </c>
      <c r="F147" s="16"/>
      <c r="L147" s="25"/>
      <c r="M147" s="34" t="s">
        <v>26</v>
      </c>
      <c r="N147" s="35">
        <v>0.3</v>
      </c>
      <c r="O147" s="15">
        <v>15000</v>
      </c>
      <c r="P147" s="15">
        <v>5000</v>
      </c>
      <c r="Q147" s="15"/>
    </row>
    <row r="148" s="1" customFormat="1" spans="1:17">
      <c r="A148" s="12"/>
      <c r="B148" s="13" t="s">
        <v>52</v>
      </c>
      <c r="C148" s="14">
        <v>1.174</v>
      </c>
      <c r="D148" s="15">
        <v>65000</v>
      </c>
      <c r="E148" s="15">
        <v>76000</v>
      </c>
      <c r="F148" s="16"/>
      <c r="L148" s="25"/>
      <c r="M148" s="34" t="s">
        <v>22</v>
      </c>
      <c r="N148" s="35">
        <v>1</v>
      </c>
      <c r="O148" s="15">
        <v>25000</v>
      </c>
      <c r="P148" s="15">
        <f t="shared" si="20"/>
        <v>25000</v>
      </c>
      <c r="Q148" s="15"/>
    </row>
    <row r="149" s="1" customFormat="1" spans="1:17">
      <c r="A149" s="12"/>
      <c r="B149" s="13" t="s">
        <v>117</v>
      </c>
      <c r="C149" s="14">
        <v>1</v>
      </c>
      <c r="D149" s="15">
        <v>100000</v>
      </c>
      <c r="E149" s="15">
        <f t="shared" si="19"/>
        <v>100000</v>
      </c>
      <c r="F149" s="16"/>
      <c r="L149" s="25"/>
      <c r="M149" s="34" t="s">
        <v>20</v>
      </c>
      <c r="N149" s="35">
        <v>1</v>
      </c>
      <c r="O149" s="15">
        <v>48000</v>
      </c>
      <c r="P149" s="15">
        <f t="shared" si="20"/>
        <v>48000</v>
      </c>
      <c r="Q149" s="15"/>
    </row>
    <row r="150" s="1" customFormat="1" spans="1:17">
      <c r="A150" s="19">
        <v>45942</v>
      </c>
      <c r="B150" s="20" t="s">
        <v>54</v>
      </c>
      <c r="C150" s="21">
        <v>2</v>
      </c>
      <c r="D150" s="22">
        <v>330000</v>
      </c>
      <c r="E150" s="15">
        <f t="shared" si="19"/>
        <v>660000</v>
      </c>
      <c r="F150" s="23">
        <f>SUM(E150:E154)</f>
        <v>781000</v>
      </c>
      <c r="L150" s="25"/>
      <c r="M150" s="34" t="s">
        <v>30</v>
      </c>
      <c r="N150" s="35">
        <v>4</v>
      </c>
      <c r="O150" s="15">
        <v>24000</v>
      </c>
      <c r="P150" s="15">
        <f t="shared" si="20"/>
        <v>96000</v>
      </c>
      <c r="Q150" s="15"/>
    </row>
    <row r="151" s="1" customFormat="1" spans="1:17">
      <c r="A151" s="19"/>
      <c r="B151" s="13" t="s">
        <v>118</v>
      </c>
      <c r="C151" s="14">
        <v>1</v>
      </c>
      <c r="D151" s="15">
        <v>26000</v>
      </c>
      <c r="E151" s="15">
        <f t="shared" si="19"/>
        <v>26000</v>
      </c>
      <c r="F151" s="23"/>
      <c r="L151" s="25"/>
      <c r="M151" s="34" t="s">
        <v>34</v>
      </c>
      <c r="N151" s="35">
        <v>1</v>
      </c>
      <c r="O151" s="15">
        <v>49000</v>
      </c>
      <c r="P151" s="15">
        <f t="shared" si="20"/>
        <v>49000</v>
      </c>
      <c r="Q151" s="15"/>
    </row>
    <row r="152" s="1" customFormat="1" spans="1:17">
      <c r="A152" s="19"/>
      <c r="B152" s="13" t="s">
        <v>119</v>
      </c>
      <c r="C152" s="14">
        <v>0.5</v>
      </c>
      <c r="D152" s="15">
        <v>50000</v>
      </c>
      <c r="E152" s="15">
        <f t="shared" si="19"/>
        <v>25000</v>
      </c>
      <c r="F152" s="23"/>
      <c r="L152" s="25"/>
      <c r="M152" s="34" t="s">
        <v>32</v>
      </c>
      <c r="N152" s="35">
        <v>4</v>
      </c>
      <c r="O152" s="15">
        <v>40000</v>
      </c>
      <c r="P152" s="15">
        <f t="shared" si="20"/>
        <v>160000</v>
      </c>
      <c r="Q152" s="15"/>
    </row>
    <row r="153" s="1" customFormat="1" spans="1:17">
      <c r="A153" s="19"/>
      <c r="B153" s="13" t="s">
        <v>120</v>
      </c>
      <c r="C153" s="14">
        <v>20</v>
      </c>
      <c r="D153" s="15">
        <v>1000</v>
      </c>
      <c r="E153" s="15">
        <f t="shared" si="19"/>
        <v>20000</v>
      </c>
      <c r="F153" s="23"/>
      <c r="L153" s="25"/>
      <c r="M153" s="34" t="s">
        <v>121</v>
      </c>
      <c r="N153" s="35">
        <v>2</v>
      </c>
      <c r="O153" s="15">
        <v>45000</v>
      </c>
      <c r="P153" s="15">
        <f t="shared" si="20"/>
        <v>90000</v>
      </c>
      <c r="Q153" s="15"/>
    </row>
    <row r="154" s="1" customFormat="1" spans="1:17">
      <c r="A154" s="32"/>
      <c r="B154" s="13" t="s">
        <v>33</v>
      </c>
      <c r="C154" s="14">
        <v>1.66</v>
      </c>
      <c r="D154" s="15">
        <v>30000</v>
      </c>
      <c r="E154" s="15">
        <v>50000</v>
      </c>
      <c r="F154" s="33"/>
      <c r="L154" s="25"/>
      <c r="M154" s="34" t="s">
        <v>57</v>
      </c>
      <c r="N154" s="35">
        <v>0.4</v>
      </c>
      <c r="O154" s="15">
        <v>35000</v>
      </c>
      <c r="P154" s="15">
        <f t="shared" si="20"/>
        <v>14000</v>
      </c>
      <c r="Q154" s="15"/>
    </row>
    <row r="155" s="1" customFormat="1" spans="1:17">
      <c r="A155" s="12">
        <v>45943</v>
      </c>
      <c r="B155" s="13" t="s">
        <v>12</v>
      </c>
      <c r="C155" s="14">
        <v>8</v>
      </c>
      <c r="D155" s="15">
        <v>22000</v>
      </c>
      <c r="E155" s="15">
        <f t="shared" ref="E155:E161" si="21">SUM(C155*D155)</f>
        <v>176000</v>
      </c>
      <c r="F155" s="16">
        <f>SUM(E155:E176)</f>
        <v>3650000</v>
      </c>
      <c r="L155" s="25">
        <v>45945</v>
      </c>
      <c r="M155" s="34" t="s">
        <v>9</v>
      </c>
      <c r="N155" s="35">
        <v>3</v>
      </c>
      <c r="O155" s="15">
        <v>25000</v>
      </c>
      <c r="P155" s="15">
        <f t="shared" si="20"/>
        <v>75000</v>
      </c>
      <c r="Q155" s="15">
        <f>SUM(P155:P164)</f>
        <v>755000</v>
      </c>
    </row>
    <row r="156" s="1" customFormat="1" spans="1:17">
      <c r="A156" s="12"/>
      <c r="B156" s="13" t="s">
        <v>122</v>
      </c>
      <c r="C156" s="14">
        <v>7</v>
      </c>
      <c r="D156" s="15">
        <v>25000</v>
      </c>
      <c r="E156" s="15">
        <f t="shared" si="21"/>
        <v>175000</v>
      </c>
      <c r="F156" s="16"/>
      <c r="L156" s="25"/>
      <c r="M156" s="34" t="s">
        <v>11</v>
      </c>
      <c r="N156" s="35">
        <v>3</v>
      </c>
      <c r="O156" s="15">
        <v>80000</v>
      </c>
      <c r="P156" s="15">
        <f t="shared" si="20"/>
        <v>240000</v>
      </c>
      <c r="Q156" s="15"/>
    </row>
    <row r="157" s="1" customFormat="1" spans="1:17">
      <c r="A157" s="12"/>
      <c r="B157" s="13" t="s">
        <v>123</v>
      </c>
      <c r="C157" s="14">
        <v>5</v>
      </c>
      <c r="D157" s="15">
        <v>15000</v>
      </c>
      <c r="E157" s="15">
        <f t="shared" si="21"/>
        <v>75000</v>
      </c>
      <c r="F157" s="16"/>
      <c r="L157" s="25"/>
      <c r="M157" s="34" t="s">
        <v>14</v>
      </c>
      <c r="N157" s="35">
        <v>8</v>
      </c>
      <c r="O157" s="15">
        <v>10000</v>
      </c>
      <c r="P157" s="15">
        <f t="shared" si="20"/>
        <v>80000</v>
      </c>
      <c r="Q157" s="15"/>
    </row>
    <row r="158" s="1" customFormat="1" spans="1:17">
      <c r="A158" s="12"/>
      <c r="B158" s="13" t="s">
        <v>38</v>
      </c>
      <c r="C158" s="14">
        <v>2</v>
      </c>
      <c r="D158" s="15">
        <v>360000</v>
      </c>
      <c r="E158" s="15">
        <f t="shared" si="21"/>
        <v>720000</v>
      </c>
      <c r="F158" s="16"/>
      <c r="L158" s="25"/>
      <c r="M158" s="34" t="s">
        <v>17</v>
      </c>
      <c r="N158" s="35">
        <v>0.5</v>
      </c>
      <c r="O158" s="15">
        <v>30000</v>
      </c>
      <c r="P158" s="15">
        <f t="shared" si="20"/>
        <v>15000</v>
      </c>
      <c r="Q158" s="15"/>
    </row>
    <row r="159" s="1" customFormat="1" spans="1:17">
      <c r="A159" s="12"/>
      <c r="B159" s="13" t="s">
        <v>63</v>
      </c>
      <c r="C159" s="14">
        <v>3</v>
      </c>
      <c r="D159" s="15">
        <v>40000</v>
      </c>
      <c r="E159" s="15">
        <f t="shared" si="21"/>
        <v>120000</v>
      </c>
      <c r="F159" s="16"/>
      <c r="L159" s="25"/>
      <c r="M159" s="34" t="s">
        <v>41</v>
      </c>
      <c r="N159" s="35">
        <v>0.5</v>
      </c>
      <c r="O159" s="15">
        <v>100000</v>
      </c>
      <c r="P159" s="15">
        <f t="shared" si="20"/>
        <v>50000</v>
      </c>
      <c r="Q159" s="15"/>
    </row>
    <row r="160" s="1" customFormat="1" spans="1:17">
      <c r="A160" s="12"/>
      <c r="B160" s="13" t="s">
        <v>48</v>
      </c>
      <c r="C160" s="14">
        <v>2</v>
      </c>
      <c r="D160" s="15">
        <v>40000</v>
      </c>
      <c r="E160" s="15">
        <f t="shared" si="21"/>
        <v>80000</v>
      </c>
      <c r="F160" s="16"/>
      <c r="L160" s="25"/>
      <c r="M160" s="34" t="s">
        <v>26</v>
      </c>
      <c r="N160" s="35">
        <v>0.3</v>
      </c>
      <c r="O160" s="15">
        <v>15000</v>
      </c>
      <c r="P160" s="15">
        <v>5000</v>
      </c>
      <c r="Q160" s="15"/>
    </row>
    <row r="161" s="1" customFormat="1" spans="1:17">
      <c r="A161" s="12"/>
      <c r="B161" s="13" t="s">
        <v>118</v>
      </c>
      <c r="C161" s="14">
        <v>6.7</v>
      </c>
      <c r="D161" s="15">
        <v>20000</v>
      </c>
      <c r="E161" s="15">
        <f t="shared" si="21"/>
        <v>134000</v>
      </c>
      <c r="F161" s="16"/>
      <c r="L161" s="25"/>
      <c r="M161" s="34" t="s">
        <v>22</v>
      </c>
      <c r="N161" s="35">
        <v>1</v>
      </c>
      <c r="O161" s="15">
        <v>25000</v>
      </c>
      <c r="P161" s="15">
        <f t="shared" ref="P161:P169" si="22">SUM(N161*O161)</f>
        <v>25000</v>
      </c>
      <c r="Q161" s="15"/>
    </row>
    <row r="162" s="1" customFormat="1" spans="1:17">
      <c r="A162" s="12"/>
      <c r="B162" s="13" t="s">
        <v>33</v>
      </c>
      <c r="C162" s="14">
        <v>3.796</v>
      </c>
      <c r="D162" s="15">
        <v>25000</v>
      </c>
      <c r="E162" s="15">
        <v>95000</v>
      </c>
      <c r="F162" s="16"/>
      <c r="L162" s="25"/>
      <c r="M162" s="34" t="s">
        <v>20</v>
      </c>
      <c r="N162" s="35">
        <v>2</v>
      </c>
      <c r="O162" s="15">
        <v>48000</v>
      </c>
      <c r="P162" s="15">
        <f t="shared" si="22"/>
        <v>96000</v>
      </c>
      <c r="Q162" s="15"/>
    </row>
    <row r="163" s="1" customFormat="1" spans="1:17">
      <c r="A163" s="12"/>
      <c r="B163" s="13" t="s">
        <v>36</v>
      </c>
      <c r="C163" s="14">
        <v>1</v>
      </c>
      <c r="D163" s="15">
        <v>95000</v>
      </c>
      <c r="E163" s="15">
        <f t="shared" ref="E163:E170" si="23">SUM(C163*D163)</f>
        <v>95000</v>
      </c>
      <c r="F163" s="16"/>
      <c r="L163" s="25"/>
      <c r="M163" s="34" t="s">
        <v>30</v>
      </c>
      <c r="N163" s="35">
        <v>5</v>
      </c>
      <c r="O163" s="15">
        <v>24000</v>
      </c>
      <c r="P163" s="15">
        <f t="shared" si="22"/>
        <v>120000</v>
      </c>
      <c r="Q163" s="15"/>
    </row>
    <row r="164" s="1" customFormat="1" spans="1:17">
      <c r="A164" s="12"/>
      <c r="B164" s="13" t="s">
        <v>15</v>
      </c>
      <c r="C164" s="14">
        <v>4</v>
      </c>
      <c r="D164" s="15">
        <v>70000</v>
      </c>
      <c r="E164" s="15">
        <f t="shared" si="23"/>
        <v>280000</v>
      </c>
      <c r="F164" s="16"/>
      <c r="L164" s="25"/>
      <c r="M164" s="34" t="s">
        <v>34</v>
      </c>
      <c r="N164" s="35">
        <v>1</v>
      </c>
      <c r="O164" s="15">
        <v>49000</v>
      </c>
      <c r="P164" s="15">
        <f t="shared" si="22"/>
        <v>49000</v>
      </c>
      <c r="Q164" s="15"/>
    </row>
    <row r="165" s="1" customFormat="1" spans="1:17">
      <c r="A165" s="12"/>
      <c r="B165" s="13" t="s">
        <v>124</v>
      </c>
      <c r="C165" s="14">
        <v>25</v>
      </c>
      <c r="D165" s="15">
        <v>15000</v>
      </c>
      <c r="E165" s="15">
        <f t="shared" si="23"/>
        <v>375000</v>
      </c>
      <c r="F165" s="16"/>
      <c r="L165" s="25">
        <v>45946</v>
      </c>
      <c r="M165" s="34" t="s">
        <v>9</v>
      </c>
      <c r="N165" s="35">
        <v>3</v>
      </c>
      <c r="O165" s="15">
        <v>25000</v>
      </c>
      <c r="P165" s="15">
        <f t="shared" si="22"/>
        <v>75000</v>
      </c>
      <c r="Q165" s="15">
        <f>SUM(P165:P174)</f>
        <v>715000</v>
      </c>
    </row>
    <row r="166" s="1" customFormat="1" spans="1:17">
      <c r="A166" s="12"/>
      <c r="B166" s="13" t="s">
        <v>42</v>
      </c>
      <c r="C166" s="14">
        <v>1</v>
      </c>
      <c r="D166" s="15">
        <v>200000</v>
      </c>
      <c r="E166" s="15">
        <f t="shared" si="23"/>
        <v>200000</v>
      </c>
      <c r="F166" s="16"/>
      <c r="L166" s="25"/>
      <c r="M166" s="34" t="s">
        <v>11</v>
      </c>
      <c r="N166" s="35">
        <v>2</v>
      </c>
      <c r="O166" s="15">
        <v>80000</v>
      </c>
      <c r="P166" s="15">
        <f t="shared" si="22"/>
        <v>160000</v>
      </c>
      <c r="Q166" s="15"/>
    </row>
    <row r="167" s="1" customFormat="1" spans="1:17">
      <c r="A167" s="12"/>
      <c r="B167" s="13" t="s">
        <v>77</v>
      </c>
      <c r="C167" s="14">
        <v>2</v>
      </c>
      <c r="D167" s="15">
        <v>90000</v>
      </c>
      <c r="E167" s="15">
        <f t="shared" si="23"/>
        <v>180000</v>
      </c>
      <c r="F167" s="16"/>
      <c r="L167" s="25"/>
      <c r="M167" s="34" t="s">
        <v>14</v>
      </c>
      <c r="N167" s="35">
        <v>6</v>
      </c>
      <c r="O167" s="15">
        <v>10000</v>
      </c>
      <c r="P167" s="15">
        <f t="shared" si="22"/>
        <v>60000</v>
      </c>
      <c r="Q167" s="15"/>
    </row>
    <row r="168" s="1" customFormat="1" spans="1:17">
      <c r="A168" s="12"/>
      <c r="B168" s="13" t="s">
        <v>125</v>
      </c>
      <c r="C168" s="14">
        <v>0.2</v>
      </c>
      <c r="D168" s="15">
        <v>60000</v>
      </c>
      <c r="E168" s="15">
        <f t="shared" si="23"/>
        <v>12000</v>
      </c>
      <c r="F168" s="16"/>
      <c r="L168" s="25"/>
      <c r="M168" s="34" t="s">
        <v>17</v>
      </c>
      <c r="N168" s="35">
        <v>0.5</v>
      </c>
      <c r="O168" s="15">
        <v>30000</v>
      </c>
      <c r="P168" s="15">
        <f t="shared" si="22"/>
        <v>15000</v>
      </c>
      <c r="Q168" s="15"/>
    </row>
    <row r="169" s="1" customFormat="1" spans="1:17">
      <c r="A169" s="12"/>
      <c r="B169" s="13" t="s">
        <v>86</v>
      </c>
      <c r="C169" s="14">
        <v>1</v>
      </c>
      <c r="D169" s="15">
        <v>12000</v>
      </c>
      <c r="E169" s="15">
        <f t="shared" si="23"/>
        <v>12000</v>
      </c>
      <c r="F169" s="16"/>
      <c r="L169" s="25"/>
      <c r="M169" s="34" t="s">
        <v>53</v>
      </c>
      <c r="N169" s="35">
        <v>1</v>
      </c>
      <c r="O169" s="15">
        <v>15000</v>
      </c>
      <c r="P169" s="15">
        <f t="shared" si="22"/>
        <v>15000</v>
      </c>
      <c r="Q169" s="15"/>
    </row>
    <row r="170" s="1" customFormat="1" spans="1:17">
      <c r="A170" s="12"/>
      <c r="B170" s="13" t="s">
        <v>54</v>
      </c>
      <c r="C170" s="14">
        <v>2</v>
      </c>
      <c r="D170" s="15">
        <v>330000</v>
      </c>
      <c r="E170" s="15">
        <f t="shared" si="23"/>
        <v>660000</v>
      </c>
      <c r="F170" s="16"/>
      <c r="L170" s="25"/>
      <c r="M170" s="34" t="s">
        <v>28</v>
      </c>
      <c r="N170" s="35">
        <v>11.19</v>
      </c>
      <c r="O170" s="15">
        <v>15000</v>
      </c>
      <c r="P170" s="15">
        <v>168000</v>
      </c>
      <c r="Q170" s="15"/>
    </row>
    <row r="171" s="1" customFormat="1" spans="1:17">
      <c r="A171" s="12"/>
      <c r="B171" s="13" t="s">
        <v>126</v>
      </c>
      <c r="C171" s="14">
        <v>2.645</v>
      </c>
      <c r="D171" s="15">
        <v>45000</v>
      </c>
      <c r="E171" s="15">
        <v>119000</v>
      </c>
      <c r="F171" s="16"/>
      <c r="L171" s="25"/>
      <c r="M171" s="34" t="s">
        <v>26</v>
      </c>
      <c r="N171" s="35">
        <v>0.3</v>
      </c>
      <c r="O171" s="15">
        <v>15000</v>
      </c>
      <c r="P171" s="15">
        <v>5000</v>
      </c>
      <c r="Q171" s="15"/>
    </row>
    <row r="172" s="1" customFormat="1" spans="1:17">
      <c r="A172" s="12"/>
      <c r="B172" s="13" t="s">
        <v>40</v>
      </c>
      <c r="C172" s="14">
        <v>0.1</v>
      </c>
      <c r="D172" s="15">
        <v>60000</v>
      </c>
      <c r="E172" s="15">
        <f t="shared" ref="E172:E235" si="24">SUM(C172*D172)</f>
        <v>6000</v>
      </c>
      <c r="F172" s="16"/>
      <c r="L172" s="25"/>
      <c r="M172" s="34" t="s">
        <v>20</v>
      </c>
      <c r="N172" s="35">
        <v>1</v>
      </c>
      <c r="O172" s="15">
        <v>48000</v>
      </c>
      <c r="P172" s="15">
        <f t="shared" ref="P172:P179" si="25">SUM(N172*O172)</f>
        <v>48000</v>
      </c>
      <c r="Q172" s="15"/>
    </row>
    <row r="173" s="1" customFormat="1" spans="1:17">
      <c r="A173" s="12"/>
      <c r="B173" s="13" t="s">
        <v>115</v>
      </c>
      <c r="C173" s="14">
        <v>0.1</v>
      </c>
      <c r="D173" s="15">
        <v>80000</v>
      </c>
      <c r="E173" s="15">
        <f t="shared" si="24"/>
        <v>8000</v>
      </c>
      <c r="F173" s="16"/>
      <c r="L173" s="25"/>
      <c r="M173" s="34" t="s">
        <v>30</v>
      </c>
      <c r="N173" s="35">
        <v>6</v>
      </c>
      <c r="O173" s="15">
        <v>24000</v>
      </c>
      <c r="P173" s="15">
        <f t="shared" si="25"/>
        <v>144000</v>
      </c>
      <c r="Q173" s="15"/>
    </row>
    <row r="174" s="1" customFormat="1" spans="1:17">
      <c r="A174" s="12"/>
      <c r="B174" s="13" t="s">
        <v>20</v>
      </c>
      <c r="C174" s="14">
        <v>1</v>
      </c>
      <c r="D174" s="15">
        <v>48000</v>
      </c>
      <c r="E174" s="15">
        <f t="shared" si="24"/>
        <v>48000</v>
      </c>
      <c r="F174" s="16"/>
      <c r="L174" s="25"/>
      <c r="M174" s="34" t="s">
        <v>22</v>
      </c>
      <c r="N174" s="35">
        <v>1</v>
      </c>
      <c r="O174" s="15">
        <v>25000</v>
      </c>
      <c r="P174" s="15">
        <f t="shared" si="25"/>
        <v>25000</v>
      </c>
      <c r="Q174" s="15"/>
    </row>
    <row r="175" s="1" customFormat="1" spans="1:17">
      <c r="A175" s="12"/>
      <c r="B175" s="13" t="s">
        <v>24</v>
      </c>
      <c r="C175" s="14">
        <v>1</v>
      </c>
      <c r="D175" s="15">
        <v>40000</v>
      </c>
      <c r="E175" s="15">
        <f t="shared" si="24"/>
        <v>40000</v>
      </c>
      <c r="F175" s="16"/>
      <c r="L175" s="25">
        <v>45947</v>
      </c>
      <c r="M175" s="34" t="s">
        <v>9</v>
      </c>
      <c r="N175" s="35">
        <v>3</v>
      </c>
      <c r="O175" s="15">
        <v>25000</v>
      </c>
      <c r="P175" s="15">
        <f t="shared" si="25"/>
        <v>75000</v>
      </c>
      <c r="Q175" s="15">
        <f>SUM(P175:P187)</f>
        <v>939000</v>
      </c>
    </row>
    <row r="176" s="1" customFormat="1" spans="1:17">
      <c r="A176" s="12"/>
      <c r="B176" s="13" t="s">
        <v>85</v>
      </c>
      <c r="C176" s="14">
        <v>1</v>
      </c>
      <c r="D176" s="15">
        <v>40000</v>
      </c>
      <c r="E176" s="15">
        <f t="shared" si="24"/>
        <v>40000</v>
      </c>
      <c r="F176" s="16"/>
      <c r="L176" s="25"/>
      <c r="M176" s="34" t="s">
        <v>11</v>
      </c>
      <c r="N176" s="35">
        <v>3</v>
      </c>
      <c r="O176" s="15">
        <v>80000</v>
      </c>
      <c r="P176" s="15">
        <f t="shared" si="25"/>
        <v>240000</v>
      </c>
      <c r="Q176" s="15"/>
    </row>
    <row r="177" s="1" customFormat="1" spans="1:17">
      <c r="A177" s="12">
        <v>45943</v>
      </c>
      <c r="B177" s="13" t="s">
        <v>11</v>
      </c>
      <c r="C177" s="14">
        <v>1</v>
      </c>
      <c r="D177" s="15">
        <v>30000</v>
      </c>
      <c r="E177" s="15">
        <f t="shared" si="24"/>
        <v>30000</v>
      </c>
      <c r="F177" s="16">
        <f>SUM(E177:E183)</f>
        <v>167000</v>
      </c>
      <c r="L177" s="25"/>
      <c r="M177" s="34" t="s">
        <v>14</v>
      </c>
      <c r="N177" s="35">
        <v>5</v>
      </c>
      <c r="O177" s="15">
        <v>10000</v>
      </c>
      <c r="P177" s="15">
        <f t="shared" si="25"/>
        <v>50000</v>
      </c>
      <c r="Q177" s="15"/>
    </row>
    <row r="178" s="1" customFormat="1" spans="1:17">
      <c r="A178" s="12"/>
      <c r="B178" s="13" t="s">
        <v>41</v>
      </c>
      <c r="C178" s="14">
        <v>0.2</v>
      </c>
      <c r="D178" s="15">
        <v>100000</v>
      </c>
      <c r="E178" s="15">
        <f t="shared" si="24"/>
        <v>20000</v>
      </c>
      <c r="F178" s="16"/>
      <c r="L178" s="25"/>
      <c r="M178" s="34" t="s">
        <v>17</v>
      </c>
      <c r="N178" s="35">
        <v>0.5</v>
      </c>
      <c r="O178" s="15">
        <v>30000</v>
      </c>
      <c r="P178" s="15">
        <f t="shared" si="25"/>
        <v>15000</v>
      </c>
      <c r="Q178" s="15"/>
    </row>
    <row r="179" s="1" customFormat="1" spans="1:17">
      <c r="A179" s="12"/>
      <c r="B179" s="13" t="s">
        <v>120</v>
      </c>
      <c r="C179" s="14">
        <v>25</v>
      </c>
      <c r="D179" s="15">
        <v>1000</v>
      </c>
      <c r="E179" s="15">
        <f t="shared" si="24"/>
        <v>25000</v>
      </c>
      <c r="F179" s="16"/>
      <c r="L179" s="25"/>
      <c r="M179" s="34" t="s">
        <v>53</v>
      </c>
      <c r="N179" s="35">
        <v>1</v>
      </c>
      <c r="O179" s="15">
        <v>15000</v>
      </c>
      <c r="P179" s="15">
        <f t="shared" si="25"/>
        <v>15000</v>
      </c>
      <c r="Q179" s="15"/>
    </row>
    <row r="180" s="1" customFormat="1" spans="1:17">
      <c r="A180" s="12"/>
      <c r="B180" s="13" t="s">
        <v>127</v>
      </c>
      <c r="C180" s="14">
        <v>0.3</v>
      </c>
      <c r="D180" s="15">
        <v>30000</v>
      </c>
      <c r="E180" s="15">
        <f t="shared" si="24"/>
        <v>9000</v>
      </c>
      <c r="F180" s="16"/>
      <c r="L180" s="25"/>
      <c r="M180" s="34" t="s">
        <v>28</v>
      </c>
      <c r="N180" s="35">
        <v>4.815</v>
      </c>
      <c r="O180" s="15">
        <v>15000</v>
      </c>
      <c r="P180" s="15">
        <v>72000</v>
      </c>
      <c r="Q180" s="15"/>
    </row>
    <row r="181" s="1" customFormat="1" spans="1:17">
      <c r="A181" s="12"/>
      <c r="B181" s="13" t="s">
        <v>128</v>
      </c>
      <c r="C181" s="14">
        <v>0.5</v>
      </c>
      <c r="D181" s="15">
        <v>30000</v>
      </c>
      <c r="E181" s="15">
        <f t="shared" si="24"/>
        <v>15000</v>
      </c>
      <c r="F181" s="16"/>
      <c r="L181" s="25"/>
      <c r="M181" s="34" t="s">
        <v>26</v>
      </c>
      <c r="N181" s="35">
        <v>0.3</v>
      </c>
      <c r="O181" s="15">
        <v>15000</v>
      </c>
      <c r="P181" s="15">
        <v>5000</v>
      </c>
      <c r="Q181" s="15"/>
    </row>
    <row r="182" s="1" customFormat="1" spans="1:17">
      <c r="A182" s="12"/>
      <c r="B182" s="13" t="s">
        <v>104</v>
      </c>
      <c r="C182" s="14">
        <v>0.4</v>
      </c>
      <c r="D182" s="15">
        <v>70000</v>
      </c>
      <c r="E182" s="15">
        <f t="shared" si="24"/>
        <v>28000</v>
      </c>
      <c r="F182" s="16"/>
      <c r="G182" s="18"/>
      <c r="L182" s="25"/>
      <c r="M182" s="34" t="s">
        <v>20</v>
      </c>
      <c r="N182" s="35">
        <v>1</v>
      </c>
      <c r="O182" s="15">
        <v>48000</v>
      </c>
      <c r="P182" s="15">
        <f t="shared" ref="P182:P192" si="26">SUM(N182*O182)</f>
        <v>48000</v>
      </c>
      <c r="Q182" s="15"/>
    </row>
    <row r="183" s="1" customFormat="1" spans="1:17">
      <c r="A183" s="12"/>
      <c r="B183" s="13" t="s">
        <v>105</v>
      </c>
      <c r="C183" s="14">
        <v>0.4</v>
      </c>
      <c r="D183" s="15">
        <v>100000</v>
      </c>
      <c r="E183" s="15">
        <f t="shared" si="24"/>
        <v>40000</v>
      </c>
      <c r="F183" s="16"/>
      <c r="L183" s="25"/>
      <c r="M183" s="34" t="s">
        <v>30</v>
      </c>
      <c r="N183" s="35">
        <v>5</v>
      </c>
      <c r="O183" s="15">
        <v>24000</v>
      </c>
      <c r="P183" s="15">
        <f t="shared" si="26"/>
        <v>120000</v>
      </c>
      <c r="Q183" s="15"/>
    </row>
    <row r="184" s="1" customFormat="1" spans="1:17">
      <c r="A184" s="19">
        <v>45944</v>
      </c>
      <c r="B184" s="20" t="s">
        <v>67</v>
      </c>
      <c r="C184" s="21">
        <v>2</v>
      </c>
      <c r="D184" s="22">
        <v>210000</v>
      </c>
      <c r="E184" s="22">
        <f t="shared" si="24"/>
        <v>420000</v>
      </c>
      <c r="F184" s="23">
        <f>SUM(E184:E208)</f>
        <v>3014000</v>
      </c>
      <c r="L184" s="25"/>
      <c r="M184" s="34" t="s">
        <v>34</v>
      </c>
      <c r="N184" s="35">
        <v>1</v>
      </c>
      <c r="O184" s="15">
        <v>49000</v>
      </c>
      <c r="P184" s="15">
        <f t="shared" si="26"/>
        <v>49000</v>
      </c>
      <c r="Q184" s="15"/>
    </row>
    <row r="185" s="1" customFormat="1" spans="1:17">
      <c r="A185" s="19"/>
      <c r="B185" s="13" t="s">
        <v>18</v>
      </c>
      <c r="C185" s="14">
        <v>0.5</v>
      </c>
      <c r="D185" s="15">
        <v>100000</v>
      </c>
      <c r="E185" s="15">
        <f t="shared" si="24"/>
        <v>50000</v>
      </c>
      <c r="F185" s="23"/>
      <c r="L185" s="25"/>
      <c r="M185" s="34" t="s">
        <v>32</v>
      </c>
      <c r="N185" s="35">
        <v>1</v>
      </c>
      <c r="O185" s="15">
        <v>40000</v>
      </c>
      <c r="P185" s="15">
        <f t="shared" si="26"/>
        <v>40000</v>
      </c>
      <c r="Q185" s="15"/>
    </row>
    <row r="186" s="1" customFormat="1" spans="1:17">
      <c r="A186" s="19"/>
      <c r="B186" s="13" t="s">
        <v>129</v>
      </c>
      <c r="C186" s="14">
        <v>3</v>
      </c>
      <c r="D186" s="15">
        <v>20000</v>
      </c>
      <c r="E186" s="15">
        <f t="shared" si="24"/>
        <v>60000</v>
      </c>
      <c r="F186" s="23"/>
      <c r="G186" s="18"/>
      <c r="L186" s="25"/>
      <c r="M186" s="34" t="s">
        <v>55</v>
      </c>
      <c r="N186" s="35">
        <v>5</v>
      </c>
      <c r="O186" s="15">
        <v>20000</v>
      </c>
      <c r="P186" s="15">
        <f t="shared" si="26"/>
        <v>100000</v>
      </c>
      <c r="Q186" s="15"/>
    </row>
    <row r="187" s="1" customFormat="1" spans="1:17">
      <c r="A187" s="19"/>
      <c r="B187" s="13" t="s">
        <v>130</v>
      </c>
      <c r="C187" s="14">
        <v>3</v>
      </c>
      <c r="D187" s="15">
        <v>60000</v>
      </c>
      <c r="E187" s="15">
        <f t="shared" si="24"/>
        <v>180000</v>
      </c>
      <c r="F187" s="23"/>
      <c r="L187" s="25"/>
      <c r="M187" s="34" t="s">
        <v>61</v>
      </c>
      <c r="N187" s="35">
        <v>5</v>
      </c>
      <c r="O187" s="15">
        <v>22000</v>
      </c>
      <c r="P187" s="15">
        <f t="shared" si="26"/>
        <v>110000</v>
      </c>
      <c r="Q187" s="15"/>
    </row>
    <row r="188" s="1" customFormat="1" spans="1:17">
      <c r="A188" s="19"/>
      <c r="B188" s="13" t="s">
        <v>131</v>
      </c>
      <c r="C188" s="14">
        <v>3</v>
      </c>
      <c r="D188" s="15">
        <v>70000</v>
      </c>
      <c r="E188" s="15">
        <f t="shared" si="24"/>
        <v>210000</v>
      </c>
      <c r="F188" s="23"/>
      <c r="L188" s="28">
        <v>45948</v>
      </c>
      <c r="M188" s="36" t="s">
        <v>9</v>
      </c>
      <c r="N188" s="37">
        <v>3</v>
      </c>
      <c r="O188" s="22">
        <v>20000</v>
      </c>
      <c r="P188" s="15">
        <f t="shared" si="26"/>
        <v>60000</v>
      </c>
      <c r="Q188" s="31">
        <f>SUM(P188:P199)</f>
        <v>672000</v>
      </c>
    </row>
    <row r="189" s="1" customFormat="1" spans="1:17">
      <c r="A189" s="19"/>
      <c r="B189" s="13" t="s">
        <v>78</v>
      </c>
      <c r="C189" s="14">
        <v>3</v>
      </c>
      <c r="D189" s="15">
        <v>25000</v>
      </c>
      <c r="E189" s="15">
        <f t="shared" si="24"/>
        <v>75000</v>
      </c>
      <c r="F189" s="23"/>
      <c r="L189" s="28"/>
      <c r="M189" s="34" t="s">
        <v>11</v>
      </c>
      <c r="N189" s="35">
        <v>2</v>
      </c>
      <c r="O189" s="15">
        <v>80000</v>
      </c>
      <c r="P189" s="15">
        <f t="shared" si="26"/>
        <v>160000</v>
      </c>
      <c r="Q189" s="31"/>
    </row>
    <row r="190" s="1" customFormat="1" spans="1:17">
      <c r="A190" s="19"/>
      <c r="B190" s="13" t="s">
        <v>23</v>
      </c>
      <c r="C190" s="14">
        <v>2</v>
      </c>
      <c r="D190" s="15">
        <v>25000</v>
      </c>
      <c r="E190" s="15">
        <f t="shared" si="24"/>
        <v>50000</v>
      </c>
      <c r="F190" s="23"/>
      <c r="L190" s="28"/>
      <c r="M190" s="34" t="s">
        <v>17</v>
      </c>
      <c r="N190" s="35">
        <v>0.3</v>
      </c>
      <c r="O190" s="15">
        <v>30000</v>
      </c>
      <c r="P190" s="15">
        <f t="shared" si="26"/>
        <v>9000</v>
      </c>
      <c r="Q190" s="31"/>
    </row>
    <row r="191" s="1" customFormat="1" spans="1:17">
      <c r="A191" s="19"/>
      <c r="B191" s="13" t="s">
        <v>132</v>
      </c>
      <c r="C191" s="14">
        <v>2</v>
      </c>
      <c r="D191" s="15">
        <v>25000</v>
      </c>
      <c r="E191" s="15">
        <f t="shared" si="24"/>
        <v>50000</v>
      </c>
      <c r="F191" s="23"/>
      <c r="L191" s="28"/>
      <c r="M191" s="34" t="s">
        <v>41</v>
      </c>
      <c r="N191" s="35">
        <v>0.5</v>
      </c>
      <c r="O191" s="15">
        <v>100000</v>
      </c>
      <c r="P191" s="15">
        <f t="shared" si="26"/>
        <v>50000</v>
      </c>
      <c r="Q191" s="31"/>
    </row>
    <row r="192" s="1" customFormat="1" spans="1:17">
      <c r="A192" s="19"/>
      <c r="B192" s="13" t="s">
        <v>92</v>
      </c>
      <c r="C192" s="14">
        <v>2</v>
      </c>
      <c r="D192" s="15">
        <v>20000</v>
      </c>
      <c r="E192" s="15">
        <f t="shared" si="24"/>
        <v>40000</v>
      </c>
      <c r="F192" s="23"/>
      <c r="L192" s="28"/>
      <c r="M192" s="34" t="s">
        <v>53</v>
      </c>
      <c r="N192" s="35">
        <v>1</v>
      </c>
      <c r="O192" s="15">
        <v>15000</v>
      </c>
      <c r="P192" s="15">
        <f t="shared" si="26"/>
        <v>15000</v>
      </c>
      <c r="Q192" s="31"/>
    </row>
    <row r="193" s="1" customFormat="1" spans="1:17">
      <c r="A193" s="19"/>
      <c r="B193" s="13" t="s">
        <v>42</v>
      </c>
      <c r="C193" s="14">
        <v>1</v>
      </c>
      <c r="D193" s="15">
        <v>200000</v>
      </c>
      <c r="E193" s="15">
        <f t="shared" si="24"/>
        <v>200000</v>
      </c>
      <c r="F193" s="23"/>
      <c r="L193" s="28"/>
      <c r="M193" s="34" t="s">
        <v>26</v>
      </c>
      <c r="N193" s="35">
        <v>0.3</v>
      </c>
      <c r="O193" s="15">
        <v>15000</v>
      </c>
      <c r="P193" s="15">
        <v>5000</v>
      </c>
      <c r="Q193" s="31"/>
    </row>
    <row r="194" s="1" customFormat="1" spans="1:17">
      <c r="A194" s="19"/>
      <c r="B194" s="13" t="s">
        <v>8</v>
      </c>
      <c r="C194" s="14">
        <v>2</v>
      </c>
      <c r="D194" s="15">
        <v>160000</v>
      </c>
      <c r="E194" s="15">
        <f t="shared" si="24"/>
        <v>320000</v>
      </c>
      <c r="F194" s="23"/>
      <c r="L194" s="28"/>
      <c r="M194" s="34" t="s">
        <v>30</v>
      </c>
      <c r="N194" s="35">
        <v>4</v>
      </c>
      <c r="O194" s="15">
        <v>24000</v>
      </c>
      <c r="P194" s="15">
        <f t="shared" ref="P194:P204" si="27">SUM(N194*O194)</f>
        <v>96000</v>
      </c>
      <c r="Q194" s="31"/>
    </row>
    <row r="195" s="1" customFormat="1" spans="1:17">
      <c r="A195" s="19"/>
      <c r="B195" s="13" t="s">
        <v>73</v>
      </c>
      <c r="C195" s="14">
        <v>2</v>
      </c>
      <c r="D195" s="15">
        <v>40000</v>
      </c>
      <c r="E195" s="15">
        <f t="shared" si="24"/>
        <v>80000</v>
      </c>
      <c r="F195" s="23"/>
      <c r="L195" s="28"/>
      <c r="M195" s="34" t="s">
        <v>133</v>
      </c>
      <c r="N195" s="35">
        <v>2</v>
      </c>
      <c r="O195" s="15">
        <v>35000</v>
      </c>
      <c r="P195" s="15">
        <f t="shared" si="27"/>
        <v>70000</v>
      </c>
      <c r="Q195" s="31"/>
    </row>
    <row r="196" s="1" customFormat="1" spans="1:17">
      <c r="A196" s="19"/>
      <c r="B196" s="13" t="s">
        <v>74</v>
      </c>
      <c r="C196" s="14">
        <v>1</v>
      </c>
      <c r="D196" s="15">
        <v>95000</v>
      </c>
      <c r="E196" s="15">
        <f t="shared" si="24"/>
        <v>95000</v>
      </c>
      <c r="F196" s="23"/>
      <c r="L196" s="28"/>
      <c r="M196" s="34" t="s">
        <v>22</v>
      </c>
      <c r="N196" s="35">
        <v>1</v>
      </c>
      <c r="O196" s="15">
        <v>25000</v>
      </c>
      <c r="P196" s="15">
        <f t="shared" si="27"/>
        <v>25000</v>
      </c>
      <c r="Q196" s="31"/>
    </row>
    <row r="197" s="1" customFormat="1" spans="1:17">
      <c r="A197" s="19"/>
      <c r="B197" s="13" t="s">
        <v>10</v>
      </c>
      <c r="C197" s="14">
        <v>3</v>
      </c>
      <c r="D197" s="15">
        <v>90000</v>
      </c>
      <c r="E197" s="15">
        <f t="shared" si="24"/>
        <v>270000</v>
      </c>
      <c r="F197" s="23"/>
      <c r="L197" s="28"/>
      <c r="M197" s="34" t="s">
        <v>24</v>
      </c>
      <c r="N197" s="35">
        <v>2</v>
      </c>
      <c r="O197" s="15">
        <v>40000</v>
      </c>
      <c r="P197" s="15">
        <f t="shared" si="27"/>
        <v>80000</v>
      </c>
      <c r="Q197" s="31"/>
    </row>
    <row r="198" s="1" customFormat="1" spans="1:17">
      <c r="A198" s="19"/>
      <c r="B198" s="13" t="s">
        <v>12</v>
      </c>
      <c r="C198" s="14">
        <v>2</v>
      </c>
      <c r="D198" s="15">
        <v>22000</v>
      </c>
      <c r="E198" s="15">
        <f t="shared" si="24"/>
        <v>44000</v>
      </c>
      <c r="F198" s="23"/>
      <c r="L198" s="28"/>
      <c r="M198" s="34" t="s">
        <v>40</v>
      </c>
      <c r="N198" s="35">
        <v>0.2</v>
      </c>
      <c r="O198" s="15">
        <v>60000</v>
      </c>
      <c r="P198" s="15">
        <f t="shared" si="27"/>
        <v>12000</v>
      </c>
      <c r="Q198" s="31"/>
    </row>
    <row r="199" s="1" customFormat="1" spans="1:17">
      <c r="A199" s="19"/>
      <c r="B199" s="13" t="s">
        <v>15</v>
      </c>
      <c r="C199" s="14">
        <v>4</v>
      </c>
      <c r="D199" s="15">
        <v>70000</v>
      </c>
      <c r="E199" s="15">
        <f t="shared" si="24"/>
        <v>280000</v>
      </c>
      <c r="F199" s="23"/>
      <c r="L199" s="29"/>
      <c r="M199" s="34" t="s">
        <v>90</v>
      </c>
      <c r="N199" s="35">
        <v>3</v>
      </c>
      <c r="O199" s="15">
        <v>30000</v>
      </c>
      <c r="P199" s="15">
        <f t="shared" si="27"/>
        <v>90000</v>
      </c>
      <c r="Q199" s="22"/>
    </row>
    <row r="200" s="1" customFormat="1" spans="1:17">
      <c r="A200" s="19"/>
      <c r="B200" s="13" t="s">
        <v>88</v>
      </c>
      <c r="C200" s="14">
        <v>0.1</v>
      </c>
      <c r="D200" s="15">
        <v>60000</v>
      </c>
      <c r="E200" s="15">
        <f t="shared" si="24"/>
        <v>6000</v>
      </c>
      <c r="F200" s="23"/>
      <c r="L200" s="38">
        <v>45949</v>
      </c>
      <c r="M200" s="34" t="s">
        <v>9</v>
      </c>
      <c r="N200" s="35">
        <v>3</v>
      </c>
      <c r="O200" s="15">
        <v>20000</v>
      </c>
      <c r="P200" s="15">
        <f t="shared" si="27"/>
        <v>60000</v>
      </c>
      <c r="Q200" s="39">
        <f>SUM(P200:P209)</f>
        <v>745000</v>
      </c>
    </row>
    <row r="201" s="1" customFormat="1" spans="1:17">
      <c r="A201" s="19"/>
      <c r="B201" s="13" t="s">
        <v>27</v>
      </c>
      <c r="C201" s="14">
        <v>1</v>
      </c>
      <c r="D201" s="15">
        <v>200000</v>
      </c>
      <c r="E201" s="15">
        <f t="shared" si="24"/>
        <v>200000</v>
      </c>
      <c r="F201" s="23"/>
      <c r="L201" s="28"/>
      <c r="M201" s="34" t="s">
        <v>11</v>
      </c>
      <c r="N201" s="35">
        <v>4</v>
      </c>
      <c r="O201" s="15">
        <v>80000</v>
      </c>
      <c r="P201" s="15">
        <f t="shared" si="27"/>
        <v>320000</v>
      </c>
      <c r="Q201" s="31"/>
    </row>
    <row r="202" s="1" customFormat="1" spans="1:17">
      <c r="A202" s="19"/>
      <c r="B202" s="13" t="s">
        <v>45</v>
      </c>
      <c r="C202" s="14">
        <v>0.3</v>
      </c>
      <c r="D202" s="15">
        <v>80000</v>
      </c>
      <c r="E202" s="15">
        <f t="shared" si="24"/>
        <v>24000</v>
      </c>
      <c r="F202" s="23"/>
      <c r="L202" s="28"/>
      <c r="M202" s="34" t="s">
        <v>17</v>
      </c>
      <c r="N202" s="35">
        <v>0.3</v>
      </c>
      <c r="O202" s="15">
        <v>30000</v>
      </c>
      <c r="P202" s="15">
        <f t="shared" si="27"/>
        <v>9000</v>
      </c>
      <c r="Q202" s="31"/>
    </row>
    <row r="203" s="1" customFormat="1" spans="1:17">
      <c r="A203" s="19"/>
      <c r="B203" s="13" t="s">
        <v>104</v>
      </c>
      <c r="C203" s="14">
        <v>0.5</v>
      </c>
      <c r="D203" s="15">
        <v>80000</v>
      </c>
      <c r="E203" s="15">
        <f t="shared" si="24"/>
        <v>40000</v>
      </c>
      <c r="F203" s="23"/>
      <c r="L203" s="28"/>
      <c r="M203" s="34" t="s">
        <v>41</v>
      </c>
      <c r="N203" s="35">
        <v>0.5</v>
      </c>
      <c r="O203" s="15">
        <v>100000</v>
      </c>
      <c r="P203" s="15">
        <f t="shared" si="27"/>
        <v>50000</v>
      </c>
      <c r="Q203" s="31"/>
    </row>
    <row r="204" s="1" customFormat="1" spans="1:17">
      <c r="A204" s="19"/>
      <c r="B204" s="13" t="s">
        <v>105</v>
      </c>
      <c r="C204" s="14">
        <v>0.5</v>
      </c>
      <c r="D204" s="15">
        <v>100000</v>
      </c>
      <c r="E204" s="15">
        <f t="shared" si="24"/>
        <v>50000</v>
      </c>
      <c r="F204" s="23"/>
      <c r="L204" s="28"/>
      <c r="M204" s="34" t="s">
        <v>53</v>
      </c>
      <c r="N204" s="35">
        <v>1</v>
      </c>
      <c r="O204" s="15">
        <v>15000</v>
      </c>
      <c r="P204" s="15">
        <f t="shared" si="27"/>
        <v>15000</v>
      </c>
      <c r="Q204" s="31"/>
    </row>
    <row r="205" s="1" customFormat="1" spans="1:17">
      <c r="A205" s="19"/>
      <c r="B205" s="13" t="s">
        <v>58</v>
      </c>
      <c r="C205" s="14">
        <v>2</v>
      </c>
      <c r="D205" s="15">
        <v>15000</v>
      </c>
      <c r="E205" s="15">
        <f t="shared" si="24"/>
        <v>30000</v>
      </c>
      <c r="F205" s="23"/>
      <c r="L205" s="28"/>
      <c r="M205" s="34" t="s">
        <v>26</v>
      </c>
      <c r="N205" s="35">
        <v>0.3</v>
      </c>
      <c r="O205" s="15">
        <v>15000</v>
      </c>
      <c r="P205" s="15">
        <v>5000</v>
      </c>
      <c r="Q205" s="31"/>
    </row>
    <row r="206" s="1" customFormat="1" spans="1:17">
      <c r="A206" s="19"/>
      <c r="B206" s="13" t="s">
        <v>102</v>
      </c>
      <c r="C206" s="14">
        <v>2</v>
      </c>
      <c r="D206" s="15">
        <v>20000</v>
      </c>
      <c r="E206" s="15">
        <f t="shared" si="24"/>
        <v>40000</v>
      </c>
      <c r="F206" s="23"/>
      <c r="L206" s="28"/>
      <c r="M206" s="34" t="s">
        <v>30</v>
      </c>
      <c r="N206" s="35">
        <v>5</v>
      </c>
      <c r="O206" s="15">
        <v>24000</v>
      </c>
      <c r="P206" s="15">
        <f t="shared" ref="P206:P212" si="28">SUM(N206*O206)</f>
        <v>120000</v>
      </c>
      <c r="Q206" s="31"/>
    </row>
    <row r="207" s="1" customFormat="1" spans="1:17">
      <c r="A207" s="19"/>
      <c r="B207" s="13" t="s">
        <v>25</v>
      </c>
      <c r="C207" s="14">
        <v>2</v>
      </c>
      <c r="D207" s="15">
        <v>90000</v>
      </c>
      <c r="E207" s="15">
        <f t="shared" si="24"/>
        <v>180000</v>
      </c>
      <c r="F207" s="23"/>
      <c r="L207" s="28"/>
      <c r="M207" s="34" t="s">
        <v>32</v>
      </c>
      <c r="N207" s="35">
        <v>1</v>
      </c>
      <c r="O207" s="15">
        <v>40000</v>
      </c>
      <c r="P207" s="15">
        <f t="shared" si="28"/>
        <v>40000</v>
      </c>
      <c r="Q207" s="31"/>
    </row>
    <row r="208" s="1" customFormat="1" spans="1:17">
      <c r="A208" s="32"/>
      <c r="B208" s="13" t="s">
        <v>134</v>
      </c>
      <c r="C208" s="14">
        <v>1</v>
      </c>
      <c r="D208" s="15">
        <v>20000</v>
      </c>
      <c r="E208" s="15">
        <f t="shared" si="24"/>
        <v>20000</v>
      </c>
      <c r="F208" s="33"/>
      <c r="L208" s="28"/>
      <c r="M208" s="34" t="s">
        <v>14</v>
      </c>
      <c r="N208" s="35">
        <v>8</v>
      </c>
      <c r="O208" s="15">
        <v>10000</v>
      </c>
      <c r="P208" s="15">
        <f t="shared" si="28"/>
        <v>80000</v>
      </c>
      <c r="Q208" s="31"/>
    </row>
    <row r="209" s="1" customFormat="1" spans="1:17">
      <c r="A209" s="12">
        <v>45945</v>
      </c>
      <c r="B209" s="13" t="s">
        <v>58</v>
      </c>
      <c r="C209" s="14">
        <v>2</v>
      </c>
      <c r="D209" s="15">
        <v>15000</v>
      </c>
      <c r="E209" s="15">
        <f t="shared" si="24"/>
        <v>30000</v>
      </c>
      <c r="F209" s="16">
        <f>SUM(E209:E220)</f>
        <v>2001000</v>
      </c>
      <c r="L209" s="29"/>
      <c r="M209" s="34" t="s">
        <v>75</v>
      </c>
      <c r="N209" s="35">
        <v>1.15</v>
      </c>
      <c r="O209" s="15">
        <v>40000</v>
      </c>
      <c r="P209" s="15">
        <f t="shared" si="28"/>
        <v>46000</v>
      </c>
      <c r="Q209" s="22"/>
    </row>
    <row r="210" s="1" customFormat="1" spans="1:17">
      <c r="A210" s="12"/>
      <c r="B210" s="13" t="s">
        <v>83</v>
      </c>
      <c r="C210" s="14">
        <v>2</v>
      </c>
      <c r="D210" s="15">
        <v>195000</v>
      </c>
      <c r="E210" s="15">
        <f t="shared" si="24"/>
        <v>390000</v>
      </c>
      <c r="F210" s="16"/>
      <c r="L210" s="38">
        <v>45950</v>
      </c>
      <c r="M210" s="34" t="s">
        <v>11</v>
      </c>
      <c r="N210" s="35">
        <v>4</v>
      </c>
      <c r="O210" s="15">
        <v>80000</v>
      </c>
      <c r="P210" s="15">
        <f t="shared" si="28"/>
        <v>320000</v>
      </c>
      <c r="Q210" s="39">
        <f>SUM(P210:P222)</f>
        <v>951000</v>
      </c>
    </row>
    <row r="211" s="1" customFormat="1" spans="1:17">
      <c r="A211" s="12"/>
      <c r="B211" s="13" t="s">
        <v>50</v>
      </c>
      <c r="C211" s="14">
        <v>2</v>
      </c>
      <c r="D211" s="15">
        <v>120000</v>
      </c>
      <c r="E211" s="15">
        <f t="shared" si="24"/>
        <v>240000</v>
      </c>
      <c r="F211" s="16"/>
      <c r="L211" s="28"/>
      <c r="M211" s="34" t="s">
        <v>9</v>
      </c>
      <c r="N211" s="35">
        <v>5</v>
      </c>
      <c r="O211" s="15">
        <v>20000</v>
      </c>
      <c r="P211" s="15">
        <f t="shared" si="28"/>
        <v>100000</v>
      </c>
      <c r="Q211" s="31"/>
    </row>
    <row r="212" s="1" customFormat="1" spans="1:17">
      <c r="A212" s="12"/>
      <c r="B212" s="13" t="s">
        <v>65</v>
      </c>
      <c r="C212" s="14">
        <v>2</v>
      </c>
      <c r="D212" s="15">
        <v>220000</v>
      </c>
      <c r="E212" s="15">
        <f t="shared" si="24"/>
        <v>440000</v>
      </c>
      <c r="F212" s="16"/>
      <c r="L212" s="28"/>
      <c r="M212" s="34" t="s">
        <v>14</v>
      </c>
      <c r="N212" s="35">
        <v>6</v>
      </c>
      <c r="O212" s="15">
        <v>10000</v>
      </c>
      <c r="P212" s="15">
        <f t="shared" si="28"/>
        <v>60000</v>
      </c>
      <c r="Q212" s="31"/>
    </row>
    <row r="213" s="1" customFormat="1" spans="1:17">
      <c r="A213" s="12"/>
      <c r="B213" s="13" t="s">
        <v>36</v>
      </c>
      <c r="C213" s="14">
        <v>1</v>
      </c>
      <c r="D213" s="15">
        <v>100000</v>
      </c>
      <c r="E213" s="15">
        <f t="shared" si="24"/>
        <v>100000</v>
      </c>
      <c r="F213" s="16"/>
      <c r="L213" s="28"/>
      <c r="M213" s="34" t="s">
        <v>26</v>
      </c>
      <c r="N213" s="35">
        <v>0.3</v>
      </c>
      <c r="O213" s="15">
        <v>15000</v>
      </c>
      <c r="P213" s="15">
        <v>5000</v>
      </c>
      <c r="Q213" s="31"/>
    </row>
    <row r="214" s="1" customFormat="1" spans="1:17">
      <c r="A214" s="12"/>
      <c r="B214" s="13" t="s">
        <v>97</v>
      </c>
      <c r="C214" s="14">
        <v>2</v>
      </c>
      <c r="D214" s="15">
        <v>18000</v>
      </c>
      <c r="E214" s="15">
        <f t="shared" si="24"/>
        <v>36000</v>
      </c>
      <c r="F214" s="16"/>
      <c r="L214" s="28"/>
      <c r="M214" s="34" t="s">
        <v>40</v>
      </c>
      <c r="N214" s="35">
        <v>0.3</v>
      </c>
      <c r="O214" s="15">
        <v>60000</v>
      </c>
      <c r="P214" s="15">
        <f t="shared" ref="P214:P227" si="29">SUM(N214*O214)</f>
        <v>18000</v>
      </c>
      <c r="Q214" s="31"/>
    </row>
    <row r="215" s="1" customFormat="1" spans="1:17">
      <c r="A215" s="12"/>
      <c r="B215" s="13" t="s">
        <v>10</v>
      </c>
      <c r="C215" s="14">
        <v>2</v>
      </c>
      <c r="D215" s="15">
        <v>90000</v>
      </c>
      <c r="E215" s="15">
        <f t="shared" si="24"/>
        <v>180000</v>
      </c>
      <c r="F215" s="16"/>
      <c r="L215" s="28"/>
      <c r="M215" s="34" t="s">
        <v>17</v>
      </c>
      <c r="N215" s="35">
        <v>0.3</v>
      </c>
      <c r="O215" s="15">
        <v>30000</v>
      </c>
      <c r="P215" s="15">
        <f t="shared" si="29"/>
        <v>9000</v>
      </c>
      <c r="Q215" s="31"/>
    </row>
    <row r="216" s="1" customFormat="1" spans="1:17">
      <c r="A216" s="12"/>
      <c r="B216" s="13" t="s">
        <v>80</v>
      </c>
      <c r="C216" s="14">
        <v>2</v>
      </c>
      <c r="D216" s="15">
        <v>170000</v>
      </c>
      <c r="E216" s="15">
        <f t="shared" si="24"/>
        <v>340000</v>
      </c>
      <c r="F216" s="16"/>
      <c r="L216" s="28"/>
      <c r="M216" s="34" t="s">
        <v>20</v>
      </c>
      <c r="N216" s="35">
        <v>1</v>
      </c>
      <c r="O216" s="15">
        <v>48000</v>
      </c>
      <c r="P216" s="15">
        <f t="shared" si="29"/>
        <v>48000</v>
      </c>
      <c r="Q216" s="31"/>
    </row>
    <row r="217" s="1" customFormat="1" spans="1:17">
      <c r="A217" s="12"/>
      <c r="B217" s="13" t="s">
        <v>84</v>
      </c>
      <c r="C217" s="14">
        <v>1</v>
      </c>
      <c r="D217" s="15">
        <v>95000</v>
      </c>
      <c r="E217" s="15">
        <f t="shared" si="24"/>
        <v>95000</v>
      </c>
      <c r="F217" s="16"/>
      <c r="L217" s="28"/>
      <c r="M217" s="34" t="s">
        <v>103</v>
      </c>
      <c r="N217" s="35">
        <v>1</v>
      </c>
      <c r="O217" s="15">
        <v>56000</v>
      </c>
      <c r="P217" s="15">
        <f t="shared" si="29"/>
        <v>56000</v>
      </c>
      <c r="Q217" s="31"/>
    </row>
    <row r="218" s="1" customFormat="1" spans="1:17">
      <c r="A218" s="12"/>
      <c r="B218" s="13" t="s">
        <v>135</v>
      </c>
      <c r="C218" s="14">
        <v>1</v>
      </c>
      <c r="D218" s="15">
        <v>80000</v>
      </c>
      <c r="E218" s="15">
        <f t="shared" si="24"/>
        <v>80000</v>
      </c>
      <c r="F218" s="16"/>
      <c r="L218" s="28"/>
      <c r="M218" s="34" t="s">
        <v>24</v>
      </c>
      <c r="N218" s="35">
        <v>1</v>
      </c>
      <c r="O218" s="15">
        <v>35000</v>
      </c>
      <c r="P218" s="15">
        <f t="shared" si="29"/>
        <v>35000</v>
      </c>
      <c r="Q218" s="31"/>
    </row>
    <row r="219" s="1" customFormat="1" spans="1:17">
      <c r="A219" s="12"/>
      <c r="B219" s="13" t="s">
        <v>136</v>
      </c>
      <c r="C219" s="14">
        <v>1</v>
      </c>
      <c r="D219" s="15">
        <v>40000</v>
      </c>
      <c r="E219" s="15">
        <f t="shared" si="24"/>
        <v>40000</v>
      </c>
      <c r="F219" s="16"/>
      <c r="L219" s="28"/>
      <c r="M219" s="34" t="s">
        <v>41</v>
      </c>
      <c r="N219" s="35">
        <v>0.5</v>
      </c>
      <c r="O219" s="15">
        <v>100000</v>
      </c>
      <c r="P219" s="15">
        <f t="shared" si="29"/>
        <v>50000</v>
      </c>
      <c r="Q219" s="31"/>
    </row>
    <row r="220" s="1" customFormat="1" spans="1:17">
      <c r="A220" s="12"/>
      <c r="B220" s="13" t="s">
        <v>137</v>
      </c>
      <c r="C220" s="14">
        <v>1</v>
      </c>
      <c r="D220" s="15">
        <v>30000</v>
      </c>
      <c r="E220" s="15">
        <f t="shared" si="24"/>
        <v>30000</v>
      </c>
      <c r="F220" s="16"/>
      <c r="L220" s="28"/>
      <c r="M220" s="34" t="s">
        <v>30</v>
      </c>
      <c r="N220" s="35">
        <v>3</v>
      </c>
      <c r="O220" s="15">
        <v>24000</v>
      </c>
      <c r="P220" s="15">
        <f t="shared" si="29"/>
        <v>72000</v>
      </c>
      <c r="Q220" s="31"/>
    </row>
    <row r="221" s="1" customFormat="1" spans="1:17">
      <c r="A221" s="12">
        <v>45946</v>
      </c>
      <c r="B221" s="13" t="s">
        <v>15</v>
      </c>
      <c r="C221" s="14">
        <v>4</v>
      </c>
      <c r="D221" s="15">
        <v>70000</v>
      </c>
      <c r="E221" s="15">
        <f t="shared" si="24"/>
        <v>280000</v>
      </c>
      <c r="F221" s="16">
        <f>SUM(E221:E229)</f>
        <v>1479000</v>
      </c>
      <c r="L221" s="28"/>
      <c r="M221" s="34" t="s">
        <v>32</v>
      </c>
      <c r="N221" s="35">
        <v>2</v>
      </c>
      <c r="O221" s="15">
        <v>40000</v>
      </c>
      <c r="P221" s="15">
        <f t="shared" si="29"/>
        <v>80000</v>
      </c>
      <c r="Q221" s="31"/>
    </row>
    <row r="222" s="1" customFormat="1" spans="1:17">
      <c r="A222" s="12"/>
      <c r="B222" s="13" t="s">
        <v>109</v>
      </c>
      <c r="C222" s="14">
        <v>1</v>
      </c>
      <c r="D222" s="15">
        <v>160000</v>
      </c>
      <c r="E222" s="15">
        <f t="shared" si="24"/>
        <v>160000</v>
      </c>
      <c r="F222" s="16"/>
      <c r="L222" s="29"/>
      <c r="M222" s="34" t="s">
        <v>34</v>
      </c>
      <c r="N222" s="35">
        <v>2</v>
      </c>
      <c r="O222" s="15">
        <v>49000</v>
      </c>
      <c r="P222" s="15">
        <f t="shared" si="29"/>
        <v>98000</v>
      </c>
      <c r="Q222" s="22"/>
    </row>
    <row r="223" s="1" customFormat="1" spans="1:17">
      <c r="A223" s="12"/>
      <c r="B223" s="13" t="s">
        <v>107</v>
      </c>
      <c r="C223" s="14">
        <v>2</v>
      </c>
      <c r="D223" s="15">
        <v>50000</v>
      </c>
      <c r="E223" s="15">
        <f t="shared" si="24"/>
        <v>100000</v>
      </c>
      <c r="F223" s="16"/>
      <c r="L223" s="38">
        <v>45951</v>
      </c>
      <c r="M223" s="34" t="s">
        <v>9</v>
      </c>
      <c r="N223" s="35">
        <v>3</v>
      </c>
      <c r="O223" s="15">
        <v>20000</v>
      </c>
      <c r="P223" s="15">
        <f t="shared" si="29"/>
        <v>60000</v>
      </c>
      <c r="Q223" s="39">
        <f>SUM(P223:P231)</f>
        <v>563000</v>
      </c>
    </row>
    <row r="224" s="1" customFormat="1" spans="1:17">
      <c r="A224" s="12"/>
      <c r="B224" s="13" t="s">
        <v>54</v>
      </c>
      <c r="C224" s="14">
        <v>2</v>
      </c>
      <c r="D224" s="15">
        <v>330000</v>
      </c>
      <c r="E224" s="15">
        <f t="shared" si="24"/>
        <v>660000</v>
      </c>
      <c r="F224" s="16"/>
      <c r="L224" s="28"/>
      <c r="M224" s="34" t="s">
        <v>11</v>
      </c>
      <c r="N224" s="35">
        <v>3</v>
      </c>
      <c r="O224" s="15">
        <v>80000</v>
      </c>
      <c r="P224" s="15">
        <f t="shared" si="29"/>
        <v>240000</v>
      </c>
      <c r="Q224" s="31"/>
    </row>
    <row r="225" s="1" customFormat="1" spans="1:17">
      <c r="A225" s="12"/>
      <c r="B225" s="13" t="s">
        <v>11</v>
      </c>
      <c r="C225" s="14">
        <v>2</v>
      </c>
      <c r="D225" s="15">
        <v>30000</v>
      </c>
      <c r="E225" s="15">
        <f t="shared" si="24"/>
        <v>60000</v>
      </c>
      <c r="F225" s="16"/>
      <c r="L225" s="28"/>
      <c r="M225" s="34" t="s">
        <v>20</v>
      </c>
      <c r="N225" s="35">
        <v>1</v>
      </c>
      <c r="O225" s="15">
        <v>48000</v>
      </c>
      <c r="P225" s="15">
        <f t="shared" si="29"/>
        <v>48000</v>
      </c>
      <c r="Q225" s="31"/>
    </row>
    <row r="226" s="1" customFormat="1" spans="1:17">
      <c r="A226" s="12"/>
      <c r="B226" s="13" t="s">
        <v>96</v>
      </c>
      <c r="C226" s="14">
        <v>1</v>
      </c>
      <c r="D226" s="15">
        <v>120000</v>
      </c>
      <c r="E226" s="15">
        <f t="shared" si="24"/>
        <v>120000</v>
      </c>
      <c r="F226" s="16"/>
      <c r="L226" s="28"/>
      <c r="M226" s="34" t="s">
        <v>14</v>
      </c>
      <c r="N226" s="35">
        <v>4</v>
      </c>
      <c r="O226" s="15">
        <v>10000</v>
      </c>
      <c r="P226" s="15">
        <f t="shared" si="29"/>
        <v>40000</v>
      </c>
      <c r="Q226" s="31"/>
    </row>
    <row r="227" s="1" customFormat="1" spans="1:17">
      <c r="A227" s="12"/>
      <c r="B227" s="13" t="s">
        <v>138</v>
      </c>
      <c r="C227" s="14">
        <v>0.05</v>
      </c>
      <c r="D227" s="15">
        <v>80000</v>
      </c>
      <c r="E227" s="15">
        <f t="shared" si="24"/>
        <v>4000</v>
      </c>
      <c r="F227" s="16"/>
      <c r="L227" s="28"/>
      <c r="M227" s="34" t="s">
        <v>17</v>
      </c>
      <c r="N227" s="35">
        <v>0.3</v>
      </c>
      <c r="O227" s="15">
        <v>30000</v>
      </c>
      <c r="P227" s="15">
        <f t="shared" si="29"/>
        <v>9000</v>
      </c>
      <c r="Q227" s="31"/>
    </row>
    <row r="228" s="1" customFormat="1" spans="1:17">
      <c r="A228" s="12"/>
      <c r="B228" s="13" t="s">
        <v>139</v>
      </c>
      <c r="C228" s="14">
        <v>1</v>
      </c>
      <c r="D228" s="15">
        <v>15000</v>
      </c>
      <c r="E228" s="15">
        <f t="shared" si="24"/>
        <v>15000</v>
      </c>
      <c r="F228" s="16"/>
      <c r="L228" s="28"/>
      <c r="M228" s="34" t="s">
        <v>26</v>
      </c>
      <c r="N228" s="35">
        <v>0.3</v>
      </c>
      <c r="O228" s="15">
        <v>15000</v>
      </c>
      <c r="P228" s="15">
        <v>5000</v>
      </c>
      <c r="Q228" s="31"/>
    </row>
    <row r="229" s="1" customFormat="1" spans="1:17">
      <c r="A229" s="12"/>
      <c r="B229" s="13" t="s">
        <v>24</v>
      </c>
      <c r="C229" s="14">
        <v>2</v>
      </c>
      <c r="D229" s="15">
        <v>40000</v>
      </c>
      <c r="E229" s="15">
        <f t="shared" si="24"/>
        <v>80000</v>
      </c>
      <c r="F229" s="16"/>
      <c r="L229" s="28"/>
      <c r="M229" s="34" t="s">
        <v>30</v>
      </c>
      <c r="N229" s="35">
        <v>4</v>
      </c>
      <c r="O229" s="15">
        <v>24000</v>
      </c>
      <c r="P229" s="15">
        <f t="shared" ref="P229:P232" si="30">SUM(N229*O229)</f>
        <v>96000</v>
      </c>
      <c r="Q229" s="31"/>
    </row>
    <row r="230" s="1" customFormat="1" spans="1:17">
      <c r="A230" s="12">
        <v>45947</v>
      </c>
      <c r="B230" s="13" t="s">
        <v>21</v>
      </c>
      <c r="C230" s="35">
        <v>3</v>
      </c>
      <c r="D230" s="15">
        <v>25000</v>
      </c>
      <c r="E230" s="15">
        <f t="shared" si="24"/>
        <v>75000</v>
      </c>
      <c r="F230" s="16">
        <f>SUM(E230:E237)</f>
        <v>1101000</v>
      </c>
      <c r="L230" s="28"/>
      <c r="M230" s="34" t="s">
        <v>32</v>
      </c>
      <c r="N230" s="35">
        <v>1</v>
      </c>
      <c r="O230" s="15">
        <v>40000</v>
      </c>
      <c r="P230" s="15">
        <f t="shared" si="30"/>
        <v>40000</v>
      </c>
      <c r="Q230" s="31"/>
    </row>
    <row r="231" s="1" customFormat="1" spans="1:17">
      <c r="A231" s="12"/>
      <c r="B231" s="13" t="s">
        <v>23</v>
      </c>
      <c r="C231" s="35">
        <v>2</v>
      </c>
      <c r="D231" s="15">
        <v>25000</v>
      </c>
      <c r="E231" s="15">
        <f t="shared" si="24"/>
        <v>50000</v>
      </c>
      <c r="F231" s="16"/>
      <c r="L231" s="29"/>
      <c r="M231" s="34" t="s">
        <v>79</v>
      </c>
      <c r="N231" s="35">
        <v>1</v>
      </c>
      <c r="O231" s="15">
        <v>25000</v>
      </c>
      <c r="P231" s="15">
        <f t="shared" si="30"/>
        <v>25000</v>
      </c>
      <c r="Q231" s="22"/>
    </row>
    <row r="232" s="1" customFormat="1" spans="1:17">
      <c r="A232" s="12"/>
      <c r="B232" s="13" t="s">
        <v>12</v>
      </c>
      <c r="C232" s="35">
        <v>3</v>
      </c>
      <c r="D232" s="15">
        <v>22000</v>
      </c>
      <c r="E232" s="15">
        <f t="shared" si="24"/>
        <v>66000</v>
      </c>
      <c r="F232" s="16"/>
      <c r="L232" s="38">
        <v>45952</v>
      </c>
      <c r="M232" s="34" t="s">
        <v>9</v>
      </c>
      <c r="N232" s="35">
        <v>3</v>
      </c>
      <c r="O232" s="15">
        <v>20000</v>
      </c>
      <c r="P232" s="15">
        <f t="shared" si="30"/>
        <v>60000</v>
      </c>
      <c r="Q232" s="39">
        <f>SUM(P232:P237)</f>
        <v>249000</v>
      </c>
    </row>
    <row r="233" s="1" customFormat="1" spans="1:17">
      <c r="A233" s="12"/>
      <c r="B233" s="13" t="s">
        <v>10</v>
      </c>
      <c r="C233" s="35">
        <v>3</v>
      </c>
      <c r="D233" s="15">
        <v>90000</v>
      </c>
      <c r="E233" s="15">
        <f t="shared" si="24"/>
        <v>270000</v>
      </c>
      <c r="F233" s="16"/>
      <c r="L233" s="28"/>
      <c r="M233" s="34" t="s">
        <v>26</v>
      </c>
      <c r="N233" s="35">
        <v>0.3</v>
      </c>
      <c r="O233" s="15">
        <v>15000</v>
      </c>
      <c r="P233" s="15">
        <v>5000</v>
      </c>
      <c r="Q233" s="31"/>
    </row>
    <row r="234" s="1" customFormat="1" spans="1:17">
      <c r="A234" s="12"/>
      <c r="B234" s="13" t="s">
        <v>15</v>
      </c>
      <c r="C234" s="35">
        <v>4</v>
      </c>
      <c r="D234" s="15">
        <v>70000</v>
      </c>
      <c r="E234" s="15">
        <f t="shared" si="24"/>
        <v>280000</v>
      </c>
      <c r="F234" s="16"/>
      <c r="L234" s="28"/>
      <c r="M234" s="34" t="s">
        <v>22</v>
      </c>
      <c r="N234" s="35">
        <v>1</v>
      </c>
      <c r="O234" s="15">
        <v>25000</v>
      </c>
      <c r="P234" s="15">
        <f t="shared" ref="P234:P239" si="31">SUM(N234*O234)</f>
        <v>25000</v>
      </c>
      <c r="Q234" s="31"/>
    </row>
    <row r="235" s="1" customFormat="1" spans="1:17">
      <c r="A235" s="12"/>
      <c r="B235" s="13" t="s">
        <v>36</v>
      </c>
      <c r="C235" s="35">
        <v>2</v>
      </c>
      <c r="D235" s="15">
        <v>100000</v>
      </c>
      <c r="E235" s="15">
        <f t="shared" si="24"/>
        <v>200000</v>
      </c>
      <c r="F235" s="16"/>
      <c r="L235" s="28"/>
      <c r="M235" s="34" t="s">
        <v>17</v>
      </c>
      <c r="N235" s="35">
        <v>0.5</v>
      </c>
      <c r="O235" s="15">
        <v>30000</v>
      </c>
      <c r="P235" s="15">
        <f t="shared" si="31"/>
        <v>15000</v>
      </c>
      <c r="Q235" s="31"/>
    </row>
    <row r="236" s="1" customFormat="1" spans="1:17">
      <c r="A236" s="12"/>
      <c r="B236" s="13" t="s">
        <v>55</v>
      </c>
      <c r="C236" s="35">
        <v>3</v>
      </c>
      <c r="D236" s="15">
        <v>20000</v>
      </c>
      <c r="E236" s="15">
        <f t="shared" ref="E236:E251" si="32">SUM(C236*D236)</f>
        <v>60000</v>
      </c>
      <c r="F236" s="16"/>
      <c r="L236" s="28"/>
      <c r="M236" s="34" t="s">
        <v>20</v>
      </c>
      <c r="N236" s="35">
        <v>1</v>
      </c>
      <c r="O236" s="15">
        <v>48000</v>
      </c>
      <c r="P236" s="15">
        <f t="shared" si="31"/>
        <v>48000</v>
      </c>
      <c r="Q236" s="31"/>
    </row>
    <row r="237" s="1" customFormat="1" spans="1:17">
      <c r="A237" s="12"/>
      <c r="B237" s="13" t="s">
        <v>140</v>
      </c>
      <c r="C237" s="35">
        <v>2</v>
      </c>
      <c r="D237" s="15">
        <v>50000</v>
      </c>
      <c r="E237" s="15">
        <f t="shared" si="32"/>
        <v>100000</v>
      </c>
      <c r="F237" s="16"/>
      <c r="L237" s="29"/>
      <c r="M237" s="34" t="s">
        <v>30</v>
      </c>
      <c r="N237" s="35">
        <v>4</v>
      </c>
      <c r="O237" s="15">
        <v>24000</v>
      </c>
      <c r="P237" s="15">
        <f t="shared" si="31"/>
        <v>96000</v>
      </c>
      <c r="Q237" s="22"/>
    </row>
    <row r="238" s="1" customFormat="1" spans="1:17">
      <c r="A238" s="12">
        <v>45948</v>
      </c>
      <c r="B238" s="13" t="s">
        <v>45</v>
      </c>
      <c r="C238" s="35">
        <v>0.3</v>
      </c>
      <c r="D238" s="15">
        <v>80000</v>
      </c>
      <c r="E238" s="15">
        <f t="shared" si="32"/>
        <v>24000</v>
      </c>
      <c r="F238" s="16">
        <f>SUM(E238:E247)</f>
        <v>655000</v>
      </c>
      <c r="L238" s="38">
        <v>45953</v>
      </c>
      <c r="M238" s="34" t="s">
        <v>9</v>
      </c>
      <c r="N238" s="35">
        <v>3</v>
      </c>
      <c r="O238" s="15">
        <v>20000</v>
      </c>
      <c r="P238" s="15">
        <f t="shared" si="31"/>
        <v>60000</v>
      </c>
      <c r="Q238" s="39">
        <f>SUM(P238:P246)</f>
        <v>571000</v>
      </c>
    </row>
    <row r="239" s="1" customFormat="1" spans="1:17">
      <c r="A239" s="12"/>
      <c r="B239" s="13" t="s">
        <v>10</v>
      </c>
      <c r="C239" s="35">
        <v>3</v>
      </c>
      <c r="D239" s="15">
        <v>90000</v>
      </c>
      <c r="E239" s="15">
        <f t="shared" si="32"/>
        <v>270000</v>
      </c>
      <c r="F239" s="16"/>
      <c r="L239" s="28"/>
      <c r="M239" s="34" t="s">
        <v>11</v>
      </c>
      <c r="N239" s="35">
        <v>1</v>
      </c>
      <c r="O239" s="15">
        <v>80000</v>
      </c>
      <c r="P239" s="15">
        <f t="shared" si="31"/>
        <v>80000</v>
      </c>
      <c r="Q239" s="31"/>
    </row>
    <row r="240" s="1" customFormat="1" spans="1:17">
      <c r="A240" s="12"/>
      <c r="B240" s="13" t="s">
        <v>12</v>
      </c>
      <c r="C240" s="35">
        <v>3</v>
      </c>
      <c r="D240" s="15">
        <v>22000</v>
      </c>
      <c r="E240" s="15">
        <f t="shared" si="32"/>
        <v>66000</v>
      </c>
      <c r="F240" s="16"/>
      <c r="L240" s="28"/>
      <c r="M240" s="34" t="s">
        <v>26</v>
      </c>
      <c r="N240" s="35">
        <v>0.3</v>
      </c>
      <c r="O240" s="15">
        <v>15000</v>
      </c>
      <c r="P240" s="15">
        <v>5000</v>
      </c>
      <c r="Q240" s="31"/>
    </row>
    <row r="241" s="1" customFormat="1" spans="1:17">
      <c r="A241" s="12"/>
      <c r="B241" s="13" t="s">
        <v>74</v>
      </c>
      <c r="C241" s="35">
        <v>1</v>
      </c>
      <c r="D241" s="15">
        <v>95000</v>
      </c>
      <c r="E241" s="15">
        <f t="shared" si="32"/>
        <v>95000</v>
      </c>
      <c r="F241" s="16"/>
      <c r="L241" s="28"/>
      <c r="M241" s="34" t="s">
        <v>22</v>
      </c>
      <c r="N241" s="35">
        <v>1</v>
      </c>
      <c r="O241" s="15">
        <v>30000</v>
      </c>
      <c r="P241" s="15">
        <f t="shared" ref="P241:P249" si="33">SUM(N241*O241)</f>
        <v>30000</v>
      </c>
      <c r="Q241" s="31"/>
    </row>
    <row r="242" s="1" customFormat="1" spans="1:17">
      <c r="A242" s="12"/>
      <c r="B242" s="13" t="s">
        <v>41</v>
      </c>
      <c r="C242" s="35">
        <v>0.4</v>
      </c>
      <c r="D242" s="15">
        <v>100000</v>
      </c>
      <c r="E242" s="15">
        <f t="shared" si="32"/>
        <v>40000</v>
      </c>
      <c r="F242" s="16"/>
      <c r="L242" s="28"/>
      <c r="M242" s="34" t="s">
        <v>41</v>
      </c>
      <c r="N242" s="35">
        <v>0.5</v>
      </c>
      <c r="O242" s="15">
        <v>100000</v>
      </c>
      <c r="P242" s="15">
        <f t="shared" si="33"/>
        <v>50000</v>
      </c>
      <c r="Q242" s="31"/>
    </row>
    <row r="243" s="1" customFormat="1" spans="1:17">
      <c r="A243" s="12"/>
      <c r="B243" s="13" t="s">
        <v>35</v>
      </c>
      <c r="C243" s="35">
        <v>0.5</v>
      </c>
      <c r="D243" s="15">
        <v>40000</v>
      </c>
      <c r="E243" s="15">
        <f t="shared" si="32"/>
        <v>20000</v>
      </c>
      <c r="F243" s="16"/>
      <c r="L243" s="28"/>
      <c r="M243" s="34" t="s">
        <v>30</v>
      </c>
      <c r="N243" s="35">
        <v>4</v>
      </c>
      <c r="O243" s="15">
        <v>24000</v>
      </c>
      <c r="P243" s="15">
        <f t="shared" si="33"/>
        <v>96000</v>
      </c>
      <c r="Q243" s="31"/>
    </row>
    <row r="244" s="1" customFormat="1" spans="1:17">
      <c r="A244" s="12"/>
      <c r="B244" s="13" t="s">
        <v>14</v>
      </c>
      <c r="C244" s="35">
        <v>2</v>
      </c>
      <c r="D244" s="15">
        <v>10000</v>
      </c>
      <c r="E244" s="15">
        <f t="shared" si="32"/>
        <v>20000</v>
      </c>
      <c r="F244" s="16"/>
      <c r="L244" s="28"/>
      <c r="M244" s="34" t="s">
        <v>61</v>
      </c>
      <c r="N244" s="35">
        <v>3</v>
      </c>
      <c r="O244" s="15">
        <v>20000</v>
      </c>
      <c r="P244" s="15">
        <f t="shared" si="33"/>
        <v>60000</v>
      </c>
      <c r="Q244" s="31"/>
    </row>
    <row r="245" s="1" customFormat="1" spans="1:17">
      <c r="A245" s="12"/>
      <c r="B245" s="13" t="s">
        <v>102</v>
      </c>
      <c r="C245" s="35">
        <v>2</v>
      </c>
      <c r="D245" s="15">
        <v>20000</v>
      </c>
      <c r="E245" s="15">
        <f t="shared" si="32"/>
        <v>40000</v>
      </c>
      <c r="F245" s="16"/>
      <c r="L245" s="28"/>
      <c r="M245" s="34" t="s">
        <v>141</v>
      </c>
      <c r="N245" s="35">
        <v>1</v>
      </c>
      <c r="O245" s="15">
        <v>60000</v>
      </c>
      <c r="P245" s="15">
        <f t="shared" si="33"/>
        <v>60000</v>
      </c>
      <c r="Q245" s="31"/>
    </row>
    <row r="246" s="1" customFormat="1" spans="1:17">
      <c r="A246" s="12"/>
      <c r="B246" s="13" t="s">
        <v>33</v>
      </c>
      <c r="C246" s="35">
        <v>1</v>
      </c>
      <c r="D246" s="15">
        <v>28000</v>
      </c>
      <c r="E246" s="15">
        <f t="shared" si="32"/>
        <v>28000</v>
      </c>
      <c r="F246" s="16"/>
      <c r="L246" s="29"/>
      <c r="M246" s="34" t="s">
        <v>25</v>
      </c>
      <c r="N246" s="35">
        <v>1</v>
      </c>
      <c r="O246" s="15">
        <v>130000</v>
      </c>
      <c r="P246" s="15">
        <f t="shared" si="33"/>
        <v>130000</v>
      </c>
      <c r="Q246" s="22"/>
    </row>
    <row r="247" s="1" customFormat="1" spans="1:17">
      <c r="A247" s="12"/>
      <c r="B247" s="13" t="s">
        <v>118</v>
      </c>
      <c r="C247" s="35">
        <v>2</v>
      </c>
      <c r="D247" s="15">
        <v>26000</v>
      </c>
      <c r="E247" s="15">
        <f t="shared" si="32"/>
        <v>52000</v>
      </c>
      <c r="F247" s="16"/>
      <c r="L247" s="25">
        <v>45954</v>
      </c>
      <c r="M247" s="34" t="s">
        <v>11</v>
      </c>
      <c r="N247" s="35">
        <v>2</v>
      </c>
      <c r="O247" s="15">
        <v>80000</v>
      </c>
      <c r="P247" s="15">
        <f t="shared" si="33"/>
        <v>160000</v>
      </c>
      <c r="Q247" s="15">
        <f>SUM(P247:P263)</f>
        <v>1004000</v>
      </c>
    </row>
    <row r="248" s="1" customFormat="1" spans="1:17">
      <c r="A248" s="12">
        <v>45949</v>
      </c>
      <c r="B248" s="13" t="s">
        <v>128</v>
      </c>
      <c r="C248" s="14">
        <v>1</v>
      </c>
      <c r="D248" s="15">
        <v>30000</v>
      </c>
      <c r="E248" s="15">
        <f t="shared" si="32"/>
        <v>30000</v>
      </c>
      <c r="F248" s="16">
        <f>SUM(E248:E266)</f>
        <v>1812000</v>
      </c>
      <c r="L248" s="25"/>
      <c r="M248" s="34" t="s">
        <v>9</v>
      </c>
      <c r="N248" s="35">
        <v>5</v>
      </c>
      <c r="O248" s="15">
        <v>20000</v>
      </c>
      <c r="P248" s="15">
        <f t="shared" si="33"/>
        <v>100000</v>
      </c>
      <c r="Q248" s="15"/>
    </row>
    <row r="249" s="1" customFormat="1" spans="1:17">
      <c r="A249" s="12"/>
      <c r="B249" s="13" t="s">
        <v>127</v>
      </c>
      <c r="C249" s="14">
        <v>0.5</v>
      </c>
      <c r="D249" s="15">
        <v>30000</v>
      </c>
      <c r="E249" s="15">
        <f t="shared" si="32"/>
        <v>15000</v>
      </c>
      <c r="F249" s="16"/>
      <c r="L249" s="25"/>
      <c r="M249" s="34" t="s">
        <v>14</v>
      </c>
      <c r="N249" s="35">
        <v>10</v>
      </c>
      <c r="O249" s="15">
        <v>10000</v>
      </c>
      <c r="P249" s="15">
        <f t="shared" si="33"/>
        <v>100000</v>
      </c>
      <c r="Q249" s="15"/>
    </row>
    <row r="250" s="1" customFormat="1" spans="1:17">
      <c r="A250" s="12"/>
      <c r="B250" s="13" t="s">
        <v>81</v>
      </c>
      <c r="C250" s="14">
        <v>1</v>
      </c>
      <c r="D250" s="15">
        <v>160000</v>
      </c>
      <c r="E250" s="15">
        <f t="shared" si="32"/>
        <v>160000</v>
      </c>
      <c r="F250" s="16"/>
      <c r="L250" s="25"/>
      <c r="M250" s="34" t="s">
        <v>26</v>
      </c>
      <c r="N250" s="35">
        <v>0.3</v>
      </c>
      <c r="O250" s="15">
        <v>15000</v>
      </c>
      <c r="P250" s="15">
        <v>5000</v>
      </c>
      <c r="Q250" s="15"/>
    </row>
    <row r="251" s="1" customFormat="1" spans="1:17">
      <c r="A251" s="12"/>
      <c r="B251" s="13" t="s">
        <v>75</v>
      </c>
      <c r="C251" s="14">
        <v>1</v>
      </c>
      <c r="D251" s="15">
        <v>40000</v>
      </c>
      <c r="E251" s="15">
        <f t="shared" si="32"/>
        <v>40000</v>
      </c>
      <c r="F251" s="16"/>
      <c r="L251" s="25"/>
      <c r="M251" s="34" t="s">
        <v>40</v>
      </c>
      <c r="N251" s="35">
        <v>0.3</v>
      </c>
      <c r="O251" s="15">
        <v>50000</v>
      </c>
      <c r="P251" s="15">
        <f t="shared" ref="P251:P254" si="34">SUM(N251*O251)</f>
        <v>15000</v>
      </c>
      <c r="Q251" s="15"/>
    </row>
    <row r="252" s="1" customFormat="1" spans="1:17">
      <c r="A252" s="12"/>
      <c r="B252" s="13" t="s">
        <v>85</v>
      </c>
      <c r="C252" s="14">
        <v>1.13</v>
      </c>
      <c r="D252" s="15">
        <v>40000</v>
      </c>
      <c r="E252" s="15">
        <v>45000</v>
      </c>
      <c r="F252" s="16"/>
      <c r="L252" s="25"/>
      <c r="M252" s="34" t="s">
        <v>17</v>
      </c>
      <c r="N252" s="35">
        <v>0.3</v>
      </c>
      <c r="O252" s="15">
        <v>30000</v>
      </c>
      <c r="P252" s="15">
        <f t="shared" si="34"/>
        <v>9000</v>
      </c>
      <c r="Q252" s="15"/>
    </row>
    <row r="253" s="1" customFormat="1" spans="1:17">
      <c r="A253" s="12"/>
      <c r="B253" s="13" t="s">
        <v>24</v>
      </c>
      <c r="C253" s="14">
        <v>1</v>
      </c>
      <c r="D253" s="15">
        <v>40000</v>
      </c>
      <c r="E253" s="15">
        <f t="shared" ref="E253:E270" si="35">SUM(C253*D253)</f>
        <v>40000</v>
      </c>
      <c r="F253" s="16"/>
      <c r="L253" s="25"/>
      <c r="M253" s="34" t="s">
        <v>20</v>
      </c>
      <c r="N253" s="35">
        <v>1.115</v>
      </c>
      <c r="O253" s="15">
        <v>48000</v>
      </c>
      <c r="P253" s="15">
        <v>54000</v>
      </c>
      <c r="Q253" s="15"/>
    </row>
    <row r="254" s="1" customFormat="1" spans="1:17">
      <c r="A254" s="12"/>
      <c r="B254" s="13" t="s">
        <v>115</v>
      </c>
      <c r="C254" s="14">
        <v>0.1</v>
      </c>
      <c r="D254" s="15">
        <v>80000</v>
      </c>
      <c r="E254" s="15">
        <f t="shared" si="35"/>
        <v>8000</v>
      </c>
      <c r="F254" s="16"/>
      <c r="L254" s="25"/>
      <c r="M254" s="34" t="s">
        <v>103</v>
      </c>
      <c r="N254" s="35">
        <v>2</v>
      </c>
      <c r="O254" s="15">
        <v>45000</v>
      </c>
      <c r="P254" s="15">
        <f t="shared" si="34"/>
        <v>90000</v>
      </c>
      <c r="Q254" s="15"/>
    </row>
    <row r="255" s="1" customFormat="1" spans="1:17">
      <c r="A255" s="12"/>
      <c r="B255" s="13" t="s">
        <v>118</v>
      </c>
      <c r="C255" s="14">
        <v>1</v>
      </c>
      <c r="D255" s="15">
        <v>34000</v>
      </c>
      <c r="E255" s="15">
        <f t="shared" si="35"/>
        <v>34000</v>
      </c>
      <c r="F255" s="16"/>
      <c r="L255" s="25"/>
      <c r="M255" s="34" t="s">
        <v>24</v>
      </c>
      <c r="N255" s="35">
        <v>1.3</v>
      </c>
      <c r="O255" s="15">
        <v>38000</v>
      </c>
      <c r="P255" s="15">
        <v>49000</v>
      </c>
      <c r="Q255" s="15"/>
    </row>
    <row r="256" s="1" customFormat="1" spans="1:17">
      <c r="A256" s="12"/>
      <c r="B256" s="13" t="s">
        <v>35</v>
      </c>
      <c r="C256" s="14">
        <v>0.5</v>
      </c>
      <c r="D256" s="15">
        <v>40000</v>
      </c>
      <c r="E256" s="15">
        <f t="shared" si="35"/>
        <v>20000</v>
      </c>
      <c r="F256" s="16"/>
      <c r="L256" s="25"/>
      <c r="M256" s="34" t="s">
        <v>53</v>
      </c>
      <c r="N256" s="35">
        <v>1</v>
      </c>
      <c r="O256" s="15">
        <v>15000</v>
      </c>
      <c r="P256" s="15">
        <f t="shared" ref="P256:P258" si="36">SUM(N256*O256)</f>
        <v>15000</v>
      </c>
      <c r="Q256" s="15"/>
    </row>
    <row r="257" s="1" customFormat="1" spans="1:17">
      <c r="A257" s="12"/>
      <c r="B257" s="13" t="s">
        <v>48</v>
      </c>
      <c r="C257" s="14">
        <v>2</v>
      </c>
      <c r="D257" s="15">
        <v>40000</v>
      </c>
      <c r="E257" s="15">
        <f t="shared" si="35"/>
        <v>80000</v>
      </c>
      <c r="F257" s="16"/>
      <c r="L257" s="25"/>
      <c r="M257" s="34" t="s">
        <v>41</v>
      </c>
      <c r="N257" s="35">
        <v>0.5</v>
      </c>
      <c r="O257" s="15">
        <v>100000</v>
      </c>
      <c r="P257" s="15">
        <f t="shared" si="36"/>
        <v>50000</v>
      </c>
      <c r="Q257" s="15"/>
    </row>
    <row r="258" s="1" customFormat="1" spans="1:17">
      <c r="A258" s="12"/>
      <c r="B258" s="13" t="s">
        <v>63</v>
      </c>
      <c r="C258" s="14">
        <v>3</v>
      </c>
      <c r="D258" s="15">
        <v>40000</v>
      </c>
      <c r="E258" s="15">
        <f t="shared" si="35"/>
        <v>120000</v>
      </c>
      <c r="F258" s="16"/>
      <c r="L258" s="25"/>
      <c r="M258" s="34" t="s">
        <v>22</v>
      </c>
      <c r="N258" s="35">
        <v>1</v>
      </c>
      <c r="O258" s="15">
        <v>30000</v>
      </c>
      <c r="P258" s="15">
        <f t="shared" si="36"/>
        <v>30000</v>
      </c>
      <c r="Q258" s="15"/>
    </row>
    <row r="259" s="1" customFormat="1" spans="1:17">
      <c r="A259" s="12"/>
      <c r="B259" s="13" t="s">
        <v>123</v>
      </c>
      <c r="C259" s="14">
        <v>3</v>
      </c>
      <c r="D259" s="15">
        <v>15000</v>
      </c>
      <c r="E259" s="15">
        <f t="shared" si="35"/>
        <v>45000</v>
      </c>
      <c r="F259" s="16"/>
      <c r="L259" s="25"/>
      <c r="M259" s="34" t="s">
        <v>57</v>
      </c>
      <c r="N259" s="35">
        <v>0.5</v>
      </c>
      <c r="O259" s="15">
        <v>35000</v>
      </c>
      <c r="P259" s="15">
        <v>18000</v>
      </c>
      <c r="Q259" s="15"/>
    </row>
    <row r="260" s="1" customFormat="1" spans="1:17">
      <c r="A260" s="12"/>
      <c r="B260" s="13" t="s">
        <v>61</v>
      </c>
      <c r="C260" s="14">
        <v>2</v>
      </c>
      <c r="D260" s="15">
        <v>20000</v>
      </c>
      <c r="E260" s="15">
        <f t="shared" si="35"/>
        <v>40000</v>
      </c>
      <c r="F260" s="16"/>
      <c r="L260" s="25"/>
      <c r="M260" s="34" t="s">
        <v>30</v>
      </c>
      <c r="N260" s="35">
        <v>6</v>
      </c>
      <c r="O260" s="15">
        <v>24000</v>
      </c>
      <c r="P260" s="15">
        <f t="shared" ref="P260:P272" si="37">SUM(N260*O260)</f>
        <v>144000</v>
      </c>
      <c r="Q260" s="15"/>
    </row>
    <row r="261" s="1" customFormat="1" spans="1:17">
      <c r="A261" s="12"/>
      <c r="B261" s="13" t="s">
        <v>142</v>
      </c>
      <c r="C261" s="14">
        <v>3</v>
      </c>
      <c r="D261" s="15">
        <v>60000</v>
      </c>
      <c r="E261" s="15">
        <f t="shared" si="35"/>
        <v>180000</v>
      </c>
      <c r="F261" s="16"/>
      <c r="L261" s="25"/>
      <c r="M261" s="34" t="s">
        <v>32</v>
      </c>
      <c r="N261" s="35">
        <v>2</v>
      </c>
      <c r="O261" s="15">
        <v>40000</v>
      </c>
      <c r="P261" s="15">
        <f t="shared" si="37"/>
        <v>80000</v>
      </c>
      <c r="Q261" s="15"/>
    </row>
    <row r="262" s="1" customFormat="1" spans="1:17">
      <c r="A262" s="12"/>
      <c r="B262" s="13" t="s">
        <v>36</v>
      </c>
      <c r="C262" s="14">
        <v>1</v>
      </c>
      <c r="D262" s="15">
        <v>95000</v>
      </c>
      <c r="E262" s="15">
        <f t="shared" si="35"/>
        <v>95000</v>
      </c>
      <c r="F262" s="16"/>
      <c r="L262" s="25"/>
      <c r="M262" s="34" t="s">
        <v>34</v>
      </c>
      <c r="N262" s="35">
        <v>1</v>
      </c>
      <c r="O262" s="15">
        <v>49000</v>
      </c>
      <c r="P262" s="15">
        <f t="shared" si="37"/>
        <v>49000</v>
      </c>
      <c r="Q262" s="15"/>
    </row>
    <row r="263" s="1" customFormat="1" spans="1:17">
      <c r="A263" s="12"/>
      <c r="B263" s="13" t="s">
        <v>143</v>
      </c>
      <c r="C263" s="14">
        <v>2</v>
      </c>
      <c r="D263" s="15">
        <v>45000</v>
      </c>
      <c r="E263" s="15">
        <f t="shared" si="35"/>
        <v>90000</v>
      </c>
      <c r="F263" s="16"/>
      <c r="L263" s="25"/>
      <c r="M263" s="34" t="s">
        <v>118</v>
      </c>
      <c r="N263" s="35">
        <v>1</v>
      </c>
      <c r="O263" s="15">
        <v>36000</v>
      </c>
      <c r="P263" s="15">
        <f t="shared" si="37"/>
        <v>36000</v>
      </c>
      <c r="Q263" s="15"/>
    </row>
    <row r="264" s="1" customFormat="1" ht="15.75" spans="1:17">
      <c r="A264" s="12"/>
      <c r="B264" s="13" t="s">
        <v>77</v>
      </c>
      <c r="C264" s="14">
        <v>2</v>
      </c>
      <c r="D264" s="15">
        <v>90000</v>
      </c>
      <c r="E264" s="15">
        <f t="shared" si="35"/>
        <v>180000</v>
      </c>
      <c r="F264" s="16"/>
      <c r="L264" s="25">
        <v>45954</v>
      </c>
      <c r="M264" s="34" t="s">
        <v>144</v>
      </c>
      <c r="N264" s="35">
        <v>0.1</v>
      </c>
      <c r="O264" s="15">
        <v>160000</v>
      </c>
      <c r="P264" s="15">
        <f t="shared" si="37"/>
        <v>16000</v>
      </c>
      <c r="Q264" s="44">
        <f>SUM(P264)</f>
        <v>16000</v>
      </c>
    </row>
    <row r="265" s="1" customFormat="1" spans="1:17">
      <c r="A265" s="12"/>
      <c r="B265" s="13" t="s">
        <v>8</v>
      </c>
      <c r="C265" s="14">
        <v>2</v>
      </c>
      <c r="D265" s="15">
        <v>160000</v>
      </c>
      <c r="E265" s="15">
        <f t="shared" si="35"/>
        <v>320000</v>
      </c>
      <c r="F265" s="16"/>
      <c r="L265" s="25">
        <v>45955</v>
      </c>
      <c r="M265" s="34" t="s">
        <v>11</v>
      </c>
      <c r="N265" s="35">
        <v>2</v>
      </c>
      <c r="O265" s="15">
        <v>80000</v>
      </c>
      <c r="P265" s="15">
        <f t="shared" si="37"/>
        <v>160000</v>
      </c>
      <c r="Q265" s="15">
        <f>SUM(P265:P272)</f>
        <v>504000</v>
      </c>
    </row>
    <row r="266" s="1" customFormat="1" spans="1:17">
      <c r="A266" s="12"/>
      <c r="B266" s="13" t="s">
        <v>95</v>
      </c>
      <c r="C266" s="14">
        <v>3</v>
      </c>
      <c r="D266" s="15">
        <v>90000</v>
      </c>
      <c r="E266" s="15">
        <f t="shared" si="35"/>
        <v>270000</v>
      </c>
      <c r="F266" s="16"/>
      <c r="L266" s="25"/>
      <c r="M266" s="34" t="s">
        <v>9</v>
      </c>
      <c r="N266" s="35">
        <v>3</v>
      </c>
      <c r="O266" s="15">
        <v>20000</v>
      </c>
      <c r="P266" s="15">
        <f t="shared" si="37"/>
        <v>60000</v>
      </c>
      <c r="Q266" s="15"/>
    </row>
    <row r="267" s="1" customFormat="1" spans="1:17">
      <c r="A267" s="12">
        <v>45949</v>
      </c>
      <c r="B267" s="13" t="s">
        <v>42</v>
      </c>
      <c r="C267" s="14">
        <v>2</v>
      </c>
      <c r="D267" s="15">
        <v>200000</v>
      </c>
      <c r="E267" s="15">
        <f t="shared" si="35"/>
        <v>400000</v>
      </c>
      <c r="F267" s="16">
        <f>SUM(E267:E272)</f>
        <v>834000</v>
      </c>
      <c r="L267" s="25"/>
      <c r="M267" s="34" t="s">
        <v>14</v>
      </c>
      <c r="N267" s="35">
        <v>10</v>
      </c>
      <c r="O267" s="15">
        <v>10000</v>
      </c>
      <c r="P267" s="15">
        <f t="shared" si="37"/>
        <v>100000</v>
      </c>
      <c r="Q267" s="15"/>
    </row>
    <row r="268" s="1" customFormat="1" spans="1:17">
      <c r="A268" s="12"/>
      <c r="B268" s="13" t="s">
        <v>96</v>
      </c>
      <c r="C268" s="14">
        <v>2</v>
      </c>
      <c r="D268" s="15">
        <v>120000</v>
      </c>
      <c r="E268" s="15">
        <f t="shared" si="35"/>
        <v>240000</v>
      </c>
      <c r="F268" s="16"/>
      <c r="L268" s="25"/>
      <c r="M268" s="34" t="s">
        <v>17</v>
      </c>
      <c r="N268" s="35">
        <v>0.3</v>
      </c>
      <c r="O268" s="15">
        <v>30000</v>
      </c>
      <c r="P268" s="15">
        <f t="shared" si="37"/>
        <v>9000</v>
      </c>
      <c r="Q268" s="15"/>
    </row>
    <row r="269" s="1" customFormat="1" spans="1:17">
      <c r="A269" s="12"/>
      <c r="B269" s="13" t="s">
        <v>145</v>
      </c>
      <c r="C269" s="14">
        <v>0.5</v>
      </c>
      <c r="D269" s="15">
        <v>60000</v>
      </c>
      <c r="E269" s="15">
        <f t="shared" si="35"/>
        <v>30000</v>
      </c>
      <c r="F269" s="16"/>
      <c r="L269" s="25"/>
      <c r="M269" s="34" t="s">
        <v>24</v>
      </c>
      <c r="N269" s="35">
        <v>1</v>
      </c>
      <c r="O269" s="15">
        <v>38000</v>
      </c>
      <c r="P269" s="15">
        <f t="shared" si="37"/>
        <v>38000</v>
      </c>
      <c r="Q269" s="15"/>
    </row>
    <row r="270" s="1" customFormat="1" spans="1:17">
      <c r="A270" s="12"/>
      <c r="B270" s="13" t="s">
        <v>33</v>
      </c>
      <c r="C270" s="14">
        <v>1</v>
      </c>
      <c r="D270" s="15">
        <v>28000</v>
      </c>
      <c r="E270" s="15">
        <f t="shared" si="35"/>
        <v>28000</v>
      </c>
      <c r="F270" s="16"/>
      <c r="L270" s="25"/>
      <c r="M270" s="34" t="s">
        <v>53</v>
      </c>
      <c r="N270" s="35">
        <v>1</v>
      </c>
      <c r="O270" s="15">
        <v>15000</v>
      </c>
      <c r="P270" s="15">
        <f t="shared" si="37"/>
        <v>15000</v>
      </c>
      <c r="Q270" s="15"/>
    </row>
    <row r="271" s="1" customFormat="1" spans="1:17">
      <c r="A271" s="12"/>
      <c r="B271" s="13" t="s">
        <v>146</v>
      </c>
      <c r="C271" s="14">
        <v>1.235</v>
      </c>
      <c r="D271" s="15">
        <v>65000</v>
      </c>
      <c r="E271" s="15">
        <v>80000</v>
      </c>
      <c r="F271" s="16"/>
      <c r="L271" s="25"/>
      <c r="M271" s="34" t="s">
        <v>41</v>
      </c>
      <c r="N271" s="35">
        <v>0.5</v>
      </c>
      <c r="O271" s="15">
        <v>100000</v>
      </c>
      <c r="P271" s="15">
        <f t="shared" si="37"/>
        <v>50000</v>
      </c>
      <c r="Q271" s="15"/>
    </row>
    <row r="272" s="1" customFormat="1" spans="1:17">
      <c r="A272" s="12"/>
      <c r="B272" s="13" t="s">
        <v>56</v>
      </c>
      <c r="C272" s="14">
        <v>2</v>
      </c>
      <c r="D272" s="15">
        <v>28000</v>
      </c>
      <c r="E272" s="15">
        <f t="shared" ref="E272:E320" si="38">SUM(C272*D272)</f>
        <v>56000</v>
      </c>
      <c r="F272" s="16"/>
      <c r="L272" s="25"/>
      <c r="M272" s="34" t="s">
        <v>30</v>
      </c>
      <c r="N272" s="35">
        <v>3</v>
      </c>
      <c r="O272" s="15">
        <v>24000</v>
      </c>
      <c r="P272" s="15">
        <f t="shared" si="37"/>
        <v>72000</v>
      </c>
      <c r="Q272" s="15"/>
    </row>
    <row r="273" s="1" customFormat="1" spans="1:17">
      <c r="A273" s="19">
        <v>45950</v>
      </c>
      <c r="B273" s="20" t="s">
        <v>110</v>
      </c>
      <c r="C273" s="21">
        <v>2</v>
      </c>
      <c r="D273" s="22">
        <v>90000</v>
      </c>
      <c r="E273" s="15">
        <f t="shared" si="38"/>
        <v>180000</v>
      </c>
      <c r="F273" s="23">
        <f>SUM(E273:E287)</f>
        <v>2228000</v>
      </c>
      <c r="L273" s="38">
        <v>45956</v>
      </c>
      <c r="M273" s="36" t="s">
        <v>11</v>
      </c>
      <c r="N273" s="37">
        <v>2.08</v>
      </c>
      <c r="O273" s="22">
        <v>80000</v>
      </c>
      <c r="P273" s="15">
        <v>166000</v>
      </c>
      <c r="Q273" s="31">
        <f>SUM(P273:P278)</f>
        <v>381000</v>
      </c>
    </row>
    <row r="274" s="1" customFormat="1" spans="1:17">
      <c r="A274" s="19"/>
      <c r="B274" s="13" t="s">
        <v>10</v>
      </c>
      <c r="C274" s="14">
        <v>2</v>
      </c>
      <c r="D274" s="15">
        <v>90000</v>
      </c>
      <c r="E274" s="15">
        <f t="shared" si="38"/>
        <v>180000</v>
      </c>
      <c r="F274" s="23"/>
      <c r="L274" s="28"/>
      <c r="M274" s="34" t="s">
        <v>9</v>
      </c>
      <c r="N274" s="35">
        <v>3</v>
      </c>
      <c r="O274" s="15">
        <v>20000</v>
      </c>
      <c r="P274" s="15">
        <f t="shared" ref="P274:P283" si="39">SUM(N274*O274)</f>
        <v>60000</v>
      </c>
      <c r="Q274" s="31"/>
    </row>
    <row r="275" s="1" customFormat="1" spans="1:17">
      <c r="A275" s="19"/>
      <c r="B275" s="13" t="s">
        <v>12</v>
      </c>
      <c r="C275" s="14">
        <v>4</v>
      </c>
      <c r="D275" s="15">
        <v>22000</v>
      </c>
      <c r="E275" s="15">
        <f t="shared" si="38"/>
        <v>88000</v>
      </c>
      <c r="F275" s="23"/>
      <c r="L275" s="28"/>
      <c r="M275" s="34" t="s">
        <v>14</v>
      </c>
      <c r="N275" s="35">
        <v>6</v>
      </c>
      <c r="O275" s="15">
        <v>10000</v>
      </c>
      <c r="P275" s="15">
        <f t="shared" si="39"/>
        <v>60000</v>
      </c>
      <c r="Q275" s="31"/>
    </row>
    <row r="276" s="1" customFormat="1" spans="1:17">
      <c r="A276" s="19"/>
      <c r="B276" s="13" t="s">
        <v>11</v>
      </c>
      <c r="C276" s="14">
        <v>1</v>
      </c>
      <c r="D276" s="15">
        <v>30000</v>
      </c>
      <c r="E276" s="15">
        <f t="shared" si="38"/>
        <v>30000</v>
      </c>
      <c r="F276" s="23"/>
      <c r="L276" s="28"/>
      <c r="M276" s="34" t="s">
        <v>17</v>
      </c>
      <c r="N276" s="35">
        <v>0.3</v>
      </c>
      <c r="O276" s="15">
        <v>30000</v>
      </c>
      <c r="P276" s="15">
        <f t="shared" si="39"/>
        <v>9000</v>
      </c>
      <c r="Q276" s="31"/>
    </row>
    <row r="277" s="1" customFormat="1" spans="1:17">
      <c r="A277" s="19"/>
      <c r="B277" s="13" t="s">
        <v>147</v>
      </c>
      <c r="C277" s="14">
        <v>3</v>
      </c>
      <c r="D277" s="15">
        <v>70000</v>
      </c>
      <c r="E277" s="15">
        <f t="shared" si="38"/>
        <v>210000</v>
      </c>
      <c r="F277" s="23"/>
      <c r="L277" s="28"/>
      <c r="M277" s="34" t="s">
        <v>24</v>
      </c>
      <c r="N277" s="35">
        <v>1</v>
      </c>
      <c r="O277" s="15">
        <v>38000</v>
      </c>
      <c r="P277" s="15">
        <f t="shared" si="39"/>
        <v>38000</v>
      </c>
      <c r="Q277" s="31"/>
    </row>
    <row r="278" s="1" customFormat="1" spans="1:17">
      <c r="A278" s="19"/>
      <c r="B278" s="13" t="s">
        <v>38</v>
      </c>
      <c r="C278" s="14">
        <v>2</v>
      </c>
      <c r="D278" s="15">
        <v>360000</v>
      </c>
      <c r="E278" s="15">
        <f t="shared" si="38"/>
        <v>720000</v>
      </c>
      <c r="F278" s="23"/>
      <c r="L278" s="29"/>
      <c r="M278" s="34" t="s">
        <v>30</v>
      </c>
      <c r="N278" s="35">
        <v>2</v>
      </c>
      <c r="O278" s="15">
        <v>24000</v>
      </c>
      <c r="P278" s="15">
        <f t="shared" si="39"/>
        <v>48000</v>
      </c>
      <c r="Q278" s="22"/>
    </row>
    <row r="279" s="1" customFormat="1" spans="1:17">
      <c r="A279" s="19"/>
      <c r="B279" s="13" t="s">
        <v>45</v>
      </c>
      <c r="C279" s="14">
        <v>0.3</v>
      </c>
      <c r="D279" s="15">
        <v>80000</v>
      </c>
      <c r="E279" s="15">
        <f t="shared" si="38"/>
        <v>24000</v>
      </c>
      <c r="F279" s="23"/>
      <c r="L279" s="38">
        <v>45956</v>
      </c>
      <c r="M279" s="34" t="s">
        <v>11</v>
      </c>
      <c r="N279" s="35">
        <v>2</v>
      </c>
      <c r="O279" s="15">
        <v>80000</v>
      </c>
      <c r="P279" s="15">
        <f t="shared" si="39"/>
        <v>160000</v>
      </c>
      <c r="Q279" s="39">
        <f>SUM(P279:P289)</f>
        <v>615000</v>
      </c>
    </row>
    <row r="280" s="1" customFormat="1" spans="1:17">
      <c r="A280" s="19"/>
      <c r="B280" s="13" t="s">
        <v>80</v>
      </c>
      <c r="C280" s="14">
        <v>2</v>
      </c>
      <c r="D280" s="15">
        <v>170000</v>
      </c>
      <c r="E280" s="15">
        <f t="shared" si="38"/>
        <v>340000</v>
      </c>
      <c r="F280" s="23"/>
      <c r="L280" s="28"/>
      <c r="M280" s="34" t="s">
        <v>9</v>
      </c>
      <c r="N280" s="35">
        <v>2</v>
      </c>
      <c r="O280" s="15">
        <v>20000</v>
      </c>
      <c r="P280" s="15">
        <f t="shared" si="39"/>
        <v>40000</v>
      </c>
      <c r="Q280" s="31"/>
    </row>
    <row r="281" s="1" customFormat="1" spans="1:17">
      <c r="A281" s="19"/>
      <c r="B281" s="13" t="s">
        <v>77</v>
      </c>
      <c r="C281" s="14">
        <v>2</v>
      </c>
      <c r="D281" s="15">
        <v>90000</v>
      </c>
      <c r="E281" s="15">
        <f t="shared" si="38"/>
        <v>180000</v>
      </c>
      <c r="F281" s="23"/>
      <c r="L281" s="28"/>
      <c r="M281" s="34" t="s">
        <v>14</v>
      </c>
      <c r="N281" s="35">
        <v>10</v>
      </c>
      <c r="O281" s="15">
        <v>10000</v>
      </c>
      <c r="P281" s="15">
        <f t="shared" si="39"/>
        <v>100000</v>
      </c>
      <c r="Q281" s="31"/>
    </row>
    <row r="282" s="1" customFormat="1" spans="1:17">
      <c r="A282" s="19"/>
      <c r="B282" s="13" t="s">
        <v>148</v>
      </c>
      <c r="C282" s="14">
        <v>2</v>
      </c>
      <c r="D282" s="15">
        <v>15000</v>
      </c>
      <c r="E282" s="15">
        <f t="shared" si="38"/>
        <v>30000</v>
      </c>
      <c r="F282" s="23"/>
      <c r="L282" s="28"/>
      <c r="M282" s="34" t="s">
        <v>17</v>
      </c>
      <c r="N282" s="35">
        <v>0.3</v>
      </c>
      <c r="O282" s="15">
        <v>30000</v>
      </c>
      <c r="P282" s="15">
        <f t="shared" si="39"/>
        <v>9000</v>
      </c>
      <c r="Q282" s="31"/>
    </row>
    <row r="283" s="1" customFormat="1" spans="1:17">
      <c r="A283" s="19"/>
      <c r="B283" s="13" t="s">
        <v>142</v>
      </c>
      <c r="C283" s="14">
        <v>30</v>
      </c>
      <c r="D283" s="15">
        <v>2000</v>
      </c>
      <c r="E283" s="15">
        <f t="shared" si="38"/>
        <v>60000</v>
      </c>
      <c r="F283" s="23"/>
      <c r="L283" s="28"/>
      <c r="M283" s="34" t="s">
        <v>22</v>
      </c>
      <c r="N283" s="35">
        <v>1</v>
      </c>
      <c r="O283" s="15">
        <v>30000</v>
      </c>
      <c r="P283" s="15">
        <f t="shared" si="39"/>
        <v>30000</v>
      </c>
      <c r="Q283" s="31"/>
    </row>
    <row r="284" s="1" customFormat="1" spans="1:17">
      <c r="A284" s="19"/>
      <c r="B284" s="13" t="s">
        <v>63</v>
      </c>
      <c r="C284" s="14">
        <v>3</v>
      </c>
      <c r="D284" s="15">
        <v>40000</v>
      </c>
      <c r="E284" s="15">
        <f t="shared" si="38"/>
        <v>120000</v>
      </c>
      <c r="F284" s="23"/>
      <c r="L284" s="28"/>
      <c r="M284" s="34" t="s">
        <v>26</v>
      </c>
      <c r="N284" s="35">
        <v>0.3</v>
      </c>
      <c r="O284" s="15">
        <v>15000</v>
      </c>
      <c r="P284" s="15">
        <v>5000</v>
      </c>
      <c r="Q284" s="31"/>
    </row>
    <row r="285" s="1" customFormat="1" spans="1:17">
      <c r="A285" s="19"/>
      <c r="B285" s="13" t="s">
        <v>128</v>
      </c>
      <c r="C285" s="14">
        <v>0.5</v>
      </c>
      <c r="D285" s="15">
        <v>30000</v>
      </c>
      <c r="E285" s="15">
        <f t="shared" si="38"/>
        <v>15000</v>
      </c>
      <c r="F285" s="23"/>
      <c r="L285" s="28"/>
      <c r="M285" s="34" t="s">
        <v>41</v>
      </c>
      <c r="N285" s="35">
        <v>0.5</v>
      </c>
      <c r="O285" s="15">
        <v>100000</v>
      </c>
      <c r="P285" s="15">
        <f t="shared" ref="P285:P288" si="40">SUM(N285*O285)</f>
        <v>50000</v>
      </c>
      <c r="Q285" s="31"/>
    </row>
    <row r="286" s="1" customFormat="1" spans="1:17">
      <c r="A286" s="19"/>
      <c r="B286" s="13" t="s">
        <v>88</v>
      </c>
      <c r="C286" s="14">
        <v>0.1</v>
      </c>
      <c r="D286" s="15">
        <v>60000</v>
      </c>
      <c r="E286" s="15">
        <f t="shared" si="38"/>
        <v>6000</v>
      </c>
      <c r="F286" s="23"/>
      <c r="L286" s="28"/>
      <c r="M286" s="34" t="s">
        <v>30</v>
      </c>
      <c r="N286" s="35">
        <v>3</v>
      </c>
      <c r="O286" s="15">
        <v>24000</v>
      </c>
      <c r="P286" s="15">
        <f t="shared" si="40"/>
        <v>72000</v>
      </c>
      <c r="Q286" s="31"/>
    </row>
    <row r="287" s="1" customFormat="1" spans="1:17">
      <c r="A287" s="32"/>
      <c r="B287" s="13" t="s">
        <v>87</v>
      </c>
      <c r="C287" s="14">
        <v>3</v>
      </c>
      <c r="D287" s="15">
        <v>15000</v>
      </c>
      <c r="E287" s="15">
        <f t="shared" si="38"/>
        <v>45000</v>
      </c>
      <c r="F287" s="33"/>
      <c r="L287" s="28"/>
      <c r="M287" s="34" t="s">
        <v>32</v>
      </c>
      <c r="N287" s="35">
        <v>1</v>
      </c>
      <c r="O287" s="15">
        <v>40000</v>
      </c>
      <c r="P287" s="15">
        <f t="shared" si="40"/>
        <v>40000</v>
      </c>
      <c r="Q287" s="31"/>
    </row>
    <row r="288" s="1" customFormat="1" spans="1:17">
      <c r="A288" s="32">
        <v>45950</v>
      </c>
      <c r="B288" s="13" t="s">
        <v>120</v>
      </c>
      <c r="C288" s="14">
        <v>30</v>
      </c>
      <c r="D288" s="15">
        <v>1000</v>
      </c>
      <c r="E288" s="15">
        <f t="shared" si="38"/>
        <v>30000</v>
      </c>
      <c r="F288" s="33">
        <f>SUM(E288)</f>
        <v>30000</v>
      </c>
      <c r="L288" s="28"/>
      <c r="M288" s="34" t="s">
        <v>20</v>
      </c>
      <c r="N288" s="35">
        <v>1</v>
      </c>
      <c r="O288" s="15">
        <v>48000</v>
      </c>
      <c r="P288" s="15">
        <f t="shared" si="40"/>
        <v>48000</v>
      </c>
      <c r="Q288" s="31"/>
    </row>
    <row r="289" s="1" customFormat="1" spans="1:17">
      <c r="A289" s="12">
        <v>45951</v>
      </c>
      <c r="B289" s="13" t="s">
        <v>65</v>
      </c>
      <c r="C289" s="14">
        <v>2</v>
      </c>
      <c r="D289" s="15">
        <v>220000</v>
      </c>
      <c r="E289" s="15">
        <f t="shared" si="38"/>
        <v>440000</v>
      </c>
      <c r="F289" s="16">
        <f>SUM(E289:E301)</f>
        <v>2267000</v>
      </c>
      <c r="L289" s="29"/>
      <c r="M289" s="34" t="s">
        <v>28</v>
      </c>
      <c r="N289" s="35">
        <v>4.075</v>
      </c>
      <c r="O289" s="15">
        <v>15000</v>
      </c>
      <c r="P289" s="15">
        <v>61000</v>
      </c>
      <c r="Q289" s="22"/>
    </row>
    <row r="290" s="1" customFormat="1" spans="1:17">
      <c r="A290" s="12"/>
      <c r="B290" s="13" t="s">
        <v>50</v>
      </c>
      <c r="C290" s="14">
        <v>3</v>
      </c>
      <c r="D290" s="15">
        <v>120000</v>
      </c>
      <c r="E290" s="15">
        <f t="shared" si="38"/>
        <v>360000</v>
      </c>
      <c r="F290" s="16"/>
      <c r="L290" s="38">
        <v>45958</v>
      </c>
      <c r="M290" s="34" t="s">
        <v>14</v>
      </c>
      <c r="N290" s="35">
        <v>2</v>
      </c>
      <c r="O290" s="15">
        <v>10000</v>
      </c>
      <c r="P290" s="15">
        <f t="shared" ref="P290:P294" si="41">N290*O290</f>
        <v>20000</v>
      </c>
      <c r="Q290" s="39">
        <f>SUM(P290:P303)</f>
        <v>565000</v>
      </c>
    </row>
    <row r="291" s="1" customFormat="1" spans="1:17">
      <c r="A291" s="12"/>
      <c r="B291" s="13" t="s">
        <v>48</v>
      </c>
      <c r="C291" s="14">
        <v>2</v>
      </c>
      <c r="D291" s="15">
        <v>40000</v>
      </c>
      <c r="E291" s="15">
        <f t="shared" si="38"/>
        <v>80000</v>
      </c>
      <c r="F291" s="16"/>
      <c r="L291" s="28"/>
      <c r="M291" s="34" t="s">
        <v>9</v>
      </c>
      <c r="N291" s="35">
        <v>3</v>
      </c>
      <c r="O291" s="15">
        <v>20000</v>
      </c>
      <c r="P291" s="15">
        <f t="shared" si="41"/>
        <v>60000</v>
      </c>
      <c r="Q291" s="31"/>
    </row>
    <row r="292" s="1" customFormat="1" spans="1:17">
      <c r="A292" s="12"/>
      <c r="B292" s="13" t="s">
        <v>149</v>
      </c>
      <c r="C292" s="14">
        <v>2</v>
      </c>
      <c r="D292" s="15">
        <v>90000</v>
      </c>
      <c r="E292" s="15">
        <f t="shared" si="38"/>
        <v>180000</v>
      </c>
      <c r="F292" s="16"/>
      <c r="L292" s="28"/>
      <c r="M292" s="34" t="s">
        <v>11</v>
      </c>
      <c r="N292" s="35">
        <v>1</v>
      </c>
      <c r="O292" s="15">
        <v>75000</v>
      </c>
      <c r="P292" s="15">
        <f t="shared" si="41"/>
        <v>75000</v>
      </c>
      <c r="Q292" s="31"/>
    </row>
    <row r="293" s="1" customFormat="1" spans="1:17">
      <c r="A293" s="12"/>
      <c r="B293" s="13" t="s">
        <v>21</v>
      </c>
      <c r="C293" s="14">
        <v>3</v>
      </c>
      <c r="D293" s="15">
        <v>25000</v>
      </c>
      <c r="E293" s="15">
        <f t="shared" si="38"/>
        <v>75000</v>
      </c>
      <c r="F293" s="16"/>
      <c r="L293" s="28"/>
      <c r="M293" s="34" t="s">
        <v>20</v>
      </c>
      <c r="N293" s="35">
        <v>1</v>
      </c>
      <c r="O293" s="15">
        <v>48000</v>
      </c>
      <c r="P293" s="15">
        <f t="shared" si="41"/>
        <v>48000</v>
      </c>
      <c r="Q293" s="31"/>
    </row>
    <row r="294" s="1" customFormat="1" spans="1:17">
      <c r="A294" s="12"/>
      <c r="B294" s="13" t="s">
        <v>10</v>
      </c>
      <c r="C294" s="14">
        <v>3</v>
      </c>
      <c r="D294" s="15">
        <v>90000</v>
      </c>
      <c r="E294" s="15">
        <f t="shared" si="38"/>
        <v>270000</v>
      </c>
      <c r="F294" s="16"/>
      <c r="L294" s="28"/>
      <c r="M294" s="34" t="s">
        <v>53</v>
      </c>
      <c r="N294" s="35">
        <v>1</v>
      </c>
      <c r="O294" s="15">
        <v>15000</v>
      </c>
      <c r="P294" s="15">
        <f t="shared" si="41"/>
        <v>15000</v>
      </c>
      <c r="Q294" s="31"/>
    </row>
    <row r="295" s="1" customFormat="1" spans="1:17">
      <c r="A295" s="12"/>
      <c r="B295" s="13" t="s">
        <v>12</v>
      </c>
      <c r="C295" s="14">
        <v>2</v>
      </c>
      <c r="D295" s="15">
        <v>22000</v>
      </c>
      <c r="E295" s="15">
        <f t="shared" si="38"/>
        <v>44000</v>
      </c>
      <c r="F295" s="16"/>
      <c r="L295" s="28"/>
      <c r="M295" s="34" t="s">
        <v>26</v>
      </c>
      <c r="N295" s="35">
        <v>0.5</v>
      </c>
      <c r="O295" s="15">
        <v>15000</v>
      </c>
      <c r="P295" s="15">
        <v>8000</v>
      </c>
      <c r="Q295" s="31"/>
    </row>
    <row r="296" s="1" customFormat="1" spans="1:17">
      <c r="A296" s="12"/>
      <c r="B296" s="13" t="s">
        <v>95</v>
      </c>
      <c r="C296" s="14">
        <v>3</v>
      </c>
      <c r="D296" s="15">
        <v>90000</v>
      </c>
      <c r="E296" s="15">
        <f t="shared" si="38"/>
        <v>270000</v>
      </c>
      <c r="F296" s="16"/>
      <c r="L296" s="28"/>
      <c r="M296" s="34" t="s">
        <v>17</v>
      </c>
      <c r="N296" s="35">
        <v>0.3</v>
      </c>
      <c r="O296" s="15">
        <v>30000</v>
      </c>
      <c r="P296" s="15">
        <f t="shared" ref="P296:P307" si="42">N296*O296</f>
        <v>9000</v>
      </c>
      <c r="Q296" s="31"/>
    </row>
    <row r="297" s="1" customFormat="1" spans="1:17">
      <c r="A297" s="12"/>
      <c r="B297" s="13" t="s">
        <v>54</v>
      </c>
      <c r="C297" s="14">
        <v>1</v>
      </c>
      <c r="D297" s="15">
        <v>330000</v>
      </c>
      <c r="E297" s="15">
        <f t="shared" si="38"/>
        <v>330000</v>
      </c>
      <c r="F297" s="16"/>
      <c r="L297" s="28"/>
      <c r="M297" s="34" t="s">
        <v>24</v>
      </c>
      <c r="N297" s="35">
        <v>1.26</v>
      </c>
      <c r="O297" s="15">
        <v>40000</v>
      </c>
      <c r="P297" s="15">
        <v>50000</v>
      </c>
      <c r="Q297" s="31"/>
    </row>
    <row r="298" s="1" customFormat="1" spans="1:17">
      <c r="A298" s="12"/>
      <c r="B298" s="13" t="s">
        <v>39</v>
      </c>
      <c r="C298" s="14">
        <v>1</v>
      </c>
      <c r="D298" s="15">
        <v>60000</v>
      </c>
      <c r="E298" s="15">
        <f t="shared" si="38"/>
        <v>60000</v>
      </c>
      <c r="F298" s="16"/>
      <c r="L298" s="28"/>
      <c r="M298" s="34" t="s">
        <v>41</v>
      </c>
      <c r="N298" s="35">
        <v>0.5</v>
      </c>
      <c r="O298" s="15">
        <v>100000</v>
      </c>
      <c r="P298" s="15">
        <f t="shared" si="42"/>
        <v>50000</v>
      </c>
      <c r="Q298" s="31"/>
    </row>
    <row r="299" s="1" customFormat="1" spans="1:17">
      <c r="A299" s="12"/>
      <c r="B299" s="13" t="s">
        <v>120</v>
      </c>
      <c r="C299" s="14">
        <v>30</v>
      </c>
      <c r="D299" s="15">
        <v>1000</v>
      </c>
      <c r="E299" s="15">
        <f t="shared" si="38"/>
        <v>30000</v>
      </c>
      <c r="F299" s="16"/>
      <c r="L299" s="28"/>
      <c r="M299" s="34" t="s">
        <v>30</v>
      </c>
      <c r="N299" s="35">
        <v>4</v>
      </c>
      <c r="O299" s="15">
        <v>24000</v>
      </c>
      <c r="P299" s="15">
        <f t="shared" si="42"/>
        <v>96000</v>
      </c>
      <c r="Q299" s="31"/>
    </row>
    <row r="300" s="1" customFormat="1" spans="1:17">
      <c r="A300" s="12"/>
      <c r="B300" s="13" t="s">
        <v>126</v>
      </c>
      <c r="C300" s="14">
        <v>2</v>
      </c>
      <c r="D300" s="15">
        <v>45000</v>
      </c>
      <c r="E300" s="15">
        <f t="shared" si="38"/>
        <v>90000</v>
      </c>
      <c r="F300" s="16"/>
      <c r="L300" s="28"/>
      <c r="M300" s="34" t="s">
        <v>32</v>
      </c>
      <c r="N300" s="35">
        <v>1</v>
      </c>
      <c r="O300" s="15">
        <v>40000</v>
      </c>
      <c r="P300" s="15">
        <f t="shared" si="42"/>
        <v>40000</v>
      </c>
      <c r="Q300" s="31"/>
    </row>
    <row r="301" s="1" customFormat="1" spans="1:17">
      <c r="A301" s="12"/>
      <c r="B301" s="13" t="s">
        <v>85</v>
      </c>
      <c r="C301" s="14">
        <v>1</v>
      </c>
      <c r="D301" s="15">
        <v>38000</v>
      </c>
      <c r="E301" s="15">
        <f t="shared" si="38"/>
        <v>38000</v>
      </c>
      <c r="F301" s="16"/>
      <c r="L301" s="28"/>
      <c r="M301" s="34" t="s">
        <v>34</v>
      </c>
      <c r="N301" s="35">
        <v>1</v>
      </c>
      <c r="O301" s="15">
        <v>49000</v>
      </c>
      <c r="P301" s="15">
        <f t="shared" si="42"/>
        <v>49000</v>
      </c>
      <c r="Q301" s="31"/>
    </row>
    <row r="302" s="1" customFormat="1" spans="1:17">
      <c r="A302" s="40">
        <v>45952</v>
      </c>
      <c r="B302" s="13" t="s">
        <v>69</v>
      </c>
      <c r="C302" s="14">
        <v>2</v>
      </c>
      <c r="D302" s="15">
        <v>30000</v>
      </c>
      <c r="E302" s="15">
        <f t="shared" si="38"/>
        <v>60000</v>
      </c>
      <c r="F302" s="41">
        <f>SUM(E302:E316)</f>
        <v>1589000</v>
      </c>
      <c r="L302" s="28"/>
      <c r="M302" s="34" t="s">
        <v>61</v>
      </c>
      <c r="N302" s="35">
        <v>1</v>
      </c>
      <c r="O302" s="15">
        <v>20000</v>
      </c>
      <c r="P302" s="15">
        <f t="shared" si="42"/>
        <v>20000</v>
      </c>
      <c r="Q302" s="31"/>
    </row>
    <row r="303" s="1" customFormat="1" spans="1:17">
      <c r="A303" s="19"/>
      <c r="B303" s="13" t="s">
        <v>67</v>
      </c>
      <c r="C303" s="14">
        <v>1</v>
      </c>
      <c r="D303" s="15">
        <v>210000</v>
      </c>
      <c r="E303" s="15">
        <f t="shared" si="38"/>
        <v>210000</v>
      </c>
      <c r="F303" s="23"/>
      <c r="L303" s="29"/>
      <c r="M303" s="34" t="s">
        <v>79</v>
      </c>
      <c r="N303" s="35">
        <v>1</v>
      </c>
      <c r="O303" s="15">
        <v>25000</v>
      </c>
      <c r="P303" s="15">
        <f t="shared" si="42"/>
        <v>25000</v>
      </c>
      <c r="Q303" s="22"/>
    </row>
    <row r="304" s="1" customFormat="1" spans="1:17">
      <c r="A304" s="19"/>
      <c r="B304" s="13" t="s">
        <v>114</v>
      </c>
      <c r="C304" s="14">
        <v>2</v>
      </c>
      <c r="D304" s="15">
        <v>60000</v>
      </c>
      <c r="E304" s="15">
        <f t="shared" si="38"/>
        <v>120000</v>
      </c>
      <c r="F304" s="23"/>
      <c r="L304" s="38">
        <v>45959</v>
      </c>
      <c r="M304" s="34" t="s">
        <v>14</v>
      </c>
      <c r="N304" s="35">
        <v>8</v>
      </c>
      <c r="O304" s="15">
        <v>10000</v>
      </c>
      <c r="P304" s="15">
        <f t="shared" si="42"/>
        <v>80000</v>
      </c>
      <c r="Q304" s="39">
        <f>SUM(P304:P313)</f>
        <v>487000</v>
      </c>
    </row>
    <row r="305" s="1" customFormat="1" spans="1:17">
      <c r="A305" s="19"/>
      <c r="B305" s="13" t="s">
        <v>63</v>
      </c>
      <c r="C305" s="14">
        <v>3</v>
      </c>
      <c r="D305" s="15">
        <v>40000</v>
      </c>
      <c r="E305" s="15">
        <f t="shared" si="38"/>
        <v>120000</v>
      </c>
      <c r="F305" s="23"/>
      <c r="L305" s="28"/>
      <c r="M305" s="34" t="s">
        <v>9</v>
      </c>
      <c r="N305" s="35">
        <v>3</v>
      </c>
      <c r="O305" s="15">
        <v>20000</v>
      </c>
      <c r="P305" s="15">
        <f t="shared" si="42"/>
        <v>60000</v>
      </c>
      <c r="Q305" s="31"/>
    </row>
    <row r="306" s="1" customFormat="1" spans="1:17">
      <c r="A306" s="19"/>
      <c r="B306" s="13" t="s">
        <v>150</v>
      </c>
      <c r="C306" s="14">
        <v>0.5</v>
      </c>
      <c r="D306" s="15">
        <v>70000</v>
      </c>
      <c r="E306" s="15">
        <f t="shared" si="38"/>
        <v>35000</v>
      </c>
      <c r="F306" s="23"/>
      <c r="L306" s="28"/>
      <c r="M306" s="34" t="s">
        <v>11</v>
      </c>
      <c r="N306" s="35">
        <v>1</v>
      </c>
      <c r="O306" s="15">
        <v>75000</v>
      </c>
      <c r="P306" s="15">
        <f t="shared" si="42"/>
        <v>75000</v>
      </c>
      <c r="Q306" s="31"/>
    </row>
    <row r="307" s="1" customFormat="1" spans="1:17">
      <c r="A307" s="19"/>
      <c r="B307" s="13" t="s">
        <v>131</v>
      </c>
      <c r="C307" s="14">
        <v>2</v>
      </c>
      <c r="D307" s="15">
        <v>70000</v>
      </c>
      <c r="E307" s="15">
        <f t="shared" si="38"/>
        <v>140000</v>
      </c>
      <c r="F307" s="23"/>
      <c r="L307" s="28"/>
      <c r="M307" s="34" t="s">
        <v>53</v>
      </c>
      <c r="N307" s="35">
        <v>1</v>
      </c>
      <c r="O307" s="15">
        <v>15000</v>
      </c>
      <c r="P307" s="15">
        <f t="shared" si="42"/>
        <v>15000</v>
      </c>
      <c r="Q307" s="31"/>
    </row>
    <row r="308" s="1" customFormat="1" spans="1:17">
      <c r="A308" s="19"/>
      <c r="B308" s="13" t="s">
        <v>151</v>
      </c>
      <c r="C308" s="14">
        <v>2</v>
      </c>
      <c r="D308" s="15">
        <v>15000</v>
      </c>
      <c r="E308" s="15">
        <f t="shared" si="38"/>
        <v>30000</v>
      </c>
      <c r="F308" s="23"/>
      <c r="L308" s="28"/>
      <c r="M308" s="34" t="s">
        <v>26</v>
      </c>
      <c r="N308" s="35">
        <v>0.5</v>
      </c>
      <c r="O308" s="15">
        <v>15000</v>
      </c>
      <c r="P308" s="15">
        <v>8000</v>
      </c>
      <c r="Q308" s="31"/>
    </row>
    <row r="309" s="1" customFormat="1" spans="1:17">
      <c r="A309" s="19"/>
      <c r="B309" s="13" t="s">
        <v>12</v>
      </c>
      <c r="C309" s="14">
        <v>2</v>
      </c>
      <c r="D309" s="15">
        <v>22000</v>
      </c>
      <c r="E309" s="15">
        <f t="shared" si="38"/>
        <v>44000</v>
      </c>
      <c r="F309" s="23"/>
      <c r="L309" s="28"/>
      <c r="M309" s="34" t="s">
        <v>17</v>
      </c>
      <c r="N309" s="35">
        <v>0.3</v>
      </c>
      <c r="O309" s="15">
        <v>30000</v>
      </c>
      <c r="P309" s="15">
        <f t="shared" ref="P309:P317" si="43">N309*O309</f>
        <v>9000</v>
      </c>
      <c r="Q309" s="31"/>
    </row>
    <row r="310" s="1" customFormat="1" spans="1:17">
      <c r="A310" s="19"/>
      <c r="B310" s="13" t="s">
        <v>73</v>
      </c>
      <c r="C310" s="14">
        <v>1</v>
      </c>
      <c r="D310" s="15">
        <v>35000</v>
      </c>
      <c r="E310" s="15">
        <f t="shared" si="38"/>
        <v>35000</v>
      </c>
      <c r="F310" s="23"/>
      <c r="L310" s="28"/>
      <c r="M310" s="34" t="s">
        <v>28</v>
      </c>
      <c r="N310" s="35">
        <v>5.17</v>
      </c>
      <c r="O310" s="15">
        <v>15000</v>
      </c>
      <c r="P310" s="15">
        <v>78000</v>
      </c>
      <c r="Q310" s="31"/>
    </row>
    <row r="311" s="1" customFormat="1" spans="1:17">
      <c r="A311" s="19"/>
      <c r="B311" s="13" t="s">
        <v>74</v>
      </c>
      <c r="C311" s="14">
        <v>1</v>
      </c>
      <c r="D311" s="15">
        <v>95000</v>
      </c>
      <c r="E311" s="15">
        <f t="shared" si="38"/>
        <v>95000</v>
      </c>
      <c r="F311" s="23"/>
      <c r="L311" s="28"/>
      <c r="M311" s="34" t="s">
        <v>41</v>
      </c>
      <c r="N311" s="35">
        <v>0.5</v>
      </c>
      <c r="O311" s="15">
        <v>100000</v>
      </c>
      <c r="P311" s="15">
        <f t="shared" si="43"/>
        <v>50000</v>
      </c>
      <c r="Q311" s="31"/>
    </row>
    <row r="312" s="1" customFormat="1" spans="1:17">
      <c r="A312" s="19"/>
      <c r="B312" s="13" t="s">
        <v>38</v>
      </c>
      <c r="C312" s="14">
        <v>2</v>
      </c>
      <c r="D312" s="15">
        <v>180000</v>
      </c>
      <c r="E312" s="15">
        <f t="shared" si="38"/>
        <v>360000</v>
      </c>
      <c r="F312" s="23"/>
      <c r="L312" s="28"/>
      <c r="M312" s="34" t="s">
        <v>30</v>
      </c>
      <c r="N312" s="35">
        <v>3</v>
      </c>
      <c r="O312" s="15">
        <v>24000</v>
      </c>
      <c r="P312" s="15">
        <f t="shared" si="43"/>
        <v>72000</v>
      </c>
      <c r="Q312" s="31"/>
    </row>
    <row r="313" s="1" customFormat="1" spans="1:17">
      <c r="A313" s="19"/>
      <c r="B313" s="13" t="s">
        <v>100</v>
      </c>
      <c r="C313" s="14">
        <v>2</v>
      </c>
      <c r="D313" s="15">
        <v>30000</v>
      </c>
      <c r="E313" s="15">
        <f t="shared" si="38"/>
        <v>60000</v>
      </c>
      <c r="F313" s="23"/>
      <c r="L313" s="29"/>
      <c r="M313" s="34" t="s">
        <v>32</v>
      </c>
      <c r="N313" s="35">
        <v>1</v>
      </c>
      <c r="O313" s="15">
        <v>40000</v>
      </c>
      <c r="P313" s="15">
        <f t="shared" si="43"/>
        <v>40000</v>
      </c>
      <c r="Q313" s="22"/>
    </row>
    <row r="314" s="1" customFormat="1" ht="15.75" spans="1:17">
      <c r="A314" s="19"/>
      <c r="B314" s="13" t="s">
        <v>29</v>
      </c>
      <c r="C314" s="14">
        <v>2</v>
      </c>
      <c r="D314" s="15">
        <v>50000</v>
      </c>
      <c r="E314" s="15">
        <f t="shared" si="38"/>
        <v>100000</v>
      </c>
      <c r="F314" s="23"/>
      <c r="L314" s="25">
        <v>45959</v>
      </c>
      <c r="M314" s="34" t="s">
        <v>55</v>
      </c>
      <c r="N314" s="35">
        <v>5</v>
      </c>
      <c r="O314" s="15">
        <v>20000</v>
      </c>
      <c r="P314" s="15">
        <f t="shared" si="43"/>
        <v>100000</v>
      </c>
      <c r="Q314" s="44">
        <f>SUM(P314)</f>
        <v>100000</v>
      </c>
    </row>
    <row r="315" s="1" customFormat="1" spans="1:17">
      <c r="A315" s="19"/>
      <c r="B315" s="13" t="s">
        <v>152</v>
      </c>
      <c r="C315" s="14">
        <v>2</v>
      </c>
      <c r="D315" s="15">
        <v>45000</v>
      </c>
      <c r="E315" s="15">
        <f t="shared" si="38"/>
        <v>90000</v>
      </c>
      <c r="F315" s="23"/>
      <c r="L315" s="38">
        <v>45960</v>
      </c>
      <c r="M315" s="13" t="s">
        <v>9</v>
      </c>
      <c r="N315" s="35">
        <v>3</v>
      </c>
      <c r="O315" s="15">
        <v>20000</v>
      </c>
      <c r="P315" s="15">
        <f t="shared" si="43"/>
        <v>60000</v>
      </c>
      <c r="Q315" s="39">
        <f>SUM(P315:P326)</f>
        <v>639000</v>
      </c>
    </row>
    <row r="316" s="1" customFormat="1" spans="1:17">
      <c r="A316" s="19"/>
      <c r="B316" s="42" t="s">
        <v>153</v>
      </c>
      <c r="C316" s="43">
        <v>2</v>
      </c>
      <c r="D316" s="39">
        <v>45000</v>
      </c>
      <c r="E316" s="39">
        <f t="shared" si="38"/>
        <v>90000</v>
      </c>
      <c r="F316" s="23"/>
      <c r="L316" s="28"/>
      <c r="M316" s="13" t="s">
        <v>11</v>
      </c>
      <c r="N316" s="35">
        <v>2</v>
      </c>
      <c r="O316" s="15">
        <v>75000</v>
      </c>
      <c r="P316" s="15">
        <f t="shared" si="43"/>
        <v>150000</v>
      </c>
      <c r="Q316" s="31"/>
    </row>
    <row r="317" s="1" customFormat="1" spans="1:17">
      <c r="A317" s="12">
        <v>45953</v>
      </c>
      <c r="B317" s="13" t="s">
        <v>45</v>
      </c>
      <c r="C317" s="14">
        <v>0.3</v>
      </c>
      <c r="D317" s="15">
        <v>80000</v>
      </c>
      <c r="E317" s="15">
        <f t="shared" si="38"/>
        <v>24000</v>
      </c>
      <c r="F317" s="16">
        <f>SUM(E317:E324)</f>
        <v>1018000</v>
      </c>
      <c r="L317" s="28"/>
      <c r="M317" s="13" t="s">
        <v>115</v>
      </c>
      <c r="N317" s="35">
        <v>0.1</v>
      </c>
      <c r="O317" s="15">
        <v>80000</v>
      </c>
      <c r="P317" s="15">
        <f t="shared" si="43"/>
        <v>8000</v>
      </c>
      <c r="Q317" s="31"/>
    </row>
    <row r="318" s="1" customFormat="1" spans="1:17">
      <c r="A318" s="12"/>
      <c r="B318" s="13" t="s">
        <v>54</v>
      </c>
      <c r="C318" s="14">
        <v>1</v>
      </c>
      <c r="D318" s="15">
        <v>330000</v>
      </c>
      <c r="E318" s="15">
        <f t="shared" si="38"/>
        <v>330000</v>
      </c>
      <c r="F318" s="16"/>
      <c r="L318" s="28"/>
      <c r="M318" s="13" t="s">
        <v>53</v>
      </c>
      <c r="N318" s="35">
        <v>1.13</v>
      </c>
      <c r="O318" s="15">
        <v>15000</v>
      </c>
      <c r="P318" s="15">
        <v>17000</v>
      </c>
      <c r="Q318" s="31"/>
    </row>
    <row r="319" s="1" customFormat="1" spans="1:17">
      <c r="A319" s="12"/>
      <c r="B319" s="13" t="s">
        <v>27</v>
      </c>
      <c r="C319" s="14">
        <v>1</v>
      </c>
      <c r="D319" s="15">
        <v>200000</v>
      </c>
      <c r="E319" s="15">
        <f t="shared" si="38"/>
        <v>200000</v>
      </c>
      <c r="F319" s="16"/>
      <c r="L319" s="28"/>
      <c r="M319" s="13" t="s">
        <v>14</v>
      </c>
      <c r="N319" s="35">
        <v>6</v>
      </c>
      <c r="O319" s="15">
        <v>10000</v>
      </c>
      <c r="P319" s="15">
        <f t="shared" ref="P319:P325" si="44">N319*O319</f>
        <v>60000</v>
      </c>
      <c r="Q319" s="31"/>
    </row>
    <row r="320" s="1" customFormat="1" spans="1:17">
      <c r="A320" s="12"/>
      <c r="B320" s="13" t="s">
        <v>10</v>
      </c>
      <c r="C320" s="14">
        <v>3</v>
      </c>
      <c r="D320" s="15">
        <v>90000</v>
      </c>
      <c r="E320" s="15">
        <f t="shared" si="38"/>
        <v>270000</v>
      </c>
      <c r="F320" s="16"/>
      <c r="L320" s="28"/>
      <c r="M320" s="13" t="s">
        <v>22</v>
      </c>
      <c r="N320" s="35">
        <v>1</v>
      </c>
      <c r="O320" s="15">
        <v>30000</v>
      </c>
      <c r="P320" s="15">
        <f t="shared" si="44"/>
        <v>30000</v>
      </c>
      <c r="Q320" s="31"/>
    </row>
    <row r="321" s="1" customFormat="1" spans="1:17">
      <c r="A321" s="12"/>
      <c r="B321" s="13" t="s">
        <v>56</v>
      </c>
      <c r="C321" s="14">
        <v>2.08</v>
      </c>
      <c r="D321" s="15">
        <v>30000</v>
      </c>
      <c r="E321" s="15">
        <v>62000</v>
      </c>
      <c r="F321" s="16"/>
      <c r="L321" s="28"/>
      <c r="M321" s="13" t="s">
        <v>20</v>
      </c>
      <c r="N321" s="35">
        <v>1</v>
      </c>
      <c r="O321" s="15">
        <v>48000</v>
      </c>
      <c r="P321" s="15">
        <f t="shared" si="44"/>
        <v>48000</v>
      </c>
      <c r="Q321" s="31"/>
    </row>
    <row r="322" s="1" customFormat="1" spans="1:17">
      <c r="A322" s="12"/>
      <c r="B322" s="13" t="s">
        <v>128</v>
      </c>
      <c r="C322" s="14">
        <v>2</v>
      </c>
      <c r="D322" s="15">
        <v>35000</v>
      </c>
      <c r="E322" s="15">
        <f t="shared" ref="E322:E327" si="45">SUM(C322*D322)</f>
        <v>70000</v>
      </c>
      <c r="F322" s="16"/>
      <c r="L322" s="28"/>
      <c r="M322" s="13" t="s">
        <v>17</v>
      </c>
      <c r="N322" s="35">
        <v>0.5</v>
      </c>
      <c r="O322" s="15">
        <v>30000</v>
      </c>
      <c r="P322" s="15">
        <f t="shared" si="44"/>
        <v>15000</v>
      </c>
      <c r="Q322" s="31"/>
    </row>
    <row r="323" s="1" customFormat="1" spans="1:17">
      <c r="A323" s="12"/>
      <c r="B323" s="13" t="s">
        <v>33</v>
      </c>
      <c r="C323" s="14">
        <v>2</v>
      </c>
      <c r="D323" s="15">
        <v>28000</v>
      </c>
      <c r="E323" s="15">
        <f t="shared" si="45"/>
        <v>56000</v>
      </c>
      <c r="F323" s="16"/>
      <c r="L323" s="28"/>
      <c r="M323" s="13" t="s">
        <v>41</v>
      </c>
      <c r="N323" s="35">
        <v>0.5</v>
      </c>
      <c r="O323" s="15">
        <v>100000</v>
      </c>
      <c r="P323" s="15">
        <f t="shared" si="44"/>
        <v>50000</v>
      </c>
      <c r="Q323" s="31"/>
    </row>
    <row r="324" s="1" customFormat="1" spans="1:17">
      <c r="A324" s="12"/>
      <c r="B324" s="13" t="s">
        <v>88</v>
      </c>
      <c r="C324" s="14">
        <v>0.1</v>
      </c>
      <c r="D324" s="15">
        <v>60000</v>
      </c>
      <c r="E324" s="15">
        <f t="shared" si="45"/>
        <v>6000</v>
      </c>
      <c r="F324" s="16"/>
      <c r="L324" s="28"/>
      <c r="M324" s="13" t="s">
        <v>12</v>
      </c>
      <c r="N324" s="35">
        <v>4</v>
      </c>
      <c r="O324" s="15">
        <v>24000</v>
      </c>
      <c r="P324" s="15">
        <f t="shared" si="44"/>
        <v>96000</v>
      </c>
      <c r="Q324" s="31"/>
    </row>
    <row r="325" s="1" customFormat="1" spans="1:17">
      <c r="A325" s="40">
        <v>45954</v>
      </c>
      <c r="B325" s="13" t="s">
        <v>122</v>
      </c>
      <c r="C325" s="14">
        <v>5</v>
      </c>
      <c r="D325" s="15">
        <v>25000</v>
      </c>
      <c r="E325" s="15">
        <f t="shared" si="45"/>
        <v>125000</v>
      </c>
      <c r="F325" s="41">
        <f>SUM(E325:E337)</f>
        <v>499000</v>
      </c>
      <c r="L325" s="28"/>
      <c r="M325" s="13" t="s">
        <v>61</v>
      </c>
      <c r="N325" s="35">
        <v>4</v>
      </c>
      <c r="O325" s="15">
        <v>25000</v>
      </c>
      <c r="P325" s="15">
        <f t="shared" si="44"/>
        <v>100000</v>
      </c>
      <c r="Q325" s="31"/>
    </row>
    <row r="326" s="1" customFormat="1" spans="1:17">
      <c r="A326" s="19"/>
      <c r="B326" s="13" t="s">
        <v>106</v>
      </c>
      <c r="C326" s="14">
        <v>0.1</v>
      </c>
      <c r="D326" s="15">
        <v>20000</v>
      </c>
      <c r="E326" s="15">
        <f t="shared" si="45"/>
        <v>2000</v>
      </c>
      <c r="F326" s="23"/>
      <c r="L326" s="29"/>
      <c r="M326" s="34" t="s">
        <v>26</v>
      </c>
      <c r="N326" s="35">
        <v>0.3</v>
      </c>
      <c r="O326" s="15">
        <v>15000</v>
      </c>
      <c r="P326" s="15">
        <v>5000</v>
      </c>
      <c r="Q326" s="22"/>
    </row>
    <row r="327" s="1" customFormat="1" spans="1:17">
      <c r="A327" s="19"/>
      <c r="B327" s="13" t="s">
        <v>88</v>
      </c>
      <c r="C327" s="14">
        <v>0.2</v>
      </c>
      <c r="D327" s="15">
        <v>60000</v>
      </c>
      <c r="E327" s="15">
        <f t="shared" si="45"/>
        <v>12000</v>
      </c>
      <c r="F327" s="23"/>
      <c r="L327" s="38">
        <v>45961</v>
      </c>
      <c r="M327" s="34" t="s">
        <v>9</v>
      </c>
      <c r="N327" s="35">
        <v>3</v>
      </c>
      <c r="O327" s="15">
        <v>20000</v>
      </c>
      <c r="P327" s="15">
        <f t="shared" ref="P327:P339" si="46">N327*O327</f>
        <v>60000</v>
      </c>
      <c r="Q327" s="39">
        <f>SUM(P327:P339)</f>
        <v>724000</v>
      </c>
    </row>
    <row r="328" s="1" customFormat="1" spans="1:17">
      <c r="A328" s="19"/>
      <c r="B328" s="13" t="s">
        <v>154</v>
      </c>
      <c r="C328" s="14">
        <v>0.3</v>
      </c>
      <c r="D328" s="15">
        <v>25000</v>
      </c>
      <c r="E328" s="15">
        <v>8000</v>
      </c>
      <c r="F328" s="23"/>
      <c r="L328" s="28"/>
      <c r="M328" s="34" t="s">
        <v>11</v>
      </c>
      <c r="N328" s="35">
        <v>2</v>
      </c>
      <c r="O328" s="15">
        <v>75000</v>
      </c>
      <c r="P328" s="15">
        <f t="shared" si="46"/>
        <v>150000</v>
      </c>
      <c r="Q328" s="31"/>
    </row>
    <row r="329" s="1" customFormat="1" spans="1:17">
      <c r="A329" s="19"/>
      <c r="B329" s="13" t="s">
        <v>138</v>
      </c>
      <c r="C329" s="14">
        <v>0.1</v>
      </c>
      <c r="D329" s="15">
        <v>70000</v>
      </c>
      <c r="E329" s="15">
        <f t="shared" ref="E329:E331" si="47">SUM(C329*D329)</f>
        <v>7000</v>
      </c>
      <c r="F329" s="23"/>
      <c r="L329" s="28"/>
      <c r="M329" s="34" t="s">
        <v>75</v>
      </c>
      <c r="N329" s="35">
        <v>1.2</v>
      </c>
      <c r="O329" s="15">
        <v>38000</v>
      </c>
      <c r="P329" s="15">
        <v>46000</v>
      </c>
      <c r="Q329" s="31"/>
    </row>
    <row r="330" s="1" customFormat="1" spans="1:17">
      <c r="A330" s="19"/>
      <c r="B330" s="13" t="s">
        <v>104</v>
      </c>
      <c r="C330" s="14">
        <v>0.4</v>
      </c>
      <c r="D330" s="15">
        <v>80000</v>
      </c>
      <c r="E330" s="15">
        <f t="shared" si="47"/>
        <v>32000</v>
      </c>
      <c r="F330" s="23"/>
      <c r="L330" s="28"/>
      <c r="M330" s="34" t="s">
        <v>26</v>
      </c>
      <c r="N330" s="35">
        <v>0.3</v>
      </c>
      <c r="O330" s="15">
        <v>15000</v>
      </c>
      <c r="P330" s="15">
        <v>5000</v>
      </c>
      <c r="Q330" s="31"/>
    </row>
    <row r="331" s="1" customFormat="1" spans="1:17">
      <c r="A331" s="19"/>
      <c r="B331" s="13" t="s">
        <v>105</v>
      </c>
      <c r="C331" s="14">
        <v>0.4</v>
      </c>
      <c r="D331" s="15">
        <v>100000</v>
      </c>
      <c r="E331" s="15">
        <f t="shared" si="47"/>
        <v>40000</v>
      </c>
      <c r="F331" s="23"/>
      <c r="L331" s="28"/>
      <c r="M331" s="34" t="s">
        <v>115</v>
      </c>
      <c r="N331" s="35">
        <v>0.1</v>
      </c>
      <c r="O331" s="15">
        <v>80000</v>
      </c>
      <c r="P331" s="15">
        <f t="shared" si="46"/>
        <v>8000</v>
      </c>
      <c r="Q331" s="31"/>
    </row>
    <row r="332" s="1" customFormat="1" spans="1:17">
      <c r="A332" s="19"/>
      <c r="B332" s="13" t="s">
        <v>155</v>
      </c>
      <c r="C332" s="14">
        <v>0.54</v>
      </c>
      <c r="D332" s="15">
        <v>60000</v>
      </c>
      <c r="E332" s="15">
        <v>32000</v>
      </c>
      <c r="F332" s="23"/>
      <c r="L332" s="28"/>
      <c r="M332" s="34" t="s">
        <v>53</v>
      </c>
      <c r="N332" s="35">
        <v>1</v>
      </c>
      <c r="O332" s="15">
        <v>15000</v>
      </c>
      <c r="P332" s="15">
        <f t="shared" si="46"/>
        <v>15000</v>
      </c>
      <c r="Q332" s="31"/>
    </row>
    <row r="333" s="1" customFormat="1" spans="1:17">
      <c r="A333" s="19"/>
      <c r="B333" s="13" t="s">
        <v>119</v>
      </c>
      <c r="C333" s="14">
        <v>0.5</v>
      </c>
      <c r="D333" s="15">
        <v>50000</v>
      </c>
      <c r="E333" s="15">
        <f t="shared" ref="E333:E349" si="48">SUM(C333*D333)</f>
        <v>25000</v>
      </c>
      <c r="F333" s="23"/>
      <c r="L333" s="28"/>
      <c r="M333" s="34" t="s">
        <v>14</v>
      </c>
      <c r="N333" s="35">
        <v>6</v>
      </c>
      <c r="O333" s="15">
        <v>10000</v>
      </c>
      <c r="P333" s="15">
        <f t="shared" si="46"/>
        <v>60000</v>
      </c>
      <c r="Q333" s="31"/>
    </row>
    <row r="334" s="1" customFormat="1" spans="1:17">
      <c r="A334" s="19"/>
      <c r="B334" s="13" t="s">
        <v>156</v>
      </c>
      <c r="C334" s="14">
        <v>0.58</v>
      </c>
      <c r="D334" s="15">
        <v>70000</v>
      </c>
      <c r="E334" s="15">
        <v>41000</v>
      </c>
      <c r="F334" s="23"/>
      <c r="L334" s="28"/>
      <c r="M334" s="34" t="s">
        <v>24</v>
      </c>
      <c r="N334" s="35">
        <v>2</v>
      </c>
      <c r="O334" s="15">
        <v>38000</v>
      </c>
      <c r="P334" s="15">
        <f t="shared" si="46"/>
        <v>76000</v>
      </c>
      <c r="Q334" s="31"/>
    </row>
    <row r="335" s="1" customFormat="1" spans="1:17">
      <c r="A335" s="19"/>
      <c r="B335" s="13" t="s">
        <v>157</v>
      </c>
      <c r="C335" s="14">
        <v>1.12</v>
      </c>
      <c r="D335" s="15">
        <v>40000</v>
      </c>
      <c r="E335" s="15">
        <v>45000</v>
      </c>
      <c r="F335" s="23"/>
      <c r="L335" s="28"/>
      <c r="M335" s="34" t="s">
        <v>20</v>
      </c>
      <c r="N335" s="35">
        <v>2</v>
      </c>
      <c r="O335" s="15">
        <v>48000</v>
      </c>
      <c r="P335" s="15">
        <f t="shared" si="46"/>
        <v>96000</v>
      </c>
      <c r="Q335" s="31"/>
    </row>
    <row r="336" s="1" customFormat="1" spans="1:17">
      <c r="A336" s="19"/>
      <c r="B336" s="13" t="s">
        <v>49</v>
      </c>
      <c r="C336" s="14">
        <v>2</v>
      </c>
      <c r="D336" s="15">
        <v>25000</v>
      </c>
      <c r="E336" s="15">
        <f t="shared" si="48"/>
        <v>50000</v>
      </c>
      <c r="F336" s="23"/>
      <c r="L336" s="28"/>
      <c r="M336" s="34" t="s">
        <v>41</v>
      </c>
      <c r="N336" s="35">
        <v>0.5</v>
      </c>
      <c r="O336" s="15">
        <v>100000</v>
      </c>
      <c r="P336" s="15">
        <f t="shared" si="46"/>
        <v>50000</v>
      </c>
      <c r="Q336" s="31"/>
    </row>
    <row r="337" s="1" customFormat="1" spans="1:17">
      <c r="A337" s="32"/>
      <c r="B337" s="13" t="s">
        <v>158</v>
      </c>
      <c r="C337" s="14">
        <v>2</v>
      </c>
      <c r="D337" s="15">
        <v>40000</v>
      </c>
      <c r="E337" s="15">
        <f t="shared" si="48"/>
        <v>80000</v>
      </c>
      <c r="F337" s="33"/>
      <c r="L337" s="28"/>
      <c r="M337" s="34" t="s">
        <v>32</v>
      </c>
      <c r="N337" s="35">
        <v>1</v>
      </c>
      <c r="O337" s="15">
        <v>40000</v>
      </c>
      <c r="P337" s="15">
        <f t="shared" si="46"/>
        <v>40000</v>
      </c>
      <c r="Q337" s="31"/>
    </row>
    <row r="338" s="1" customFormat="1" spans="1:17">
      <c r="A338" s="40">
        <v>45954</v>
      </c>
      <c r="B338" s="13" t="s">
        <v>87</v>
      </c>
      <c r="C338" s="14">
        <v>2</v>
      </c>
      <c r="D338" s="15">
        <v>15000</v>
      </c>
      <c r="E338" s="15">
        <f t="shared" si="48"/>
        <v>30000</v>
      </c>
      <c r="F338" s="41">
        <f>SUM(E338:E339)</f>
        <v>60000</v>
      </c>
      <c r="L338" s="28"/>
      <c r="M338" s="34" t="s">
        <v>133</v>
      </c>
      <c r="N338" s="35">
        <v>2</v>
      </c>
      <c r="O338" s="15">
        <v>35000</v>
      </c>
      <c r="P338" s="15">
        <f t="shared" si="46"/>
        <v>70000</v>
      </c>
      <c r="Q338" s="31"/>
    </row>
    <row r="339" s="1" customFormat="1" spans="1:17">
      <c r="A339" s="32"/>
      <c r="B339" s="13" t="s">
        <v>33</v>
      </c>
      <c r="C339" s="14">
        <v>1</v>
      </c>
      <c r="D339" s="15">
        <v>30000</v>
      </c>
      <c r="E339" s="15">
        <f t="shared" si="48"/>
        <v>30000</v>
      </c>
      <c r="F339" s="33"/>
      <c r="L339" s="29"/>
      <c r="M339" s="34" t="s">
        <v>30</v>
      </c>
      <c r="N339" s="35">
        <v>2</v>
      </c>
      <c r="O339" s="15">
        <v>24000</v>
      </c>
      <c r="P339" s="15">
        <f t="shared" si="46"/>
        <v>48000</v>
      </c>
      <c r="Q339" s="22"/>
    </row>
    <row r="340" s="1" customFormat="1" spans="1:17">
      <c r="A340" s="12">
        <v>45955</v>
      </c>
      <c r="B340" s="13" t="s">
        <v>12</v>
      </c>
      <c r="C340" s="14">
        <v>2</v>
      </c>
      <c r="D340" s="15">
        <v>22000</v>
      </c>
      <c r="E340" s="15">
        <f t="shared" si="48"/>
        <v>44000</v>
      </c>
      <c r="F340" s="16">
        <f>SUM(E340:E350)</f>
        <v>1335000</v>
      </c>
      <c r="L340" s="46"/>
      <c r="Q340" s="44">
        <f>SUM(Q2:Q339)</f>
        <v>21722000</v>
      </c>
    </row>
    <row r="341" s="1" customFormat="1" spans="1:6">
      <c r="A341" s="12"/>
      <c r="B341" s="13" t="s">
        <v>10</v>
      </c>
      <c r="C341" s="14">
        <v>2</v>
      </c>
      <c r="D341" s="15">
        <v>90000</v>
      </c>
      <c r="E341" s="15">
        <f t="shared" si="48"/>
        <v>180000</v>
      </c>
      <c r="F341" s="16"/>
    </row>
    <row r="342" s="1" customFormat="1" spans="1:6">
      <c r="A342" s="12"/>
      <c r="B342" s="13" t="s">
        <v>8</v>
      </c>
      <c r="C342" s="14">
        <v>1</v>
      </c>
      <c r="D342" s="15">
        <v>160000</v>
      </c>
      <c r="E342" s="15">
        <f t="shared" si="48"/>
        <v>160000</v>
      </c>
      <c r="F342" s="16"/>
    </row>
    <row r="343" s="1" customFormat="1" spans="1:6">
      <c r="A343" s="12"/>
      <c r="B343" s="13" t="s">
        <v>110</v>
      </c>
      <c r="C343" s="14">
        <v>2</v>
      </c>
      <c r="D343" s="15">
        <v>90000</v>
      </c>
      <c r="E343" s="15">
        <f t="shared" si="48"/>
        <v>180000</v>
      </c>
      <c r="F343" s="16"/>
    </row>
    <row r="344" s="1" customFormat="1" spans="1:6">
      <c r="A344" s="12"/>
      <c r="B344" s="13" t="s">
        <v>26</v>
      </c>
      <c r="C344" s="14">
        <v>1</v>
      </c>
      <c r="D344" s="15">
        <v>60000</v>
      </c>
      <c r="E344" s="15">
        <f t="shared" si="48"/>
        <v>60000</v>
      </c>
      <c r="F344" s="16"/>
    </row>
    <row r="345" s="1" customFormat="1" spans="1:6">
      <c r="A345" s="12"/>
      <c r="B345" s="13" t="s">
        <v>45</v>
      </c>
      <c r="C345" s="14">
        <v>0.3</v>
      </c>
      <c r="D345" s="15">
        <v>80000</v>
      </c>
      <c r="E345" s="15">
        <f t="shared" si="48"/>
        <v>24000</v>
      </c>
      <c r="F345" s="16"/>
    </row>
    <row r="346" s="1" customFormat="1" spans="1:6">
      <c r="A346" s="12"/>
      <c r="B346" s="13" t="s">
        <v>25</v>
      </c>
      <c r="C346" s="14">
        <v>2</v>
      </c>
      <c r="D346" s="15">
        <v>130000</v>
      </c>
      <c r="E346" s="15">
        <f t="shared" si="48"/>
        <v>260000</v>
      </c>
      <c r="F346" s="16"/>
    </row>
    <row r="347" s="1" customFormat="1" spans="1:6">
      <c r="A347" s="12"/>
      <c r="B347" s="13" t="s">
        <v>54</v>
      </c>
      <c r="C347" s="14">
        <v>1</v>
      </c>
      <c r="D347" s="15">
        <v>290000</v>
      </c>
      <c r="E347" s="15">
        <f t="shared" si="48"/>
        <v>290000</v>
      </c>
      <c r="F347" s="16"/>
    </row>
    <row r="348" s="1" customFormat="1" spans="1:6">
      <c r="A348" s="12"/>
      <c r="B348" s="13" t="s">
        <v>14</v>
      </c>
      <c r="C348" s="14">
        <v>3</v>
      </c>
      <c r="D348" s="15">
        <v>10000</v>
      </c>
      <c r="E348" s="15">
        <f t="shared" si="48"/>
        <v>30000</v>
      </c>
      <c r="F348" s="16"/>
    </row>
    <row r="349" s="1" customFormat="1" spans="1:6">
      <c r="A349" s="12"/>
      <c r="B349" s="13" t="s">
        <v>115</v>
      </c>
      <c r="C349" s="14">
        <v>0.1</v>
      </c>
      <c r="D349" s="15">
        <v>70000</v>
      </c>
      <c r="E349" s="15">
        <f t="shared" si="48"/>
        <v>7000</v>
      </c>
      <c r="F349" s="16"/>
    </row>
    <row r="350" s="1" customFormat="1" spans="1:6">
      <c r="A350" s="12"/>
      <c r="B350" s="13" t="s">
        <v>20</v>
      </c>
      <c r="C350" s="14">
        <v>2.075</v>
      </c>
      <c r="D350" s="15">
        <v>48000</v>
      </c>
      <c r="E350" s="15">
        <v>100000</v>
      </c>
      <c r="F350" s="16"/>
    </row>
    <row r="351" s="1" customFormat="1" spans="1:6">
      <c r="A351" s="12">
        <v>45956</v>
      </c>
      <c r="B351" s="13" t="s">
        <v>159</v>
      </c>
      <c r="C351" s="14">
        <v>2</v>
      </c>
      <c r="D351" s="15">
        <v>90000</v>
      </c>
      <c r="E351" s="15">
        <f t="shared" ref="E351:E363" si="49">C351*D351</f>
        <v>180000</v>
      </c>
      <c r="F351" s="45">
        <f>SUM(E351)</f>
        <v>180000</v>
      </c>
    </row>
    <row r="352" s="1" customFormat="1" spans="1:6">
      <c r="A352" s="12">
        <v>45956</v>
      </c>
      <c r="B352" s="13" t="s">
        <v>12</v>
      </c>
      <c r="C352" s="14">
        <v>2</v>
      </c>
      <c r="D352" s="15">
        <v>22000</v>
      </c>
      <c r="E352" s="15">
        <f t="shared" si="49"/>
        <v>44000</v>
      </c>
      <c r="F352" s="16">
        <f>SUM(E352:E357)</f>
        <v>475000</v>
      </c>
    </row>
    <row r="353" s="1" customFormat="1" spans="1:6">
      <c r="A353" s="12"/>
      <c r="B353" s="13" t="s">
        <v>41</v>
      </c>
      <c r="C353" s="14">
        <v>0.2</v>
      </c>
      <c r="D353" s="15">
        <v>100000</v>
      </c>
      <c r="E353" s="15">
        <f t="shared" si="49"/>
        <v>20000</v>
      </c>
      <c r="F353" s="16"/>
    </row>
    <row r="354" s="1" customFormat="1" spans="1:6">
      <c r="A354" s="12"/>
      <c r="B354" s="13" t="s">
        <v>63</v>
      </c>
      <c r="C354" s="14">
        <v>2</v>
      </c>
      <c r="D354" s="15">
        <v>38000</v>
      </c>
      <c r="E354" s="15">
        <f t="shared" si="49"/>
        <v>76000</v>
      </c>
      <c r="F354" s="16"/>
    </row>
    <row r="355" s="1" customFormat="1" spans="1:6">
      <c r="A355" s="12"/>
      <c r="B355" s="13" t="s">
        <v>122</v>
      </c>
      <c r="C355" s="14">
        <v>5</v>
      </c>
      <c r="D355" s="15">
        <v>25000</v>
      </c>
      <c r="E355" s="15">
        <f t="shared" si="49"/>
        <v>125000</v>
      </c>
      <c r="F355" s="16"/>
    </row>
    <row r="356" s="1" customFormat="1" spans="1:6">
      <c r="A356" s="12"/>
      <c r="B356" s="13" t="s">
        <v>77</v>
      </c>
      <c r="C356" s="14">
        <v>2</v>
      </c>
      <c r="D356" s="15">
        <v>90000</v>
      </c>
      <c r="E356" s="15">
        <f t="shared" si="49"/>
        <v>180000</v>
      </c>
      <c r="F356" s="16"/>
    </row>
    <row r="357" s="1" customFormat="1" spans="1:6">
      <c r="A357" s="12"/>
      <c r="B357" s="13" t="s">
        <v>128</v>
      </c>
      <c r="C357" s="14">
        <v>1</v>
      </c>
      <c r="D357" s="15">
        <v>30000</v>
      </c>
      <c r="E357" s="15">
        <f t="shared" si="49"/>
        <v>30000</v>
      </c>
      <c r="F357" s="16"/>
    </row>
    <row r="358" s="1" customFormat="1" spans="1:6">
      <c r="A358" s="40">
        <v>45957</v>
      </c>
      <c r="B358" s="13" t="s">
        <v>160</v>
      </c>
      <c r="C358" s="14">
        <v>20</v>
      </c>
      <c r="D358" s="15">
        <v>5000</v>
      </c>
      <c r="E358" s="15">
        <f t="shared" si="49"/>
        <v>100000</v>
      </c>
      <c r="F358" s="41">
        <f>SUM(E358:E380)</f>
        <v>2497000</v>
      </c>
    </row>
    <row r="359" s="1" customFormat="1" spans="1:6">
      <c r="A359" s="19"/>
      <c r="B359" s="13" t="s">
        <v>122</v>
      </c>
      <c r="C359" s="14">
        <v>5</v>
      </c>
      <c r="D359" s="15">
        <v>25000</v>
      </c>
      <c r="E359" s="15">
        <f t="shared" si="49"/>
        <v>125000</v>
      </c>
      <c r="F359" s="23"/>
    </row>
    <row r="360" s="1" customFormat="1" spans="1:6">
      <c r="A360" s="19"/>
      <c r="B360" s="13" t="s">
        <v>36</v>
      </c>
      <c r="C360" s="14">
        <v>1</v>
      </c>
      <c r="D360" s="15">
        <v>100000</v>
      </c>
      <c r="E360" s="15">
        <f t="shared" si="49"/>
        <v>100000</v>
      </c>
      <c r="F360" s="23"/>
    </row>
    <row r="361" s="1" customFormat="1" spans="1:6">
      <c r="A361" s="19"/>
      <c r="B361" s="13" t="s">
        <v>50</v>
      </c>
      <c r="C361" s="14">
        <v>4</v>
      </c>
      <c r="D361" s="15">
        <v>120000</v>
      </c>
      <c r="E361" s="15">
        <f t="shared" si="49"/>
        <v>480000</v>
      </c>
      <c r="F361" s="23"/>
    </row>
    <row r="362" s="1" customFormat="1" spans="1:6">
      <c r="A362" s="19"/>
      <c r="B362" s="13" t="s">
        <v>142</v>
      </c>
      <c r="C362" s="14">
        <v>3</v>
      </c>
      <c r="D362" s="15">
        <v>58000</v>
      </c>
      <c r="E362" s="15">
        <f t="shared" si="49"/>
        <v>174000</v>
      </c>
      <c r="F362" s="23"/>
    </row>
    <row r="363" s="1" customFormat="1" spans="1:6">
      <c r="A363" s="19"/>
      <c r="B363" s="13" t="s">
        <v>118</v>
      </c>
      <c r="C363" s="14">
        <v>2</v>
      </c>
      <c r="D363" s="15">
        <v>34000</v>
      </c>
      <c r="E363" s="15">
        <f t="shared" si="49"/>
        <v>68000</v>
      </c>
      <c r="F363" s="23"/>
    </row>
    <row r="364" s="1" customFormat="1" spans="1:6">
      <c r="A364" s="19"/>
      <c r="B364" s="13" t="s">
        <v>33</v>
      </c>
      <c r="C364" s="14">
        <v>1.28</v>
      </c>
      <c r="D364" s="15">
        <v>28000</v>
      </c>
      <c r="E364" s="15">
        <v>36000</v>
      </c>
      <c r="F364" s="23"/>
    </row>
    <row r="365" s="1" customFormat="1" spans="1:6">
      <c r="A365" s="19"/>
      <c r="B365" s="13" t="s">
        <v>61</v>
      </c>
      <c r="C365" s="14">
        <v>2</v>
      </c>
      <c r="D365" s="15">
        <v>20000</v>
      </c>
      <c r="E365" s="15">
        <f t="shared" ref="E365:E380" si="50">C365*D365</f>
        <v>40000</v>
      </c>
      <c r="F365" s="23"/>
    </row>
    <row r="366" s="1" customFormat="1" spans="1:6">
      <c r="A366" s="19"/>
      <c r="B366" s="13" t="s">
        <v>161</v>
      </c>
      <c r="C366" s="14">
        <v>1</v>
      </c>
      <c r="D366" s="15">
        <v>80000</v>
      </c>
      <c r="E366" s="15">
        <f t="shared" si="50"/>
        <v>80000</v>
      </c>
      <c r="F366" s="23"/>
    </row>
    <row r="367" s="1" customFormat="1" spans="1:6">
      <c r="A367" s="19"/>
      <c r="B367" s="13" t="s">
        <v>162</v>
      </c>
      <c r="C367" s="14">
        <v>2</v>
      </c>
      <c r="D367" s="15">
        <v>35000</v>
      </c>
      <c r="E367" s="15">
        <f t="shared" si="50"/>
        <v>70000</v>
      </c>
      <c r="F367" s="23"/>
    </row>
    <row r="368" s="1" customFormat="1" spans="1:6">
      <c r="A368" s="19"/>
      <c r="B368" s="13" t="s">
        <v>163</v>
      </c>
      <c r="C368" s="14">
        <v>2</v>
      </c>
      <c r="D368" s="15">
        <v>65000</v>
      </c>
      <c r="E368" s="15">
        <f t="shared" si="50"/>
        <v>130000</v>
      </c>
      <c r="F368" s="23"/>
    </row>
    <row r="369" s="1" customFormat="1" spans="1:6">
      <c r="A369" s="19"/>
      <c r="B369" s="13" t="s">
        <v>15</v>
      </c>
      <c r="C369" s="14">
        <v>1</v>
      </c>
      <c r="D369" s="15">
        <v>180000</v>
      </c>
      <c r="E369" s="15">
        <f t="shared" si="50"/>
        <v>180000</v>
      </c>
      <c r="F369" s="23"/>
    </row>
    <row r="370" s="1" customFormat="1" spans="1:6">
      <c r="A370" s="19"/>
      <c r="B370" s="13" t="s">
        <v>164</v>
      </c>
      <c r="C370" s="14">
        <v>0.5</v>
      </c>
      <c r="D370" s="15">
        <v>50000</v>
      </c>
      <c r="E370" s="15">
        <f t="shared" si="50"/>
        <v>25000</v>
      </c>
      <c r="F370" s="23"/>
    </row>
    <row r="371" s="1" customFormat="1" spans="1:6">
      <c r="A371" s="19"/>
      <c r="B371" s="13" t="s">
        <v>86</v>
      </c>
      <c r="C371" s="14">
        <v>1</v>
      </c>
      <c r="D371" s="15">
        <v>14000</v>
      </c>
      <c r="E371" s="15">
        <f t="shared" si="50"/>
        <v>14000</v>
      </c>
      <c r="F371" s="23"/>
    </row>
    <row r="372" s="1" customFormat="1" spans="1:6">
      <c r="A372" s="19"/>
      <c r="B372" s="13" t="s">
        <v>17</v>
      </c>
      <c r="C372" s="14">
        <v>0.2</v>
      </c>
      <c r="D372" s="15">
        <v>30000</v>
      </c>
      <c r="E372" s="15">
        <f t="shared" si="50"/>
        <v>6000</v>
      </c>
      <c r="F372" s="23"/>
    </row>
    <row r="373" s="1" customFormat="1" spans="1:6">
      <c r="A373" s="19"/>
      <c r="B373" s="13" t="s">
        <v>45</v>
      </c>
      <c r="C373" s="14">
        <v>0.3</v>
      </c>
      <c r="D373" s="15">
        <v>80000</v>
      </c>
      <c r="E373" s="15">
        <f t="shared" si="50"/>
        <v>24000</v>
      </c>
      <c r="F373" s="23"/>
    </row>
    <row r="374" s="1" customFormat="1" spans="1:6">
      <c r="A374" s="19"/>
      <c r="B374" s="13" t="s">
        <v>25</v>
      </c>
      <c r="C374" s="14">
        <v>1</v>
      </c>
      <c r="D374" s="15">
        <v>130000</v>
      </c>
      <c r="E374" s="15">
        <f t="shared" si="50"/>
        <v>130000</v>
      </c>
      <c r="F374" s="23"/>
    </row>
    <row r="375" s="1" customFormat="1" spans="1:6">
      <c r="A375" s="19"/>
      <c r="B375" s="13" t="s">
        <v>151</v>
      </c>
      <c r="C375" s="14">
        <v>2</v>
      </c>
      <c r="D375" s="15">
        <v>15000</v>
      </c>
      <c r="E375" s="15">
        <f t="shared" si="50"/>
        <v>30000</v>
      </c>
      <c r="F375" s="23"/>
    </row>
    <row r="376" s="1" customFormat="1" spans="1:6">
      <c r="A376" s="19"/>
      <c r="B376" s="13" t="s">
        <v>27</v>
      </c>
      <c r="C376" s="14">
        <v>1</v>
      </c>
      <c r="D376" s="15">
        <v>200000</v>
      </c>
      <c r="E376" s="15">
        <f t="shared" si="50"/>
        <v>200000</v>
      </c>
      <c r="F376" s="23"/>
    </row>
    <row r="377" s="1" customFormat="1" spans="1:6">
      <c r="A377" s="19"/>
      <c r="B377" s="13" t="s">
        <v>24</v>
      </c>
      <c r="C377" s="14">
        <v>1.5</v>
      </c>
      <c r="D377" s="15">
        <v>40000</v>
      </c>
      <c r="E377" s="15">
        <f t="shared" si="50"/>
        <v>60000</v>
      </c>
      <c r="F377" s="23"/>
    </row>
    <row r="378" s="1" customFormat="1" spans="1:6">
      <c r="A378" s="19"/>
      <c r="B378" s="13" t="s">
        <v>85</v>
      </c>
      <c r="C378" s="14">
        <v>1</v>
      </c>
      <c r="D378" s="15">
        <v>40000</v>
      </c>
      <c r="E378" s="15">
        <f t="shared" si="50"/>
        <v>40000</v>
      </c>
      <c r="F378" s="23"/>
    </row>
    <row r="379" s="1" customFormat="1" spans="1:6">
      <c r="A379" s="19"/>
      <c r="B379" s="13" t="s">
        <v>11</v>
      </c>
      <c r="C379" s="14">
        <v>1.5</v>
      </c>
      <c r="D379" s="15">
        <v>30000</v>
      </c>
      <c r="E379" s="15">
        <f t="shared" si="50"/>
        <v>45000</v>
      </c>
      <c r="F379" s="23"/>
    </row>
    <row r="380" s="1" customFormat="1" spans="1:6">
      <c r="A380" s="32"/>
      <c r="B380" s="13" t="s">
        <v>80</v>
      </c>
      <c r="C380" s="14">
        <v>2</v>
      </c>
      <c r="D380" s="15">
        <v>170000</v>
      </c>
      <c r="E380" s="15">
        <f t="shared" si="50"/>
        <v>340000</v>
      </c>
      <c r="F380" s="33"/>
    </row>
    <row r="381" s="1" customFormat="1" spans="1:6">
      <c r="A381" s="12">
        <v>45957</v>
      </c>
      <c r="B381" s="13" t="s">
        <v>165</v>
      </c>
      <c r="C381" s="14">
        <v>0.5</v>
      </c>
      <c r="D381" s="15">
        <v>195000</v>
      </c>
      <c r="E381" s="15">
        <v>98000</v>
      </c>
      <c r="F381" s="45">
        <f>SUM(E381)</f>
        <v>98000</v>
      </c>
    </row>
    <row r="382" s="1" customFormat="1" spans="1:6">
      <c r="A382" s="40">
        <v>45958</v>
      </c>
      <c r="B382" s="13" t="s">
        <v>39</v>
      </c>
      <c r="C382" s="14">
        <v>1</v>
      </c>
      <c r="D382" s="15">
        <v>60000</v>
      </c>
      <c r="E382" s="15">
        <f t="shared" ref="E382:E386" si="51">C382*D382</f>
        <v>60000</v>
      </c>
      <c r="F382" s="41">
        <f>SUM(E382:E390)</f>
        <v>742000</v>
      </c>
    </row>
    <row r="383" s="1" customFormat="1" spans="1:6">
      <c r="A383" s="19"/>
      <c r="B383" s="13" t="s">
        <v>8</v>
      </c>
      <c r="C383" s="14">
        <v>2</v>
      </c>
      <c r="D383" s="15">
        <v>160000</v>
      </c>
      <c r="E383" s="15">
        <f t="shared" si="51"/>
        <v>320000</v>
      </c>
      <c r="F383" s="23"/>
    </row>
    <row r="384" s="1" customFormat="1" spans="1:6">
      <c r="A384" s="19"/>
      <c r="B384" s="13" t="s">
        <v>12</v>
      </c>
      <c r="C384" s="14">
        <v>3</v>
      </c>
      <c r="D384" s="15">
        <v>22000</v>
      </c>
      <c r="E384" s="15">
        <f t="shared" si="51"/>
        <v>66000</v>
      </c>
      <c r="F384" s="23"/>
    </row>
    <row r="385" s="1" customFormat="1" spans="1:6">
      <c r="A385" s="19"/>
      <c r="B385" s="13" t="s">
        <v>10</v>
      </c>
      <c r="C385" s="14">
        <v>1</v>
      </c>
      <c r="D385" s="15">
        <v>90000</v>
      </c>
      <c r="E385" s="15">
        <f t="shared" si="51"/>
        <v>90000</v>
      </c>
      <c r="F385" s="23"/>
    </row>
    <row r="386" s="1" customFormat="1" spans="1:6">
      <c r="A386" s="19"/>
      <c r="B386" s="13" t="s">
        <v>88</v>
      </c>
      <c r="C386" s="14">
        <v>0.1</v>
      </c>
      <c r="D386" s="15">
        <v>60000</v>
      </c>
      <c r="E386" s="15">
        <f t="shared" si="51"/>
        <v>6000</v>
      </c>
      <c r="F386" s="23"/>
    </row>
    <row r="387" s="1" customFormat="1" spans="1:6">
      <c r="A387" s="19"/>
      <c r="B387" s="13" t="s">
        <v>146</v>
      </c>
      <c r="C387" s="14">
        <v>1.225</v>
      </c>
      <c r="D387" s="15">
        <v>65000</v>
      </c>
      <c r="E387" s="15">
        <v>80000</v>
      </c>
      <c r="F387" s="23"/>
    </row>
    <row r="388" s="1" customFormat="1" spans="1:6">
      <c r="A388" s="19"/>
      <c r="B388" s="13" t="s">
        <v>87</v>
      </c>
      <c r="C388" s="14">
        <v>2</v>
      </c>
      <c r="D388" s="15">
        <v>15000</v>
      </c>
      <c r="E388" s="15">
        <f t="shared" ref="E388:E391" si="52">C388*D388</f>
        <v>30000</v>
      </c>
      <c r="F388" s="23"/>
    </row>
    <row r="389" s="1" customFormat="1" spans="1:6">
      <c r="A389" s="19"/>
      <c r="B389" s="13" t="s">
        <v>120</v>
      </c>
      <c r="C389" s="14">
        <v>30</v>
      </c>
      <c r="D389" s="15">
        <v>1000</v>
      </c>
      <c r="E389" s="15">
        <f t="shared" si="52"/>
        <v>30000</v>
      </c>
      <c r="F389" s="23"/>
    </row>
    <row r="390" s="1" customFormat="1" spans="1:6">
      <c r="A390" s="32"/>
      <c r="B390" s="13" t="s">
        <v>166</v>
      </c>
      <c r="C390" s="14">
        <v>2</v>
      </c>
      <c r="D390" s="15">
        <v>30000</v>
      </c>
      <c r="E390" s="15">
        <f t="shared" si="52"/>
        <v>60000</v>
      </c>
      <c r="F390" s="33"/>
    </row>
    <row r="391" s="1" customFormat="1" spans="1:6">
      <c r="A391" s="12">
        <v>45959</v>
      </c>
      <c r="B391" s="13" t="s">
        <v>157</v>
      </c>
      <c r="C391" s="14">
        <v>1.1</v>
      </c>
      <c r="D391" s="15">
        <v>30000</v>
      </c>
      <c r="E391" s="15">
        <f t="shared" si="52"/>
        <v>33000</v>
      </c>
      <c r="F391" s="16">
        <f>SUM(E391:E415)</f>
        <v>1700000</v>
      </c>
    </row>
    <row r="392" s="1" customFormat="1" spans="1:6">
      <c r="A392" s="12"/>
      <c r="B392" s="13" t="s">
        <v>87</v>
      </c>
      <c r="C392" s="14">
        <v>0.5</v>
      </c>
      <c r="D392" s="15">
        <v>15000</v>
      </c>
      <c r="E392" s="15">
        <v>8000</v>
      </c>
      <c r="F392" s="16"/>
    </row>
    <row r="393" s="1" customFormat="1" spans="1:6">
      <c r="A393" s="12"/>
      <c r="B393" s="13" t="s">
        <v>33</v>
      </c>
      <c r="C393" s="14">
        <v>1</v>
      </c>
      <c r="D393" s="15">
        <v>28000</v>
      </c>
      <c r="E393" s="15">
        <f t="shared" ref="E393:E410" si="53">C393*D393</f>
        <v>28000</v>
      </c>
      <c r="F393" s="16"/>
    </row>
    <row r="394" s="1" customFormat="1" spans="1:6">
      <c r="A394" s="12"/>
      <c r="B394" s="13" t="s">
        <v>156</v>
      </c>
      <c r="C394" s="14">
        <v>0.57</v>
      </c>
      <c r="D394" s="15">
        <v>70000</v>
      </c>
      <c r="E394" s="15">
        <v>40000</v>
      </c>
      <c r="F394" s="16"/>
    </row>
    <row r="395" s="1" customFormat="1" spans="1:6">
      <c r="A395" s="12"/>
      <c r="B395" s="13" t="s">
        <v>155</v>
      </c>
      <c r="C395" s="14">
        <v>0.58</v>
      </c>
      <c r="D395" s="15">
        <v>60000</v>
      </c>
      <c r="E395" s="15">
        <v>35000</v>
      </c>
      <c r="F395" s="16"/>
    </row>
    <row r="396" s="1" customFormat="1" spans="1:6">
      <c r="A396" s="12"/>
      <c r="B396" s="13" t="s">
        <v>164</v>
      </c>
      <c r="C396" s="14">
        <v>0.5</v>
      </c>
      <c r="D396" s="15">
        <v>80000</v>
      </c>
      <c r="E396" s="15">
        <f t="shared" si="53"/>
        <v>40000</v>
      </c>
      <c r="F396" s="16"/>
    </row>
    <row r="397" s="1" customFormat="1" spans="1:6">
      <c r="A397" s="12"/>
      <c r="B397" s="13" t="s">
        <v>88</v>
      </c>
      <c r="C397" s="14">
        <v>0.07</v>
      </c>
      <c r="D397" s="15">
        <v>60000</v>
      </c>
      <c r="E397" s="15">
        <v>4000</v>
      </c>
      <c r="F397" s="16"/>
    </row>
    <row r="398" s="1" customFormat="1" spans="1:6">
      <c r="A398" s="12"/>
      <c r="B398" s="13" t="s">
        <v>12</v>
      </c>
      <c r="C398" s="14">
        <v>3</v>
      </c>
      <c r="D398" s="15">
        <v>22000</v>
      </c>
      <c r="E398" s="15">
        <f t="shared" si="53"/>
        <v>66000</v>
      </c>
      <c r="F398" s="16"/>
    </row>
    <row r="399" s="1" customFormat="1" spans="1:6">
      <c r="A399" s="12"/>
      <c r="B399" s="13" t="s">
        <v>10</v>
      </c>
      <c r="C399" s="14">
        <v>2</v>
      </c>
      <c r="D399" s="15">
        <v>90000</v>
      </c>
      <c r="E399" s="15">
        <f t="shared" si="53"/>
        <v>180000</v>
      </c>
      <c r="F399" s="16"/>
    </row>
    <row r="400" s="1" customFormat="1" spans="1:6">
      <c r="A400" s="12"/>
      <c r="B400" s="13" t="s">
        <v>122</v>
      </c>
      <c r="C400" s="14">
        <v>5</v>
      </c>
      <c r="D400" s="15">
        <v>25000</v>
      </c>
      <c r="E400" s="15">
        <f t="shared" si="53"/>
        <v>125000</v>
      </c>
      <c r="F400" s="16"/>
    </row>
    <row r="401" s="1" customFormat="1" spans="1:6">
      <c r="A401" s="12"/>
      <c r="B401" s="13" t="s">
        <v>167</v>
      </c>
      <c r="C401" s="14">
        <v>1</v>
      </c>
      <c r="D401" s="15">
        <v>60000</v>
      </c>
      <c r="E401" s="15">
        <f t="shared" si="53"/>
        <v>60000</v>
      </c>
      <c r="F401" s="16"/>
    </row>
    <row r="402" s="1" customFormat="1" spans="1:6">
      <c r="A402" s="12"/>
      <c r="B402" s="13" t="s">
        <v>168</v>
      </c>
      <c r="C402" s="14">
        <v>1</v>
      </c>
      <c r="D402" s="15">
        <v>115000</v>
      </c>
      <c r="E402" s="15">
        <f t="shared" si="53"/>
        <v>115000</v>
      </c>
      <c r="F402" s="16"/>
    </row>
    <row r="403" s="1" customFormat="1" spans="1:6">
      <c r="A403" s="12"/>
      <c r="B403" s="13" t="s">
        <v>118</v>
      </c>
      <c r="C403" s="14">
        <v>16</v>
      </c>
      <c r="D403" s="15">
        <v>2000</v>
      </c>
      <c r="E403" s="15">
        <f t="shared" si="53"/>
        <v>32000</v>
      </c>
      <c r="F403" s="16"/>
    </row>
    <row r="404" s="1" customFormat="1" spans="1:6">
      <c r="A404" s="12"/>
      <c r="B404" s="13" t="s">
        <v>126</v>
      </c>
      <c r="C404" s="14">
        <v>3</v>
      </c>
      <c r="D404" s="15">
        <v>48000</v>
      </c>
      <c r="E404" s="15">
        <f t="shared" si="53"/>
        <v>144000</v>
      </c>
      <c r="F404" s="16"/>
    </row>
    <row r="405" s="1" customFormat="1" spans="1:6">
      <c r="A405" s="12"/>
      <c r="B405" s="13" t="s">
        <v>22</v>
      </c>
      <c r="C405" s="14">
        <v>1</v>
      </c>
      <c r="D405" s="15">
        <v>30000</v>
      </c>
      <c r="E405" s="15">
        <f t="shared" si="53"/>
        <v>30000</v>
      </c>
      <c r="F405" s="16"/>
    </row>
    <row r="406" s="1" customFormat="1" spans="1:6">
      <c r="A406" s="12"/>
      <c r="B406" s="13" t="s">
        <v>46</v>
      </c>
      <c r="C406" s="14">
        <v>2</v>
      </c>
      <c r="D406" s="15">
        <v>55000</v>
      </c>
      <c r="E406" s="15">
        <f t="shared" si="53"/>
        <v>110000</v>
      </c>
      <c r="F406" s="16"/>
    </row>
    <row r="407" s="1" customFormat="1" spans="1:6">
      <c r="A407" s="12"/>
      <c r="B407" s="13" t="s">
        <v>41</v>
      </c>
      <c r="C407" s="14">
        <v>0.2</v>
      </c>
      <c r="D407" s="15">
        <v>100000</v>
      </c>
      <c r="E407" s="15">
        <f t="shared" si="53"/>
        <v>20000</v>
      </c>
      <c r="F407" s="16"/>
    </row>
    <row r="408" s="1" customFormat="1" spans="1:6">
      <c r="A408" s="12"/>
      <c r="B408" s="13" t="s">
        <v>104</v>
      </c>
      <c r="C408" s="14">
        <v>0.3</v>
      </c>
      <c r="D408" s="15">
        <v>80000</v>
      </c>
      <c r="E408" s="15">
        <f t="shared" si="53"/>
        <v>24000</v>
      </c>
      <c r="F408" s="16"/>
    </row>
    <row r="409" s="1" customFormat="1" spans="1:6">
      <c r="A409" s="12"/>
      <c r="B409" s="13" t="s">
        <v>105</v>
      </c>
      <c r="C409" s="14">
        <v>0.3</v>
      </c>
      <c r="D409" s="15">
        <v>90000</v>
      </c>
      <c r="E409" s="15">
        <f t="shared" si="53"/>
        <v>27000</v>
      </c>
      <c r="F409" s="16"/>
    </row>
    <row r="410" s="1" customFormat="1" spans="1:6">
      <c r="A410" s="12"/>
      <c r="B410" s="13" t="s">
        <v>128</v>
      </c>
      <c r="C410" s="14">
        <v>0.3</v>
      </c>
      <c r="D410" s="15">
        <v>40000</v>
      </c>
      <c r="E410" s="15">
        <f t="shared" si="53"/>
        <v>12000</v>
      </c>
      <c r="F410" s="16"/>
    </row>
    <row r="411" s="1" customFormat="1" spans="1:6">
      <c r="A411" s="12"/>
      <c r="B411" s="13" t="s">
        <v>85</v>
      </c>
      <c r="C411" s="14">
        <v>1.22</v>
      </c>
      <c r="D411" s="15">
        <v>40000</v>
      </c>
      <c r="E411" s="15">
        <v>49000</v>
      </c>
      <c r="F411" s="16"/>
    </row>
    <row r="412" s="1" customFormat="1" spans="1:6">
      <c r="A412" s="12"/>
      <c r="B412" s="13" t="s">
        <v>75</v>
      </c>
      <c r="C412" s="14">
        <v>1</v>
      </c>
      <c r="D412" s="15">
        <v>38000</v>
      </c>
      <c r="E412" s="15">
        <f t="shared" ref="E412:E416" si="54">C412*D412</f>
        <v>38000</v>
      </c>
      <c r="F412" s="16"/>
    </row>
    <row r="413" s="1" customFormat="1" spans="1:6">
      <c r="A413" s="12"/>
      <c r="B413" s="13" t="s">
        <v>96</v>
      </c>
      <c r="C413" s="14">
        <v>2</v>
      </c>
      <c r="D413" s="15">
        <v>130000</v>
      </c>
      <c r="E413" s="15">
        <f t="shared" si="54"/>
        <v>260000</v>
      </c>
      <c r="F413" s="16"/>
    </row>
    <row r="414" s="1" customFormat="1" spans="1:6">
      <c r="A414" s="12"/>
      <c r="B414" s="13" t="s">
        <v>77</v>
      </c>
      <c r="C414" s="14">
        <v>2</v>
      </c>
      <c r="D414" s="15">
        <v>90000</v>
      </c>
      <c r="E414" s="15">
        <f t="shared" si="54"/>
        <v>180000</v>
      </c>
      <c r="F414" s="16"/>
    </row>
    <row r="415" s="1" customFormat="1" spans="1:6">
      <c r="A415" s="12"/>
      <c r="B415" s="13" t="s">
        <v>138</v>
      </c>
      <c r="C415" s="14">
        <v>1</v>
      </c>
      <c r="D415" s="15">
        <v>40000</v>
      </c>
      <c r="E415" s="15">
        <f t="shared" si="54"/>
        <v>40000</v>
      </c>
      <c r="F415" s="16"/>
    </row>
    <row r="416" s="1" customFormat="1" spans="1:7">
      <c r="A416" s="12">
        <v>45959</v>
      </c>
      <c r="B416" s="13" t="s">
        <v>140</v>
      </c>
      <c r="C416" s="14">
        <v>12</v>
      </c>
      <c r="D416" s="15">
        <v>45000</v>
      </c>
      <c r="E416" s="15">
        <f t="shared" si="54"/>
        <v>540000</v>
      </c>
      <c r="F416" s="45">
        <f>SUM(E416)</f>
        <v>540000</v>
      </c>
      <c r="G416" s="18"/>
    </row>
    <row r="417" s="1" customFormat="1" spans="1:6">
      <c r="A417" s="12">
        <v>45959</v>
      </c>
      <c r="B417" s="13" t="s">
        <v>11</v>
      </c>
      <c r="C417" s="14">
        <v>0.5</v>
      </c>
      <c r="D417" s="15">
        <v>75000</v>
      </c>
      <c r="E417" s="15">
        <v>38000</v>
      </c>
      <c r="F417" s="45">
        <f>SUM(E417)</f>
        <v>38000</v>
      </c>
    </row>
    <row r="418" s="1" customFormat="1" spans="1:6">
      <c r="A418" s="40">
        <v>45960</v>
      </c>
      <c r="B418" s="13" t="s">
        <v>169</v>
      </c>
      <c r="C418" s="14">
        <v>2</v>
      </c>
      <c r="D418" s="15">
        <v>15000</v>
      </c>
      <c r="E418" s="15">
        <f t="shared" ref="E418:E440" si="55">C418*D418</f>
        <v>30000</v>
      </c>
      <c r="F418" s="41">
        <f>SUM(E418:E426)</f>
        <v>510000</v>
      </c>
    </row>
    <row r="419" s="1" customFormat="1" spans="1:6">
      <c r="A419" s="19"/>
      <c r="B419" s="13" t="s">
        <v>31</v>
      </c>
      <c r="C419" s="14">
        <v>1</v>
      </c>
      <c r="D419" s="15">
        <v>35000</v>
      </c>
      <c r="E419" s="15">
        <f t="shared" si="55"/>
        <v>35000</v>
      </c>
      <c r="F419" s="23"/>
    </row>
    <row r="420" s="1" customFormat="1" spans="1:6">
      <c r="A420" s="19"/>
      <c r="B420" s="13" t="s">
        <v>95</v>
      </c>
      <c r="C420" s="14">
        <v>2</v>
      </c>
      <c r="D420" s="15">
        <v>90000</v>
      </c>
      <c r="E420" s="15">
        <f t="shared" si="55"/>
        <v>180000</v>
      </c>
      <c r="F420" s="23"/>
    </row>
    <row r="421" s="1" customFormat="1" spans="1:6">
      <c r="A421" s="19"/>
      <c r="B421" s="13" t="s">
        <v>15</v>
      </c>
      <c r="C421" s="14">
        <v>1</v>
      </c>
      <c r="D421" s="15">
        <v>170000</v>
      </c>
      <c r="E421" s="15">
        <f t="shared" si="55"/>
        <v>170000</v>
      </c>
      <c r="F421" s="23"/>
    </row>
    <row r="422" s="1" customFormat="1" spans="1:6">
      <c r="A422" s="19"/>
      <c r="B422" s="13" t="s">
        <v>104</v>
      </c>
      <c r="C422" s="14">
        <v>0.3</v>
      </c>
      <c r="D422" s="15">
        <v>70000</v>
      </c>
      <c r="E422" s="15">
        <f t="shared" si="55"/>
        <v>21000</v>
      </c>
      <c r="F422" s="23"/>
    </row>
    <row r="423" s="1" customFormat="1" spans="1:6">
      <c r="A423" s="19"/>
      <c r="B423" s="13" t="s">
        <v>105</v>
      </c>
      <c r="C423" s="14">
        <v>0.3</v>
      </c>
      <c r="D423" s="15">
        <v>80000</v>
      </c>
      <c r="E423" s="15">
        <f t="shared" si="55"/>
        <v>24000</v>
      </c>
      <c r="F423" s="23"/>
    </row>
    <row r="424" s="1" customFormat="1" spans="1:6">
      <c r="A424" s="19"/>
      <c r="B424" s="13" t="s">
        <v>170</v>
      </c>
      <c r="C424" s="14">
        <v>0.2</v>
      </c>
      <c r="D424" s="15">
        <v>80000</v>
      </c>
      <c r="E424" s="15">
        <f t="shared" si="55"/>
        <v>16000</v>
      </c>
      <c r="F424" s="23"/>
    </row>
    <row r="425" s="1" customFormat="1" spans="1:6">
      <c r="A425" s="19"/>
      <c r="B425" s="13" t="s">
        <v>170</v>
      </c>
      <c r="C425" s="14">
        <v>0.2</v>
      </c>
      <c r="D425" s="15">
        <v>50000</v>
      </c>
      <c r="E425" s="15">
        <f t="shared" si="55"/>
        <v>10000</v>
      </c>
      <c r="F425" s="23"/>
    </row>
    <row r="426" s="1" customFormat="1" spans="1:6">
      <c r="A426" s="32"/>
      <c r="B426" s="13" t="s">
        <v>171</v>
      </c>
      <c r="C426" s="14">
        <v>0.3</v>
      </c>
      <c r="D426" s="15">
        <v>80000</v>
      </c>
      <c r="E426" s="15">
        <f t="shared" si="55"/>
        <v>24000</v>
      </c>
      <c r="F426" s="33"/>
    </row>
    <row r="427" s="1" customFormat="1" spans="1:6">
      <c r="A427" s="12">
        <v>45960</v>
      </c>
      <c r="B427" s="13" t="s">
        <v>36</v>
      </c>
      <c r="C427" s="14">
        <v>1</v>
      </c>
      <c r="D427" s="15">
        <v>100000</v>
      </c>
      <c r="E427" s="15">
        <f t="shared" si="55"/>
        <v>100000</v>
      </c>
      <c r="F427" s="45">
        <f>SUM(E427)</f>
        <v>100000</v>
      </c>
    </row>
    <row r="428" s="1" customFormat="1" spans="1:6">
      <c r="A428" s="40">
        <v>45961</v>
      </c>
      <c r="B428" s="34" t="s">
        <v>114</v>
      </c>
      <c r="C428" s="47">
        <v>2</v>
      </c>
      <c r="D428" s="44">
        <v>60000</v>
      </c>
      <c r="E428" s="15">
        <f t="shared" si="55"/>
        <v>120000</v>
      </c>
      <c r="F428" s="41">
        <f>SUM(E428:E440)</f>
        <v>2272000</v>
      </c>
    </row>
    <row r="429" s="1" customFormat="1" spans="1:6">
      <c r="A429" s="19"/>
      <c r="B429" s="34" t="s">
        <v>123</v>
      </c>
      <c r="C429" s="47">
        <v>5</v>
      </c>
      <c r="D429" s="44">
        <v>15000</v>
      </c>
      <c r="E429" s="15">
        <f t="shared" si="55"/>
        <v>75000</v>
      </c>
      <c r="F429" s="23"/>
    </row>
    <row r="430" s="1" customFormat="1" spans="1:6">
      <c r="A430" s="19"/>
      <c r="B430" s="34" t="s">
        <v>50</v>
      </c>
      <c r="C430" s="47">
        <v>4</v>
      </c>
      <c r="D430" s="44">
        <v>120000</v>
      </c>
      <c r="E430" s="15">
        <f t="shared" si="55"/>
        <v>480000</v>
      </c>
      <c r="F430" s="23"/>
    </row>
    <row r="431" s="1" customFormat="1" spans="1:6">
      <c r="A431" s="19"/>
      <c r="B431" s="34" t="s">
        <v>51</v>
      </c>
      <c r="C431" s="47">
        <v>2</v>
      </c>
      <c r="D431" s="44">
        <v>20000</v>
      </c>
      <c r="E431" s="15">
        <f t="shared" si="55"/>
        <v>40000</v>
      </c>
      <c r="F431" s="23"/>
    </row>
    <row r="432" s="1" customFormat="1" spans="1:6">
      <c r="A432" s="19"/>
      <c r="B432" s="34" t="s">
        <v>132</v>
      </c>
      <c r="C432" s="47">
        <v>2</v>
      </c>
      <c r="D432" s="44">
        <v>25000</v>
      </c>
      <c r="E432" s="15">
        <f t="shared" si="55"/>
        <v>50000</v>
      </c>
      <c r="F432" s="23"/>
    </row>
    <row r="433" s="1" customFormat="1" spans="1:6">
      <c r="A433" s="19"/>
      <c r="B433" s="34" t="s">
        <v>65</v>
      </c>
      <c r="C433" s="47">
        <v>1</v>
      </c>
      <c r="D433" s="44">
        <v>220000</v>
      </c>
      <c r="E433" s="15">
        <f t="shared" si="55"/>
        <v>220000</v>
      </c>
      <c r="F433" s="23"/>
    </row>
    <row r="434" s="1" customFormat="1" spans="1:6">
      <c r="A434" s="19"/>
      <c r="B434" s="34" t="s">
        <v>76</v>
      </c>
      <c r="C434" s="47">
        <v>1</v>
      </c>
      <c r="D434" s="44">
        <v>275000</v>
      </c>
      <c r="E434" s="15">
        <f t="shared" si="55"/>
        <v>275000</v>
      </c>
      <c r="F434" s="23"/>
    </row>
    <row r="435" s="1" customFormat="1" spans="1:6">
      <c r="A435" s="19"/>
      <c r="B435" s="34" t="s">
        <v>10</v>
      </c>
      <c r="C435" s="47">
        <v>3</v>
      </c>
      <c r="D435" s="44">
        <v>90000</v>
      </c>
      <c r="E435" s="15">
        <f t="shared" si="55"/>
        <v>270000</v>
      </c>
      <c r="F435" s="23"/>
    </row>
    <row r="436" s="1" customFormat="1" spans="1:6">
      <c r="A436" s="19"/>
      <c r="B436" s="34" t="s">
        <v>12</v>
      </c>
      <c r="C436" s="47">
        <v>3</v>
      </c>
      <c r="D436" s="44">
        <v>22000</v>
      </c>
      <c r="E436" s="15">
        <f t="shared" si="55"/>
        <v>66000</v>
      </c>
      <c r="F436" s="23"/>
    </row>
    <row r="437" s="1" customFormat="1" spans="1:6">
      <c r="A437" s="19"/>
      <c r="B437" s="34" t="s">
        <v>27</v>
      </c>
      <c r="C437" s="47">
        <v>1</v>
      </c>
      <c r="D437" s="44">
        <v>200000</v>
      </c>
      <c r="E437" s="15">
        <f t="shared" si="55"/>
        <v>200000</v>
      </c>
      <c r="F437" s="23"/>
    </row>
    <row r="438" s="1" customFormat="1" spans="1:6">
      <c r="A438" s="19"/>
      <c r="B438" s="34" t="s">
        <v>54</v>
      </c>
      <c r="C438" s="47">
        <v>1</v>
      </c>
      <c r="D438" s="44">
        <v>390000</v>
      </c>
      <c r="E438" s="15">
        <f t="shared" si="55"/>
        <v>390000</v>
      </c>
      <c r="F438" s="23"/>
    </row>
    <row r="439" s="1" customFormat="1" spans="1:6">
      <c r="A439" s="19"/>
      <c r="B439" s="34" t="s">
        <v>45</v>
      </c>
      <c r="C439" s="47">
        <v>0.2</v>
      </c>
      <c r="D439" s="44">
        <v>80000</v>
      </c>
      <c r="E439" s="15">
        <f t="shared" si="55"/>
        <v>16000</v>
      </c>
      <c r="F439" s="23"/>
    </row>
    <row r="440" s="1" customFormat="1" spans="1:6">
      <c r="A440" s="32"/>
      <c r="B440" s="34" t="s">
        <v>60</v>
      </c>
      <c r="C440" s="47">
        <v>1</v>
      </c>
      <c r="D440" s="44">
        <v>70000</v>
      </c>
      <c r="E440" s="15">
        <f t="shared" si="55"/>
        <v>70000</v>
      </c>
      <c r="F440" s="33"/>
    </row>
    <row r="441" s="1" customFormat="1" spans="1:6">
      <c r="A441" s="2"/>
      <c r="B441" s="3"/>
      <c r="C441" s="4"/>
      <c r="F441" s="48">
        <f>SUM(F2:F440)</f>
        <v>57754000</v>
      </c>
    </row>
    <row r="442" s="1" customFormat="1" spans="1:6">
      <c r="A442" s="2"/>
      <c r="B442" s="3"/>
      <c r="C442" s="4"/>
      <c r="F442" s="5"/>
    </row>
  </sheetData>
  <mergeCells count="144">
    <mergeCell ref="H1:J1"/>
    <mergeCell ref="H4:I4"/>
    <mergeCell ref="H5:I5"/>
    <mergeCell ref="H6:I6"/>
    <mergeCell ref="A2:A14"/>
    <mergeCell ref="A15:A28"/>
    <mergeCell ref="A29:A40"/>
    <mergeCell ref="A41:A56"/>
    <mergeCell ref="A57:A58"/>
    <mergeCell ref="A59:A61"/>
    <mergeCell ref="A62:A63"/>
    <mergeCell ref="A64:A77"/>
    <mergeCell ref="A78:A81"/>
    <mergeCell ref="A82:A97"/>
    <mergeCell ref="A98:A107"/>
    <mergeCell ref="A108:A110"/>
    <mergeCell ref="A111:A123"/>
    <mergeCell ref="A124:A125"/>
    <mergeCell ref="A126:A135"/>
    <mergeCell ref="A136:A149"/>
    <mergeCell ref="A150:A154"/>
    <mergeCell ref="A155:A176"/>
    <mergeCell ref="A177:A183"/>
    <mergeCell ref="A184:A208"/>
    <mergeCell ref="A209:A220"/>
    <mergeCell ref="A221:A229"/>
    <mergeCell ref="A230:A237"/>
    <mergeCell ref="A238:A247"/>
    <mergeCell ref="A248:A266"/>
    <mergeCell ref="A267:A272"/>
    <mergeCell ref="A273:A287"/>
    <mergeCell ref="A289:A301"/>
    <mergeCell ref="A302:A316"/>
    <mergeCell ref="A317:A324"/>
    <mergeCell ref="A325:A337"/>
    <mergeCell ref="A338:A339"/>
    <mergeCell ref="A340:A350"/>
    <mergeCell ref="A352:A357"/>
    <mergeCell ref="A358:A380"/>
    <mergeCell ref="A382:A390"/>
    <mergeCell ref="A391:A415"/>
    <mergeCell ref="A418:A426"/>
    <mergeCell ref="A428:A440"/>
    <mergeCell ref="F2:F14"/>
    <mergeCell ref="F15:F28"/>
    <mergeCell ref="F29:F40"/>
    <mergeCell ref="F41:F56"/>
    <mergeCell ref="F57:F58"/>
    <mergeCell ref="F59:F61"/>
    <mergeCell ref="F62:F63"/>
    <mergeCell ref="F64:F77"/>
    <mergeCell ref="F78:F81"/>
    <mergeCell ref="F82:F97"/>
    <mergeCell ref="F98:F107"/>
    <mergeCell ref="F108:F110"/>
    <mergeCell ref="F111:F123"/>
    <mergeCell ref="F124:F125"/>
    <mergeCell ref="F126:F135"/>
    <mergeCell ref="F136:F149"/>
    <mergeCell ref="F150:F154"/>
    <mergeCell ref="F155:F176"/>
    <mergeCell ref="F177:F183"/>
    <mergeCell ref="F184:F208"/>
    <mergeCell ref="F209:F220"/>
    <mergeCell ref="F221:F229"/>
    <mergeCell ref="F230:F237"/>
    <mergeCell ref="F238:F247"/>
    <mergeCell ref="F248:F266"/>
    <mergeCell ref="F267:F272"/>
    <mergeCell ref="F273:F287"/>
    <mergeCell ref="F289:F301"/>
    <mergeCell ref="F302:F316"/>
    <mergeCell ref="F317:F324"/>
    <mergeCell ref="F325:F337"/>
    <mergeCell ref="F338:F339"/>
    <mergeCell ref="F340:F350"/>
    <mergeCell ref="F352:F357"/>
    <mergeCell ref="F358:F380"/>
    <mergeCell ref="F382:F390"/>
    <mergeCell ref="F391:F415"/>
    <mergeCell ref="F418:F426"/>
    <mergeCell ref="F428:F440"/>
    <mergeCell ref="L2:L13"/>
    <mergeCell ref="L14:L23"/>
    <mergeCell ref="L24:L31"/>
    <mergeCell ref="L32:L43"/>
    <mergeCell ref="L44:L54"/>
    <mergeCell ref="L55:L65"/>
    <mergeCell ref="L66:L74"/>
    <mergeCell ref="L75:L86"/>
    <mergeCell ref="L87:L95"/>
    <mergeCell ref="L96:L108"/>
    <mergeCell ref="L109:L119"/>
    <mergeCell ref="L120:L129"/>
    <mergeCell ref="L130:L140"/>
    <mergeCell ref="L141:L154"/>
    <mergeCell ref="L155:L164"/>
    <mergeCell ref="L165:L174"/>
    <mergeCell ref="L175:L187"/>
    <mergeCell ref="L188:L199"/>
    <mergeCell ref="L200:L209"/>
    <mergeCell ref="L210:L222"/>
    <mergeCell ref="L223:L231"/>
    <mergeCell ref="L232:L237"/>
    <mergeCell ref="L238:L246"/>
    <mergeCell ref="L247:L263"/>
    <mergeCell ref="L265:L272"/>
    <mergeCell ref="L273:L278"/>
    <mergeCell ref="L279:L289"/>
    <mergeCell ref="L290:L303"/>
    <mergeCell ref="L304:L313"/>
    <mergeCell ref="L315:L326"/>
    <mergeCell ref="L327:L339"/>
    <mergeCell ref="Q2:Q13"/>
    <mergeCell ref="Q14:Q23"/>
    <mergeCell ref="Q24:Q31"/>
    <mergeCell ref="Q32:Q43"/>
    <mergeCell ref="Q44:Q54"/>
    <mergeCell ref="Q55:Q65"/>
    <mergeCell ref="Q66:Q74"/>
    <mergeCell ref="Q75:Q86"/>
    <mergeCell ref="Q87:Q95"/>
    <mergeCell ref="Q96:Q108"/>
    <mergeCell ref="Q109:Q119"/>
    <mergeCell ref="Q120:Q129"/>
    <mergeCell ref="Q130:Q140"/>
    <mergeCell ref="Q141:Q154"/>
    <mergeCell ref="Q155:Q164"/>
    <mergeCell ref="Q165:Q174"/>
    <mergeCell ref="Q175:Q187"/>
    <mergeCell ref="Q188:Q199"/>
    <mergeCell ref="Q200:Q209"/>
    <mergeCell ref="Q210:Q222"/>
    <mergeCell ref="Q223:Q231"/>
    <mergeCell ref="Q232:Q237"/>
    <mergeCell ref="Q238:Q246"/>
    <mergeCell ref="Q247:Q263"/>
    <mergeCell ref="Q265:Q272"/>
    <mergeCell ref="Q273:Q278"/>
    <mergeCell ref="Q279:Q289"/>
    <mergeCell ref="Q290:Q303"/>
    <mergeCell ref="Q304:Q313"/>
    <mergeCell ref="Q315:Q326"/>
    <mergeCell ref="Q327:Q33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2025-10-31T08:06:00Z</dcterms:created>
  <dcterms:modified xsi:type="dcterms:W3CDTF">2025-11-14T10:24:40Z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012AA80706A04575BFB37E354C4E87F1_11</vt:lpwstr>
  </property>
  <property fmtid="{D5CDD505-2E9C-101B-9397-08002B2CF9AE}" pid="3" name="KSOProductBuildVer">
    <vt:lpwstr>1033-12.2.0.23155</vt:lpwstr>
  </property>
</Properties>
</file>