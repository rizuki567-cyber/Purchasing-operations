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TOTAL" sheetId="16" r:id="rId14"/>
  </sheets>
  <definedNames>
    <definedName name="_xlnm._FilterDatabase" localSheetId="0" hidden="1">'BUK BUNGA (Groceries)'!$A$1:$F$484</definedName>
    <definedName name="_xlnm._FilterDatabase" localSheetId="1" hidden="1">'SEDANA JAYA (Groceries)'!$A$1:$F$668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4F12A570D97345129BA4AB38143E5809" descr="PHOTO-2026-01-03-19-35-18"/>
        <xdr:cNvPicPr>
          <a:picLocks noChangeAspect="1"/>
        </xdr:cNvPicPr>
      </xdr:nvPicPr>
      <xdr:blipFill>
        <a:blip r:embed="rId1"/>
        <a:srcRect t="15432" b="13418"/>
        <a:stretch>
          <a:fillRect/>
        </a:stretch>
      </xdr:blipFill>
      <xdr:spPr>
        <a:xfrm>
          <a:off x="8650605" y="979805"/>
          <a:ext cx="5660390" cy="7115175"/>
        </a:xfrm>
        <a:prstGeom prst="rect">
          <a:avLst/>
        </a:prstGeom>
      </xdr:spPr>
    </xdr:pic>
  </etc:cellImage>
  <etc:cellImage>
    <xdr:pic>
      <xdr:nvPicPr>
        <xdr:cNvPr id="4" name="ID_9A9D6236178F4E6D946D1853D272DDA3" descr="PHOTO-2026-01-03-19-36-12"/>
        <xdr:cNvPicPr>
          <a:picLocks noChangeAspect="1"/>
        </xdr:cNvPicPr>
      </xdr:nvPicPr>
      <xdr:blipFill>
        <a:blip r:embed="rId2"/>
        <a:srcRect t="8000" b="20440"/>
        <a:stretch>
          <a:fillRect/>
        </a:stretch>
      </xdr:blipFill>
      <xdr:spPr>
        <a:xfrm>
          <a:off x="9241155" y="4946650"/>
          <a:ext cx="5649595" cy="7155815"/>
        </a:xfrm>
        <a:prstGeom prst="rect">
          <a:avLst/>
        </a:prstGeom>
      </xdr:spPr>
    </xdr:pic>
  </etc:cellImage>
  <etc:cellImage>
    <xdr:pic>
      <xdr:nvPicPr>
        <xdr:cNvPr id="2" name="ID_E806AFC912C64647B993492A2712506F" descr="PHOTO-2026-01-06-16-53-0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8156575" y="-1730375"/>
          <a:ext cx="6053455" cy="10064115"/>
        </a:xfrm>
        <a:prstGeom prst="rect">
          <a:avLst/>
        </a:prstGeom>
      </xdr:spPr>
    </xdr:pic>
  </etc:cellImage>
  <etc:cellImage>
    <xdr:pic>
      <xdr:nvPicPr>
        <xdr:cNvPr id="5" name="ID_48E2AFA3B90642AD9D61FEAE334ED4C4" descr="PHOTO-2026-01-07-15-04-13"/>
        <xdr:cNvPicPr>
          <a:picLocks noChangeAspect="1"/>
        </xdr:cNvPicPr>
      </xdr:nvPicPr>
      <xdr:blipFill>
        <a:blip r:embed="rId4"/>
        <a:srcRect l="4764" t="12067" b="19165"/>
        <a:stretch>
          <a:fillRect/>
        </a:stretch>
      </xdr:blipFill>
      <xdr:spPr>
        <a:xfrm>
          <a:off x="8761730" y="7727950"/>
          <a:ext cx="5374640" cy="687451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<sst xmlns="http://schemas.openxmlformats.org/spreadsheetml/2006/main" count="508" uniqueCount="200">
  <si>
    <t>DATE</t>
  </si>
  <si>
    <t>ITEM</t>
  </si>
  <si>
    <t>QYT</t>
  </si>
  <si>
    <t>PRICE</t>
  </si>
  <si>
    <t>SUBTOTAL</t>
  </si>
  <si>
    <t>TOTAL</t>
  </si>
  <si>
    <t>SPAGHETTI LA FONTE</t>
  </si>
  <si>
    <t>BBQ SAUCE</t>
  </si>
  <si>
    <t>TOMATO KETCHUP</t>
  </si>
  <si>
    <t>CHILI SAUCE</t>
  </si>
  <si>
    <t>BLACK OLIVE</t>
  </si>
  <si>
    <t>SMALL KARA (200)</t>
  </si>
  <si>
    <t>OIL 18 L</t>
  </si>
  <si>
    <t>OAT MEAL S</t>
  </si>
  <si>
    <t>OAT MEAL M</t>
  </si>
  <si>
    <t>BACON (250)</t>
  </si>
  <si>
    <t>BABY CUCUMBER</t>
  </si>
  <si>
    <t>SPINACH</t>
  </si>
  <si>
    <t>CREAM CHEESE</t>
  </si>
  <si>
    <t>MILAC WHIPPING CREAM</t>
  </si>
  <si>
    <t>FRESH MILK (DIAMOND)</t>
  </si>
  <si>
    <t>RED LOLLO ROSSA</t>
  </si>
  <si>
    <t>BROWN SUGAR</t>
  </si>
  <si>
    <t>DOUBLE ZERO</t>
  </si>
  <si>
    <t>CANNED PEELED TOMATO</t>
  </si>
  <si>
    <t>SEMOLINA</t>
  </si>
  <si>
    <t>FRENCH FRIES</t>
  </si>
  <si>
    <t>MOZARELLA</t>
  </si>
  <si>
    <t>GORGONZOLA</t>
  </si>
  <si>
    <t>PARSLEY</t>
  </si>
  <si>
    <t>CHERRY RED TOMATO</t>
  </si>
  <si>
    <t>CHERRY YELLOW TOMATO</t>
  </si>
  <si>
    <t>EGGPLANT</t>
  </si>
  <si>
    <t>TOMATO</t>
  </si>
  <si>
    <t>ICEBERG</t>
  </si>
  <si>
    <t>LEMON</t>
  </si>
  <si>
    <t>BIG RED CHILI</t>
  </si>
  <si>
    <t>SMALL RED CHILI</t>
  </si>
  <si>
    <t>IMPORTED LEMON</t>
  </si>
  <si>
    <t>LADY FINGER</t>
  </si>
  <si>
    <t>POTATO</t>
  </si>
  <si>
    <t>BANANA</t>
  </si>
  <si>
    <t>CELERY</t>
  </si>
  <si>
    <t>ANCHOVY</t>
  </si>
  <si>
    <t>DRAGON FRUIT</t>
  </si>
  <si>
    <t>GREEN PEAS</t>
  </si>
  <si>
    <t>KEWPIE MAYONNAISE</t>
  </si>
  <si>
    <t>SAUSAGE</t>
  </si>
  <si>
    <t>COCONUT CREAM KARA (200)</t>
  </si>
  <si>
    <t>PARMESAN BLOCK</t>
  </si>
  <si>
    <t>FETA CHEESE</t>
  </si>
  <si>
    <t>SOUR CREAM</t>
  </si>
  <si>
    <t>PORTABLE GAS</t>
  </si>
  <si>
    <t>VINEGAR (DIXI)</t>
  </si>
  <si>
    <t>TABASCO</t>
  </si>
  <si>
    <t>CURRY POWDER</t>
  </si>
  <si>
    <t>OREGANO</t>
  </si>
  <si>
    <t>CAUSTIC SODA</t>
  </si>
  <si>
    <t>CAKRA FLOUR</t>
  </si>
  <si>
    <t>SALAD OIL</t>
  </si>
  <si>
    <t>WHOLE WHEAT FLOUR</t>
  </si>
  <si>
    <t>SUGAR</t>
  </si>
  <si>
    <t>OLIVE OIL</t>
  </si>
  <si>
    <t>HAM</t>
  </si>
  <si>
    <t>ROMA KELAPA</t>
  </si>
  <si>
    <t>CHOCO CHIP</t>
  </si>
  <si>
    <t>CHOCOLATE POWDER</t>
  </si>
  <si>
    <t>DARK CHOCOLATE</t>
  </si>
  <si>
    <t>PEELED PEANUT</t>
  </si>
  <si>
    <t>EGG</t>
  </si>
  <si>
    <t>CHILI FLAKES</t>
  </si>
  <si>
    <t>OIL PALMELO 5L</t>
  </si>
  <si>
    <t>KEWPIE SESAME SAUCE 1L</t>
  </si>
  <si>
    <t>BANGKOK SAUCE INDOFOOD 335ML</t>
  </si>
  <si>
    <t>SAUSAGE (250)</t>
  </si>
  <si>
    <t>PARMESAN GRATED</t>
  </si>
  <si>
    <t>TRASH BAG</t>
  </si>
  <si>
    <t>DISHWASHING WIRE</t>
  </si>
  <si>
    <t>DISHWASHING SPONGE</t>
  </si>
  <si>
    <t>AMANDA BUTTER</t>
  </si>
  <si>
    <t>CITRIC ACID</t>
  </si>
  <si>
    <t>VANILLA (KOEPOE-KOEPOE) 60ML</t>
  </si>
  <si>
    <t>KG PLASTIC</t>
  </si>
  <si>
    <t>AVOCADO</t>
  </si>
  <si>
    <t>MUSHROOM BUTTON</t>
  </si>
  <si>
    <t>GREEN PEPPER</t>
  </si>
  <si>
    <t>RED PEPPER</t>
  </si>
  <si>
    <t>YELLOW PEPPER</t>
  </si>
  <si>
    <t>CUCUMBER</t>
  </si>
  <si>
    <t>CHILI</t>
  </si>
  <si>
    <t>SHALLOT</t>
  </si>
  <si>
    <t>GARLIC</t>
  </si>
  <si>
    <t>COCONUT FLAKES</t>
  </si>
  <si>
    <t>SWEET POTATO</t>
  </si>
  <si>
    <t>BABY ROMAINE</t>
  </si>
  <si>
    <t>ROCKET ARAGULA</t>
  </si>
  <si>
    <t>GREEN LETTUCE</t>
  </si>
  <si>
    <t>STRAWBERRY</t>
  </si>
  <si>
    <t>MANGO</t>
  </si>
  <si>
    <t>PINEAPPLE</t>
  </si>
  <si>
    <t>SUNKIST</t>
  </si>
  <si>
    <t>CASHEW NUT</t>
  </si>
  <si>
    <t>BAKED BEAN</t>
  </si>
  <si>
    <t>HONEY</t>
  </si>
  <si>
    <t>PENNE</t>
  </si>
  <si>
    <t>BAKING PAPER</t>
  </si>
  <si>
    <t>ZUCCHINI</t>
  </si>
  <si>
    <t>SHIMEJI</t>
  </si>
  <si>
    <t>CORIANDER</t>
  </si>
  <si>
    <t>YELLOW CHEDDAR</t>
  </si>
  <si>
    <t>MAIZENA FLOUR</t>
  </si>
  <si>
    <t>LIME</t>
  </si>
  <si>
    <t>MIX BERRY</t>
  </si>
  <si>
    <t>WATERMELON</t>
  </si>
  <si>
    <t>EDAMAME</t>
  </si>
  <si>
    <t>MINT</t>
  </si>
  <si>
    <t>BRIE CHEESE</t>
  </si>
  <si>
    <t>BALSAMIC VINEGAR</t>
  </si>
  <si>
    <t>ROMAINE LETTUCE</t>
  </si>
  <si>
    <t>OUTSTANDING STATUS CHECK</t>
  </si>
  <si>
    <t>HONEY BLOSSOM</t>
  </si>
  <si>
    <t>DILL</t>
  </si>
  <si>
    <t>CARROT</t>
  </si>
  <si>
    <t>MUSHROOM SHIMEJI</t>
  </si>
  <si>
    <t>BASIL LEAVES</t>
  </si>
  <si>
    <t>MINT LEAVES</t>
  </si>
  <si>
    <t>MOZARELLA BLOCK</t>
  </si>
  <si>
    <t>BACON</t>
  </si>
  <si>
    <t>MAESTRO MAYONNAISE</t>
  </si>
  <si>
    <t>FRESH MILK (DIAMON)</t>
  </si>
  <si>
    <t>SPAGHETTI DEL MONTE</t>
  </si>
  <si>
    <t>ONION</t>
  </si>
  <si>
    <t>BLACK SESAME SEED</t>
  </si>
  <si>
    <t>WHITE SESAME SEED</t>
  </si>
  <si>
    <t>BASMATI RICE SHUKRIYA</t>
  </si>
  <si>
    <t>SPRING ONION</t>
  </si>
  <si>
    <t>WHITE PEAR</t>
  </si>
  <si>
    <t>BEANS</t>
  </si>
  <si>
    <t>GREEN APPLE</t>
  </si>
  <si>
    <t>LEEK</t>
  </si>
  <si>
    <t>ENGLISH SPINACH</t>
  </si>
  <si>
    <t>SEGITIGA BIRU FLOUR</t>
  </si>
  <si>
    <t>WILD ROCKET</t>
  </si>
  <si>
    <t>COCONUT POWDER</t>
  </si>
  <si>
    <t>TOTOLE</t>
  </si>
  <si>
    <t>CANNED PEELED TOMATO (CIRIO)</t>
  </si>
  <si>
    <t>SPAGHETTI</t>
  </si>
  <si>
    <t>FETTUCINNE</t>
  </si>
  <si>
    <t>PUMPKIN</t>
  </si>
  <si>
    <t>GREEN LOLLO ROSSA</t>
  </si>
  <si>
    <t>ROSEMARY</t>
  </si>
  <si>
    <t>ROMAINE</t>
  </si>
  <si>
    <t>DOLPIN SALT</t>
  </si>
  <si>
    <t>DESCRIPTION</t>
  </si>
  <si>
    <t>QUANTITY</t>
  </si>
  <si>
    <t>BILLS</t>
  </si>
  <si>
    <t>PRAWN 20</t>
  </si>
  <si>
    <t>SQUID TUBE</t>
  </si>
  <si>
    <t>CHICKEN BREAST</t>
  </si>
  <si>
    <t>CHICKEN LEG</t>
  </si>
  <si>
    <t>MINCE BEEF</t>
  </si>
  <si>
    <t>SALMON</t>
  </si>
  <si>
    <t>TUNA</t>
  </si>
  <si>
    <t>LEG FILLET</t>
  </si>
  <si>
    <t>BREAST FILLET</t>
  </si>
  <si>
    <t>CHICKEN WINGS</t>
  </si>
  <si>
    <t>PRAWN</t>
  </si>
  <si>
    <t>MAHI-MAHI</t>
  </si>
  <si>
    <t>INV NO.</t>
  </si>
  <si>
    <t>DESCRIPTIONS</t>
  </si>
  <si>
    <t>QTY</t>
  </si>
  <si>
    <t>BIILS</t>
  </si>
  <si>
    <t xml:space="preserve"> GRAND TOTAL</t>
  </si>
  <si>
    <t>SUB TOTAL</t>
  </si>
  <si>
    <t>B00026/PRN-R/2026</t>
  </si>
  <si>
    <t>BONELESS BREAST TK SP</t>
  </si>
  <si>
    <t>BONELESS LEG TK SP</t>
  </si>
  <si>
    <t>STATUS</t>
  </si>
  <si>
    <t>NO</t>
  </si>
  <si>
    <t>PC</t>
  </si>
  <si>
    <t xml:space="preserve">Total </t>
  </si>
  <si>
    <t>INV.NO</t>
  </si>
  <si>
    <t>TOTAL AFTER TAX</t>
  </si>
  <si>
    <t>GRAND TOTAL</t>
  </si>
  <si>
    <t>DISHY 5L DISHWAHING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</si>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</sst>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-809]dd\ mmmm\ yyyy;@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2" applyNumberFormat="0" applyAlignment="0" applyProtection="0">
      <alignment vertical="center"/>
    </xf>
    <xf numFmtId="0" fontId="32" fillId="9" borderId="13" applyNumberFormat="0" applyAlignment="0" applyProtection="0">
      <alignment vertical="center"/>
    </xf>
    <xf numFmtId="0" fontId="33" fillId="9" borderId="12" applyNumberFormat="0" applyAlignment="0" applyProtection="0">
      <alignment vertical="center"/>
    </xf>
    <xf numFmtId="0" fontId="34" fillId="10" borderId="14" applyNumberFormat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4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vertical="center"/>
    </xf>
    <xf numFmtId="181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horizontal="center" vertical="center"/>
    </xf>
    <xf numFmtId="181" fontId="3" fillId="4" borderId="3" xfId="0" applyNumberFormat="1" applyFont="1" applyFill="1" applyBorder="1" applyAlignment="1">
      <alignment horizontal="center" vertical="center"/>
    </xf>
    <xf numFmtId="181" fontId="3" fillId="4" borderId="4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3" fillId="4" borderId="1" xfId="0" applyNumberFormat="1" applyFont="1" applyFill="1" applyBorder="1" applyAlignment="1">
      <alignment vertical="center"/>
    </xf>
    <xf numFmtId="180" fontId="3" fillId="5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 wrapText="1"/>
    </xf>
    <xf numFmtId="0" fontId="3" fillId="5" borderId="3" xfId="0" applyNumberFormat="1" applyFont="1" applyFill="1" applyBorder="1" applyAlignment="1">
      <alignment horizontal="center" vertical="center"/>
    </xf>
    <xf numFmtId="0" fontId="3" fillId="5" borderId="4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vertical="center"/>
    </xf>
    <xf numFmtId="180" fontId="3" fillId="0" borderId="3" xfId="0" applyNumberFormat="1" applyFont="1" applyFill="1" applyBorder="1" applyAlignment="1">
      <alignment horizontal="center" vertical="center"/>
    </xf>
    <xf numFmtId="180" fontId="3" fillId="0" borderId="4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 wrapText="1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vertical="center" wrapText="1"/>
    </xf>
    <xf numFmtId="181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181" fontId="3" fillId="6" borderId="3" xfId="0" applyNumberFormat="1" applyFont="1" applyFill="1" applyBorder="1" applyAlignment="1">
      <alignment horizontal="center" vertical="center"/>
    </xf>
    <xf numFmtId="181" fontId="3" fillId="6" borderId="4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 wrapText="1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3" xfId="0" applyNumberFormat="1" applyFont="1" applyFill="1" applyBorder="1" applyAlignment="1">
      <alignment horizontal="center" vertical="center"/>
    </xf>
    <xf numFmtId="180" fontId="4" fillId="6" borderId="4" xfId="0" applyNumberFormat="1" applyFont="1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5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vertical="center" wrapText="1"/>
    </xf>
    <xf numFmtId="182" fontId="0" fillId="4" borderId="6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vertical="center"/>
    </xf>
    <xf numFmtId="182" fontId="0" fillId="4" borderId="6" xfId="0" applyNumberFormat="1" applyFill="1" applyBorder="1" applyAlignment="1">
      <alignment vertical="center"/>
    </xf>
    <xf numFmtId="180" fontId="0" fillId="4" borderId="6" xfId="0" applyNumberFormat="1" applyFill="1" applyBorder="1" applyAlignment="1">
      <alignment horizontal="center"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0" fillId="0" borderId="5" xfId="0" applyNumberFormat="1" applyBorder="1" applyAlignment="1">
      <alignment horizontal="center" vertical="center"/>
    </xf>
    <xf numFmtId="183" fontId="0" fillId="0" borderId="1" xfId="0" applyNumberFormat="1" applyBorder="1" applyAlignment="1">
      <alignment vertical="center"/>
    </xf>
    <xf numFmtId="183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0" fontId="0" fillId="0" borderId="1" xfId="0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0" fontId="0" fillId="0" borderId="6" xfId="0" applyNumberFormat="1" applyBorder="1" applyAlignment="1">
      <alignment vertical="center"/>
    </xf>
    <xf numFmtId="180" fontId="0" fillId="0" borderId="6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181" fontId="2" fillId="4" borderId="7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1" fontId="2" fillId="4" borderId="5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/>
    </xf>
    <xf numFmtId="181" fontId="2" fillId="4" borderId="7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vertical="center"/>
    </xf>
    <xf numFmtId="180" fontId="16" fillId="6" borderId="8" xfId="0" applyNumberFormat="1" applyFont="1" applyFill="1" applyBorder="1" applyAlignment="1">
      <alignment horizontal="center" vertical="center"/>
    </xf>
    <xf numFmtId="180" fontId="16" fillId="6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17" fillId="0" borderId="0" xfId="0" applyFont="1">
      <alignment vertical="center"/>
    </xf>
    <xf numFmtId="18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1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1" fontId="17" fillId="0" borderId="5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1" fontId="17" fillId="0" borderId="7" xfId="0" applyNumberFormat="1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180" fontId="17" fillId="0" borderId="5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180" fontId="17" fillId="0" borderId="7" xfId="0" applyNumberFormat="1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6" xfId="0" applyNumberFormat="1" applyFont="1" applyFill="1" applyBorder="1" applyAlignment="1">
      <alignment horizontal="center" vertical="center"/>
    </xf>
    <xf numFmtId="181" fontId="17" fillId="0" borderId="1" xfId="0" applyNumberFormat="1" applyFont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0" fillId="0" borderId="5" xfId="0" applyNumberFormat="1" applyFon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181" fontId="17" fillId="0" borderId="5" xfId="0" applyNumberFormat="1" applyFont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17" fillId="0" borderId="5" xfId="0" applyNumberFormat="1" applyFont="1" applyFill="1" applyBorder="1" applyAlignment="1">
      <alignment horizontal="center" vertical="center"/>
    </xf>
    <xf numFmtId="181" fontId="17" fillId="0" borderId="7" xfId="0" applyNumberFormat="1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180" fontId="17" fillId="0" borderId="6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0" xfId="0" applyNumberFormat="1" applyFont="1" applyFill="1">
      <alignment vertical="center"/>
    </xf>
    <xf numFmtId="181" fontId="20" fillId="0" borderId="1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1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1" fontId="21" fillId="5" borderId="1" xfId="0" applyNumberFormat="1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2" fillId="5" borderId="3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1" fontId="20" fillId="0" borderId="5" xfId="0" applyNumberFormat="1" applyFon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3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3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5.jpeg"/><Relationship Id="rId3" Type="http://schemas.openxmlformats.org/officeDocument/2006/relationships/image" Target="media/image4.jpeg"/><Relationship Id="rId2" Type="http://schemas.openxmlformats.org/officeDocument/2006/relationships/image" Target="media/image3.jpeg"/><Relationship Id="rId1" Type="http://schemas.openxmlformats.org/officeDocument/2006/relationships/image" Target="media/image2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www.wps.cn/officeDocument/2020/cellImage" Target="cellimag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51752</xdr:colOff>
      <xdr:row>1</xdr:row>
      <xdr:rowOff>32067</xdr:rowOff>
    </xdr:from>
    <xdr:to>
      <xdr:col>3</xdr:col>
      <xdr:colOff>5302567</xdr:colOff>
      <xdr:row>1</xdr:row>
      <xdr:rowOff>3783647</xdr:rowOff>
    </xdr:to>
    <xdr:pic>
      <xdr:nvPicPr>
        <xdr:cNvPr id="3" name="ID_49CAC5DC2B964E078E63224E751D9B0B" descr="PHOTO-2026-01-03-19-34-37"/>
        <xdr:cNvPicPr>
          <a:picLocks noChangeAspect="1"/>
        </xdr:cNvPicPr>
      </xdr:nvPicPr>
      <xdr:blipFill>
        <a:blip r:embed="rId1"/>
        <a:srcRect l="5123" t="17788" r="1745" b="8446"/>
        <a:stretch>
          <a:fillRect/>
        </a:stretch>
      </xdr:blipFill>
      <xdr:spPr>
        <a:xfrm rot="16200000">
          <a:off x="7452360" y="-273050"/>
          <a:ext cx="3751580" cy="5250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1"/>
  <sheetViews>
    <sheetView tabSelected="1" zoomScale="85" zoomScaleNormal="85" workbookViewId="0">
      <pane ySplit="1" topLeftCell="A153" activePane="bottomLeft" state="frozen"/>
      <selection/>
      <selection pane="bottomLeft" activeCell="E186" sqref="E186"/>
    </sheetView>
  </sheetViews>
  <sheetFormatPr defaultColWidth="9.140625" defaultRowHeight="17.6" outlineLevelCol="7"/>
  <cols>
    <col min="1" max="1" width="24.765625" style="220" customWidth="1"/>
    <col min="2" max="2" width="34.3125" style="221" customWidth="1"/>
    <col min="3" max="3" width="10.7890625" style="222" customWidth="1"/>
    <col min="4" max="4" width="12.140625" style="219" customWidth="1"/>
    <col min="5" max="5" width="15.5703125" style="219" customWidth="1"/>
    <col min="6" max="6" width="15.796875" style="223" customWidth="1"/>
    <col min="7" max="7" width="14.2890625" style="219"/>
    <col min="8" max="8" width="22.59375" style="219" customWidth="1"/>
    <col min="9" max="9" width="12.6875" style="219"/>
    <col min="10" max="16384" width="9.140625" style="219"/>
  </cols>
  <sheetData>
    <row r="1" s="219" customFormat="1" ht="22" customHeight="1" spans="1:6">
      <c r="A1" s="224" t="s">
        <v>0</v>
      </c>
      <c r="B1" s="225" t="s">
        <v>1</v>
      </c>
      <c r="C1" s="226" t="s">
        <v>2</v>
      </c>
      <c r="D1" s="227" t="s">
        <v>3</v>
      </c>
      <c r="E1" s="230" t="s">
        <v>4</v>
      </c>
      <c r="F1" s="231" t="s">
        <v>5</v>
      </c>
    </row>
    <row r="2" s="219" customFormat="1" ht="16.8" spans="1:6">
      <c r="A2" s="193">
        <v>46025</v>
      </c>
      <c r="B2" s="228" t="s">
        <v>6</v>
      </c>
      <c r="C2" s="192">
        <v>5</v>
      </c>
      <c r="D2" s="229">
        <v>25000</v>
      </c>
      <c r="E2" s="91">
        <f>D2*C2</f>
        <v>125000</v>
      </c>
      <c r="F2" s="198">
        <f>SUM(E2:E24)</f>
        <v>4776000</v>
      </c>
    </row>
    <row r="3" s="219" customFormat="1" ht="16.8" spans="1:6">
      <c r="A3" s="194"/>
      <c r="B3" s="228" t="s">
        <v>7</v>
      </c>
      <c r="C3" s="192">
        <v>7</v>
      </c>
      <c r="D3" s="229">
        <v>40000</v>
      </c>
      <c r="E3" s="91">
        <f>D3*C3</f>
        <v>280000</v>
      </c>
      <c r="F3" s="199"/>
    </row>
    <row r="4" s="219" customFormat="1" ht="16.8" spans="1:6">
      <c r="A4" s="194"/>
      <c r="B4" s="228" t="s">
        <v>8</v>
      </c>
      <c r="C4" s="192">
        <v>3</v>
      </c>
      <c r="D4" s="229">
        <v>25000</v>
      </c>
      <c r="E4" s="91">
        <f t="shared" ref="E4:E9" si="0">D4*C4</f>
        <v>75000</v>
      </c>
      <c r="F4" s="199"/>
    </row>
    <row r="5" s="219" customFormat="1" ht="16.8" spans="1:6">
      <c r="A5" s="194"/>
      <c r="B5" s="228" t="s">
        <v>9</v>
      </c>
      <c r="C5" s="192">
        <v>3</v>
      </c>
      <c r="D5" s="229">
        <v>30000</v>
      </c>
      <c r="E5" s="91">
        <f t="shared" si="0"/>
        <v>90000</v>
      </c>
      <c r="F5" s="199"/>
    </row>
    <row r="6" s="219" customFormat="1" ht="16.8" spans="1:6">
      <c r="A6" s="194"/>
      <c r="B6" s="228" t="s">
        <v>10</v>
      </c>
      <c r="C6" s="192">
        <v>1</v>
      </c>
      <c r="D6" s="229">
        <v>75000</v>
      </c>
      <c r="E6" s="91">
        <f t="shared" si="0"/>
        <v>75000</v>
      </c>
      <c r="F6" s="199"/>
    </row>
    <row r="7" s="219" customFormat="1" ht="16.8" spans="1:6">
      <c r="A7" s="194"/>
      <c r="B7" s="228" t="s">
        <v>11</v>
      </c>
      <c r="C7" s="192">
        <v>1</v>
      </c>
      <c r="D7" s="229">
        <v>230000</v>
      </c>
      <c r="E7" s="91">
        <f t="shared" si="0"/>
        <v>230000</v>
      </c>
      <c r="F7" s="199"/>
    </row>
    <row r="8" s="219" customFormat="1" ht="16.8" spans="1:6">
      <c r="A8" s="194"/>
      <c r="B8" s="228" t="s">
        <v>12</v>
      </c>
      <c r="C8" s="192">
        <v>1</v>
      </c>
      <c r="D8" s="229">
        <v>395000</v>
      </c>
      <c r="E8" s="91">
        <f t="shared" si="0"/>
        <v>395000</v>
      </c>
      <c r="F8" s="199"/>
    </row>
    <row r="9" s="219" customFormat="1" ht="16.8" spans="1:6">
      <c r="A9" s="194"/>
      <c r="B9" s="228" t="s">
        <v>13</v>
      </c>
      <c r="C9" s="192">
        <v>2</v>
      </c>
      <c r="D9" s="229">
        <v>60000</v>
      </c>
      <c r="E9" s="91">
        <f t="shared" si="0"/>
        <v>120000</v>
      </c>
      <c r="F9" s="199"/>
    </row>
    <row r="10" s="219" customFormat="1" ht="16.8" spans="1:6">
      <c r="A10" s="194"/>
      <c r="B10" s="228" t="s">
        <v>14</v>
      </c>
      <c r="C10" s="192">
        <v>1</v>
      </c>
      <c r="D10" s="229">
        <v>70000</v>
      </c>
      <c r="E10" s="91">
        <f t="shared" ref="E10:E19" si="1">D10*C10</f>
        <v>70000</v>
      </c>
      <c r="F10" s="199"/>
    </row>
    <row r="11" s="219" customFormat="1" ht="16.8" spans="1:6">
      <c r="A11" s="194"/>
      <c r="B11" s="228" t="s">
        <v>15</v>
      </c>
      <c r="C11" s="192">
        <v>12</v>
      </c>
      <c r="D11" s="229">
        <v>45000</v>
      </c>
      <c r="E11" s="91">
        <f t="shared" si="1"/>
        <v>540000</v>
      </c>
      <c r="F11" s="199"/>
    </row>
    <row r="12" s="219" customFormat="1" ht="16.8" spans="1:8">
      <c r="A12" s="194"/>
      <c r="B12" s="228" t="s">
        <v>16</v>
      </c>
      <c r="C12" s="192">
        <v>1.055</v>
      </c>
      <c r="D12" s="229">
        <v>65000</v>
      </c>
      <c r="E12" s="91">
        <v>69000</v>
      </c>
      <c r="F12" s="199"/>
      <c r="H12" s="232"/>
    </row>
    <row r="13" s="219" customFormat="1" ht="16.8" spans="1:6">
      <c r="A13" s="194"/>
      <c r="B13" s="228" t="s">
        <v>17</v>
      </c>
      <c r="C13" s="192">
        <v>0.5</v>
      </c>
      <c r="D13" s="229">
        <v>80000</v>
      </c>
      <c r="E13" s="91">
        <f t="shared" si="1"/>
        <v>40000</v>
      </c>
      <c r="F13" s="199"/>
    </row>
    <row r="14" s="219" customFormat="1" ht="16.8" spans="1:6">
      <c r="A14" s="194"/>
      <c r="B14" s="228" t="s">
        <v>18</v>
      </c>
      <c r="C14" s="192">
        <v>2</v>
      </c>
      <c r="D14" s="229">
        <v>170000</v>
      </c>
      <c r="E14" s="91">
        <f t="shared" si="1"/>
        <v>340000</v>
      </c>
      <c r="F14" s="199"/>
    </row>
    <row r="15" s="219" customFormat="1" ht="16.8" spans="1:6">
      <c r="A15" s="194"/>
      <c r="B15" s="228" t="s">
        <v>19</v>
      </c>
      <c r="C15" s="192">
        <v>4</v>
      </c>
      <c r="D15" s="229">
        <v>90000</v>
      </c>
      <c r="E15" s="91">
        <f t="shared" si="1"/>
        <v>360000</v>
      </c>
      <c r="F15" s="199"/>
    </row>
    <row r="16" s="219" customFormat="1" ht="16.8" spans="1:6">
      <c r="A16" s="194"/>
      <c r="B16" s="228" t="s">
        <v>20</v>
      </c>
      <c r="C16" s="192">
        <v>4</v>
      </c>
      <c r="D16" s="229">
        <v>22000</v>
      </c>
      <c r="E16" s="91">
        <f t="shared" si="1"/>
        <v>88000</v>
      </c>
      <c r="F16" s="199"/>
    </row>
    <row r="17" s="219" customFormat="1" ht="16.8" spans="1:6">
      <c r="A17" s="194"/>
      <c r="B17" s="228" t="s">
        <v>21</v>
      </c>
      <c r="C17" s="192">
        <v>0.3</v>
      </c>
      <c r="D17" s="229">
        <v>80000</v>
      </c>
      <c r="E17" s="91">
        <f t="shared" si="1"/>
        <v>24000</v>
      </c>
      <c r="F17" s="199"/>
    </row>
    <row r="18" s="219" customFormat="1" ht="16.8" spans="1:6">
      <c r="A18" s="194"/>
      <c r="B18" s="228" t="s">
        <v>22</v>
      </c>
      <c r="C18" s="192">
        <v>1</v>
      </c>
      <c r="D18" s="229">
        <v>30000</v>
      </c>
      <c r="E18" s="91">
        <f t="shared" si="1"/>
        <v>30000</v>
      </c>
      <c r="F18" s="199"/>
    </row>
    <row r="19" s="219" customFormat="1" ht="16.8" spans="1:6">
      <c r="A19" s="194"/>
      <c r="B19" s="228" t="s">
        <v>23</v>
      </c>
      <c r="C19" s="192">
        <v>2</v>
      </c>
      <c r="D19" s="229">
        <v>220000</v>
      </c>
      <c r="E19" s="91">
        <f t="shared" ref="E19:E24" si="2">D19*C19</f>
        <v>440000</v>
      </c>
      <c r="F19" s="199"/>
    </row>
    <row r="20" s="219" customFormat="1" ht="16.8" spans="1:6">
      <c r="A20" s="194"/>
      <c r="B20" s="228" t="s">
        <v>24</v>
      </c>
      <c r="C20" s="192">
        <v>2</v>
      </c>
      <c r="D20" s="229">
        <v>120000</v>
      </c>
      <c r="E20" s="91">
        <f t="shared" si="2"/>
        <v>240000</v>
      </c>
      <c r="F20" s="199"/>
    </row>
    <row r="21" s="219" customFormat="1" ht="16.8" spans="1:6">
      <c r="A21" s="194"/>
      <c r="B21" s="228" t="s">
        <v>25</v>
      </c>
      <c r="C21" s="192">
        <v>2</v>
      </c>
      <c r="D21" s="229">
        <v>55000</v>
      </c>
      <c r="E21" s="91">
        <f t="shared" si="2"/>
        <v>110000</v>
      </c>
      <c r="F21" s="199"/>
    </row>
    <row r="22" s="219" customFormat="1" ht="16.8" spans="1:6">
      <c r="A22" s="194"/>
      <c r="B22" s="228" t="s">
        <v>26</v>
      </c>
      <c r="C22" s="192">
        <v>2</v>
      </c>
      <c r="D22" s="229">
        <v>90000</v>
      </c>
      <c r="E22" s="91">
        <f t="shared" si="2"/>
        <v>180000</v>
      </c>
      <c r="F22" s="199"/>
    </row>
    <row r="23" s="219" customFormat="1" ht="16.8" spans="1:6">
      <c r="A23" s="194"/>
      <c r="B23" s="228" t="s">
        <v>27</v>
      </c>
      <c r="C23" s="192">
        <v>2</v>
      </c>
      <c r="D23" s="229">
        <v>330000</v>
      </c>
      <c r="E23" s="91">
        <f t="shared" si="2"/>
        <v>660000</v>
      </c>
      <c r="F23" s="199"/>
    </row>
    <row r="24" s="219" customFormat="1" ht="16.8" spans="1:6">
      <c r="A24" s="195"/>
      <c r="B24" s="228" t="s">
        <v>28</v>
      </c>
      <c r="C24" s="192">
        <v>1</v>
      </c>
      <c r="D24" s="229">
        <v>195000</v>
      </c>
      <c r="E24" s="91">
        <f t="shared" si="2"/>
        <v>195000</v>
      </c>
      <c r="F24" s="200"/>
    </row>
    <row r="25" s="219" customFormat="1" ht="16.8" spans="1:6">
      <c r="A25" s="193">
        <v>46025</v>
      </c>
      <c r="B25" s="228" t="s">
        <v>29</v>
      </c>
      <c r="C25" s="192">
        <v>1</v>
      </c>
      <c r="D25" s="229">
        <v>80000</v>
      </c>
      <c r="E25" s="91">
        <f t="shared" ref="E25:E38" si="3">D25*C25</f>
        <v>80000</v>
      </c>
      <c r="F25" s="198">
        <f>SUM(E25:E35)</f>
        <v>1221000</v>
      </c>
    </row>
    <row r="26" s="219" customFormat="1" ht="16.8" spans="1:6">
      <c r="A26" s="194"/>
      <c r="B26" s="228" t="s">
        <v>30</v>
      </c>
      <c r="C26" s="192">
        <v>0.5</v>
      </c>
      <c r="D26" s="229">
        <v>70000</v>
      </c>
      <c r="E26" s="91">
        <f t="shared" si="3"/>
        <v>35000</v>
      </c>
      <c r="F26" s="199"/>
    </row>
    <row r="27" s="219" customFormat="1" ht="16.8" spans="1:6">
      <c r="A27" s="194"/>
      <c r="B27" s="228" t="s">
        <v>31</v>
      </c>
      <c r="C27" s="192">
        <v>0.5</v>
      </c>
      <c r="D27" s="229">
        <v>80000</v>
      </c>
      <c r="E27" s="91">
        <f t="shared" si="3"/>
        <v>40000</v>
      </c>
      <c r="F27" s="199"/>
    </row>
    <row r="28" s="219" customFormat="1" ht="16.8" spans="1:6">
      <c r="A28" s="194"/>
      <c r="B28" s="228" t="s">
        <v>32</v>
      </c>
      <c r="C28" s="192">
        <v>1</v>
      </c>
      <c r="D28" s="229">
        <v>15000</v>
      </c>
      <c r="E28" s="91">
        <f t="shared" si="3"/>
        <v>15000</v>
      </c>
      <c r="F28" s="199"/>
    </row>
    <row r="29" s="219" customFormat="1" ht="16.8" spans="1:6">
      <c r="A29" s="194"/>
      <c r="B29" s="228" t="s">
        <v>33</v>
      </c>
      <c r="C29" s="192">
        <v>1</v>
      </c>
      <c r="D29" s="229">
        <v>15000</v>
      </c>
      <c r="E29" s="91">
        <f t="shared" si="3"/>
        <v>15000</v>
      </c>
      <c r="F29" s="199"/>
    </row>
    <row r="30" s="219" customFormat="1" ht="16.8" spans="1:6">
      <c r="A30" s="194"/>
      <c r="B30" s="228" t="s">
        <v>15</v>
      </c>
      <c r="C30" s="192">
        <v>1</v>
      </c>
      <c r="D30" s="229">
        <v>170000</v>
      </c>
      <c r="E30" s="91">
        <f t="shared" si="3"/>
        <v>170000</v>
      </c>
      <c r="F30" s="199"/>
    </row>
    <row r="31" s="219" customFormat="1" ht="16.8" spans="1:6">
      <c r="A31" s="194"/>
      <c r="B31" s="228" t="s">
        <v>34</v>
      </c>
      <c r="C31" s="192">
        <v>1</v>
      </c>
      <c r="D31" s="229">
        <v>60000</v>
      </c>
      <c r="E31" s="91">
        <f t="shared" si="3"/>
        <v>60000</v>
      </c>
      <c r="F31" s="199"/>
    </row>
    <row r="32" s="219" customFormat="1" ht="16.8" spans="1:6">
      <c r="A32" s="194"/>
      <c r="B32" s="228" t="s">
        <v>35</v>
      </c>
      <c r="C32" s="192">
        <v>1</v>
      </c>
      <c r="D32" s="229">
        <v>70000</v>
      </c>
      <c r="E32" s="91">
        <f t="shared" si="3"/>
        <v>70000</v>
      </c>
      <c r="F32" s="199"/>
    </row>
    <row r="33" s="219" customFormat="1" ht="16.8" spans="1:6">
      <c r="A33" s="194"/>
      <c r="B33" s="228" t="s">
        <v>19</v>
      </c>
      <c r="C33" s="192">
        <v>6</v>
      </c>
      <c r="D33" s="229">
        <v>90000</v>
      </c>
      <c r="E33" s="91">
        <f t="shared" si="3"/>
        <v>540000</v>
      </c>
      <c r="F33" s="199"/>
    </row>
    <row r="34" s="219" customFormat="1" ht="16.8" spans="1:6">
      <c r="A34" s="194"/>
      <c r="B34" s="228" t="s">
        <v>32</v>
      </c>
      <c r="C34" s="192">
        <v>2</v>
      </c>
      <c r="D34" s="229">
        <v>58000</v>
      </c>
      <c r="E34" s="91">
        <f t="shared" si="3"/>
        <v>116000</v>
      </c>
      <c r="F34" s="199"/>
    </row>
    <row r="35" s="219" customFormat="1" ht="16.8" spans="1:6">
      <c r="A35" s="195"/>
      <c r="B35" s="228" t="s">
        <v>7</v>
      </c>
      <c r="C35" s="192">
        <v>2</v>
      </c>
      <c r="D35" s="229">
        <v>40000</v>
      </c>
      <c r="E35" s="91">
        <f t="shared" si="3"/>
        <v>80000</v>
      </c>
      <c r="F35" s="200"/>
    </row>
    <row r="36" s="219" customFormat="1" ht="16.8" spans="1:6">
      <c r="A36" s="193">
        <v>46025</v>
      </c>
      <c r="B36" s="228" t="s">
        <v>36</v>
      </c>
      <c r="C36" s="192">
        <v>0.3</v>
      </c>
      <c r="D36" s="229">
        <v>50000</v>
      </c>
      <c r="E36" s="91">
        <f t="shared" si="3"/>
        <v>15000</v>
      </c>
      <c r="F36" s="198">
        <f>SUM(E36:E38)</f>
        <v>62000</v>
      </c>
    </row>
    <row r="37" s="219" customFormat="1" ht="16.8" spans="1:6">
      <c r="A37" s="194"/>
      <c r="B37" s="228" t="s">
        <v>37</v>
      </c>
      <c r="C37" s="192">
        <v>0.2</v>
      </c>
      <c r="D37" s="229">
        <v>60000</v>
      </c>
      <c r="E37" s="91">
        <f t="shared" si="3"/>
        <v>12000</v>
      </c>
      <c r="F37" s="199"/>
    </row>
    <row r="38" s="219" customFormat="1" ht="16.8" spans="1:6">
      <c r="A38" s="195"/>
      <c r="B38" s="228" t="s">
        <v>38</v>
      </c>
      <c r="C38" s="192">
        <v>0.5</v>
      </c>
      <c r="D38" s="229">
        <v>70000</v>
      </c>
      <c r="E38" s="91">
        <f t="shared" si="3"/>
        <v>35000</v>
      </c>
      <c r="F38" s="200"/>
    </row>
    <row r="39" s="219" customFormat="1" ht="16.8" spans="1:6">
      <c r="A39" s="193">
        <v>46026</v>
      </c>
      <c r="B39" s="228" t="s">
        <v>39</v>
      </c>
      <c r="C39" s="192">
        <v>2</v>
      </c>
      <c r="D39" s="229">
        <v>55000</v>
      </c>
      <c r="E39" s="91">
        <f t="shared" ref="E39:E57" si="4">D39*C39</f>
        <v>110000</v>
      </c>
      <c r="F39" s="198">
        <f>SUM(E39:E57)</f>
        <v>2304000</v>
      </c>
    </row>
    <row r="40" s="219" customFormat="1" ht="16.8" spans="1:6">
      <c r="A40" s="194"/>
      <c r="B40" s="228" t="s">
        <v>40</v>
      </c>
      <c r="C40" s="192">
        <v>5</v>
      </c>
      <c r="D40" s="229">
        <v>25000</v>
      </c>
      <c r="E40" s="91">
        <f t="shared" si="4"/>
        <v>125000</v>
      </c>
      <c r="F40" s="199"/>
    </row>
    <row r="41" s="219" customFormat="1" ht="16.8" spans="1:6">
      <c r="A41" s="194"/>
      <c r="B41" s="228" t="s">
        <v>41</v>
      </c>
      <c r="C41" s="192">
        <v>18</v>
      </c>
      <c r="D41" s="229">
        <v>2000</v>
      </c>
      <c r="E41" s="91">
        <f t="shared" si="4"/>
        <v>36000</v>
      </c>
      <c r="F41" s="199"/>
    </row>
    <row r="42" s="219" customFormat="1" ht="16.8" spans="1:6">
      <c r="A42" s="194"/>
      <c r="B42" s="228" t="s">
        <v>42</v>
      </c>
      <c r="C42" s="192">
        <v>0.1</v>
      </c>
      <c r="D42" s="229">
        <v>70000</v>
      </c>
      <c r="E42" s="91">
        <f t="shared" si="4"/>
        <v>7000</v>
      </c>
      <c r="F42" s="199"/>
    </row>
    <row r="43" s="219" customFormat="1" ht="16.8" spans="1:6">
      <c r="A43" s="194"/>
      <c r="B43" s="228" t="s">
        <v>43</v>
      </c>
      <c r="C43" s="192">
        <v>1</v>
      </c>
      <c r="D43" s="229">
        <v>220000</v>
      </c>
      <c r="E43" s="91">
        <f t="shared" si="4"/>
        <v>220000</v>
      </c>
      <c r="F43" s="199"/>
    </row>
    <row r="44" s="219" customFormat="1" ht="16.8" spans="1:6">
      <c r="A44" s="194"/>
      <c r="B44" s="228" t="s">
        <v>44</v>
      </c>
      <c r="C44" s="192">
        <v>1.26</v>
      </c>
      <c r="D44" s="229">
        <v>25000</v>
      </c>
      <c r="E44" s="91">
        <v>32000</v>
      </c>
      <c r="F44" s="199"/>
    </row>
    <row r="45" s="219" customFormat="1" ht="16.8" spans="1:6">
      <c r="A45" s="194"/>
      <c r="B45" s="228" t="s">
        <v>45</v>
      </c>
      <c r="C45" s="192">
        <v>1</v>
      </c>
      <c r="D45" s="229">
        <v>70000</v>
      </c>
      <c r="E45" s="91">
        <f t="shared" si="4"/>
        <v>70000</v>
      </c>
      <c r="F45" s="199"/>
    </row>
    <row r="46" s="219" customFormat="1" ht="16.8" spans="1:6">
      <c r="A46" s="194"/>
      <c r="B46" s="228" t="s">
        <v>46</v>
      </c>
      <c r="C46" s="192">
        <v>1</v>
      </c>
      <c r="D46" s="229">
        <v>100000</v>
      </c>
      <c r="E46" s="91">
        <f t="shared" si="4"/>
        <v>100000</v>
      </c>
      <c r="F46" s="199"/>
    </row>
    <row r="47" s="219" customFormat="1" ht="16.8" spans="1:6">
      <c r="A47" s="194"/>
      <c r="B47" s="228" t="s">
        <v>47</v>
      </c>
      <c r="C47" s="192">
        <v>3</v>
      </c>
      <c r="D47" s="229">
        <v>45000</v>
      </c>
      <c r="E47" s="91">
        <f t="shared" si="4"/>
        <v>135000</v>
      </c>
      <c r="F47" s="199"/>
    </row>
    <row r="48" s="219" customFormat="1" ht="16.8" spans="1:6">
      <c r="A48" s="194"/>
      <c r="B48" s="228" t="s">
        <v>48</v>
      </c>
      <c r="C48" s="192">
        <v>1</v>
      </c>
      <c r="D48" s="229">
        <v>230000</v>
      </c>
      <c r="E48" s="91">
        <f t="shared" si="4"/>
        <v>230000</v>
      </c>
      <c r="F48" s="199"/>
    </row>
    <row r="49" s="219" customFormat="1" ht="16.8" spans="1:6">
      <c r="A49" s="194"/>
      <c r="B49" s="228" t="s">
        <v>49</v>
      </c>
      <c r="C49" s="192">
        <v>1</v>
      </c>
      <c r="D49" s="229">
        <v>275000</v>
      </c>
      <c r="E49" s="91">
        <f t="shared" si="4"/>
        <v>275000</v>
      </c>
      <c r="F49" s="199"/>
    </row>
    <row r="50" s="219" customFormat="1" ht="16.8" spans="1:6">
      <c r="A50" s="194"/>
      <c r="B50" s="228" t="s">
        <v>50</v>
      </c>
      <c r="C50" s="192">
        <v>2</v>
      </c>
      <c r="D50" s="229">
        <v>90000</v>
      </c>
      <c r="E50" s="91">
        <f t="shared" si="4"/>
        <v>180000</v>
      </c>
      <c r="F50" s="199"/>
    </row>
    <row r="51" s="219" customFormat="1" ht="16.8" spans="1:6">
      <c r="A51" s="194"/>
      <c r="B51" s="228" t="s">
        <v>20</v>
      </c>
      <c r="C51" s="192">
        <v>2</v>
      </c>
      <c r="D51" s="229">
        <v>22000</v>
      </c>
      <c r="E51" s="91">
        <f t="shared" si="4"/>
        <v>44000</v>
      </c>
      <c r="F51" s="199"/>
    </row>
    <row r="52" s="219" customFormat="1" ht="16.8" spans="1:6">
      <c r="A52" s="194"/>
      <c r="B52" s="228" t="s">
        <v>51</v>
      </c>
      <c r="C52" s="192">
        <v>2</v>
      </c>
      <c r="D52" s="229">
        <v>170000</v>
      </c>
      <c r="E52" s="91">
        <f t="shared" si="4"/>
        <v>340000</v>
      </c>
      <c r="F52" s="199"/>
    </row>
    <row r="53" s="219" customFormat="1" ht="16.8" spans="1:6">
      <c r="A53" s="194"/>
      <c r="B53" s="228" t="s">
        <v>52</v>
      </c>
      <c r="C53" s="192">
        <v>2</v>
      </c>
      <c r="D53" s="229">
        <v>30000</v>
      </c>
      <c r="E53" s="91">
        <f t="shared" si="4"/>
        <v>60000</v>
      </c>
      <c r="F53" s="199"/>
    </row>
    <row r="54" s="219" customFormat="1" ht="16.8" spans="1:6">
      <c r="A54" s="194"/>
      <c r="B54" s="228" t="s">
        <v>53</v>
      </c>
      <c r="C54" s="192">
        <v>2</v>
      </c>
      <c r="D54" s="229">
        <v>20000</v>
      </c>
      <c r="E54" s="91">
        <f t="shared" si="4"/>
        <v>40000</v>
      </c>
      <c r="F54" s="199"/>
    </row>
    <row r="55" s="219" customFormat="1" ht="16.8" spans="1:6">
      <c r="A55" s="194"/>
      <c r="B55" s="228" t="s">
        <v>54</v>
      </c>
      <c r="C55" s="192">
        <v>2</v>
      </c>
      <c r="D55" s="229">
        <v>75000</v>
      </c>
      <c r="E55" s="91">
        <f t="shared" si="4"/>
        <v>150000</v>
      </c>
      <c r="F55" s="199"/>
    </row>
    <row r="56" s="219" customFormat="1" ht="16.8" spans="1:6">
      <c r="A56" s="194"/>
      <c r="B56" s="228" t="s">
        <v>55</v>
      </c>
      <c r="C56" s="192">
        <v>2</v>
      </c>
      <c r="D56" s="229">
        <v>30000</v>
      </c>
      <c r="E56" s="91">
        <f t="shared" si="4"/>
        <v>60000</v>
      </c>
      <c r="F56" s="199"/>
    </row>
    <row r="57" s="219" customFormat="1" ht="16.8" spans="1:6">
      <c r="A57" s="195"/>
      <c r="B57" s="228" t="s">
        <v>56</v>
      </c>
      <c r="C57" s="192">
        <v>3</v>
      </c>
      <c r="D57" s="229">
        <v>30000</v>
      </c>
      <c r="E57" s="91">
        <f t="shared" si="4"/>
        <v>90000</v>
      </c>
      <c r="F57" s="200"/>
    </row>
    <row r="58" s="219" customFormat="1" ht="16.8" spans="1:6">
      <c r="A58" s="193">
        <v>46027</v>
      </c>
      <c r="B58" s="228" t="s">
        <v>57</v>
      </c>
      <c r="C58" s="192">
        <v>1</v>
      </c>
      <c r="D58" s="229">
        <v>30000</v>
      </c>
      <c r="E58" s="91">
        <f t="shared" ref="E58:E76" si="5">D58*C58</f>
        <v>30000</v>
      </c>
      <c r="F58" s="198">
        <f>SUM(E58:E76)</f>
        <v>2521000</v>
      </c>
    </row>
    <row r="59" s="219" customFormat="1" ht="16.8" spans="1:6">
      <c r="A59" s="194"/>
      <c r="B59" s="228" t="s">
        <v>58</v>
      </c>
      <c r="C59" s="192">
        <v>5</v>
      </c>
      <c r="D59" s="229">
        <v>15000</v>
      </c>
      <c r="E59" s="91">
        <f t="shared" si="5"/>
        <v>75000</v>
      </c>
      <c r="F59" s="199"/>
    </row>
    <row r="60" s="219" customFormat="1" ht="16.8" spans="1:6">
      <c r="A60" s="194"/>
      <c r="B60" s="228" t="s">
        <v>59</v>
      </c>
      <c r="C60" s="192">
        <v>1</v>
      </c>
      <c r="D60" s="229">
        <v>210000</v>
      </c>
      <c r="E60" s="91">
        <f t="shared" si="5"/>
        <v>210000</v>
      </c>
      <c r="F60" s="199"/>
    </row>
    <row r="61" s="219" customFormat="1" ht="16.8" spans="1:6">
      <c r="A61" s="194"/>
      <c r="B61" s="228" t="s">
        <v>60</v>
      </c>
      <c r="C61" s="192">
        <v>2</v>
      </c>
      <c r="D61" s="229">
        <v>70000</v>
      </c>
      <c r="E61" s="91">
        <f t="shared" si="5"/>
        <v>140000</v>
      </c>
      <c r="F61" s="199"/>
    </row>
    <row r="62" s="219" customFormat="1" ht="16.8" spans="1:6">
      <c r="A62" s="194"/>
      <c r="B62" s="228" t="s">
        <v>61</v>
      </c>
      <c r="C62" s="192">
        <v>2</v>
      </c>
      <c r="D62" s="229">
        <v>20000</v>
      </c>
      <c r="E62" s="91">
        <f t="shared" si="5"/>
        <v>40000</v>
      </c>
      <c r="F62" s="199"/>
    </row>
    <row r="63" s="219" customFormat="1" ht="16.8" spans="1:6">
      <c r="A63" s="194"/>
      <c r="B63" s="228" t="s">
        <v>7</v>
      </c>
      <c r="C63" s="192">
        <v>3</v>
      </c>
      <c r="D63" s="229">
        <v>40000</v>
      </c>
      <c r="E63" s="91">
        <f t="shared" si="5"/>
        <v>120000</v>
      </c>
      <c r="F63" s="199"/>
    </row>
    <row r="64" s="219" customFormat="1" ht="16.8" spans="1:6">
      <c r="A64" s="194"/>
      <c r="B64" s="228" t="s">
        <v>62</v>
      </c>
      <c r="C64" s="192">
        <v>1</v>
      </c>
      <c r="D64" s="229">
        <v>360000</v>
      </c>
      <c r="E64" s="91">
        <f t="shared" si="5"/>
        <v>360000</v>
      </c>
      <c r="F64" s="199"/>
    </row>
    <row r="65" s="219" customFormat="1" ht="16.8" spans="1:6">
      <c r="A65" s="194"/>
      <c r="B65" s="228" t="s">
        <v>63</v>
      </c>
      <c r="C65" s="192">
        <v>2</v>
      </c>
      <c r="D65" s="229">
        <v>170000</v>
      </c>
      <c r="E65" s="91">
        <f t="shared" si="5"/>
        <v>340000</v>
      </c>
      <c r="F65" s="199"/>
    </row>
    <row r="66" s="219" customFormat="1" ht="16.8" spans="1:6">
      <c r="A66" s="194"/>
      <c r="B66" s="228" t="s">
        <v>19</v>
      </c>
      <c r="C66" s="192">
        <v>3</v>
      </c>
      <c r="D66" s="229">
        <v>90000</v>
      </c>
      <c r="E66" s="91">
        <f t="shared" si="5"/>
        <v>270000</v>
      </c>
      <c r="F66" s="199"/>
    </row>
    <row r="67" s="219" customFormat="1" ht="16.8" spans="1:6">
      <c r="A67" s="194"/>
      <c r="B67" s="228" t="s">
        <v>20</v>
      </c>
      <c r="C67" s="192">
        <v>3</v>
      </c>
      <c r="D67" s="229">
        <v>22000</v>
      </c>
      <c r="E67" s="91">
        <f t="shared" si="5"/>
        <v>66000</v>
      </c>
      <c r="F67" s="199"/>
    </row>
    <row r="68" s="219" customFormat="1" ht="16.8" spans="1:6">
      <c r="A68" s="194"/>
      <c r="B68" s="228" t="s">
        <v>17</v>
      </c>
      <c r="C68" s="192">
        <v>0.5</v>
      </c>
      <c r="D68" s="229">
        <v>60000</v>
      </c>
      <c r="E68" s="91">
        <f t="shared" si="5"/>
        <v>30000</v>
      </c>
      <c r="F68" s="199"/>
    </row>
    <row r="69" s="219" customFormat="1" ht="16.8" spans="1:6">
      <c r="A69" s="194"/>
      <c r="B69" s="228" t="s">
        <v>64</v>
      </c>
      <c r="C69" s="192">
        <v>2</v>
      </c>
      <c r="D69" s="229">
        <v>15000</v>
      </c>
      <c r="E69" s="91">
        <f t="shared" si="5"/>
        <v>30000</v>
      </c>
      <c r="F69" s="199"/>
    </row>
    <row r="70" s="219" customFormat="1" ht="16.8" spans="1:6">
      <c r="A70" s="194"/>
      <c r="B70" s="228" t="s">
        <v>65</v>
      </c>
      <c r="C70" s="192">
        <v>2</v>
      </c>
      <c r="D70" s="229">
        <v>30000</v>
      </c>
      <c r="E70" s="91">
        <f t="shared" si="5"/>
        <v>60000</v>
      </c>
      <c r="F70" s="199"/>
    </row>
    <row r="71" s="219" customFormat="1" ht="16.8" spans="1:6">
      <c r="A71" s="194"/>
      <c r="B71" s="228" t="s">
        <v>66</v>
      </c>
      <c r="C71" s="192">
        <v>1</v>
      </c>
      <c r="D71" s="229">
        <v>50000</v>
      </c>
      <c r="E71" s="91">
        <f t="shared" si="5"/>
        <v>50000</v>
      </c>
      <c r="F71" s="199"/>
    </row>
    <row r="72" s="219" customFormat="1" ht="16.8" spans="1:6">
      <c r="A72" s="194"/>
      <c r="B72" s="228" t="s">
        <v>24</v>
      </c>
      <c r="C72" s="192">
        <v>4</v>
      </c>
      <c r="D72" s="229">
        <v>35000</v>
      </c>
      <c r="E72" s="91">
        <f t="shared" si="5"/>
        <v>140000</v>
      </c>
      <c r="F72" s="199"/>
    </row>
    <row r="73" s="219" customFormat="1" ht="16.8" spans="1:6">
      <c r="A73" s="194"/>
      <c r="B73" s="228" t="s">
        <v>67</v>
      </c>
      <c r="C73" s="192">
        <v>2</v>
      </c>
      <c r="D73" s="229">
        <v>70000</v>
      </c>
      <c r="E73" s="91">
        <f t="shared" si="5"/>
        <v>140000</v>
      </c>
      <c r="F73" s="199"/>
    </row>
    <row r="74" s="219" customFormat="1" ht="16.8" spans="1:6">
      <c r="A74" s="194"/>
      <c r="B74" s="228" t="s">
        <v>18</v>
      </c>
      <c r="C74" s="192">
        <v>2</v>
      </c>
      <c r="D74" s="229">
        <v>170000</v>
      </c>
      <c r="E74" s="91">
        <f t="shared" si="5"/>
        <v>340000</v>
      </c>
      <c r="F74" s="199"/>
    </row>
    <row r="75" s="219" customFormat="1" ht="16.8" spans="1:6">
      <c r="A75" s="194"/>
      <c r="B75" s="228" t="s">
        <v>68</v>
      </c>
      <c r="C75" s="192">
        <v>1</v>
      </c>
      <c r="D75" s="229">
        <v>50000</v>
      </c>
      <c r="E75" s="91">
        <f t="shared" si="5"/>
        <v>50000</v>
      </c>
      <c r="F75" s="199"/>
    </row>
    <row r="76" s="219" customFormat="1" ht="16.8" spans="1:6">
      <c r="A76" s="195"/>
      <c r="B76" s="228" t="s">
        <v>33</v>
      </c>
      <c r="C76" s="192">
        <v>2</v>
      </c>
      <c r="D76" s="229">
        <v>15000</v>
      </c>
      <c r="E76" s="91">
        <f t="shared" si="5"/>
        <v>30000</v>
      </c>
      <c r="F76" s="200"/>
    </row>
    <row r="77" s="219" customFormat="1" ht="16.8" spans="1:6">
      <c r="A77" s="193">
        <v>46028</v>
      </c>
      <c r="B77" s="228" t="s">
        <v>69</v>
      </c>
      <c r="C77" s="192">
        <v>5</v>
      </c>
      <c r="D77" s="229">
        <v>58000</v>
      </c>
      <c r="E77" s="91">
        <f t="shared" ref="E77:E94" si="6">D77*C77</f>
        <v>290000</v>
      </c>
      <c r="F77" s="198">
        <f>SUM(E77:E94)</f>
        <v>2498000</v>
      </c>
    </row>
    <row r="78" s="219" customFormat="1" ht="16.8" spans="1:6">
      <c r="A78" s="194"/>
      <c r="B78" s="228" t="s">
        <v>70</v>
      </c>
      <c r="C78" s="192">
        <v>2</v>
      </c>
      <c r="D78" s="229">
        <v>30000</v>
      </c>
      <c r="E78" s="91">
        <f t="shared" si="6"/>
        <v>60000</v>
      </c>
      <c r="F78" s="199"/>
    </row>
    <row r="79" s="219" customFormat="1" ht="16.8" spans="1:6">
      <c r="A79" s="194"/>
      <c r="B79" s="228" t="s">
        <v>71</v>
      </c>
      <c r="C79" s="192">
        <v>1</v>
      </c>
      <c r="D79" s="229">
        <v>100000</v>
      </c>
      <c r="E79" s="91">
        <f t="shared" si="6"/>
        <v>100000</v>
      </c>
      <c r="F79" s="199"/>
    </row>
    <row r="80" s="219" customFormat="1" ht="16.8" spans="1:6">
      <c r="A80" s="194"/>
      <c r="B80" s="228" t="s">
        <v>24</v>
      </c>
      <c r="C80" s="192">
        <v>10</v>
      </c>
      <c r="D80" s="229">
        <v>35000</v>
      </c>
      <c r="E80" s="91">
        <f t="shared" si="6"/>
        <v>350000</v>
      </c>
      <c r="F80" s="199"/>
    </row>
    <row r="81" s="219" customFormat="1" ht="16.8" spans="1:6">
      <c r="A81" s="194"/>
      <c r="B81" s="228" t="s">
        <v>72</v>
      </c>
      <c r="C81" s="192">
        <v>2</v>
      </c>
      <c r="D81" s="229">
        <v>120000</v>
      </c>
      <c r="E81" s="91">
        <f t="shared" si="6"/>
        <v>240000</v>
      </c>
      <c r="F81" s="199"/>
    </row>
    <row r="82" s="219" customFormat="1" ht="16.8" spans="1:6">
      <c r="A82" s="194"/>
      <c r="B82" s="228" t="s">
        <v>73</v>
      </c>
      <c r="C82" s="192">
        <v>2</v>
      </c>
      <c r="D82" s="229">
        <v>20000</v>
      </c>
      <c r="E82" s="91">
        <f t="shared" si="6"/>
        <v>40000</v>
      </c>
      <c r="F82" s="199"/>
    </row>
    <row r="83" s="219" customFormat="1" ht="16.8" spans="1:6">
      <c r="A83" s="194"/>
      <c r="B83" s="228" t="s">
        <v>74</v>
      </c>
      <c r="C83" s="192">
        <v>3</v>
      </c>
      <c r="D83" s="229">
        <v>45000</v>
      </c>
      <c r="E83" s="91">
        <f t="shared" si="6"/>
        <v>135000</v>
      </c>
      <c r="F83" s="199"/>
    </row>
    <row r="84" s="219" customFormat="1" ht="16.8" spans="1:6">
      <c r="A84" s="194"/>
      <c r="B84" s="228" t="s">
        <v>17</v>
      </c>
      <c r="C84" s="192">
        <v>0.3</v>
      </c>
      <c r="D84" s="229">
        <v>80000</v>
      </c>
      <c r="E84" s="91">
        <f t="shared" si="6"/>
        <v>24000</v>
      </c>
      <c r="F84" s="199"/>
    </row>
    <row r="85" s="219" customFormat="1" ht="16.8" spans="1:6">
      <c r="A85" s="194"/>
      <c r="B85" s="228" t="s">
        <v>23</v>
      </c>
      <c r="C85" s="192">
        <v>1</v>
      </c>
      <c r="D85" s="229">
        <v>220000</v>
      </c>
      <c r="E85" s="91">
        <f t="shared" si="6"/>
        <v>220000</v>
      </c>
      <c r="F85" s="199"/>
    </row>
    <row r="86" s="219" customFormat="1" ht="16.8" spans="1:6">
      <c r="A86" s="194"/>
      <c r="B86" s="228" t="s">
        <v>27</v>
      </c>
      <c r="C86" s="192">
        <v>1</v>
      </c>
      <c r="D86" s="229">
        <v>330000</v>
      </c>
      <c r="E86" s="91">
        <f t="shared" si="6"/>
        <v>330000</v>
      </c>
      <c r="F86" s="199"/>
    </row>
    <row r="87" s="219" customFormat="1" ht="16.8" spans="1:6">
      <c r="A87" s="194"/>
      <c r="B87" s="228" t="s">
        <v>20</v>
      </c>
      <c r="C87" s="192">
        <v>2</v>
      </c>
      <c r="D87" s="229">
        <v>22000</v>
      </c>
      <c r="E87" s="91">
        <f t="shared" si="6"/>
        <v>44000</v>
      </c>
      <c r="F87" s="199"/>
    </row>
    <row r="88" s="219" customFormat="1" ht="16.8" spans="1:6">
      <c r="A88" s="194"/>
      <c r="B88" s="228" t="s">
        <v>19</v>
      </c>
      <c r="C88" s="192">
        <v>2</v>
      </c>
      <c r="D88" s="229">
        <v>90000</v>
      </c>
      <c r="E88" s="91">
        <f t="shared" si="6"/>
        <v>180000</v>
      </c>
      <c r="F88" s="199"/>
    </row>
    <row r="89" s="219" customFormat="1" ht="16.8" spans="1:6">
      <c r="A89" s="194"/>
      <c r="B89" s="228" t="s">
        <v>75</v>
      </c>
      <c r="C89" s="192">
        <v>1</v>
      </c>
      <c r="D89" s="229">
        <v>270000</v>
      </c>
      <c r="E89" s="91">
        <f t="shared" si="6"/>
        <v>270000</v>
      </c>
      <c r="F89" s="199"/>
    </row>
    <row r="90" s="219" customFormat="1" ht="16.8" spans="1:6">
      <c r="A90" s="194"/>
      <c r="B90" s="228" t="s">
        <v>76</v>
      </c>
      <c r="C90" s="192">
        <v>5</v>
      </c>
      <c r="D90" s="229">
        <v>20000</v>
      </c>
      <c r="E90" s="91">
        <f t="shared" si="6"/>
        <v>100000</v>
      </c>
      <c r="F90" s="199"/>
    </row>
    <row r="91" s="219" customFormat="1" ht="16.8" spans="1:6">
      <c r="A91" s="194"/>
      <c r="B91" s="228" t="s">
        <v>77</v>
      </c>
      <c r="C91" s="192">
        <v>5</v>
      </c>
      <c r="D91" s="229">
        <v>5000</v>
      </c>
      <c r="E91" s="91">
        <f t="shared" si="6"/>
        <v>25000</v>
      </c>
      <c r="F91" s="199"/>
    </row>
    <row r="92" s="219" customFormat="1" ht="16.8" spans="1:6">
      <c r="A92" s="194"/>
      <c r="B92" s="228" t="s">
        <v>78</v>
      </c>
      <c r="C92" s="192">
        <v>5</v>
      </c>
      <c r="D92" s="229">
        <v>5000</v>
      </c>
      <c r="E92" s="91">
        <f t="shared" si="6"/>
        <v>25000</v>
      </c>
      <c r="F92" s="199"/>
    </row>
    <row r="93" s="219" customFormat="1" ht="16.8" spans="1:6">
      <c r="A93" s="194"/>
      <c r="B93" s="228" t="s">
        <v>79</v>
      </c>
      <c r="C93" s="192">
        <v>2</v>
      </c>
      <c r="D93" s="229">
        <v>25000</v>
      </c>
      <c r="E93" s="91">
        <f t="shared" si="6"/>
        <v>50000</v>
      </c>
      <c r="F93" s="199"/>
    </row>
    <row r="94" s="219" customFormat="1" ht="16.8" spans="1:6">
      <c r="A94" s="195"/>
      <c r="B94" s="228" t="s">
        <v>80</v>
      </c>
      <c r="C94" s="192">
        <v>3</v>
      </c>
      <c r="D94" s="229">
        <v>5000</v>
      </c>
      <c r="E94" s="91">
        <f t="shared" si="6"/>
        <v>15000</v>
      </c>
      <c r="F94" s="200"/>
    </row>
    <row r="95" s="219" customFormat="1" spans="1:6">
      <c r="A95" s="233">
        <v>46029</v>
      </c>
      <c r="B95" s="228" t="s">
        <v>49</v>
      </c>
      <c r="C95" s="192">
        <v>1</v>
      </c>
      <c r="D95" s="229">
        <v>275000</v>
      </c>
      <c r="E95" s="91">
        <f t="shared" ref="E95:E106" si="7">D95*C95</f>
        <v>275000</v>
      </c>
      <c r="F95" s="236">
        <f>SUM(E95:E106)</f>
        <v>1765000</v>
      </c>
    </row>
    <row r="96" s="219" customFormat="1" spans="1:6">
      <c r="A96" s="234"/>
      <c r="B96" s="228" t="s">
        <v>20</v>
      </c>
      <c r="C96" s="192">
        <v>2</v>
      </c>
      <c r="D96" s="229">
        <v>22000</v>
      </c>
      <c r="E96" s="91">
        <f t="shared" si="7"/>
        <v>44000</v>
      </c>
      <c r="F96" s="237"/>
    </row>
    <row r="97" s="219" customFormat="1" spans="1:6">
      <c r="A97" s="234"/>
      <c r="B97" s="228" t="s">
        <v>38</v>
      </c>
      <c r="C97" s="192">
        <v>1</v>
      </c>
      <c r="D97" s="229">
        <v>70000</v>
      </c>
      <c r="E97" s="91">
        <f t="shared" si="7"/>
        <v>70000</v>
      </c>
      <c r="F97" s="237"/>
    </row>
    <row r="98" s="219" customFormat="1" spans="1:6">
      <c r="A98" s="234"/>
      <c r="B98" s="228" t="s">
        <v>79</v>
      </c>
      <c r="C98" s="192">
        <v>2</v>
      </c>
      <c r="D98" s="229">
        <v>25000</v>
      </c>
      <c r="E98" s="91">
        <f t="shared" si="7"/>
        <v>50000</v>
      </c>
      <c r="F98" s="237"/>
    </row>
    <row r="99" s="219" customFormat="1" spans="1:6">
      <c r="A99" s="234"/>
      <c r="B99" s="228" t="s">
        <v>27</v>
      </c>
      <c r="C99" s="192">
        <v>1</v>
      </c>
      <c r="D99" s="229">
        <v>330000</v>
      </c>
      <c r="E99" s="91">
        <f t="shared" si="7"/>
        <v>330000</v>
      </c>
      <c r="F99" s="237"/>
    </row>
    <row r="100" s="219" customFormat="1" spans="1:6">
      <c r="A100" s="234"/>
      <c r="B100" s="228" t="s">
        <v>11</v>
      </c>
      <c r="C100" s="192">
        <v>1</v>
      </c>
      <c r="D100" s="229">
        <v>230000</v>
      </c>
      <c r="E100" s="91">
        <f t="shared" si="7"/>
        <v>230000</v>
      </c>
      <c r="F100" s="237"/>
    </row>
    <row r="101" s="219" customFormat="1" spans="1:6">
      <c r="A101" s="234"/>
      <c r="B101" s="228" t="s">
        <v>81</v>
      </c>
      <c r="C101" s="192">
        <v>2</v>
      </c>
      <c r="D101" s="229">
        <v>15000</v>
      </c>
      <c r="E101" s="91">
        <f t="shared" si="7"/>
        <v>30000</v>
      </c>
      <c r="F101" s="237"/>
    </row>
    <row r="102" s="219" customFormat="1" spans="1:6">
      <c r="A102" s="234"/>
      <c r="B102" s="228" t="s">
        <v>24</v>
      </c>
      <c r="C102" s="192">
        <v>2</v>
      </c>
      <c r="D102" s="229">
        <v>120000</v>
      </c>
      <c r="E102" s="91">
        <f t="shared" si="7"/>
        <v>240000</v>
      </c>
      <c r="F102" s="237"/>
    </row>
    <row r="103" s="219" customFormat="1" spans="1:6">
      <c r="A103" s="234"/>
      <c r="B103" s="228" t="s">
        <v>62</v>
      </c>
      <c r="C103" s="192">
        <v>1</v>
      </c>
      <c r="D103" s="229">
        <v>360000</v>
      </c>
      <c r="E103" s="91">
        <f t="shared" si="7"/>
        <v>360000</v>
      </c>
      <c r="F103" s="237"/>
    </row>
    <row r="104" s="219" customFormat="1" spans="1:6">
      <c r="A104" s="234"/>
      <c r="B104" s="228" t="s">
        <v>82</v>
      </c>
      <c r="C104" s="192">
        <v>2</v>
      </c>
      <c r="D104" s="229">
        <v>20000</v>
      </c>
      <c r="E104" s="91">
        <f t="shared" si="7"/>
        <v>40000</v>
      </c>
      <c r="F104" s="237"/>
    </row>
    <row r="105" s="219" customFormat="1" spans="1:6">
      <c r="A105" s="234"/>
      <c r="B105" s="228" t="s">
        <v>83</v>
      </c>
      <c r="C105" s="192">
        <v>1.2</v>
      </c>
      <c r="D105" s="229">
        <v>40000</v>
      </c>
      <c r="E105" s="91">
        <f t="shared" si="7"/>
        <v>48000</v>
      </c>
      <c r="F105" s="237"/>
    </row>
    <row r="106" s="219" customFormat="1" ht="16.8" spans="1:6">
      <c r="A106" s="235"/>
      <c r="B106" s="228" t="s">
        <v>84</v>
      </c>
      <c r="C106" s="192">
        <v>1</v>
      </c>
      <c r="D106" s="229">
        <v>48000</v>
      </c>
      <c r="E106" s="91">
        <f t="shared" si="7"/>
        <v>48000</v>
      </c>
      <c r="F106" s="238"/>
    </row>
    <row r="107" s="219" customFormat="1" spans="1:6">
      <c r="A107" s="233">
        <v>46030</v>
      </c>
      <c r="B107" s="228" t="s">
        <v>19</v>
      </c>
      <c r="C107" s="192">
        <v>7</v>
      </c>
      <c r="D107" s="229">
        <v>90000</v>
      </c>
      <c r="E107" s="91">
        <f t="shared" ref="E107:E127" si="8">D107*C107</f>
        <v>630000</v>
      </c>
      <c r="F107" s="236">
        <f>SUM(E107:E127)</f>
        <v>1783000</v>
      </c>
    </row>
    <row r="108" s="219" customFormat="1" spans="1:6">
      <c r="A108" s="234"/>
      <c r="B108" s="228" t="s">
        <v>20</v>
      </c>
      <c r="C108" s="192">
        <v>2</v>
      </c>
      <c r="D108" s="229">
        <v>22000</v>
      </c>
      <c r="E108" s="91">
        <f t="shared" si="8"/>
        <v>44000</v>
      </c>
      <c r="F108" s="237"/>
    </row>
    <row r="109" s="219" customFormat="1" spans="1:6">
      <c r="A109" s="234"/>
      <c r="B109" s="228" t="s">
        <v>15</v>
      </c>
      <c r="C109" s="192">
        <v>2</v>
      </c>
      <c r="D109" s="229">
        <v>170000</v>
      </c>
      <c r="E109" s="91">
        <f t="shared" si="8"/>
        <v>340000</v>
      </c>
      <c r="F109" s="237"/>
    </row>
    <row r="110" s="219" customFormat="1" spans="1:6">
      <c r="A110" s="234"/>
      <c r="B110" s="228" t="s">
        <v>42</v>
      </c>
      <c r="C110" s="192">
        <v>0.05</v>
      </c>
      <c r="D110" s="229">
        <v>70000</v>
      </c>
      <c r="E110" s="91">
        <v>4000</v>
      </c>
      <c r="F110" s="237"/>
    </row>
    <row r="111" s="219" customFormat="1" spans="1:6">
      <c r="A111" s="234"/>
      <c r="B111" s="228" t="s">
        <v>29</v>
      </c>
      <c r="C111" s="192">
        <v>0.1</v>
      </c>
      <c r="D111" s="229">
        <v>60000</v>
      </c>
      <c r="E111" s="91">
        <f t="shared" si="8"/>
        <v>6000</v>
      </c>
      <c r="F111" s="237"/>
    </row>
    <row r="112" s="219" customFormat="1" spans="1:6">
      <c r="A112" s="234"/>
      <c r="B112" s="228" t="s">
        <v>85</v>
      </c>
      <c r="C112" s="192">
        <v>1</v>
      </c>
      <c r="D112" s="229">
        <v>60000</v>
      </c>
      <c r="E112" s="91">
        <f t="shared" si="8"/>
        <v>60000</v>
      </c>
      <c r="F112" s="237"/>
    </row>
    <row r="113" s="219" customFormat="1" spans="1:6">
      <c r="A113" s="234"/>
      <c r="B113" s="228" t="s">
        <v>86</v>
      </c>
      <c r="C113" s="192">
        <v>0.5</v>
      </c>
      <c r="D113" s="229">
        <v>60000</v>
      </c>
      <c r="E113" s="91">
        <f t="shared" si="8"/>
        <v>30000</v>
      </c>
      <c r="F113" s="237"/>
    </row>
    <row r="114" s="219" customFormat="1" spans="1:6">
      <c r="A114" s="234"/>
      <c r="B114" s="228" t="s">
        <v>87</v>
      </c>
      <c r="C114" s="192">
        <v>0.5</v>
      </c>
      <c r="D114" s="229">
        <v>70000</v>
      </c>
      <c r="E114" s="91">
        <f t="shared" si="8"/>
        <v>35000</v>
      </c>
      <c r="F114" s="237"/>
    </row>
    <row r="115" s="219" customFormat="1" spans="1:6">
      <c r="A115" s="234"/>
      <c r="B115" s="228" t="s">
        <v>88</v>
      </c>
      <c r="C115" s="192">
        <v>1</v>
      </c>
      <c r="D115" s="229">
        <v>15000</v>
      </c>
      <c r="E115" s="91">
        <f t="shared" si="8"/>
        <v>15000</v>
      </c>
      <c r="F115" s="237"/>
    </row>
    <row r="116" s="219" customFormat="1" spans="1:6">
      <c r="A116" s="234"/>
      <c r="B116" s="228" t="s">
        <v>44</v>
      </c>
      <c r="C116" s="192">
        <v>1.24</v>
      </c>
      <c r="D116" s="229">
        <v>25000</v>
      </c>
      <c r="E116" s="91">
        <f t="shared" si="8"/>
        <v>31000</v>
      </c>
      <c r="F116" s="237"/>
    </row>
    <row r="117" s="219" customFormat="1" spans="1:6">
      <c r="A117" s="234"/>
      <c r="B117" s="228" t="s">
        <v>89</v>
      </c>
      <c r="C117" s="192">
        <v>0.2</v>
      </c>
      <c r="D117" s="229">
        <v>50000</v>
      </c>
      <c r="E117" s="91">
        <f t="shared" si="8"/>
        <v>10000</v>
      </c>
      <c r="F117" s="237"/>
    </row>
    <row r="118" s="219" customFormat="1" spans="1:6">
      <c r="A118" s="234"/>
      <c r="B118" s="228" t="s">
        <v>90</v>
      </c>
      <c r="C118" s="192">
        <v>0.2</v>
      </c>
      <c r="D118" s="229">
        <v>70000</v>
      </c>
      <c r="E118" s="91">
        <f t="shared" si="8"/>
        <v>14000</v>
      </c>
      <c r="F118" s="237"/>
    </row>
    <row r="119" s="219" customFormat="1" spans="1:6">
      <c r="A119" s="234"/>
      <c r="B119" s="228" t="s">
        <v>91</v>
      </c>
      <c r="C119" s="192">
        <v>0.2</v>
      </c>
      <c r="D119" s="229">
        <v>55000</v>
      </c>
      <c r="E119" s="91">
        <f t="shared" si="8"/>
        <v>11000</v>
      </c>
      <c r="F119" s="237"/>
    </row>
    <row r="120" s="219" customFormat="1" spans="1:6">
      <c r="A120" s="234"/>
      <c r="B120" s="228" t="s">
        <v>33</v>
      </c>
      <c r="C120" s="192">
        <v>1.5</v>
      </c>
      <c r="D120" s="229">
        <v>15000</v>
      </c>
      <c r="E120" s="91">
        <v>23000</v>
      </c>
      <c r="F120" s="237"/>
    </row>
    <row r="121" s="219" customFormat="1" spans="1:6">
      <c r="A121" s="234"/>
      <c r="B121" s="228" t="s">
        <v>92</v>
      </c>
      <c r="C121" s="192">
        <v>1</v>
      </c>
      <c r="D121" s="229">
        <v>70000</v>
      </c>
      <c r="E121" s="91">
        <f t="shared" si="8"/>
        <v>70000</v>
      </c>
      <c r="F121" s="237"/>
    </row>
    <row r="122" s="219" customFormat="1" spans="1:7">
      <c r="A122" s="234"/>
      <c r="B122" s="228" t="s">
        <v>40</v>
      </c>
      <c r="C122" s="192">
        <v>5</v>
      </c>
      <c r="D122" s="229">
        <v>25000</v>
      </c>
      <c r="E122" s="91">
        <f t="shared" si="8"/>
        <v>125000</v>
      </c>
      <c r="F122" s="237"/>
      <c r="G122" s="232"/>
    </row>
    <row r="123" s="219" customFormat="1" spans="1:7">
      <c r="A123" s="234"/>
      <c r="B123" s="228" t="s">
        <v>93</v>
      </c>
      <c r="C123" s="192">
        <v>5</v>
      </c>
      <c r="D123" s="229">
        <v>12000</v>
      </c>
      <c r="E123" s="91">
        <f t="shared" si="8"/>
        <v>60000</v>
      </c>
      <c r="F123" s="237"/>
      <c r="G123" s="232"/>
    </row>
    <row r="124" s="219" customFormat="1" spans="1:7">
      <c r="A124" s="234"/>
      <c r="B124" s="228" t="s">
        <v>41</v>
      </c>
      <c r="C124" s="192">
        <v>15</v>
      </c>
      <c r="D124" s="229">
        <v>2000</v>
      </c>
      <c r="E124" s="91">
        <f t="shared" si="8"/>
        <v>30000</v>
      </c>
      <c r="F124" s="237"/>
      <c r="G124" s="232"/>
    </row>
    <row r="125" s="219" customFormat="1" spans="1:7">
      <c r="A125" s="234"/>
      <c r="B125" s="228" t="s">
        <v>51</v>
      </c>
      <c r="C125" s="192">
        <v>1</v>
      </c>
      <c r="D125" s="229">
        <v>170000</v>
      </c>
      <c r="E125" s="91">
        <f t="shared" si="8"/>
        <v>170000</v>
      </c>
      <c r="F125" s="237"/>
      <c r="G125" s="232"/>
    </row>
    <row r="126" s="219" customFormat="1" spans="1:7">
      <c r="A126" s="234"/>
      <c r="B126" s="228" t="s">
        <v>30</v>
      </c>
      <c r="C126" s="192">
        <v>0.5</v>
      </c>
      <c r="D126" s="229">
        <v>70000</v>
      </c>
      <c r="E126" s="91">
        <f t="shared" si="8"/>
        <v>35000</v>
      </c>
      <c r="F126" s="237"/>
      <c r="G126" s="232"/>
    </row>
    <row r="127" s="219" customFormat="1" ht="16.8" spans="1:7">
      <c r="A127" s="235"/>
      <c r="B127" s="228" t="s">
        <v>31</v>
      </c>
      <c r="C127" s="192">
        <v>0.5</v>
      </c>
      <c r="D127" s="229">
        <v>80000</v>
      </c>
      <c r="E127" s="91">
        <f t="shared" si="8"/>
        <v>40000</v>
      </c>
      <c r="F127" s="238"/>
      <c r="G127" s="232"/>
    </row>
    <row r="128" s="219" customFormat="1" spans="1:7">
      <c r="A128" s="233">
        <v>46030</v>
      </c>
      <c r="B128" s="228" t="s">
        <v>34</v>
      </c>
      <c r="C128" s="192">
        <v>0.5</v>
      </c>
      <c r="D128" s="229">
        <v>60000</v>
      </c>
      <c r="E128" s="91">
        <f t="shared" ref="E128:E139" si="9">D128*C128</f>
        <v>30000</v>
      </c>
      <c r="F128" s="236">
        <f>SUM(E128:E139)</f>
        <v>429000</v>
      </c>
      <c r="G128" s="232"/>
    </row>
    <row r="129" s="219" customFormat="1" spans="1:7">
      <c r="A129" s="234"/>
      <c r="B129" s="228" t="s">
        <v>94</v>
      </c>
      <c r="C129" s="192">
        <v>0.5</v>
      </c>
      <c r="D129" s="229">
        <v>60000</v>
      </c>
      <c r="E129" s="91">
        <f t="shared" si="9"/>
        <v>30000</v>
      </c>
      <c r="F129" s="237"/>
      <c r="G129" s="232"/>
    </row>
    <row r="130" s="219" customFormat="1" spans="1:7">
      <c r="A130" s="234"/>
      <c r="B130" s="228" t="s">
        <v>95</v>
      </c>
      <c r="C130" s="192">
        <v>0.2</v>
      </c>
      <c r="D130" s="229">
        <v>80000</v>
      </c>
      <c r="E130" s="91">
        <f t="shared" si="9"/>
        <v>16000</v>
      </c>
      <c r="F130" s="237"/>
      <c r="G130" s="232"/>
    </row>
    <row r="131" s="219" customFormat="1" spans="1:7">
      <c r="A131" s="234"/>
      <c r="B131" s="228" t="s">
        <v>21</v>
      </c>
      <c r="C131" s="192">
        <v>0.3</v>
      </c>
      <c r="D131" s="229">
        <v>80000</v>
      </c>
      <c r="E131" s="91">
        <f t="shared" si="9"/>
        <v>24000</v>
      </c>
      <c r="F131" s="237"/>
      <c r="G131" s="232"/>
    </row>
    <row r="132" s="219" customFormat="1" spans="1:7">
      <c r="A132" s="234"/>
      <c r="B132" s="228" t="s">
        <v>96</v>
      </c>
      <c r="C132" s="192">
        <v>0.4</v>
      </c>
      <c r="D132" s="229">
        <v>40000</v>
      </c>
      <c r="E132" s="91">
        <f t="shared" si="9"/>
        <v>16000</v>
      </c>
      <c r="F132" s="237"/>
      <c r="G132" s="232"/>
    </row>
    <row r="133" s="219" customFormat="1" spans="1:7">
      <c r="A133" s="234"/>
      <c r="B133" s="228" t="s">
        <v>97</v>
      </c>
      <c r="C133" s="192">
        <v>0.3</v>
      </c>
      <c r="D133" s="229">
        <v>95000</v>
      </c>
      <c r="E133" s="91">
        <v>29000</v>
      </c>
      <c r="F133" s="237"/>
      <c r="G133" s="232"/>
    </row>
    <row r="134" s="219" customFormat="1" spans="1:7">
      <c r="A134" s="234"/>
      <c r="B134" s="228" t="s">
        <v>98</v>
      </c>
      <c r="C134" s="192">
        <v>1.12</v>
      </c>
      <c r="D134" s="229">
        <v>40000</v>
      </c>
      <c r="E134" s="91">
        <f t="shared" si="9"/>
        <v>44800</v>
      </c>
      <c r="F134" s="237"/>
      <c r="G134" s="232"/>
    </row>
    <row r="135" s="219" customFormat="1" spans="1:7">
      <c r="A135" s="234"/>
      <c r="B135" s="228" t="s">
        <v>83</v>
      </c>
      <c r="C135" s="192">
        <v>1.08</v>
      </c>
      <c r="D135" s="229">
        <v>40000</v>
      </c>
      <c r="E135" s="91">
        <f t="shared" si="9"/>
        <v>43200</v>
      </c>
      <c r="F135" s="237"/>
      <c r="G135" s="232"/>
    </row>
    <row r="136" s="219" customFormat="1" spans="1:7">
      <c r="A136" s="234"/>
      <c r="B136" s="228" t="s">
        <v>99</v>
      </c>
      <c r="C136" s="192">
        <v>4</v>
      </c>
      <c r="D136" s="229">
        <v>10000</v>
      </c>
      <c r="E136" s="91">
        <f t="shared" si="9"/>
        <v>40000</v>
      </c>
      <c r="F136" s="237"/>
      <c r="G136" s="232"/>
    </row>
    <row r="137" s="219" customFormat="1" spans="1:7">
      <c r="A137" s="234"/>
      <c r="B137" s="228" t="s">
        <v>35</v>
      </c>
      <c r="C137" s="192">
        <v>1</v>
      </c>
      <c r="D137" s="229">
        <v>70000</v>
      </c>
      <c r="E137" s="91">
        <f t="shared" si="9"/>
        <v>70000</v>
      </c>
      <c r="F137" s="237"/>
      <c r="G137" s="232"/>
    </row>
    <row r="138" s="219" customFormat="1" spans="1:7">
      <c r="A138" s="234"/>
      <c r="B138" s="228" t="s">
        <v>100</v>
      </c>
      <c r="C138" s="192">
        <v>1</v>
      </c>
      <c r="D138" s="229">
        <v>38000</v>
      </c>
      <c r="E138" s="91">
        <f t="shared" si="9"/>
        <v>38000</v>
      </c>
      <c r="F138" s="237"/>
      <c r="G138" s="232"/>
    </row>
    <row r="139" s="219" customFormat="1" ht="16.8" spans="1:7">
      <c r="A139" s="235"/>
      <c r="B139" s="228" t="s">
        <v>84</v>
      </c>
      <c r="C139" s="192">
        <v>1</v>
      </c>
      <c r="D139" s="229">
        <v>48000</v>
      </c>
      <c r="E139" s="91">
        <f t="shared" si="9"/>
        <v>48000</v>
      </c>
      <c r="F139" s="238"/>
      <c r="G139" s="232"/>
    </row>
    <row r="140" s="219" customFormat="1" spans="1:7">
      <c r="A140" s="233">
        <v>46031</v>
      </c>
      <c r="B140" s="228" t="s">
        <v>40</v>
      </c>
      <c r="C140" s="192">
        <v>10</v>
      </c>
      <c r="D140" s="229">
        <v>25000</v>
      </c>
      <c r="E140" s="91">
        <f t="shared" ref="E140:E161" si="10">D140*C140</f>
        <v>250000</v>
      </c>
      <c r="F140" s="236">
        <f>SUM(E140:E161)</f>
        <v>2078000</v>
      </c>
      <c r="G140" s="232"/>
    </row>
    <row r="141" s="219" customFormat="1" spans="1:7">
      <c r="A141" s="234"/>
      <c r="B141" s="228" t="s">
        <v>61</v>
      </c>
      <c r="C141" s="192">
        <v>2</v>
      </c>
      <c r="D141" s="229">
        <v>20000</v>
      </c>
      <c r="E141" s="91">
        <f t="shared" si="10"/>
        <v>40000</v>
      </c>
      <c r="F141" s="237"/>
      <c r="G141" s="232"/>
    </row>
    <row r="142" s="219" customFormat="1" spans="1:7">
      <c r="A142" s="234"/>
      <c r="B142" s="228" t="s">
        <v>101</v>
      </c>
      <c r="C142" s="192">
        <v>1</v>
      </c>
      <c r="D142" s="229">
        <v>160000</v>
      </c>
      <c r="E142" s="91">
        <f t="shared" si="10"/>
        <v>160000</v>
      </c>
      <c r="F142" s="237"/>
      <c r="G142" s="232"/>
    </row>
    <row r="143" s="219" customFormat="1" spans="1:7">
      <c r="A143" s="234"/>
      <c r="B143" s="228" t="s">
        <v>22</v>
      </c>
      <c r="C143" s="192">
        <v>1</v>
      </c>
      <c r="D143" s="229">
        <v>30000</v>
      </c>
      <c r="E143" s="91">
        <f t="shared" si="10"/>
        <v>30000</v>
      </c>
      <c r="F143" s="237"/>
      <c r="G143" s="232"/>
    </row>
    <row r="144" s="219" customFormat="1" spans="1:7">
      <c r="A144" s="234"/>
      <c r="B144" s="228" t="s">
        <v>12</v>
      </c>
      <c r="C144" s="192">
        <v>1</v>
      </c>
      <c r="D144" s="229">
        <v>400000</v>
      </c>
      <c r="E144" s="91">
        <f t="shared" si="10"/>
        <v>400000</v>
      </c>
      <c r="F144" s="237"/>
      <c r="G144" s="232"/>
    </row>
    <row r="145" s="219" customFormat="1" spans="1:7">
      <c r="A145" s="234"/>
      <c r="B145" s="228" t="s">
        <v>53</v>
      </c>
      <c r="C145" s="192">
        <v>2</v>
      </c>
      <c r="D145" s="229">
        <v>20000</v>
      </c>
      <c r="E145" s="91">
        <f t="shared" si="10"/>
        <v>40000</v>
      </c>
      <c r="F145" s="237"/>
      <c r="G145" s="232"/>
    </row>
    <row r="146" s="219" customFormat="1" spans="1:7">
      <c r="A146" s="234"/>
      <c r="B146" s="228" t="s">
        <v>102</v>
      </c>
      <c r="C146" s="192">
        <v>3</v>
      </c>
      <c r="D146" s="229">
        <v>30000</v>
      </c>
      <c r="E146" s="91">
        <f t="shared" si="10"/>
        <v>90000</v>
      </c>
      <c r="F146" s="237"/>
      <c r="G146" s="232"/>
    </row>
    <row r="147" s="219" customFormat="1" spans="1:7">
      <c r="A147" s="234"/>
      <c r="B147" s="228" t="s">
        <v>62</v>
      </c>
      <c r="C147" s="192">
        <v>1</v>
      </c>
      <c r="D147" s="229">
        <v>360000</v>
      </c>
      <c r="E147" s="91">
        <f t="shared" si="10"/>
        <v>360000</v>
      </c>
      <c r="F147" s="237"/>
      <c r="G147" s="232"/>
    </row>
    <row r="148" s="219" customFormat="1" ht="16.8" spans="1:6">
      <c r="A148" s="234"/>
      <c r="B148" s="228" t="s">
        <v>103</v>
      </c>
      <c r="C148" s="192">
        <v>2</v>
      </c>
      <c r="D148" s="229">
        <v>35000</v>
      </c>
      <c r="E148" s="91">
        <f t="shared" si="10"/>
        <v>70000</v>
      </c>
      <c r="F148" s="237"/>
    </row>
    <row r="149" s="219" customFormat="1" ht="16.8" spans="1:6">
      <c r="A149" s="234"/>
      <c r="B149" s="228" t="s">
        <v>104</v>
      </c>
      <c r="C149" s="192">
        <v>3</v>
      </c>
      <c r="D149" s="229">
        <v>25000</v>
      </c>
      <c r="E149" s="91">
        <f t="shared" si="10"/>
        <v>75000</v>
      </c>
      <c r="F149" s="237"/>
    </row>
    <row r="150" s="219" customFormat="1" ht="16.8" spans="1:6">
      <c r="A150" s="234"/>
      <c r="B150" s="228" t="s">
        <v>105</v>
      </c>
      <c r="C150" s="192">
        <v>2</v>
      </c>
      <c r="D150" s="229">
        <v>40000</v>
      </c>
      <c r="E150" s="91">
        <f t="shared" si="10"/>
        <v>80000</v>
      </c>
      <c r="F150" s="237"/>
    </row>
    <row r="151" s="219" customFormat="1" spans="1:6">
      <c r="A151" s="234"/>
      <c r="B151" s="228" t="s">
        <v>41</v>
      </c>
      <c r="C151" s="192">
        <v>30</v>
      </c>
      <c r="D151" s="229">
        <v>2000</v>
      </c>
      <c r="E151" s="91">
        <f t="shared" si="10"/>
        <v>60000</v>
      </c>
      <c r="F151" s="237"/>
    </row>
    <row r="152" s="219" customFormat="1" spans="1:6">
      <c r="A152" s="234"/>
      <c r="B152" s="228" t="s">
        <v>63</v>
      </c>
      <c r="C152" s="192">
        <v>1</v>
      </c>
      <c r="D152" s="229">
        <v>170000</v>
      </c>
      <c r="E152" s="91">
        <f t="shared" si="10"/>
        <v>170000</v>
      </c>
      <c r="F152" s="237"/>
    </row>
    <row r="153" s="219" customFormat="1" spans="1:6">
      <c r="A153" s="234"/>
      <c r="B153" s="228" t="s">
        <v>106</v>
      </c>
      <c r="C153" s="192">
        <v>1</v>
      </c>
      <c r="D153" s="229">
        <v>40000</v>
      </c>
      <c r="E153" s="91">
        <f t="shared" si="10"/>
        <v>40000</v>
      </c>
      <c r="F153" s="237"/>
    </row>
    <row r="154" s="219" customFormat="1" spans="1:6">
      <c r="A154" s="234"/>
      <c r="B154" s="228" t="s">
        <v>107</v>
      </c>
      <c r="C154" s="192">
        <v>3</v>
      </c>
      <c r="D154" s="229">
        <v>20000</v>
      </c>
      <c r="E154" s="91">
        <f t="shared" si="10"/>
        <v>60000</v>
      </c>
      <c r="F154" s="237"/>
    </row>
    <row r="155" s="219" customFormat="1" spans="1:6">
      <c r="A155" s="234"/>
      <c r="B155" s="228" t="s">
        <v>32</v>
      </c>
      <c r="C155" s="192">
        <v>1</v>
      </c>
      <c r="D155" s="229">
        <v>15000</v>
      </c>
      <c r="E155" s="91">
        <f t="shared" si="10"/>
        <v>15000</v>
      </c>
      <c r="F155" s="237"/>
    </row>
    <row r="156" s="219" customFormat="1" spans="1:6">
      <c r="A156" s="234"/>
      <c r="B156" s="228" t="s">
        <v>108</v>
      </c>
      <c r="C156" s="192">
        <v>0.1</v>
      </c>
      <c r="D156" s="229">
        <v>80000</v>
      </c>
      <c r="E156" s="91">
        <f t="shared" si="10"/>
        <v>8000</v>
      </c>
      <c r="F156" s="237"/>
    </row>
    <row r="157" s="219" customFormat="1" spans="1:6">
      <c r="A157" s="234"/>
      <c r="B157" s="228" t="s">
        <v>29</v>
      </c>
      <c r="C157" s="192">
        <v>0.1</v>
      </c>
      <c r="D157" s="229">
        <v>60000</v>
      </c>
      <c r="E157" s="91">
        <f t="shared" si="10"/>
        <v>6000</v>
      </c>
      <c r="F157" s="237"/>
    </row>
    <row r="158" s="219" customFormat="1" spans="1:6">
      <c r="A158" s="234"/>
      <c r="B158" s="228" t="s">
        <v>36</v>
      </c>
      <c r="C158" s="192">
        <v>0.3</v>
      </c>
      <c r="D158" s="229">
        <v>50000</v>
      </c>
      <c r="E158" s="91">
        <f t="shared" si="10"/>
        <v>15000</v>
      </c>
      <c r="F158" s="237"/>
    </row>
    <row r="159" s="219" customFormat="1" spans="1:6">
      <c r="A159" s="234"/>
      <c r="B159" s="228" t="s">
        <v>90</v>
      </c>
      <c r="C159" s="192">
        <v>0.5</v>
      </c>
      <c r="D159" s="229">
        <v>70000</v>
      </c>
      <c r="E159" s="91">
        <f t="shared" si="10"/>
        <v>35000</v>
      </c>
      <c r="F159" s="237"/>
    </row>
    <row r="160" s="219" customFormat="1" spans="1:6">
      <c r="A160" s="234"/>
      <c r="B160" s="228" t="s">
        <v>33</v>
      </c>
      <c r="C160" s="192">
        <v>2</v>
      </c>
      <c r="D160" s="229">
        <v>15000</v>
      </c>
      <c r="E160" s="91">
        <f t="shared" si="10"/>
        <v>30000</v>
      </c>
      <c r="F160" s="237"/>
    </row>
    <row r="161" s="219" customFormat="1" ht="16.8" spans="1:6">
      <c r="A161" s="235"/>
      <c r="B161" s="228" t="s">
        <v>20</v>
      </c>
      <c r="C161" s="192">
        <v>2</v>
      </c>
      <c r="D161" s="229">
        <v>22000</v>
      </c>
      <c r="E161" s="91">
        <f t="shared" si="10"/>
        <v>44000</v>
      </c>
      <c r="F161" s="238"/>
    </row>
    <row r="162" s="219" customFormat="1" spans="1:6">
      <c r="A162" s="233">
        <v>46031</v>
      </c>
      <c r="B162" s="228" t="s">
        <v>18</v>
      </c>
      <c r="C162" s="192">
        <v>1</v>
      </c>
      <c r="D162" s="229">
        <v>170000</v>
      </c>
      <c r="E162" s="91">
        <f t="shared" ref="E162:E183" si="11">D162*C162</f>
        <v>170000</v>
      </c>
      <c r="F162" s="236">
        <f>SUM(E162:E183)</f>
        <v>2339000</v>
      </c>
    </row>
    <row r="163" s="219" customFormat="1" spans="1:6">
      <c r="A163" s="234"/>
      <c r="B163" s="228" t="s">
        <v>50</v>
      </c>
      <c r="C163" s="192">
        <v>2</v>
      </c>
      <c r="D163" s="229">
        <v>90000</v>
      </c>
      <c r="E163" s="91">
        <f t="shared" si="11"/>
        <v>180000</v>
      </c>
      <c r="F163" s="237"/>
    </row>
    <row r="164" s="219" customFormat="1" spans="1:6">
      <c r="A164" s="234"/>
      <c r="B164" s="228" t="s">
        <v>109</v>
      </c>
      <c r="C164" s="192">
        <v>10</v>
      </c>
      <c r="D164" s="229">
        <v>15000</v>
      </c>
      <c r="E164" s="91">
        <f t="shared" si="11"/>
        <v>150000</v>
      </c>
      <c r="F164" s="237"/>
    </row>
    <row r="165" s="219" customFormat="1" spans="1:6">
      <c r="A165" s="234"/>
      <c r="B165" s="228" t="s">
        <v>75</v>
      </c>
      <c r="C165" s="192">
        <v>1</v>
      </c>
      <c r="D165" s="229">
        <v>270000</v>
      </c>
      <c r="E165" s="91">
        <f t="shared" si="11"/>
        <v>270000</v>
      </c>
      <c r="F165" s="237"/>
    </row>
    <row r="166" s="219" customFormat="1" spans="1:6">
      <c r="A166" s="234"/>
      <c r="B166" s="228" t="s">
        <v>58</v>
      </c>
      <c r="C166" s="192">
        <v>2</v>
      </c>
      <c r="D166" s="229">
        <v>15000</v>
      </c>
      <c r="E166" s="91">
        <f t="shared" si="11"/>
        <v>30000</v>
      </c>
      <c r="F166" s="237"/>
    </row>
    <row r="167" s="219" customFormat="1" spans="1:6">
      <c r="A167" s="234"/>
      <c r="B167" s="228" t="s">
        <v>23</v>
      </c>
      <c r="C167" s="192">
        <v>1</v>
      </c>
      <c r="D167" s="229">
        <v>220000</v>
      </c>
      <c r="E167" s="91">
        <f t="shared" si="11"/>
        <v>220000</v>
      </c>
      <c r="F167" s="237"/>
    </row>
    <row r="168" s="219" customFormat="1" spans="1:6">
      <c r="A168" s="234"/>
      <c r="B168" s="228" t="s">
        <v>110</v>
      </c>
      <c r="C168" s="192">
        <v>1</v>
      </c>
      <c r="D168" s="229">
        <v>30000</v>
      </c>
      <c r="E168" s="91">
        <f t="shared" si="11"/>
        <v>30000</v>
      </c>
      <c r="F168" s="237"/>
    </row>
    <row r="169" s="219" customFormat="1" spans="1:6">
      <c r="A169" s="234"/>
      <c r="B169" s="228" t="s">
        <v>27</v>
      </c>
      <c r="C169" s="192">
        <v>1</v>
      </c>
      <c r="D169" s="229">
        <v>330000</v>
      </c>
      <c r="E169" s="91">
        <f t="shared" si="11"/>
        <v>330000</v>
      </c>
      <c r="F169" s="237"/>
    </row>
    <row r="170" s="219" customFormat="1" spans="1:6">
      <c r="A170" s="234"/>
      <c r="B170" s="228" t="s">
        <v>97</v>
      </c>
      <c r="C170" s="192">
        <v>0.3</v>
      </c>
      <c r="D170" s="229">
        <v>95000</v>
      </c>
      <c r="E170" s="91">
        <v>29000</v>
      </c>
      <c r="F170" s="237"/>
    </row>
    <row r="171" s="219" customFormat="1" spans="1:6">
      <c r="A171" s="234"/>
      <c r="B171" s="228" t="s">
        <v>30</v>
      </c>
      <c r="C171" s="192">
        <v>1</v>
      </c>
      <c r="D171" s="229">
        <v>70000</v>
      </c>
      <c r="E171" s="91">
        <f t="shared" si="11"/>
        <v>70000</v>
      </c>
      <c r="F171" s="237"/>
    </row>
    <row r="172" s="219" customFormat="1" spans="1:6">
      <c r="A172" s="234"/>
      <c r="B172" s="228" t="s">
        <v>31</v>
      </c>
      <c r="C172" s="192">
        <v>1</v>
      </c>
      <c r="D172" s="229">
        <v>80000</v>
      </c>
      <c r="E172" s="91">
        <f t="shared" si="11"/>
        <v>80000</v>
      </c>
      <c r="F172" s="237"/>
    </row>
    <row r="173" s="219" customFormat="1" spans="1:6">
      <c r="A173" s="234"/>
      <c r="B173" s="228" t="s">
        <v>34</v>
      </c>
      <c r="C173" s="192">
        <v>0.7</v>
      </c>
      <c r="D173" s="229">
        <v>50000</v>
      </c>
      <c r="E173" s="91">
        <f t="shared" si="11"/>
        <v>35000</v>
      </c>
      <c r="F173" s="237"/>
    </row>
    <row r="174" s="219" customFormat="1" spans="1:6">
      <c r="A174" s="234"/>
      <c r="B174" s="228" t="s">
        <v>111</v>
      </c>
      <c r="C174" s="192">
        <v>0.3</v>
      </c>
      <c r="D174" s="229">
        <v>30000</v>
      </c>
      <c r="E174" s="91">
        <f t="shared" si="11"/>
        <v>9000</v>
      </c>
      <c r="F174" s="237"/>
    </row>
    <row r="175" s="219" customFormat="1" spans="1:6">
      <c r="A175" s="234"/>
      <c r="B175" s="228" t="s">
        <v>112</v>
      </c>
      <c r="C175" s="192">
        <v>1</v>
      </c>
      <c r="D175" s="229">
        <v>130000</v>
      </c>
      <c r="E175" s="91">
        <f t="shared" si="11"/>
        <v>130000</v>
      </c>
      <c r="F175" s="237"/>
    </row>
    <row r="176" s="219" customFormat="1" spans="1:6">
      <c r="A176" s="234"/>
      <c r="B176" s="228" t="s">
        <v>35</v>
      </c>
      <c r="C176" s="192">
        <v>1</v>
      </c>
      <c r="D176" s="229">
        <v>70000</v>
      </c>
      <c r="E176" s="91">
        <f t="shared" si="11"/>
        <v>70000</v>
      </c>
      <c r="F176" s="237"/>
    </row>
    <row r="177" s="219" customFormat="1" spans="1:6">
      <c r="A177" s="234"/>
      <c r="B177" s="228" t="s">
        <v>83</v>
      </c>
      <c r="C177" s="192">
        <v>2</v>
      </c>
      <c r="D177" s="229">
        <v>40000</v>
      </c>
      <c r="E177" s="91">
        <f t="shared" si="11"/>
        <v>80000</v>
      </c>
      <c r="F177" s="237"/>
    </row>
    <row r="178" s="219" customFormat="1" spans="1:6">
      <c r="A178" s="234"/>
      <c r="B178" s="228" t="s">
        <v>113</v>
      </c>
      <c r="C178" s="192">
        <v>8.34</v>
      </c>
      <c r="D178" s="229">
        <v>15000</v>
      </c>
      <c r="E178" s="91">
        <v>125000</v>
      </c>
      <c r="F178" s="237"/>
    </row>
    <row r="179" s="219" customFormat="1" spans="1:6">
      <c r="A179" s="234"/>
      <c r="B179" s="228" t="s">
        <v>98</v>
      </c>
      <c r="C179" s="192">
        <v>2.07</v>
      </c>
      <c r="D179" s="229">
        <v>40000</v>
      </c>
      <c r="E179" s="91">
        <v>83000</v>
      </c>
      <c r="F179" s="237"/>
    </row>
    <row r="180" s="219" customFormat="1" spans="1:6">
      <c r="A180" s="234"/>
      <c r="B180" s="228" t="s">
        <v>114</v>
      </c>
      <c r="C180" s="192">
        <v>1</v>
      </c>
      <c r="D180" s="229">
        <v>30000</v>
      </c>
      <c r="E180" s="91">
        <f t="shared" si="11"/>
        <v>30000</v>
      </c>
      <c r="F180" s="237"/>
    </row>
    <row r="181" s="219" customFormat="1" spans="1:6">
      <c r="A181" s="234"/>
      <c r="B181" s="228" t="s">
        <v>115</v>
      </c>
      <c r="C181" s="192">
        <v>0.1</v>
      </c>
      <c r="D181" s="229">
        <v>80000</v>
      </c>
      <c r="E181" s="91">
        <f t="shared" si="11"/>
        <v>8000</v>
      </c>
      <c r="F181" s="237"/>
    </row>
    <row r="182" s="219" customFormat="1" spans="1:6">
      <c r="A182" s="234"/>
      <c r="B182" s="228" t="s">
        <v>99</v>
      </c>
      <c r="C182" s="192">
        <v>2</v>
      </c>
      <c r="D182" s="229">
        <v>10000</v>
      </c>
      <c r="E182" s="91">
        <f t="shared" si="11"/>
        <v>20000</v>
      </c>
      <c r="F182" s="237"/>
    </row>
    <row r="183" s="219" customFormat="1" ht="16.8" spans="1:6">
      <c r="A183" s="235"/>
      <c r="B183" s="228" t="s">
        <v>116</v>
      </c>
      <c r="C183" s="192">
        <v>2</v>
      </c>
      <c r="D183" s="229">
        <v>95000</v>
      </c>
      <c r="E183" s="91">
        <f t="shared" si="11"/>
        <v>190000</v>
      </c>
      <c r="F183" s="238"/>
    </row>
    <row r="184" s="219" customFormat="1" spans="1:6">
      <c r="A184" s="233">
        <v>46031</v>
      </c>
      <c r="B184" s="228" t="s">
        <v>28</v>
      </c>
      <c r="C184" s="192">
        <v>2</v>
      </c>
      <c r="D184" s="229">
        <v>195000</v>
      </c>
      <c r="E184" s="91">
        <f>D184*C184</f>
        <v>390000</v>
      </c>
      <c r="F184" s="236">
        <f>SUM(E184:E188)</f>
        <v>685000</v>
      </c>
    </row>
    <row r="185" s="219" customFormat="1" spans="1:6">
      <c r="A185" s="234"/>
      <c r="B185" s="228" t="s">
        <v>44</v>
      </c>
      <c r="C185" s="192">
        <v>3.18</v>
      </c>
      <c r="D185" s="229">
        <v>25000</v>
      </c>
      <c r="E185" s="91">
        <v>80000</v>
      </c>
      <c r="F185" s="237"/>
    </row>
    <row r="186" s="219" customFormat="1" spans="1:6">
      <c r="A186" s="234"/>
      <c r="B186" s="228" t="s">
        <v>26</v>
      </c>
      <c r="C186" s="192">
        <v>1</v>
      </c>
      <c r="D186" s="229">
        <v>90000</v>
      </c>
      <c r="E186" s="91">
        <f>D186*C186</f>
        <v>90000</v>
      </c>
      <c r="F186" s="237"/>
    </row>
    <row r="187" s="219" customFormat="1" spans="1:6">
      <c r="A187" s="234"/>
      <c r="B187" s="228" t="s">
        <v>117</v>
      </c>
      <c r="C187" s="192">
        <v>1</v>
      </c>
      <c r="D187" s="229">
        <v>85000</v>
      </c>
      <c r="E187" s="91">
        <f>D187*C187</f>
        <v>85000</v>
      </c>
      <c r="F187" s="237"/>
    </row>
    <row r="188" s="219" customFormat="1" spans="1:6">
      <c r="A188" s="235"/>
      <c r="B188" s="228" t="s">
        <v>118</v>
      </c>
      <c r="C188" s="192">
        <v>1</v>
      </c>
      <c r="D188" s="229">
        <v>40000</v>
      </c>
      <c r="E188" s="91">
        <f>D188*C188</f>
        <v>40000</v>
      </c>
      <c r="F188" s="238"/>
    </row>
    <row r="189" s="219" customFormat="1" spans="1:6">
      <c r="A189" s="208"/>
      <c r="B189" s="228"/>
      <c r="C189" s="192"/>
      <c r="D189" s="229"/>
      <c r="E189" s="91"/>
      <c r="F189" s="212"/>
    </row>
    <row r="190" s="219" customFormat="1" spans="1:6">
      <c r="A190" s="208"/>
      <c r="B190" s="228"/>
      <c r="C190" s="192"/>
      <c r="D190" s="229"/>
      <c r="E190" s="91"/>
      <c r="F190" s="212"/>
    </row>
    <row r="191" s="219" customFormat="1" spans="1:6">
      <c r="A191" s="208"/>
      <c r="B191" s="228"/>
      <c r="C191" s="192"/>
      <c r="D191" s="229"/>
      <c r="E191" s="91"/>
      <c r="F191" s="212"/>
    </row>
    <row r="192" s="219" customFormat="1" spans="1:6">
      <c r="A192" s="208"/>
      <c r="B192" s="228"/>
      <c r="C192" s="192"/>
      <c r="D192" s="229"/>
      <c r="E192" s="91"/>
      <c r="F192" s="212"/>
    </row>
    <row r="193" s="219" customFormat="1" spans="1:6">
      <c r="A193" s="208"/>
      <c r="B193" s="228"/>
      <c r="C193" s="192"/>
      <c r="D193" s="229"/>
      <c r="E193" s="91"/>
      <c r="F193" s="212"/>
    </row>
    <row r="194" s="219" customFormat="1" spans="1:6">
      <c r="A194" s="208"/>
      <c r="B194" s="228"/>
      <c r="C194" s="192"/>
      <c r="D194" s="229"/>
      <c r="E194" s="91"/>
      <c r="F194" s="212"/>
    </row>
    <row r="195" s="219" customFormat="1" spans="1:6">
      <c r="A195" s="208"/>
      <c r="B195" s="228"/>
      <c r="C195" s="192"/>
      <c r="D195" s="229"/>
      <c r="E195" s="91"/>
      <c r="F195" s="212"/>
    </row>
    <row r="196" s="219" customFormat="1" spans="1:6">
      <c r="A196" s="208"/>
      <c r="B196" s="228"/>
      <c r="C196" s="192"/>
      <c r="D196" s="229"/>
      <c r="E196" s="91"/>
      <c r="F196" s="212"/>
    </row>
    <row r="197" s="219" customFormat="1" spans="1:6">
      <c r="A197" s="208"/>
      <c r="B197" s="228"/>
      <c r="C197" s="192"/>
      <c r="D197" s="229"/>
      <c r="E197" s="91"/>
      <c r="F197" s="212"/>
    </row>
    <row r="198" s="219" customFormat="1" spans="1:6">
      <c r="A198" s="208"/>
      <c r="B198" s="228"/>
      <c r="C198" s="192"/>
      <c r="D198" s="229"/>
      <c r="E198" s="91"/>
      <c r="F198" s="212"/>
    </row>
    <row r="199" s="219" customFormat="1" spans="1:6">
      <c r="A199" s="208"/>
      <c r="B199" s="228"/>
      <c r="C199" s="192"/>
      <c r="D199" s="229"/>
      <c r="E199" s="91"/>
      <c r="F199" s="212"/>
    </row>
    <row r="200" s="219" customFormat="1" spans="1:6">
      <c r="A200" s="208"/>
      <c r="B200" s="228"/>
      <c r="C200" s="192"/>
      <c r="D200" s="229"/>
      <c r="E200" s="91"/>
      <c r="F200" s="212"/>
    </row>
    <row r="201" s="219" customFormat="1" spans="1:6">
      <c r="A201" s="208"/>
      <c r="B201" s="228"/>
      <c r="C201" s="192"/>
      <c r="D201" s="229"/>
      <c r="E201" s="91"/>
      <c r="F201" s="212"/>
    </row>
    <row r="202" s="219" customFormat="1" spans="1:6">
      <c r="A202" s="208"/>
      <c r="B202" s="228"/>
      <c r="C202" s="192"/>
      <c r="D202" s="229"/>
      <c r="E202" s="91"/>
      <c r="F202" s="212"/>
    </row>
    <row r="203" s="219" customFormat="1" spans="1:6">
      <c r="A203" s="208"/>
      <c r="B203" s="228"/>
      <c r="C203" s="192"/>
      <c r="D203" s="229"/>
      <c r="E203" s="91"/>
      <c r="F203" s="212"/>
    </row>
    <row r="204" s="219" customFormat="1" spans="1:6">
      <c r="A204" s="208"/>
      <c r="B204" s="228"/>
      <c r="C204" s="192"/>
      <c r="D204" s="229"/>
      <c r="E204" s="91"/>
      <c r="F204" s="212"/>
    </row>
    <row r="205" s="219" customFormat="1" spans="1:6">
      <c r="A205" s="208"/>
      <c r="B205" s="228"/>
      <c r="C205" s="192"/>
      <c r="D205" s="229"/>
      <c r="E205" s="91"/>
      <c r="F205" s="212"/>
    </row>
    <row r="206" s="219" customFormat="1" spans="1:6">
      <c r="A206" s="208"/>
      <c r="B206" s="228"/>
      <c r="C206" s="192"/>
      <c r="D206" s="229"/>
      <c r="E206" s="91"/>
      <c r="F206" s="212"/>
    </row>
    <row r="207" s="219" customFormat="1" spans="1:6">
      <c r="A207" s="208"/>
      <c r="B207" s="228"/>
      <c r="C207" s="192"/>
      <c r="D207" s="229"/>
      <c r="E207" s="91"/>
      <c r="F207" s="212"/>
    </row>
    <row r="208" s="219" customFormat="1" spans="1:6">
      <c r="A208" s="208"/>
      <c r="B208" s="228"/>
      <c r="C208" s="192"/>
      <c r="D208" s="229"/>
      <c r="E208" s="91"/>
      <c r="F208" s="212"/>
    </row>
    <row r="209" s="219" customFormat="1" spans="1:6">
      <c r="A209" s="208"/>
      <c r="B209" s="228"/>
      <c r="C209" s="192"/>
      <c r="D209" s="229"/>
      <c r="E209" s="91"/>
      <c r="F209" s="212"/>
    </row>
    <row r="210" s="219" customFormat="1" spans="1:6">
      <c r="A210" s="208"/>
      <c r="B210" s="228"/>
      <c r="C210" s="192"/>
      <c r="D210" s="229"/>
      <c r="E210" s="91"/>
      <c r="F210" s="212"/>
    </row>
    <row r="211" s="219" customFormat="1" spans="1:6">
      <c r="A211" s="208"/>
      <c r="B211" s="228"/>
      <c r="C211" s="192"/>
      <c r="D211" s="229"/>
      <c r="E211" s="91"/>
      <c r="F211" s="212"/>
    </row>
    <row r="212" s="219" customFormat="1" spans="1:6">
      <c r="A212" s="208"/>
      <c r="B212" s="228"/>
      <c r="C212" s="192"/>
      <c r="D212" s="229"/>
      <c r="E212" s="91"/>
      <c r="F212" s="212"/>
    </row>
    <row r="213" s="219" customFormat="1" spans="1:6">
      <c r="A213" s="208"/>
      <c r="B213" s="228"/>
      <c r="C213" s="192"/>
      <c r="D213" s="229"/>
      <c r="E213" s="91"/>
      <c r="F213" s="212"/>
    </row>
    <row r="214" s="219" customFormat="1" spans="1:6">
      <c r="A214" s="208"/>
      <c r="B214" s="228"/>
      <c r="C214" s="192"/>
      <c r="D214" s="229"/>
      <c r="E214" s="91"/>
      <c r="F214" s="212"/>
    </row>
    <row r="215" s="219" customFormat="1" spans="1:6">
      <c r="A215" s="208"/>
      <c r="B215" s="228"/>
      <c r="C215" s="192"/>
      <c r="D215" s="229"/>
      <c r="E215" s="91"/>
      <c r="F215" s="212"/>
    </row>
    <row r="216" s="219" customFormat="1" spans="1:6">
      <c r="A216" s="208"/>
      <c r="B216" s="228"/>
      <c r="C216" s="192"/>
      <c r="D216" s="229"/>
      <c r="E216" s="91"/>
      <c r="F216" s="212"/>
    </row>
    <row r="217" s="219" customFormat="1" spans="1:6">
      <c r="A217" s="208"/>
      <c r="B217" s="228"/>
      <c r="C217" s="192"/>
      <c r="D217" s="229"/>
      <c r="E217" s="91"/>
      <c r="F217" s="212"/>
    </row>
    <row r="218" s="219" customFormat="1" spans="1:6">
      <c r="A218" s="208"/>
      <c r="B218" s="228"/>
      <c r="C218" s="192"/>
      <c r="D218" s="229"/>
      <c r="E218" s="91"/>
      <c r="F218" s="212"/>
    </row>
    <row r="219" s="219" customFormat="1" spans="1:6">
      <c r="A219" s="208"/>
      <c r="B219" s="228"/>
      <c r="C219" s="192"/>
      <c r="D219" s="229"/>
      <c r="E219" s="91"/>
      <c r="F219" s="212"/>
    </row>
    <row r="220" s="219" customFormat="1" spans="1:6">
      <c r="A220" s="208"/>
      <c r="B220" s="228"/>
      <c r="C220" s="192"/>
      <c r="D220" s="229"/>
      <c r="E220" s="91"/>
      <c r="F220" s="212"/>
    </row>
    <row r="221" s="219" customFormat="1" spans="1:6">
      <c r="A221" s="208"/>
      <c r="B221" s="228"/>
      <c r="C221" s="192"/>
      <c r="D221" s="229"/>
      <c r="E221" s="91"/>
      <c r="F221" s="212"/>
    </row>
    <row r="222" s="219" customFormat="1" spans="1:6">
      <c r="A222" s="208"/>
      <c r="B222" s="228"/>
      <c r="C222" s="192"/>
      <c r="D222" s="229"/>
      <c r="E222" s="91"/>
      <c r="F222" s="212"/>
    </row>
    <row r="223" s="219" customFormat="1" spans="1:6">
      <c r="A223" s="208"/>
      <c r="B223" s="228"/>
      <c r="C223" s="192"/>
      <c r="D223" s="229"/>
      <c r="E223" s="91"/>
      <c r="F223" s="212"/>
    </row>
    <row r="224" s="219" customFormat="1" spans="1:7">
      <c r="A224" s="208"/>
      <c r="B224" s="228"/>
      <c r="C224" s="192"/>
      <c r="D224" s="229"/>
      <c r="E224" s="91"/>
      <c r="F224" s="212"/>
      <c r="G224" s="232"/>
    </row>
    <row r="225" s="219" customFormat="1" spans="1:6">
      <c r="A225" s="208"/>
      <c r="B225" s="228"/>
      <c r="C225" s="192"/>
      <c r="D225" s="229"/>
      <c r="E225" s="91"/>
      <c r="F225" s="212"/>
    </row>
    <row r="226" s="219" customFormat="1" spans="1:6">
      <c r="A226" s="208"/>
      <c r="B226" s="228"/>
      <c r="C226" s="192"/>
      <c r="D226" s="229"/>
      <c r="E226" s="91"/>
      <c r="F226" s="212"/>
    </row>
    <row r="227" s="219" customFormat="1" spans="1:6">
      <c r="A227" s="208"/>
      <c r="B227" s="228"/>
      <c r="C227" s="192"/>
      <c r="D227" s="229"/>
      <c r="E227" s="91"/>
      <c r="F227" s="212"/>
    </row>
    <row r="228" s="219" customFormat="1" spans="1:6">
      <c r="A228" s="208"/>
      <c r="B228" s="228"/>
      <c r="C228" s="192"/>
      <c r="D228" s="229"/>
      <c r="E228" s="91"/>
      <c r="F228" s="212"/>
    </row>
    <row r="229" s="219" customFormat="1" spans="1:6">
      <c r="A229" s="208"/>
      <c r="B229" s="228"/>
      <c r="C229" s="192"/>
      <c r="D229" s="229"/>
      <c r="E229" s="91"/>
      <c r="F229" s="212"/>
    </row>
    <row r="230" s="219" customFormat="1" spans="1:6">
      <c r="A230" s="208"/>
      <c r="B230" s="228"/>
      <c r="C230" s="192"/>
      <c r="D230" s="229"/>
      <c r="E230" s="91"/>
      <c r="F230" s="212"/>
    </row>
    <row r="231" s="219" customFormat="1" spans="1:6">
      <c r="A231" s="208"/>
      <c r="B231" s="228"/>
      <c r="C231" s="192"/>
      <c r="D231" s="229"/>
      <c r="E231" s="91"/>
      <c r="F231" s="212"/>
    </row>
    <row r="232" s="219" customFormat="1" spans="1:6">
      <c r="A232" s="208"/>
      <c r="B232" s="228"/>
      <c r="C232" s="192"/>
      <c r="D232" s="229"/>
      <c r="E232" s="91"/>
      <c r="F232" s="212"/>
    </row>
    <row r="233" s="219" customFormat="1" spans="1:6">
      <c r="A233" s="208"/>
      <c r="B233" s="228"/>
      <c r="C233" s="192"/>
      <c r="D233" s="229"/>
      <c r="E233" s="91"/>
      <c r="F233" s="212"/>
    </row>
    <row r="234" s="219" customFormat="1" spans="1:6">
      <c r="A234" s="208"/>
      <c r="B234" s="228"/>
      <c r="C234" s="192"/>
      <c r="D234" s="229"/>
      <c r="E234" s="91"/>
      <c r="F234" s="212"/>
    </row>
    <row r="235" s="219" customFormat="1" spans="1:6">
      <c r="A235" s="208"/>
      <c r="B235" s="228"/>
      <c r="C235" s="192"/>
      <c r="D235" s="229"/>
      <c r="E235" s="91"/>
      <c r="F235" s="212"/>
    </row>
    <row r="236" s="219" customFormat="1" spans="1:6">
      <c r="A236" s="208"/>
      <c r="B236" s="228"/>
      <c r="C236" s="192"/>
      <c r="D236" s="229"/>
      <c r="E236" s="91"/>
      <c r="F236" s="212"/>
    </row>
    <row r="237" s="219" customFormat="1" spans="1:6">
      <c r="A237" s="208"/>
      <c r="B237" s="228"/>
      <c r="C237" s="192"/>
      <c r="D237" s="229"/>
      <c r="E237" s="91"/>
      <c r="F237" s="212"/>
    </row>
    <row r="238" s="219" customFormat="1" spans="1:6">
      <c r="A238" s="208"/>
      <c r="B238" s="228"/>
      <c r="C238" s="192"/>
      <c r="D238" s="229"/>
      <c r="E238" s="91"/>
      <c r="F238" s="212"/>
    </row>
    <row r="239" s="219" customFormat="1" spans="1:6">
      <c r="A239" s="208"/>
      <c r="B239" s="228"/>
      <c r="C239" s="192"/>
      <c r="D239" s="229"/>
      <c r="E239" s="91"/>
      <c r="F239" s="212"/>
    </row>
    <row r="240" s="219" customFormat="1" spans="1:6">
      <c r="A240" s="208"/>
      <c r="B240" s="228"/>
      <c r="C240" s="192"/>
      <c r="D240" s="229"/>
      <c r="E240" s="91"/>
      <c r="F240" s="212"/>
    </row>
    <row r="241" s="219" customFormat="1" spans="1:6">
      <c r="A241" s="208"/>
      <c r="B241" s="228"/>
      <c r="C241" s="192"/>
      <c r="D241" s="229"/>
      <c r="E241" s="91"/>
      <c r="F241" s="212"/>
    </row>
    <row r="242" s="219" customFormat="1" spans="1:6">
      <c r="A242" s="208"/>
      <c r="B242" s="228"/>
      <c r="C242" s="192"/>
      <c r="D242" s="229"/>
      <c r="E242" s="91"/>
      <c r="F242" s="212"/>
    </row>
    <row r="243" s="219" customFormat="1" spans="1:6">
      <c r="A243" s="208"/>
      <c r="B243" s="228"/>
      <c r="C243" s="192"/>
      <c r="D243" s="229"/>
      <c r="E243" s="91"/>
      <c r="F243" s="212"/>
    </row>
    <row r="244" s="219" customFormat="1" spans="1:6">
      <c r="A244" s="208"/>
      <c r="B244" s="228"/>
      <c r="C244" s="192"/>
      <c r="D244" s="229"/>
      <c r="E244" s="91"/>
      <c r="F244" s="212"/>
    </row>
    <row r="245" s="219" customFormat="1" spans="1:6">
      <c r="A245" s="208"/>
      <c r="B245" s="228"/>
      <c r="C245" s="192"/>
      <c r="D245" s="229"/>
      <c r="E245" s="91"/>
      <c r="F245" s="212"/>
    </row>
    <row r="246" s="219" customFormat="1" spans="1:6">
      <c r="A246" s="208"/>
      <c r="B246" s="228"/>
      <c r="C246" s="192"/>
      <c r="D246" s="229"/>
      <c r="E246" s="91"/>
      <c r="F246" s="212"/>
    </row>
    <row r="247" s="219" customFormat="1" spans="1:6">
      <c r="A247" s="208"/>
      <c r="B247" s="228"/>
      <c r="C247" s="192"/>
      <c r="D247" s="229"/>
      <c r="E247" s="91"/>
      <c r="F247" s="212"/>
    </row>
    <row r="248" s="219" customFormat="1" spans="1:6">
      <c r="A248" s="208"/>
      <c r="B248" s="228"/>
      <c r="C248" s="192"/>
      <c r="D248" s="229"/>
      <c r="E248" s="91"/>
      <c r="F248" s="212"/>
    </row>
    <row r="249" s="219" customFormat="1" spans="1:6">
      <c r="A249" s="208"/>
      <c r="B249" s="228"/>
      <c r="C249" s="192"/>
      <c r="D249" s="229"/>
      <c r="E249" s="91"/>
      <c r="F249" s="212"/>
    </row>
    <row r="250" s="219" customFormat="1" spans="1:6">
      <c r="A250" s="208"/>
      <c r="B250" s="228"/>
      <c r="C250" s="192"/>
      <c r="D250" s="229"/>
      <c r="E250" s="91"/>
      <c r="F250" s="212"/>
    </row>
    <row r="251" s="219" customFormat="1" spans="1:6">
      <c r="A251" s="208"/>
      <c r="B251" s="228"/>
      <c r="C251" s="192"/>
      <c r="D251" s="229"/>
      <c r="E251" s="91"/>
      <c r="F251" s="212"/>
    </row>
    <row r="252" s="219" customFormat="1" spans="1:6">
      <c r="A252" s="208"/>
      <c r="B252" s="228"/>
      <c r="C252" s="192"/>
      <c r="D252" s="229"/>
      <c r="E252" s="91"/>
      <c r="F252" s="212"/>
    </row>
    <row r="253" s="219" customFormat="1" spans="1:6">
      <c r="A253" s="208"/>
      <c r="B253" s="228"/>
      <c r="C253" s="192"/>
      <c r="D253" s="229"/>
      <c r="E253" s="91"/>
      <c r="F253" s="212"/>
    </row>
    <row r="254" s="219" customFormat="1" spans="1:6">
      <c r="A254" s="208"/>
      <c r="B254" s="228"/>
      <c r="C254" s="192"/>
      <c r="D254" s="229"/>
      <c r="E254" s="91"/>
      <c r="F254" s="212"/>
    </row>
    <row r="255" s="219" customFormat="1" spans="1:6">
      <c r="A255" s="208"/>
      <c r="B255" s="228"/>
      <c r="C255" s="192"/>
      <c r="D255" s="229"/>
      <c r="E255" s="91"/>
      <c r="F255" s="212"/>
    </row>
    <row r="256" s="219" customFormat="1" spans="1:6">
      <c r="A256" s="208"/>
      <c r="B256" s="228"/>
      <c r="C256" s="192"/>
      <c r="D256" s="229"/>
      <c r="E256" s="91"/>
      <c r="F256" s="212"/>
    </row>
    <row r="257" s="219" customFormat="1" spans="1:6">
      <c r="A257" s="208"/>
      <c r="B257" s="228"/>
      <c r="C257" s="192"/>
      <c r="D257" s="229"/>
      <c r="E257" s="91"/>
      <c r="F257" s="212"/>
    </row>
    <row r="258" s="219" customFormat="1" spans="1:6">
      <c r="A258" s="208"/>
      <c r="B258" s="228"/>
      <c r="C258" s="192"/>
      <c r="D258" s="229"/>
      <c r="E258" s="91"/>
      <c r="F258" s="212"/>
    </row>
    <row r="259" s="219" customFormat="1" spans="1:6">
      <c r="A259" s="208"/>
      <c r="B259" s="228"/>
      <c r="C259" s="192"/>
      <c r="D259" s="229"/>
      <c r="E259" s="91"/>
      <c r="F259" s="212"/>
    </row>
    <row r="260" s="219" customFormat="1" spans="1:6">
      <c r="A260" s="208"/>
      <c r="B260" s="228"/>
      <c r="C260" s="192"/>
      <c r="D260" s="229"/>
      <c r="E260" s="91"/>
      <c r="F260" s="212"/>
    </row>
    <row r="261" s="219" customFormat="1" spans="1:6">
      <c r="A261" s="208"/>
      <c r="B261" s="228"/>
      <c r="C261" s="192"/>
      <c r="D261" s="229"/>
      <c r="E261" s="91"/>
      <c r="F261" s="212"/>
    </row>
    <row r="262" s="219" customFormat="1" spans="1:6">
      <c r="A262" s="208"/>
      <c r="B262" s="228"/>
      <c r="C262" s="192"/>
      <c r="D262" s="229"/>
      <c r="E262" s="91"/>
      <c r="F262" s="212"/>
    </row>
    <row r="263" s="219" customFormat="1" spans="1:6">
      <c r="A263" s="208"/>
      <c r="B263" s="228"/>
      <c r="C263" s="192"/>
      <c r="D263" s="229"/>
      <c r="E263" s="91"/>
      <c r="F263" s="212"/>
    </row>
    <row r="264" s="219" customFormat="1" spans="1:6">
      <c r="A264" s="208"/>
      <c r="B264" s="228"/>
      <c r="C264" s="192"/>
      <c r="D264" s="229"/>
      <c r="E264" s="91"/>
      <c r="F264" s="212"/>
    </row>
    <row r="265" s="219" customFormat="1" spans="1:6">
      <c r="A265" s="208"/>
      <c r="B265" s="228"/>
      <c r="C265" s="192"/>
      <c r="D265" s="229"/>
      <c r="E265" s="91"/>
      <c r="F265" s="212"/>
    </row>
    <row r="266" s="219" customFormat="1" spans="1:6">
      <c r="A266" s="208"/>
      <c r="B266" s="228"/>
      <c r="C266" s="192"/>
      <c r="D266" s="229"/>
      <c r="E266" s="91"/>
      <c r="F266" s="212"/>
    </row>
    <row r="267" s="219" customFormat="1" spans="1:6">
      <c r="A267" s="208"/>
      <c r="B267" s="228"/>
      <c r="C267" s="192"/>
      <c r="D267" s="229"/>
      <c r="E267" s="91"/>
      <c r="F267" s="212"/>
    </row>
    <row r="268" s="219" customFormat="1" spans="1:6">
      <c r="A268" s="208"/>
      <c r="B268" s="228"/>
      <c r="C268" s="192"/>
      <c r="D268" s="229"/>
      <c r="E268" s="91"/>
      <c r="F268" s="212"/>
    </row>
    <row r="269" s="219" customFormat="1" spans="1:6">
      <c r="A269" s="208"/>
      <c r="B269" s="228"/>
      <c r="C269" s="192"/>
      <c r="D269" s="229"/>
      <c r="E269" s="91"/>
      <c r="F269" s="212"/>
    </row>
    <row r="270" s="219" customFormat="1" spans="1:6">
      <c r="A270" s="208"/>
      <c r="B270" s="228"/>
      <c r="C270" s="192"/>
      <c r="D270" s="229"/>
      <c r="E270" s="91"/>
      <c r="F270" s="212"/>
    </row>
    <row r="271" s="219" customFormat="1" spans="1:6">
      <c r="A271" s="208"/>
      <c r="B271" s="228"/>
      <c r="C271" s="192"/>
      <c r="D271" s="229"/>
      <c r="E271" s="91"/>
      <c r="F271" s="212"/>
    </row>
    <row r="272" s="219" customFormat="1" spans="1:6">
      <c r="A272" s="208"/>
      <c r="B272" s="228"/>
      <c r="C272" s="192"/>
      <c r="D272" s="229"/>
      <c r="E272" s="91"/>
      <c r="F272" s="212"/>
    </row>
    <row r="273" s="219" customFormat="1" spans="1:6">
      <c r="A273" s="208"/>
      <c r="B273" s="228"/>
      <c r="C273" s="192"/>
      <c r="D273" s="229"/>
      <c r="E273" s="91"/>
      <c r="F273" s="212"/>
    </row>
    <row r="274" s="219" customFormat="1" spans="1:6">
      <c r="A274" s="208"/>
      <c r="B274" s="228"/>
      <c r="C274" s="192"/>
      <c r="D274" s="229"/>
      <c r="E274" s="91"/>
      <c r="F274" s="212"/>
    </row>
    <row r="275" s="219" customFormat="1" spans="1:6">
      <c r="A275" s="208"/>
      <c r="B275" s="228"/>
      <c r="C275" s="192"/>
      <c r="D275" s="229"/>
      <c r="E275" s="91"/>
      <c r="F275" s="212"/>
    </row>
    <row r="276" s="219" customFormat="1" spans="1:6">
      <c r="A276" s="208"/>
      <c r="B276" s="228"/>
      <c r="C276" s="192"/>
      <c r="D276" s="229"/>
      <c r="E276" s="91"/>
      <c r="F276" s="212"/>
    </row>
    <row r="277" s="219" customFormat="1" spans="1:6">
      <c r="A277" s="208"/>
      <c r="B277" s="228"/>
      <c r="C277" s="192"/>
      <c r="D277" s="229"/>
      <c r="E277" s="91"/>
      <c r="F277" s="212"/>
    </row>
    <row r="278" s="219" customFormat="1" spans="1:6">
      <c r="A278" s="208"/>
      <c r="B278" s="228"/>
      <c r="C278" s="192"/>
      <c r="D278" s="229"/>
      <c r="E278" s="91"/>
      <c r="F278" s="212"/>
    </row>
    <row r="279" s="219" customFormat="1" spans="1:6">
      <c r="A279" s="208"/>
      <c r="B279" s="228"/>
      <c r="C279" s="192"/>
      <c r="D279" s="229"/>
      <c r="E279" s="91"/>
      <c r="F279" s="212"/>
    </row>
    <row r="280" s="219" customFormat="1" spans="1:6">
      <c r="A280" s="208"/>
      <c r="B280" s="228"/>
      <c r="C280" s="192"/>
      <c r="D280" s="229"/>
      <c r="E280" s="91"/>
      <c r="F280" s="212"/>
    </row>
    <row r="281" s="219" customFormat="1" spans="1:6">
      <c r="A281" s="208"/>
      <c r="B281" s="228"/>
      <c r="C281" s="192"/>
      <c r="D281" s="229"/>
      <c r="E281" s="91"/>
      <c r="F281" s="212"/>
    </row>
    <row r="282" s="219" customFormat="1" spans="1:6">
      <c r="A282" s="208"/>
      <c r="B282" s="228"/>
      <c r="C282" s="192"/>
      <c r="D282" s="229"/>
      <c r="E282" s="91"/>
      <c r="F282" s="212"/>
    </row>
    <row r="283" s="219" customFormat="1" spans="1:6">
      <c r="A283" s="208"/>
      <c r="B283" s="228"/>
      <c r="C283" s="192"/>
      <c r="D283" s="229"/>
      <c r="E283" s="91"/>
      <c r="F283" s="212"/>
    </row>
    <row r="284" s="219" customFormat="1" spans="1:6">
      <c r="A284" s="208"/>
      <c r="B284" s="228"/>
      <c r="C284" s="192"/>
      <c r="D284" s="229"/>
      <c r="E284" s="91"/>
      <c r="F284" s="212"/>
    </row>
    <row r="285" s="219" customFormat="1" spans="1:6">
      <c r="A285" s="208"/>
      <c r="B285" s="228"/>
      <c r="C285" s="192"/>
      <c r="D285" s="229"/>
      <c r="E285" s="91"/>
      <c r="F285" s="212"/>
    </row>
    <row r="286" s="219" customFormat="1" spans="1:6">
      <c r="A286" s="208"/>
      <c r="B286" s="228"/>
      <c r="C286" s="192"/>
      <c r="D286" s="229"/>
      <c r="E286" s="91"/>
      <c r="F286" s="212"/>
    </row>
    <row r="287" s="219" customFormat="1" spans="1:6">
      <c r="A287" s="208"/>
      <c r="B287" s="228"/>
      <c r="C287" s="192"/>
      <c r="D287" s="229"/>
      <c r="E287" s="91"/>
      <c r="F287" s="212"/>
    </row>
    <row r="288" s="219" customFormat="1" spans="1:6">
      <c r="A288" s="208"/>
      <c r="B288" s="228"/>
      <c r="C288" s="192"/>
      <c r="D288" s="229"/>
      <c r="E288" s="91"/>
      <c r="F288" s="212"/>
    </row>
    <row r="289" s="219" customFormat="1" spans="1:6">
      <c r="A289" s="208"/>
      <c r="B289" s="228"/>
      <c r="C289" s="192"/>
      <c r="D289" s="229"/>
      <c r="E289" s="91"/>
      <c r="F289" s="212"/>
    </row>
    <row r="290" s="219" customFormat="1" spans="1:6">
      <c r="A290" s="208"/>
      <c r="B290" s="228"/>
      <c r="C290" s="192"/>
      <c r="D290" s="229"/>
      <c r="E290" s="91"/>
      <c r="F290" s="212"/>
    </row>
    <row r="291" s="219" customFormat="1" spans="1:6">
      <c r="A291" s="208"/>
      <c r="B291" s="228"/>
      <c r="C291" s="192"/>
      <c r="D291" s="229"/>
      <c r="E291" s="91"/>
      <c r="F291" s="212"/>
    </row>
    <row r="292" s="219" customFormat="1" spans="1:6">
      <c r="A292" s="208"/>
      <c r="B292" s="228"/>
      <c r="C292" s="192"/>
      <c r="D292" s="229"/>
      <c r="E292" s="91"/>
      <c r="F292" s="212"/>
    </row>
    <row r="293" s="219" customFormat="1" spans="1:6">
      <c r="A293" s="208"/>
      <c r="B293" s="228"/>
      <c r="C293" s="192"/>
      <c r="D293" s="229"/>
      <c r="E293" s="91"/>
      <c r="F293" s="212"/>
    </row>
    <row r="294" s="219" customFormat="1" spans="1:6">
      <c r="A294" s="208"/>
      <c r="B294" s="228"/>
      <c r="C294" s="192"/>
      <c r="D294" s="229"/>
      <c r="E294" s="91"/>
      <c r="F294" s="212"/>
    </row>
    <row r="295" s="219" customFormat="1" spans="1:6">
      <c r="A295" s="208"/>
      <c r="B295" s="228"/>
      <c r="C295" s="192"/>
      <c r="D295" s="229"/>
      <c r="E295" s="91"/>
      <c r="F295" s="212"/>
    </row>
    <row r="296" s="219" customFormat="1" spans="1:6">
      <c r="A296" s="208"/>
      <c r="B296" s="228"/>
      <c r="C296" s="192"/>
      <c r="D296" s="229"/>
      <c r="E296" s="91"/>
      <c r="F296" s="212"/>
    </row>
    <row r="297" s="219" customFormat="1" spans="1:6">
      <c r="A297" s="208"/>
      <c r="B297" s="228"/>
      <c r="C297" s="192"/>
      <c r="D297" s="229"/>
      <c r="E297" s="91"/>
      <c r="F297" s="212"/>
    </row>
    <row r="298" s="219" customFormat="1" spans="1:6">
      <c r="A298" s="208"/>
      <c r="B298" s="228"/>
      <c r="C298" s="192"/>
      <c r="D298" s="229"/>
      <c r="E298" s="91"/>
      <c r="F298" s="212"/>
    </row>
    <row r="299" s="219" customFormat="1" spans="1:6">
      <c r="A299" s="208"/>
      <c r="B299" s="228"/>
      <c r="C299" s="192"/>
      <c r="D299" s="229"/>
      <c r="E299" s="91"/>
      <c r="F299" s="212"/>
    </row>
    <row r="300" s="219" customFormat="1" spans="1:6">
      <c r="A300" s="208"/>
      <c r="B300" s="228"/>
      <c r="C300" s="192"/>
      <c r="D300" s="229"/>
      <c r="E300" s="91"/>
      <c r="F300" s="212"/>
    </row>
    <row r="301" s="219" customFormat="1" spans="1:6">
      <c r="A301" s="208"/>
      <c r="B301" s="228"/>
      <c r="C301" s="192"/>
      <c r="D301" s="229"/>
      <c r="E301" s="91"/>
      <c r="F301" s="212"/>
    </row>
    <row r="302" s="219" customFormat="1" spans="1:6">
      <c r="A302" s="208"/>
      <c r="B302" s="228"/>
      <c r="C302" s="192"/>
      <c r="D302" s="229"/>
      <c r="E302" s="91"/>
      <c r="F302" s="212"/>
    </row>
    <row r="303" s="219" customFormat="1" spans="1:6">
      <c r="A303" s="208"/>
      <c r="B303" s="228"/>
      <c r="C303" s="192"/>
      <c r="D303" s="229"/>
      <c r="E303" s="91"/>
      <c r="F303" s="212"/>
    </row>
    <row r="304" s="219" customFormat="1" spans="1:6">
      <c r="A304" s="208"/>
      <c r="B304" s="228"/>
      <c r="C304" s="192"/>
      <c r="D304" s="229"/>
      <c r="E304" s="91"/>
      <c r="F304" s="212"/>
    </row>
    <row r="305" s="219" customFormat="1" spans="1:6">
      <c r="A305" s="208"/>
      <c r="B305" s="228"/>
      <c r="C305" s="192"/>
      <c r="D305" s="229"/>
      <c r="E305" s="91"/>
      <c r="F305" s="212"/>
    </row>
    <row r="306" s="219" customFormat="1" spans="1:6">
      <c r="A306" s="208"/>
      <c r="B306" s="228"/>
      <c r="C306" s="192"/>
      <c r="D306" s="229"/>
      <c r="E306" s="91"/>
      <c r="F306" s="212"/>
    </row>
    <row r="307" s="219" customFormat="1" spans="1:6">
      <c r="A307" s="208"/>
      <c r="B307" s="228"/>
      <c r="C307" s="192"/>
      <c r="D307" s="229"/>
      <c r="E307" s="91"/>
      <c r="F307" s="212"/>
    </row>
    <row r="308" s="219" customFormat="1" spans="1:6">
      <c r="A308" s="208"/>
      <c r="B308" s="228"/>
      <c r="C308" s="192"/>
      <c r="D308" s="229"/>
      <c r="E308" s="91"/>
      <c r="F308" s="212"/>
    </row>
    <row r="309" s="219" customFormat="1" spans="1:6">
      <c r="A309" s="208"/>
      <c r="B309" s="228"/>
      <c r="C309" s="192"/>
      <c r="D309" s="229"/>
      <c r="E309" s="91"/>
      <c r="F309" s="212"/>
    </row>
    <row r="310" s="219" customFormat="1" spans="1:6">
      <c r="A310" s="208"/>
      <c r="B310" s="228"/>
      <c r="C310" s="192"/>
      <c r="D310" s="229"/>
      <c r="E310" s="91"/>
      <c r="F310" s="212"/>
    </row>
    <row r="311" s="219" customFormat="1" spans="1:6">
      <c r="A311" s="208"/>
      <c r="B311" s="228"/>
      <c r="C311" s="192"/>
      <c r="D311" s="229"/>
      <c r="E311" s="91"/>
      <c r="F311" s="212"/>
    </row>
    <row r="312" s="219" customFormat="1" spans="1:6">
      <c r="A312" s="208"/>
      <c r="B312" s="228"/>
      <c r="C312" s="192"/>
      <c r="D312" s="229"/>
      <c r="E312" s="91"/>
      <c r="F312" s="212"/>
    </row>
    <row r="313" s="219" customFormat="1" spans="1:6">
      <c r="A313" s="208"/>
      <c r="B313" s="228"/>
      <c r="C313" s="192"/>
      <c r="D313" s="229"/>
      <c r="E313" s="91"/>
      <c r="F313" s="212"/>
    </row>
    <row r="314" s="219" customFormat="1" spans="1:6">
      <c r="A314" s="208"/>
      <c r="B314" s="228"/>
      <c r="C314" s="192"/>
      <c r="D314" s="229"/>
      <c r="E314" s="91"/>
      <c r="F314" s="212"/>
    </row>
    <row r="315" s="219" customFormat="1" spans="1:6">
      <c r="A315" s="208"/>
      <c r="B315" s="228"/>
      <c r="C315" s="192"/>
      <c r="D315" s="229"/>
      <c r="E315" s="91"/>
      <c r="F315" s="212"/>
    </row>
    <row r="316" s="219" customFormat="1" spans="1:6">
      <c r="A316" s="208"/>
      <c r="B316" s="228"/>
      <c r="C316" s="192"/>
      <c r="D316" s="229"/>
      <c r="E316" s="91"/>
      <c r="F316" s="212"/>
    </row>
    <row r="317" s="219" customFormat="1" spans="1:6">
      <c r="A317" s="208"/>
      <c r="B317" s="228"/>
      <c r="C317" s="192"/>
      <c r="D317" s="229"/>
      <c r="E317" s="91"/>
      <c r="F317" s="212"/>
    </row>
    <row r="318" s="219" customFormat="1" spans="1:6">
      <c r="A318" s="208"/>
      <c r="B318" s="228"/>
      <c r="C318" s="192"/>
      <c r="D318" s="229"/>
      <c r="E318" s="91"/>
      <c r="F318" s="212"/>
    </row>
    <row r="319" s="219" customFormat="1" spans="1:6">
      <c r="A319" s="208"/>
      <c r="B319" s="228"/>
      <c r="C319" s="192"/>
      <c r="D319" s="229"/>
      <c r="E319" s="91"/>
      <c r="F319" s="212"/>
    </row>
    <row r="320" s="219" customFormat="1" spans="1:6">
      <c r="A320" s="208"/>
      <c r="B320" s="228"/>
      <c r="C320" s="192"/>
      <c r="D320" s="229"/>
      <c r="E320" s="91"/>
      <c r="F320" s="212"/>
    </row>
    <row r="321" s="219" customFormat="1" spans="1:6">
      <c r="A321" s="208"/>
      <c r="B321" s="228"/>
      <c r="C321" s="192"/>
      <c r="D321" s="229"/>
      <c r="E321" s="91"/>
      <c r="F321" s="212"/>
    </row>
    <row r="322" s="219" customFormat="1" spans="1:8">
      <c r="A322" s="208"/>
      <c r="B322" s="228"/>
      <c r="C322" s="192"/>
      <c r="D322" s="229"/>
      <c r="E322" s="91"/>
      <c r="F322" s="212"/>
      <c r="H322" s="232"/>
    </row>
    <row r="323" s="219" customFormat="1" spans="1:8">
      <c r="A323" s="208"/>
      <c r="B323" s="228"/>
      <c r="C323" s="192"/>
      <c r="D323" s="229"/>
      <c r="E323" s="91"/>
      <c r="F323" s="212"/>
      <c r="H323" s="232"/>
    </row>
    <row r="324" s="219" customFormat="1" spans="1:6">
      <c r="A324" s="208"/>
      <c r="B324" s="228"/>
      <c r="C324" s="192"/>
      <c r="D324" s="229"/>
      <c r="E324" s="91"/>
      <c r="F324" s="212"/>
    </row>
    <row r="325" s="219" customFormat="1" spans="1:6">
      <c r="A325" s="208"/>
      <c r="B325" s="228"/>
      <c r="C325" s="192"/>
      <c r="D325" s="229"/>
      <c r="E325" s="91"/>
      <c r="F325" s="212"/>
    </row>
    <row r="326" s="219" customFormat="1" spans="1:6">
      <c r="A326" s="208"/>
      <c r="B326" s="228"/>
      <c r="C326" s="192"/>
      <c r="D326" s="229"/>
      <c r="E326" s="91"/>
      <c r="F326" s="212"/>
    </row>
    <row r="327" s="219" customFormat="1" spans="1:6">
      <c r="A327" s="208"/>
      <c r="B327" s="228"/>
      <c r="C327" s="192"/>
      <c r="D327" s="229"/>
      <c r="E327" s="91"/>
      <c r="F327" s="212"/>
    </row>
    <row r="328" s="219" customFormat="1" spans="1:6">
      <c r="A328" s="208"/>
      <c r="B328" s="228"/>
      <c r="C328" s="192"/>
      <c r="D328" s="229"/>
      <c r="E328" s="91"/>
      <c r="F328" s="212"/>
    </row>
    <row r="329" s="219" customFormat="1" spans="1:6">
      <c r="A329" s="208"/>
      <c r="B329" s="228"/>
      <c r="C329" s="192"/>
      <c r="D329" s="229"/>
      <c r="E329" s="91"/>
      <c r="F329" s="212"/>
    </row>
    <row r="330" s="219" customFormat="1" spans="1:6">
      <c r="A330" s="208"/>
      <c r="B330" s="228"/>
      <c r="C330" s="192"/>
      <c r="D330" s="229"/>
      <c r="E330" s="91"/>
      <c r="F330" s="212"/>
    </row>
    <row r="331" s="219" customFormat="1" spans="1:6">
      <c r="A331" s="208"/>
      <c r="B331" s="228"/>
      <c r="C331" s="192"/>
      <c r="D331" s="229"/>
      <c r="E331" s="91"/>
      <c r="F331" s="212"/>
    </row>
    <row r="332" s="219" customFormat="1" spans="1:6">
      <c r="A332" s="208"/>
      <c r="B332" s="228"/>
      <c r="C332" s="192"/>
      <c r="D332" s="229"/>
      <c r="E332" s="91"/>
      <c r="F332" s="212"/>
    </row>
    <row r="333" s="219" customFormat="1" spans="1:6">
      <c r="A333" s="208"/>
      <c r="B333" s="228"/>
      <c r="C333" s="192"/>
      <c r="D333" s="229"/>
      <c r="E333" s="91"/>
      <c r="F333" s="212"/>
    </row>
    <row r="334" s="219" customFormat="1" spans="1:6">
      <c r="A334" s="208"/>
      <c r="B334" s="228"/>
      <c r="C334" s="192"/>
      <c r="D334" s="229"/>
      <c r="E334" s="91"/>
      <c r="F334" s="212"/>
    </row>
    <row r="335" s="219" customFormat="1" spans="1:6">
      <c r="A335" s="208"/>
      <c r="B335" s="228"/>
      <c r="C335" s="192"/>
      <c r="D335" s="229"/>
      <c r="E335" s="91"/>
      <c r="F335" s="212"/>
    </row>
    <row r="336" s="219" customFormat="1" spans="1:6">
      <c r="A336" s="208"/>
      <c r="B336" s="228"/>
      <c r="C336" s="192"/>
      <c r="D336" s="229"/>
      <c r="E336" s="91"/>
      <c r="F336" s="212"/>
    </row>
    <row r="337" s="219" customFormat="1" spans="1:6">
      <c r="A337" s="208"/>
      <c r="B337" s="228"/>
      <c r="C337" s="192"/>
      <c r="D337" s="229"/>
      <c r="E337" s="91"/>
      <c r="F337" s="212"/>
    </row>
    <row r="338" s="219" customFormat="1" spans="1:6">
      <c r="A338" s="208"/>
      <c r="B338" s="228"/>
      <c r="C338" s="192"/>
      <c r="D338" s="229"/>
      <c r="E338" s="91"/>
      <c r="F338" s="212"/>
    </row>
    <row r="339" s="219" customFormat="1" spans="1:6">
      <c r="A339" s="208"/>
      <c r="B339" s="228"/>
      <c r="C339" s="192"/>
      <c r="D339" s="229"/>
      <c r="E339" s="91"/>
      <c r="F339" s="212"/>
    </row>
    <row r="340" s="219" customFormat="1" spans="1:6">
      <c r="A340" s="208"/>
      <c r="B340" s="228"/>
      <c r="C340" s="192"/>
      <c r="D340" s="229"/>
      <c r="E340" s="91"/>
      <c r="F340" s="212"/>
    </row>
    <row r="341" s="219" customFormat="1" spans="1:6">
      <c r="A341" s="208"/>
      <c r="B341" s="228"/>
      <c r="C341" s="192"/>
      <c r="D341" s="229"/>
      <c r="E341" s="91"/>
      <c r="F341" s="212"/>
    </row>
    <row r="342" s="219" customFormat="1" spans="1:6">
      <c r="A342" s="208"/>
      <c r="B342" s="228"/>
      <c r="C342" s="192"/>
      <c r="D342" s="229"/>
      <c r="E342" s="91"/>
      <c r="F342" s="212"/>
    </row>
    <row r="343" s="219" customFormat="1" spans="1:6">
      <c r="A343" s="208"/>
      <c r="B343" s="228"/>
      <c r="C343" s="192"/>
      <c r="D343" s="229"/>
      <c r="E343" s="91"/>
      <c r="F343" s="212"/>
    </row>
    <row r="344" s="219" customFormat="1" spans="1:6">
      <c r="A344" s="208"/>
      <c r="B344" s="228"/>
      <c r="C344" s="192"/>
      <c r="D344" s="229"/>
      <c r="E344" s="91"/>
      <c r="F344" s="212"/>
    </row>
    <row r="345" s="219" customFormat="1" spans="1:6">
      <c r="A345" s="208"/>
      <c r="B345" s="228"/>
      <c r="C345" s="192"/>
      <c r="D345" s="229"/>
      <c r="E345" s="91"/>
      <c r="F345" s="212"/>
    </row>
    <row r="346" s="219" customFormat="1" spans="1:6">
      <c r="A346" s="208"/>
      <c r="B346" s="228"/>
      <c r="C346" s="192"/>
      <c r="D346" s="229"/>
      <c r="E346" s="91"/>
      <c r="F346" s="212"/>
    </row>
    <row r="347" s="219" customFormat="1" spans="1:6">
      <c r="A347" s="208"/>
      <c r="B347" s="228"/>
      <c r="C347" s="192"/>
      <c r="D347" s="229"/>
      <c r="E347" s="91"/>
      <c r="F347" s="212"/>
    </row>
    <row r="348" s="219" customFormat="1" spans="1:6">
      <c r="A348" s="208"/>
      <c r="B348" s="228"/>
      <c r="C348" s="192"/>
      <c r="D348" s="229"/>
      <c r="E348" s="91"/>
      <c r="F348" s="212"/>
    </row>
    <row r="349" s="219" customFormat="1" spans="1:6">
      <c r="A349" s="208"/>
      <c r="B349" s="228"/>
      <c r="C349" s="192"/>
      <c r="D349" s="229"/>
      <c r="E349" s="91"/>
      <c r="F349" s="212"/>
    </row>
    <row r="350" s="219" customFormat="1" spans="1:8">
      <c r="A350" s="208"/>
      <c r="B350" s="228"/>
      <c r="C350" s="192"/>
      <c r="D350" s="229"/>
      <c r="E350" s="91"/>
      <c r="F350" s="212"/>
      <c r="H350" s="232"/>
    </row>
    <row r="351" s="219" customFormat="1" spans="1:6">
      <c r="A351" s="208"/>
      <c r="B351" s="228"/>
      <c r="C351" s="192"/>
      <c r="D351" s="229"/>
      <c r="E351" s="91"/>
      <c r="F351" s="212"/>
    </row>
    <row r="352" s="219" customFormat="1" spans="1:6">
      <c r="A352" s="208"/>
      <c r="B352" s="228"/>
      <c r="C352" s="192"/>
      <c r="D352" s="229"/>
      <c r="E352" s="91"/>
      <c r="F352" s="212"/>
    </row>
    <row r="353" s="219" customFormat="1" spans="1:6">
      <c r="A353" s="208"/>
      <c r="B353" s="228"/>
      <c r="C353" s="192"/>
      <c r="D353" s="229"/>
      <c r="E353" s="91"/>
      <c r="F353" s="212"/>
    </row>
    <row r="354" s="219" customFormat="1" spans="1:6">
      <c r="A354" s="208"/>
      <c r="B354" s="228"/>
      <c r="C354" s="192"/>
      <c r="D354" s="229"/>
      <c r="E354" s="91"/>
      <c r="F354" s="212"/>
    </row>
    <row r="355" s="219" customFormat="1" spans="1:6">
      <c r="A355" s="208"/>
      <c r="B355" s="228"/>
      <c r="C355" s="192"/>
      <c r="D355" s="229"/>
      <c r="E355" s="91"/>
      <c r="F355" s="212"/>
    </row>
    <row r="356" s="219" customFormat="1" spans="1:6">
      <c r="A356" s="208"/>
      <c r="B356" s="228"/>
      <c r="C356" s="192"/>
      <c r="D356" s="229"/>
      <c r="E356" s="91"/>
      <c r="F356" s="212"/>
    </row>
    <row r="357" s="219" customFormat="1" spans="1:6">
      <c r="A357" s="208"/>
      <c r="B357" s="228"/>
      <c r="C357" s="192"/>
      <c r="D357" s="229"/>
      <c r="E357" s="91"/>
      <c r="F357" s="212"/>
    </row>
    <row r="358" s="219" customFormat="1" spans="1:6">
      <c r="A358" s="208"/>
      <c r="B358" s="228"/>
      <c r="C358" s="192"/>
      <c r="D358" s="229"/>
      <c r="E358" s="91"/>
      <c r="F358" s="212"/>
    </row>
    <row r="359" s="219" customFormat="1" spans="1:6">
      <c r="A359" s="208"/>
      <c r="B359" s="228"/>
      <c r="C359" s="192"/>
      <c r="D359" s="229"/>
      <c r="E359" s="91"/>
      <c r="F359" s="212"/>
    </row>
    <row r="360" s="219" customFormat="1" spans="1:6">
      <c r="A360" s="208"/>
      <c r="B360" s="228"/>
      <c r="C360" s="192"/>
      <c r="D360" s="229"/>
      <c r="E360" s="91"/>
      <c r="F360" s="212"/>
    </row>
    <row r="361" s="219" customFormat="1" spans="1:6">
      <c r="A361" s="208"/>
      <c r="B361" s="228"/>
      <c r="C361" s="192"/>
      <c r="D361" s="229"/>
      <c r="E361" s="91"/>
      <c r="F361" s="212"/>
    </row>
    <row r="362" s="219" customFormat="1" spans="1:6">
      <c r="A362" s="208"/>
      <c r="B362" s="228"/>
      <c r="C362" s="192"/>
      <c r="D362" s="229"/>
      <c r="E362" s="91"/>
      <c r="F362" s="212"/>
    </row>
    <row r="363" s="219" customFormat="1" spans="1:6">
      <c r="A363" s="208"/>
      <c r="B363" s="228"/>
      <c r="C363" s="192"/>
      <c r="D363" s="229"/>
      <c r="E363" s="91"/>
      <c r="F363" s="212"/>
    </row>
    <row r="364" s="219" customFormat="1" spans="1:6">
      <c r="A364" s="208"/>
      <c r="B364" s="228"/>
      <c r="C364" s="192"/>
      <c r="D364" s="229"/>
      <c r="E364" s="91"/>
      <c r="F364" s="212"/>
    </row>
    <row r="365" s="219" customFormat="1" spans="1:6">
      <c r="A365" s="208"/>
      <c r="B365" s="228"/>
      <c r="C365" s="192"/>
      <c r="D365" s="229"/>
      <c r="E365" s="91"/>
      <c r="F365" s="212"/>
    </row>
    <row r="366" s="219" customFormat="1" spans="1:6">
      <c r="A366" s="208"/>
      <c r="B366" s="228"/>
      <c r="C366" s="192"/>
      <c r="D366" s="229"/>
      <c r="E366" s="91"/>
      <c r="F366" s="212"/>
    </row>
    <row r="367" s="219" customFormat="1" spans="1:6">
      <c r="A367" s="208"/>
      <c r="B367" s="228"/>
      <c r="C367" s="192"/>
      <c r="D367" s="229"/>
      <c r="E367" s="91"/>
      <c r="F367" s="212"/>
    </row>
    <row r="368" s="219" customFormat="1" spans="1:6">
      <c r="A368" s="208"/>
      <c r="B368" s="239"/>
      <c r="C368" s="192"/>
      <c r="D368" s="240"/>
      <c r="E368" s="91"/>
      <c r="F368" s="212"/>
    </row>
    <row r="369" s="219" customFormat="1" spans="1:6">
      <c r="A369" s="208"/>
      <c r="B369" s="239"/>
      <c r="C369" s="192"/>
      <c r="D369" s="240"/>
      <c r="E369" s="91"/>
      <c r="F369" s="212"/>
    </row>
    <row r="370" s="219" customFormat="1" spans="1:6">
      <c r="A370" s="208"/>
      <c r="B370" s="239"/>
      <c r="C370" s="192"/>
      <c r="D370" s="240"/>
      <c r="E370" s="91"/>
      <c r="F370" s="212"/>
    </row>
    <row r="371" s="219" customFormat="1" spans="1:6">
      <c r="A371" s="208"/>
      <c r="B371" s="239"/>
      <c r="C371" s="192"/>
      <c r="D371" s="240"/>
      <c r="E371" s="91"/>
      <c r="F371" s="212"/>
    </row>
    <row r="372" s="219" customFormat="1" spans="1:6">
      <c r="A372" s="208"/>
      <c r="B372" s="239"/>
      <c r="C372" s="192"/>
      <c r="D372" s="240"/>
      <c r="E372" s="91"/>
      <c r="F372" s="212"/>
    </row>
    <row r="373" s="219" customFormat="1" spans="1:6">
      <c r="A373" s="208"/>
      <c r="B373" s="239"/>
      <c r="C373" s="192"/>
      <c r="D373" s="240"/>
      <c r="E373" s="91"/>
      <c r="F373" s="212"/>
    </row>
    <row r="374" s="219" customFormat="1" spans="1:6">
      <c r="A374" s="208"/>
      <c r="B374" s="239"/>
      <c r="C374" s="192"/>
      <c r="D374" s="240"/>
      <c r="E374" s="91"/>
      <c r="F374" s="212"/>
    </row>
    <row r="375" s="219" customFormat="1" spans="1:6">
      <c r="A375" s="208"/>
      <c r="B375" s="239"/>
      <c r="C375" s="192"/>
      <c r="D375" s="240"/>
      <c r="E375" s="91"/>
      <c r="F375" s="212"/>
    </row>
    <row r="376" s="219" customFormat="1" spans="1:6">
      <c r="A376" s="208"/>
      <c r="B376" s="239"/>
      <c r="C376" s="192"/>
      <c r="D376" s="240"/>
      <c r="E376" s="91"/>
      <c r="F376" s="212"/>
    </row>
    <row r="377" s="219" customFormat="1" spans="1:6">
      <c r="A377" s="208"/>
      <c r="B377" s="239"/>
      <c r="C377" s="192"/>
      <c r="D377" s="240"/>
      <c r="E377" s="91"/>
      <c r="F377" s="212"/>
    </row>
    <row r="378" s="219" customFormat="1" spans="1:6">
      <c r="A378" s="208"/>
      <c r="B378" s="239"/>
      <c r="C378" s="192"/>
      <c r="D378" s="240"/>
      <c r="E378" s="91"/>
      <c r="F378" s="212"/>
    </row>
    <row r="379" s="219" customFormat="1" spans="1:6">
      <c r="A379" s="208"/>
      <c r="B379" s="239"/>
      <c r="C379" s="192"/>
      <c r="D379" s="240"/>
      <c r="E379" s="91"/>
      <c r="F379" s="212"/>
    </row>
    <row r="380" s="219" customFormat="1" spans="1:6">
      <c r="A380" s="208"/>
      <c r="B380" s="239"/>
      <c r="C380" s="192"/>
      <c r="D380" s="240"/>
      <c r="E380" s="91"/>
      <c r="F380" s="212"/>
    </row>
    <row r="381" s="219" customFormat="1" spans="1:6">
      <c r="A381" s="208"/>
      <c r="B381" s="239"/>
      <c r="C381" s="192"/>
      <c r="D381" s="240"/>
      <c r="E381" s="91"/>
      <c r="F381" s="212"/>
    </row>
    <row r="382" s="219" customFormat="1" spans="1:6">
      <c r="A382" s="208"/>
      <c r="B382" s="239"/>
      <c r="C382" s="192"/>
      <c r="D382" s="240"/>
      <c r="E382" s="91"/>
      <c r="F382" s="212"/>
    </row>
    <row r="383" s="219" customFormat="1" spans="1:6">
      <c r="A383" s="208"/>
      <c r="B383" s="239"/>
      <c r="C383" s="192"/>
      <c r="D383" s="240"/>
      <c r="E383" s="91"/>
      <c r="F383" s="212"/>
    </row>
    <row r="384" s="219" customFormat="1" spans="1:6">
      <c r="A384" s="208"/>
      <c r="B384" s="239"/>
      <c r="C384" s="192"/>
      <c r="D384" s="240"/>
      <c r="E384" s="91"/>
      <c r="F384" s="212"/>
    </row>
    <row r="385" s="219" customFormat="1" spans="1:6">
      <c r="A385" s="208"/>
      <c r="B385" s="239"/>
      <c r="C385" s="192"/>
      <c r="D385" s="240"/>
      <c r="E385" s="91"/>
      <c r="F385" s="212"/>
    </row>
    <row r="386" s="219" customFormat="1" spans="1:6">
      <c r="A386" s="208"/>
      <c r="B386" s="239"/>
      <c r="C386" s="192"/>
      <c r="D386" s="240"/>
      <c r="E386" s="91"/>
      <c r="F386" s="212"/>
    </row>
    <row r="387" s="219" customFormat="1" spans="1:6">
      <c r="A387" s="208"/>
      <c r="B387" s="239"/>
      <c r="C387" s="192"/>
      <c r="D387" s="240"/>
      <c r="E387" s="91"/>
      <c r="F387" s="212"/>
    </row>
    <row r="388" s="219" customFormat="1" spans="1:6">
      <c r="A388" s="208"/>
      <c r="B388" s="239"/>
      <c r="C388" s="192"/>
      <c r="D388" s="240"/>
      <c r="E388" s="91"/>
      <c r="F388" s="212"/>
    </row>
    <row r="389" s="219" customFormat="1" spans="1:6">
      <c r="A389" s="208"/>
      <c r="B389" s="239"/>
      <c r="C389" s="192"/>
      <c r="D389" s="240"/>
      <c r="E389" s="91"/>
      <c r="F389" s="212"/>
    </row>
    <row r="390" s="219" customFormat="1" spans="1:6">
      <c r="A390" s="208"/>
      <c r="B390" s="239"/>
      <c r="C390" s="192"/>
      <c r="D390" s="240"/>
      <c r="E390" s="91"/>
      <c r="F390" s="212"/>
    </row>
    <row r="391" s="219" customFormat="1" spans="1:6">
      <c r="A391" s="208"/>
      <c r="B391" s="239"/>
      <c r="C391" s="192"/>
      <c r="D391" s="240"/>
      <c r="E391" s="91"/>
      <c r="F391" s="212"/>
    </row>
    <row r="392" s="219" customFormat="1" spans="1:6">
      <c r="A392" s="208"/>
      <c r="B392" s="239"/>
      <c r="C392" s="192"/>
      <c r="D392" s="240"/>
      <c r="E392" s="91"/>
      <c r="F392" s="212"/>
    </row>
    <row r="393" s="219" customFormat="1" spans="1:6">
      <c r="A393" s="208"/>
      <c r="B393" s="239"/>
      <c r="C393" s="192"/>
      <c r="D393" s="240"/>
      <c r="E393" s="91"/>
      <c r="F393" s="212"/>
    </row>
    <row r="394" s="219" customFormat="1" spans="1:6">
      <c r="A394" s="208"/>
      <c r="B394" s="239"/>
      <c r="C394" s="192"/>
      <c r="D394" s="240"/>
      <c r="E394" s="91"/>
      <c r="F394" s="212"/>
    </row>
    <row r="395" s="219" customFormat="1" spans="1:6">
      <c r="A395" s="208"/>
      <c r="B395" s="239"/>
      <c r="C395" s="192"/>
      <c r="D395" s="240"/>
      <c r="E395" s="91"/>
      <c r="F395" s="212"/>
    </row>
    <row r="396" s="219" customFormat="1" spans="1:6">
      <c r="A396" s="208"/>
      <c r="B396" s="239"/>
      <c r="C396" s="192"/>
      <c r="D396" s="240"/>
      <c r="E396" s="91"/>
      <c r="F396" s="212"/>
    </row>
    <row r="397" s="219" customFormat="1" spans="1:6">
      <c r="A397" s="208"/>
      <c r="B397" s="239"/>
      <c r="C397" s="192"/>
      <c r="D397" s="240"/>
      <c r="E397" s="91"/>
      <c r="F397" s="212"/>
    </row>
    <row r="398" s="219" customFormat="1" spans="1:6">
      <c r="A398" s="208"/>
      <c r="B398" s="239"/>
      <c r="C398" s="192"/>
      <c r="D398" s="240"/>
      <c r="E398" s="91"/>
      <c r="F398" s="212"/>
    </row>
    <row r="399" s="219" customFormat="1" spans="1:6">
      <c r="A399" s="208"/>
      <c r="B399" s="239"/>
      <c r="C399" s="192"/>
      <c r="D399" s="240"/>
      <c r="E399" s="91"/>
      <c r="F399" s="212"/>
    </row>
    <row r="400" s="219" customFormat="1" spans="1:6">
      <c r="A400" s="208"/>
      <c r="B400" s="239"/>
      <c r="C400" s="192"/>
      <c r="D400" s="240"/>
      <c r="E400" s="91"/>
      <c r="F400" s="212"/>
    </row>
    <row r="401" s="219" customFormat="1" spans="1:6">
      <c r="A401" s="208"/>
      <c r="B401" s="239"/>
      <c r="C401" s="192"/>
      <c r="D401" s="240"/>
      <c r="E401" s="91"/>
      <c r="F401" s="212"/>
    </row>
    <row r="402" s="219" customFormat="1" spans="1:6">
      <c r="A402" s="208"/>
      <c r="B402" s="239"/>
      <c r="C402" s="192"/>
      <c r="D402" s="240"/>
      <c r="E402" s="91"/>
      <c r="F402" s="212"/>
    </row>
    <row r="403" s="219" customFormat="1" spans="1:6">
      <c r="A403" s="208"/>
      <c r="B403" s="239"/>
      <c r="C403" s="192"/>
      <c r="D403" s="240"/>
      <c r="E403" s="91"/>
      <c r="F403" s="212"/>
    </row>
    <row r="404" s="219" customFormat="1" spans="1:6">
      <c r="A404" s="208"/>
      <c r="B404" s="239"/>
      <c r="C404" s="192"/>
      <c r="D404" s="240"/>
      <c r="E404" s="91"/>
      <c r="F404" s="212"/>
    </row>
    <row r="405" s="219" customFormat="1" spans="1:6">
      <c r="A405" s="208"/>
      <c r="B405" s="239"/>
      <c r="C405" s="192"/>
      <c r="D405" s="240"/>
      <c r="E405" s="91"/>
      <c r="F405" s="212"/>
    </row>
    <row r="406" s="219" customFormat="1" spans="1:6">
      <c r="A406" s="208"/>
      <c r="B406" s="239"/>
      <c r="C406" s="192"/>
      <c r="D406" s="240"/>
      <c r="E406" s="91"/>
      <c r="F406" s="212"/>
    </row>
    <row r="407" s="219" customFormat="1" spans="1:6">
      <c r="A407" s="208"/>
      <c r="B407" s="239"/>
      <c r="C407" s="192"/>
      <c r="D407" s="240"/>
      <c r="E407" s="91"/>
      <c r="F407" s="212"/>
    </row>
    <row r="408" s="219" customFormat="1" spans="1:6">
      <c r="A408" s="208"/>
      <c r="B408" s="239"/>
      <c r="C408" s="192"/>
      <c r="D408" s="240"/>
      <c r="E408" s="91"/>
      <c r="F408" s="212"/>
    </row>
    <row r="409" s="219" customFormat="1" spans="1:6">
      <c r="A409" s="208"/>
      <c r="B409" s="239"/>
      <c r="C409" s="192"/>
      <c r="D409" s="240"/>
      <c r="E409" s="91"/>
      <c r="F409" s="212"/>
    </row>
    <row r="410" s="219" customFormat="1" spans="1:6">
      <c r="A410" s="208"/>
      <c r="B410" s="239"/>
      <c r="C410" s="192"/>
      <c r="D410" s="240"/>
      <c r="E410" s="91"/>
      <c r="F410" s="212"/>
    </row>
    <row r="411" s="219" customFormat="1" spans="1:6">
      <c r="A411" s="208"/>
      <c r="B411" s="239"/>
      <c r="C411" s="192"/>
      <c r="D411" s="240"/>
      <c r="E411" s="91"/>
      <c r="F411" s="212"/>
    </row>
    <row r="412" s="219" customFormat="1" spans="1:6">
      <c r="A412" s="208"/>
      <c r="B412" s="239"/>
      <c r="C412" s="192"/>
      <c r="D412" s="240"/>
      <c r="E412" s="91"/>
      <c r="F412" s="212"/>
    </row>
    <row r="413" s="219" customFormat="1" spans="1:6">
      <c r="A413" s="208"/>
      <c r="B413" s="241"/>
      <c r="C413" s="192"/>
      <c r="D413" s="242"/>
      <c r="E413" s="91"/>
      <c r="F413" s="197"/>
    </row>
    <row r="414" s="219" customFormat="1" spans="1:6">
      <c r="A414" s="208"/>
      <c r="B414" s="241"/>
      <c r="C414" s="192"/>
      <c r="D414" s="242"/>
      <c r="E414" s="91"/>
      <c r="F414" s="197"/>
    </row>
    <row r="415" s="219" customFormat="1" spans="1:6">
      <c r="A415" s="208"/>
      <c r="B415" s="228"/>
      <c r="C415" s="192"/>
      <c r="D415" s="240"/>
      <c r="E415" s="91"/>
      <c r="F415" s="212"/>
    </row>
    <row r="416" s="219" customFormat="1" spans="1:6">
      <c r="A416" s="208"/>
      <c r="B416" s="228"/>
      <c r="C416" s="192"/>
      <c r="D416" s="240"/>
      <c r="E416" s="91"/>
      <c r="F416" s="212"/>
    </row>
    <row r="417" s="219" customFormat="1" spans="1:6">
      <c r="A417" s="208"/>
      <c r="B417" s="228"/>
      <c r="C417" s="192"/>
      <c r="D417" s="240"/>
      <c r="E417" s="91"/>
      <c r="F417" s="212"/>
    </row>
    <row r="418" s="219" customFormat="1" spans="1:6">
      <c r="A418" s="208"/>
      <c r="B418" s="228"/>
      <c r="C418" s="192"/>
      <c r="D418" s="240"/>
      <c r="E418" s="91"/>
      <c r="F418" s="212"/>
    </row>
    <row r="419" s="219" customFormat="1" spans="1:6">
      <c r="A419" s="208"/>
      <c r="B419" s="228"/>
      <c r="C419" s="192"/>
      <c r="D419" s="240"/>
      <c r="E419" s="91"/>
      <c r="F419" s="212"/>
    </row>
    <row r="420" s="219" customFormat="1" spans="1:6">
      <c r="A420" s="208"/>
      <c r="B420" s="228"/>
      <c r="C420" s="192"/>
      <c r="D420" s="240"/>
      <c r="E420" s="91"/>
      <c r="F420" s="212"/>
    </row>
    <row r="421" s="219" customFormat="1" spans="1:6">
      <c r="A421" s="208"/>
      <c r="B421" s="228"/>
      <c r="C421" s="192"/>
      <c r="D421" s="240"/>
      <c r="E421" s="91"/>
      <c r="F421" s="212"/>
    </row>
    <row r="422" s="219" customFormat="1" spans="1:6">
      <c r="A422" s="208"/>
      <c r="B422" s="228"/>
      <c r="C422" s="192"/>
      <c r="D422" s="240"/>
      <c r="E422" s="91"/>
      <c r="F422" s="212"/>
    </row>
    <row r="423" s="219" customFormat="1" spans="1:6">
      <c r="A423" s="208"/>
      <c r="B423" s="228"/>
      <c r="C423" s="192"/>
      <c r="D423" s="240"/>
      <c r="E423" s="91"/>
      <c r="F423" s="212"/>
    </row>
    <row r="424" s="219" customFormat="1" spans="1:6">
      <c r="A424" s="208"/>
      <c r="B424" s="228"/>
      <c r="C424" s="192"/>
      <c r="D424" s="240"/>
      <c r="E424" s="91"/>
      <c r="F424" s="212"/>
    </row>
    <row r="425" s="219" customFormat="1" spans="1:6">
      <c r="A425" s="208"/>
      <c r="B425" s="228"/>
      <c r="C425" s="192"/>
      <c r="D425" s="229"/>
      <c r="E425" s="91"/>
      <c r="F425" s="212"/>
    </row>
    <row r="426" s="219" customFormat="1" spans="1:6">
      <c r="A426" s="208"/>
      <c r="B426" s="228"/>
      <c r="C426" s="192"/>
      <c r="D426" s="229"/>
      <c r="E426" s="91"/>
      <c r="F426" s="212"/>
    </row>
    <row r="427" s="219" customFormat="1" spans="1:6">
      <c r="A427" s="208"/>
      <c r="B427" s="243"/>
      <c r="C427" s="192"/>
      <c r="D427" s="229"/>
      <c r="E427" s="91"/>
      <c r="F427" s="212"/>
    </row>
    <row r="428" s="219" customFormat="1" spans="1:6">
      <c r="A428" s="208"/>
      <c r="B428" s="243"/>
      <c r="C428" s="192"/>
      <c r="D428" s="229"/>
      <c r="E428" s="91"/>
      <c r="F428" s="212"/>
    </row>
    <row r="429" s="219" customFormat="1" spans="1:6">
      <c r="A429" s="208"/>
      <c r="B429" s="243"/>
      <c r="C429" s="192"/>
      <c r="D429" s="229"/>
      <c r="E429" s="91"/>
      <c r="F429" s="212"/>
    </row>
    <row r="430" s="219" customFormat="1" spans="1:6">
      <c r="A430" s="208"/>
      <c r="B430" s="243"/>
      <c r="C430" s="192"/>
      <c r="D430" s="229"/>
      <c r="E430" s="91"/>
      <c r="F430" s="212"/>
    </row>
    <row r="431" s="219" customFormat="1" spans="1:6">
      <c r="A431" s="208"/>
      <c r="B431" s="243"/>
      <c r="C431" s="192"/>
      <c r="D431" s="229"/>
      <c r="E431" s="91"/>
      <c r="F431" s="212"/>
    </row>
    <row r="432" s="219" customFormat="1" spans="1:6">
      <c r="A432" s="208"/>
      <c r="B432" s="243"/>
      <c r="C432" s="192"/>
      <c r="D432" s="229"/>
      <c r="E432" s="91"/>
      <c r="F432" s="212"/>
    </row>
    <row r="433" s="219" customFormat="1" spans="1:6">
      <c r="A433" s="208"/>
      <c r="B433" s="243"/>
      <c r="C433" s="192"/>
      <c r="D433" s="229"/>
      <c r="E433" s="91"/>
      <c r="F433" s="212"/>
    </row>
    <row r="434" s="219" customFormat="1" spans="1:6">
      <c r="A434" s="208"/>
      <c r="B434" s="243"/>
      <c r="C434" s="192"/>
      <c r="D434" s="229"/>
      <c r="E434" s="91"/>
      <c r="F434" s="212"/>
    </row>
    <row r="435" s="219" customFormat="1" spans="1:6">
      <c r="A435" s="208"/>
      <c r="B435" s="243"/>
      <c r="C435" s="192"/>
      <c r="D435" s="229"/>
      <c r="E435" s="91"/>
      <c r="F435" s="212"/>
    </row>
    <row r="436" s="219" customFormat="1" spans="1:6">
      <c r="A436" s="208"/>
      <c r="B436" s="243"/>
      <c r="C436" s="192"/>
      <c r="D436" s="229"/>
      <c r="E436" s="91"/>
      <c r="F436" s="212"/>
    </row>
    <row r="437" s="219" customFormat="1" spans="1:6">
      <c r="A437" s="208"/>
      <c r="B437" s="243"/>
      <c r="C437" s="192"/>
      <c r="D437" s="229"/>
      <c r="E437" s="91"/>
      <c r="F437" s="212"/>
    </row>
    <row r="438" s="219" customFormat="1" spans="1:6">
      <c r="A438" s="208"/>
      <c r="B438" s="243"/>
      <c r="C438" s="192"/>
      <c r="D438" s="229"/>
      <c r="E438" s="91"/>
      <c r="F438" s="212"/>
    </row>
    <row r="439" s="219" customFormat="1" spans="1:6">
      <c r="A439" s="208"/>
      <c r="B439" s="243"/>
      <c r="C439" s="192"/>
      <c r="D439" s="229"/>
      <c r="E439" s="91"/>
      <c r="F439" s="212"/>
    </row>
    <row r="440" s="219" customFormat="1" spans="1:6">
      <c r="A440" s="208"/>
      <c r="B440" s="243"/>
      <c r="C440" s="192"/>
      <c r="D440" s="229"/>
      <c r="E440" s="91"/>
      <c r="F440" s="212"/>
    </row>
    <row r="441" s="219" customFormat="1" spans="1:6">
      <c r="A441" s="208"/>
      <c r="B441" s="243"/>
      <c r="C441" s="192"/>
      <c r="D441" s="229"/>
      <c r="E441" s="91"/>
      <c r="F441" s="212"/>
    </row>
    <row r="442" s="219" customFormat="1" spans="1:6">
      <c r="A442" s="208"/>
      <c r="B442" s="228"/>
      <c r="C442" s="244"/>
      <c r="D442" s="229"/>
      <c r="E442" s="91"/>
      <c r="F442" s="212"/>
    </row>
    <row r="443" s="219" customFormat="1" spans="1:6">
      <c r="A443" s="208"/>
      <c r="B443" s="245"/>
      <c r="C443" s="192"/>
      <c r="D443" s="229"/>
      <c r="E443" s="91"/>
      <c r="F443" s="212"/>
    </row>
    <row r="444" s="219" customFormat="1" spans="1:6">
      <c r="A444" s="208"/>
      <c r="B444" s="245"/>
      <c r="C444" s="192"/>
      <c r="D444" s="229"/>
      <c r="E444" s="91"/>
      <c r="F444" s="212"/>
    </row>
    <row r="445" s="219" customFormat="1" spans="1:6">
      <c r="A445" s="208"/>
      <c r="B445" s="245"/>
      <c r="C445" s="192"/>
      <c r="D445" s="229"/>
      <c r="E445" s="91"/>
      <c r="F445" s="212"/>
    </row>
    <row r="446" s="219" customFormat="1" spans="1:6">
      <c r="A446" s="208"/>
      <c r="B446" s="245"/>
      <c r="C446" s="192"/>
      <c r="D446" s="229"/>
      <c r="E446" s="91"/>
      <c r="F446" s="212"/>
    </row>
    <row r="447" s="219" customFormat="1" spans="1:6">
      <c r="A447" s="208"/>
      <c r="B447" s="245"/>
      <c r="C447" s="192"/>
      <c r="D447" s="229"/>
      <c r="E447" s="91"/>
      <c r="F447" s="212"/>
    </row>
    <row r="448" s="219" customFormat="1" spans="1:6">
      <c r="A448" s="208"/>
      <c r="B448" s="245"/>
      <c r="C448" s="192"/>
      <c r="D448" s="229"/>
      <c r="E448" s="91"/>
      <c r="F448" s="212"/>
    </row>
    <row r="449" s="219" customFormat="1" spans="1:6">
      <c r="A449" s="208"/>
      <c r="B449" s="245"/>
      <c r="C449" s="192"/>
      <c r="D449" s="229"/>
      <c r="E449" s="91"/>
      <c r="F449" s="212"/>
    </row>
    <row r="450" s="219" customFormat="1" spans="1:6">
      <c r="A450" s="208"/>
      <c r="B450" s="245"/>
      <c r="C450" s="192"/>
      <c r="D450" s="229"/>
      <c r="E450" s="91"/>
      <c r="F450" s="212"/>
    </row>
    <row r="451" s="219" customFormat="1" spans="1:6">
      <c r="A451" s="208"/>
      <c r="B451" s="245"/>
      <c r="C451" s="192"/>
      <c r="D451" s="229"/>
      <c r="E451" s="91"/>
      <c r="F451" s="212"/>
    </row>
    <row r="452" s="219" customFormat="1" spans="1:7">
      <c r="A452" s="208"/>
      <c r="B452" s="245"/>
      <c r="C452" s="192"/>
      <c r="D452" s="229"/>
      <c r="E452" s="91"/>
      <c r="F452" s="212"/>
      <c r="G452" s="232"/>
    </row>
    <row r="453" s="219" customFormat="1" spans="1:6">
      <c r="A453" s="208"/>
      <c r="B453" s="245"/>
      <c r="C453" s="192"/>
      <c r="D453" s="229"/>
      <c r="E453" s="91"/>
      <c r="F453" s="212"/>
    </row>
    <row r="454" s="219" customFormat="1" spans="1:6">
      <c r="A454" s="208"/>
      <c r="B454" s="245"/>
      <c r="C454" s="192"/>
      <c r="D454" s="229"/>
      <c r="E454" s="91"/>
      <c r="F454" s="212"/>
    </row>
    <row r="455" s="219" customFormat="1" spans="1:6">
      <c r="A455" s="208"/>
      <c r="B455" s="243"/>
      <c r="C455" s="192"/>
      <c r="D455" s="229"/>
      <c r="E455" s="91"/>
      <c r="F455" s="212"/>
    </row>
    <row r="456" s="219" customFormat="1" spans="1:6">
      <c r="A456" s="208"/>
      <c r="B456" s="243"/>
      <c r="C456" s="192"/>
      <c r="D456" s="229"/>
      <c r="E456" s="91"/>
      <c r="F456" s="212"/>
    </row>
    <row r="457" s="219" customFormat="1" spans="1:6">
      <c r="A457" s="208"/>
      <c r="B457" s="243"/>
      <c r="C457" s="192"/>
      <c r="D457" s="229"/>
      <c r="E457" s="91"/>
      <c r="F457" s="212"/>
    </row>
    <row r="458" s="219" customFormat="1" spans="1:6">
      <c r="A458" s="208"/>
      <c r="B458" s="243"/>
      <c r="C458" s="192"/>
      <c r="D458" s="229"/>
      <c r="E458" s="91"/>
      <c r="F458" s="212"/>
    </row>
    <row r="459" s="219" customFormat="1" spans="1:6">
      <c r="A459" s="208"/>
      <c r="B459" s="243"/>
      <c r="C459" s="192"/>
      <c r="D459" s="229"/>
      <c r="E459" s="91"/>
      <c r="F459" s="212"/>
    </row>
    <row r="460" s="219" customFormat="1" spans="1:6">
      <c r="A460" s="208"/>
      <c r="B460" s="243"/>
      <c r="C460" s="192"/>
      <c r="D460" s="229"/>
      <c r="E460" s="91"/>
      <c r="F460" s="212"/>
    </row>
    <row r="461" s="219" customFormat="1" spans="1:6">
      <c r="A461" s="208"/>
      <c r="B461" s="243"/>
      <c r="C461" s="192"/>
      <c r="D461" s="229"/>
      <c r="E461" s="91"/>
      <c r="F461" s="212"/>
    </row>
    <row r="462" s="219" customFormat="1" spans="1:6">
      <c r="A462" s="208"/>
      <c r="B462" s="243"/>
      <c r="C462" s="192"/>
      <c r="D462" s="229"/>
      <c r="E462" s="91"/>
      <c r="F462" s="212"/>
    </row>
    <row r="463" s="219" customFormat="1" spans="1:6">
      <c r="A463" s="208"/>
      <c r="B463" s="243"/>
      <c r="C463" s="192"/>
      <c r="D463" s="229"/>
      <c r="E463" s="91"/>
      <c r="F463" s="212"/>
    </row>
    <row r="464" s="219" customFormat="1" spans="1:6">
      <c r="A464" s="208"/>
      <c r="B464" s="243"/>
      <c r="C464" s="192"/>
      <c r="D464" s="229"/>
      <c r="E464" s="91"/>
      <c r="F464" s="212"/>
    </row>
    <row r="465" s="219" customFormat="1" spans="1:6">
      <c r="A465" s="208"/>
      <c r="B465" s="243"/>
      <c r="C465" s="192"/>
      <c r="D465" s="229"/>
      <c r="E465" s="91"/>
      <c r="F465" s="212"/>
    </row>
    <row r="466" s="219" customFormat="1" spans="1:6">
      <c r="A466" s="208"/>
      <c r="B466" s="243"/>
      <c r="C466" s="192"/>
      <c r="D466" s="229"/>
      <c r="E466" s="91"/>
      <c r="F466" s="212"/>
    </row>
    <row r="467" s="219" customFormat="1" spans="1:6">
      <c r="A467" s="208"/>
      <c r="B467" s="243"/>
      <c r="C467" s="192"/>
      <c r="D467" s="229"/>
      <c r="E467" s="91"/>
      <c r="F467" s="212"/>
    </row>
    <row r="468" s="219" customFormat="1" spans="1:6">
      <c r="A468" s="208"/>
      <c r="B468" s="243"/>
      <c r="C468" s="192"/>
      <c r="D468" s="229"/>
      <c r="E468" s="91"/>
      <c r="F468" s="212"/>
    </row>
    <row r="469" s="219" customFormat="1" spans="1:6">
      <c r="A469" s="208"/>
      <c r="B469" s="243"/>
      <c r="C469" s="192"/>
      <c r="D469" s="229"/>
      <c r="E469" s="91"/>
      <c r="F469" s="212"/>
    </row>
    <row r="470" s="219" customFormat="1" spans="1:6">
      <c r="A470" s="208"/>
      <c r="B470" s="243"/>
      <c r="C470" s="192"/>
      <c r="D470" s="229"/>
      <c r="E470" s="91"/>
      <c r="F470" s="212"/>
    </row>
    <row r="471" s="219" customFormat="1" spans="1:6">
      <c r="A471" s="208"/>
      <c r="B471" s="243"/>
      <c r="C471" s="192"/>
      <c r="D471" s="229"/>
      <c r="E471" s="91"/>
      <c r="F471" s="212"/>
    </row>
    <row r="472" s="219" customFormat="1" spans="1:6">
      <c r="A472" s="208"/>
      <c r="B472" s="243"/>
      <c r="C472" s="192"/>
      <c r="D472" s="229"/>
      <c r="E472" s="91"/>
      <c r="F472" s="212"/>
    </row>
    <row r="473" s="219" customFormat="1" spans="1:6">
      <c r="A473" s="208"/>
      <c r="B473" s="243"/>
      <c r="C473" s="192"/>
      <c r="D473" s="229"/>
      <c r="E473" s="91"/>
      <c r="F473" s="212"/>
    </row>
    <row r="474" s="219" customFormat="1" spans="1:6">
      <c r="A474" s="208"/>
      <c r="B474" s="212"/>
      <c r="C474" s="192"/>
      <c r="D474" s="91"/>
      <c r="E474" s="91"/>
      <c r="F474" s="212"/>
    </row>
    <row r="475" s="219" customFormat="1" spans="1:6">
      <c r="A475" s="208"/>
      <c r="B475" s="212"/>
      <c r="C475" s="192"/>
      <c r="D475" s="91"/>
      <c r="E475" s="91"/>
      <c r="F475" s="212"/>
    </row>
    <row r="476" s="219" customFormat="1" spans="1:6">
      <c r="A476" s="208"/>
      <c r="B476" s="212"/>
      <c r="C476" s="192"/>
      <c r="D476" s="91"/>
      <c r="E476" s="91"/>
      <c r="F476" s="212"/>
    </row>
    <row r="477" s="219" customFormat="1" spans="1:6">
      <c r="A477" s="208"/>
      <c r="B477" s="212"/>
      <c r="C477" s="192"/>
      <c r="D477" s="91"/>
      <c r="E477" s="91"/>
      <c r="F477" s="212"/>
    </row>
    <row r="478" s="219" customFormat="1" spans="1:6">
      <c r="A478" s="208"/>
      <c r="B478" s="212"/>
      <c r="C478" s="192"/>
      <c r="D478" s="91"/>
      <c r="E478" s="91"/>
      <c r="F478" s="212"/>
    </row>
    <row r="479" s="219" customFormat="1" spans="1:6">
      <c r="A479" s="208"/>
      <c r="B479" s="212"/>
      <c r="C479" s="192"/>
      <c r="D479" s="91"/>
      <c r="E479" s="91"/>
      <c r="F479" s="212"/>
    </row>
    <row r="480" s="219" customFormat="1" spans="1:6">
      <c r="A480" s="208"/>
      <c r="B480" s="212"/>
      <c r="C480" s="192"/>
      <c r="D480" s="91"/>
      <c r="E480" s="91"/>
      <c r="F480" s="212"/>
    </row>
    <row r="481" s="219" customFormat="1" spans="1:6">
      <c r="A481" s="208"/>
      <c r="B481" s="212"/>
      <c r="C481" s="192"/>
      <c r="D481" s="91"/>
      <c r="E481" s="91"/>
      <c r="F481" s="212"/>
    </row>
    <row r="482" s="219" customFormat="1" spans="1:6">
      <c r="A482" s="208"/>
      <c r="B482" s="246"/>
      <c r="C482" s="192"/>
      <c r="D482" s="91"/>
      <c r="E482" s="91"/>
      <c r="F482" s="212"/>
    </row>
    <row r="483" s="219" customFormat="1" spans="1:6">
      <c r="A483" s="208"/>
      <c r="B483" s="246"/>
      <c r="C483" s="192"/>
      <c r="D483" s="91"/>
      <c r="E483" s="91"/>
      <c r="F483" s="212"/>
    </row>
    <row r="484" s="219" customFormat="1" spans="1:6">
      <c r="A484" s="208"/>
      <c r="B484" s="246"/>
      <c r="C484" s="192"/>
      <c r="D484" s="91"/>
      <c r="E484" s="91"/>
      <c r="F484" s="212"/>
    </row>
    <row r="485" s="219" customFormat="1" spans="1:6">
      <c r="A485" s="208"/>
      <c r="B485" s="246"/>
      <c r="C485" s="192"/>
      <c r="D485" s="91"/>
      <c r="E485" s="91"/>
      <c r="F485" s="212"/>
    </row>
    <row r="486" s="219" customFormat="1" spans="1:6">
      <c r="A486" s="208"/>
      <c r="B486" s="246"/>
      <c r="C486" s="192"/>
      <c r="D486" s="91"/>
      <c r="E486" s="91"/>
      <c r="F486" s="212"/>
    </row>
    <row r="487" s="219" customFormat="1" spans="1:6">
      <c r="A487" s="208"/>
      <c r="B487" s="246"/>
      <c r="C487" s="192"/>
      <c r="D487" s="91"/>
      <c r="E487" s="91"/>
      <c r="F487" s="212"/>
    </row>
    <row r="488" s="219" customFormat="1" spans="1:6">
      <c r="A488" s="208"/>
      <c r="B488" s="246"/>
      <c r="C488" s="192"/>
      <c r="D488" s="91"/>
      <c r="E488" s="91"/>
      <c r="F488" s="212"/>
    </row>
    <row r="489" s="219" customFormat="1" spans="1:6">
      <c r="A489" s="208"/>
      <c r="B489" s="246"/>
      <c r="C489" s="192"/>
      <c r="D489" s="91"/>
      <c r="E489" s="91"/>
      <c r="F489" s="212"/>
    </row>
    <row r="490" s="219" customFormat="1" spans="1:6">
      <c r="A490" s="208"/>
      <c r="B490" s="246"/>
      <c r="C490" s="192"/>
      <c r="D490" s="91"/>
      <c r="E490" s="91"/>
      <c r="F490" s="212"/>
    </row>
    <row r="491" s="219" customFormat="1" spans="1:6">
      <c r="A491" s="208"/>
      <c r="B491" s="246"/>
      <c r="C491" s="192"/>
      <c r="D491" s="91"/>
      <c r="E491" s="91"/>
      <c r="F491" s="212"/>
    </row>
    <row r="492" s="219" customFormat="1" spans="1:6">
      <c r="A492" s="208"/>
      <c r="B492" s="246"/>
      <c r="C492" s="192"/>
      <c r="D492" s="91"/>
      <c r="E492" s="91"/>
      <c r="F492" s="212"/>
    </row>
    <row r="493" s="219" customFormat="1" spans="1:6">
      <c r="A493" s="208"/>
      <c r="B493" s="246"/>
      <c r="C493" s="192"/>
      <c r="D493" s="91"/>
      <c r="E493" s="91"/>
      <c r="F493" s="212"/>
    </row>
    <row r="494" s="219" customFormat="1" spans="1:6">
      <c r="A494" s="208"/>
      <c r="B494" s="246"/>
      <c r="C494" s="192"/>
      <c r="D494" s="91"/>
      <c r="E494" s="91"/>
      <c r="F494" s="212"/>
    </row>
    <row r="495" s="219" customFormat="1" spans="1:6">
      <c r="A495" s="208"/>
      <c r="B495" s="246"/>
      <c r="C495" s="192"/>
      <c r="D495" s="91"/>
      <c r="E495" s="91"/>
      <c r="F495" s="212"/>
    </row>
    <row r="496" s="219" customFormat="1" spans="1:6">
      <c r="A496" s="208"/>
      <c r="B496" s="246"/>
      <c r="C496" s="192"/>
      <c r="D496" s="91"/>
      <c r="E496" s="91"/>
      <c r="F496" s="212"/>
    </row>
    <row r="497" s="219" customFormat="1" spans="1:6">
      <c r="A497" s="208"/>
      <c r="B497" s="246"/>
      <c r="C497" s="192"/>
      <c r="D497" s="91"/>
      <c r="E497" s="91"/>
      <c r="F497" s="212"/>
    </row>
    <row r="498" s="219" customFormat="1" spans="1:6">
      <c r="A498" s="208"/>
      <c r="B498" s="246"/>
      <c r="C498" s="192"/>
      <c r="D498" s="91"/>
      <c r="E498" s="91"/>
      <c r="F498" s="212"/>
    </row>
    <row r="499" s="219" customFormat="1" spans="1:6">
      <c r="A499" s="208"/>
      <c r="B499" s="246"/>
      <c r="C499" s="192"/>
      <c r="D499" s="91"/>
      <c r="E499" s="91"/>
      <c r="F499" s="212"/>
    </row>
    <row r="500" s="219" customFormat="1" spans="1:7">
      <c r="A500" s="208"/>
      <c r="B500" s="246"/>
      <c r="C500" s="192"/>
      <c r="D500" s="91"/>
      <c r="E500" s="91"/>
      <c r="F500" s="212"/>
      <c r="G500" s="232"/>
    </row>
    <row r="501" s="219" customFormat="1" spans="1:6">
      <c r="A501" s="208"/>
      <c r="B501" s="246"/>
      <c r="C501" s="192"/>
      <c r="D501" s="91"/>
      <c r="E501" s="91"/>
      <c r="F501" s="212"/>
    </row>
    <row r="502" s="219" customFormat="1" spans="1:6">
      <c r="A502" s="208"/>
      <c r="B502" s="246"/>
      <c r="C502" s="192"/>
      <c r="D502" s="91"/>
      <c r="E502" s="91"/>
      <c r="F502" s="212"/>
    </row>
    <row r="503" s="219" customFormat="1" spans="1:6">
      <c r="A503" s="208"/>
      <c r="B503" s="246"/>
      <c r="C503" s="192"/>
      <c r="D503" s="91"/>
      <c r="E503" s="91"/>
      <c r="F503" s="212"/>
    </row>
    <row r="504" s="219" customFormat="1" spans="1:6">
      <c r="A504" s="208"/>
      <c r="B504" s="246"/>
      <c r="C504" s="192"/>
      <c r="D504" s="91"/>
      <c r="E504" s="91"/>
      <c r="F504" s="212"/>
    </row>
    <row r="505" spans="1:6">
      <c r="A505" s="208"/>
      <c r="B505" s="246"/>
      <c r="C505" s="192"/>
      <c r="D505" s="91"/>
      <c r="E505" s="91"/>
      <c r="F505" s="212"/>
    </row>
    <row r="506" spans="1:6">
      <c r="A506" s="208"/>
      <c r="B506" s="246"/>
      <c r="C506" s="192"/>
      <c r="D506" s="91"/>
      <c r="E506" s="91"/>
      <c r="F506" s="212"/>
    </row>
    <row r="507" spans="1:6">
      <c r="A507" s="208"/>
      <c r="B507" s="246"/>
      <c r="C507" s="192"/>
      <c r="D507" s="91"/>
      <c r="E507" s="91"/>
      <c r="F507" s="212"/>
    </row>
    <row r="508" spans="1:6">
      <c r="A508" s="208"/>
      <c r="B508" s="246"/>
      <c r="C508" s="192"/>
      <c r="D508" s="91"/>
      <c r="E508" s="91"/>
      <c r="F508" s="212"/>
    </row>
    <row r="509" spans="1:6">
      <c r="A509" s="208"/>
      <c r="B509" s="246"/>
      <c r="C509" s="192"/>
      <c r="D509" s="91"/>
      <c r="E509" s="91"/>
      <c r="F509" s="212"/>
    </row>
    <row r="510" spans="1:6">
      <c r="A510" s="208"/>
      <c r="B510" s="246"/>
      <c r="C510" s="192"/>
      <c r="D510" s="91"/>
      <c r="E510" s="91"/>
      <c r="F510" s="212"/>
    </row>
    <row r="511" spans="1:6">
      <c r="A511" s="208"/>
      <c r="B511" s="246"/>
      <c r="C511" s="192"/>
      <c r="D511" s="91"/>
      <c r="E511" s="91"/>
      <c r="F511" s="212"/>
    </row>
    <row r="512" spans="1:6">
      <c r="A512" s="208"/>
      <c r="B512" s="246"/>
      <c r="C512" s="192"/>
      <c r="D512" s="91"/>
      <c r="E512" s="91"/>
      <c r="F512" s="212"/>
    </row>
    <row r="513" spans="1:6">
      <c r="A513" s="208"/>
      <c r="B513" s="246"/>
      <c r="C513" s="192"/>
      <c r="D513" s="91"/>
      <c r="E513" s="91"/>
      <c r="F513" s="212"/>
    </row>
    <row r="514" spans="1:6">
      <c r="A514" s="208"/>
      <c r="B514" s="246"/>
      <c r="C514" s="192"/>
      <c r="D514" s="91"/>
      <c r="E514" s="91"/>
      <c r="F514" s="212"/>
    </row>
    <row r="515" spans="1:6">
      <c r="A515" s="208"/>
      <c r="B515" s="246"/>
      <c r="C515" s="192"/>
      <c r="D515" s="91"/>
      <c r="E515" s="91"/>
      <c r="F515" s="212"/>
    </row>
    <row r="516" spans="1:6">
      <c r="A516" s="208"/>
      <c r="B516" s="246"/>
      <c r="C516" s="192"/>
      <c r="D516" s="91"/>
      <c r="E516" s="91"/>
      <c r="F516" s="212"/>
    </row>
    <row r="517" spans="1:6">
      <c r="A517" s="208"/>
      <c r="B517" s="246"/>
      <c r="C517" s="192"/>
      <c r="D517" s="91"/>
      <c r="E517" s="91"/>
      <c r="F517" s="212"/>
    </row>
    <row r="518" spans="1:6">
      <c r="A518" s="208"/>
      <c r="B518" s="246"/>
      <c r="C518" s="192"/>
      <c r="D518" s="91"/>
      <c r="E518" s="91"/>
      <c r="F518" s="212"/>
    </row>
    <row r="519" spans="1:6">
      <c r="A519" s="208"/>
      <c r="B519" s="246"/>
      <c r="C519" s="192"/>
      <c r="D519" s="91"/>
      <c r="E519" s="91"/>
      <c r="F519" s="212"/>
    </row>
    <row r="520" spans="1:6">
      <c r="A520" s="208"/>
      <c r="B520" s="246"/>
      <c r="C520" s="192"/>
      <c r="D520" s="91"/>
      <c r="E520" s="91"/>
      <c r="F520" s="212"/>
    </row>
    <row r="521" spans="1:6">
      <c r="A521" s="208"/>
      <c r="B521" s="246"/>
      <c r="C521" s="192"/>
      <c r="D521" s="91"/>
      <c r="E521" s="91"/>
      <c r="F521" s="212"/>
    </row>
    <row r="522" spans="1:6">
      <c r="A522" s="208"/>
      <c r="B522" s="246"/>
      <c r="C522" s="192"/>
      <c r="D522" s="91"/>
      <c r="E522" s="91"/>
      <c r="F522" s="212"/>
    </row>
    <row r="523" spans="1:6">
      <c r="A523" s="208"/>
      <c r="B523" s="246"/>
      <c r="C523" s="192"/>
      <c r="D523" s="91"/>
      <c r="E523" s="91"/>
      <c r="F523" s="212"/>
    </row>
    <row r="524" spans="1:6">
      <c r="A524" s="208"/>
      <c r="B524" s="246"/>
      <c r="C524" s="192"/>
      <c r="D524" s="91"/>
      <c r="E524" s="91"/>
      <c r="F524" s="212"/>
    </row>
    <row r="525" spans="1:6">
      <c r="A525" s="208"/>
      <c r="B525" s="246"/>
      <c r="C525" s="192"/>
      <c r="D525" s="91"/>
      <c r="E525" s="91"/>
      <c r="F525" s="212"/>
    </row>
    <row r="526" spans="1:6">
      <c r="A526" s="208"/>
      <c r="B526" s="246"/>
      <c r="C526" s="192"/>
      <c r="D526" s="91"/>
      <c r="E526" s="91"/>
      <c r="F526" s="212"/>
    </row>
    <row r="527" spans="1:6">
      <c r="A527" s="208"/>
      <c r="B527" s="246"/>
      <c r="C527" s="192"/>
      <c r="D527" s="91"/>
      <c r="E527" s="91"/>
      <c r="F527" s="212"/>
    </row>
    <row r="528" spans="1:6">
      <c r="A528" s="208"/>
      <c r="B528" s="246"/>
      <c r="C528" s="192"/>
      <c r="D528" s="91"/>
      <c r="E528" s="91"/>
      <c r="F528" s="212"/>
    </row>
    <row r="529" spans="1:6">
      <c r="A529" s="208"/>
      <c r="B529" s="246"/>
      <c r="C529" s="192"/>
      <c r="D529" s="91"/>
      <c r="E529" s="91"/>
      <c r="F529" s="212"/>
    </row>
    <row r="530" spans="1:6">
      <c r="A530" s="208"/>
      <c r="B530" s="246"/>
      <c r="C530" s="192"/>
      <c r="D530" s="91"/>
      <c r="E530" s="91"/>
      <c r="F530" s="212"/>
    </row>
    <row r="531" spans="1:6">
      <c r="A531" s="208"/>
      <c r="B531" s="246"/>
      <c r="C531" s="192"/>
      <c r="D531" s="91"/>
      <c r="E531" s="91"/>
      <c r="F531" s="212"/>
    </row>
    <row r="532" spans="1:6">
      <c r="A532" s="208"/>
      <c r="B532" s="246"/>
      <c r="C532" s="192"/>
      <c r="D532" s="91"/>
      <c r="E532" s="91"/>
      <c r="F532" s="212"/>
    </row>
    <row r="533" spans="1:6">
      <c r="A533" s="208"/>
      <c r="B533" s="246"/>
      <c r="C533" s="192"/>
      <c r="D533" s="91"/>
      <c r="E533" s="91"/>
      <c r="F533" s="212"/>
    </row>
    <row r="534" spans="1:6">
      <c r="A534" s="208"/>
      <c r="B534" s="246"/>
      <c r="C534" s="192"/>
      <c r="D534" s="91"/>
      <c r="E534" s="91"/>
      <c r="F534" s="212"/>
    </row>
    <row r="535" spans="1:6">
      <c r="A535" s="208"/>
      <c r="B535" s="246"/>
      <c r="C535" s="192"/>
      <c r="D535" s="91"/>
      <c r="E535" s="91"/>
      <c r="F535" s="212"/>
    </row>
    <row r="536" spans="1:6">
      <c r="A536" s="208"/>
      <c r="B536" s="246"/>
      <c r="C536" s="192"/>
      <c r="D536" s="91"/>
      <c r="E536" s="91"/>
      <c r="F536" s="212"/>
    </row>
    <row r="537" spans="1:6">
      <c r="A537" s="208"/>
      <c r="B537" s="246"/>
      <c r="C537" s="192"/>
      <c r="D537" s="91"/>
      <c r="E537" s="91"/>
      <c r="F537" s="212"/>
    </row>
    <row r="538" spans="1:6">
      <c r="A538" s="208"/>
      <c r="B538" s="246"/>
      <c r="C538" s="192"/>
      <c r="D538" s="91"/>
      <c r="E538" s="91"/>
      <c r="F538" s="212"/>
    </row>
    <row r="539" spans="1:6">
      <c r="A539" s="208"/>
      <c r="B539" s="246"/>
      <c r="C539" s="192"/>
      <c r="D539" s="91"/>
      <c r="E539" s="91"/>
      <c r="F539" s="212"/>
    </row>
    <row r="540" spans="1:6">
      <c r="A540" s="208"/>
      <c r="B540" s="246"/>
      <c r="C540" s="192"/>
      <c r="D540" s="91"/>
      <c r="E540" s="91"/>
      <c r="F540" s="212"/>
    </row>
    <row r="541" spans="1:6">
      <c r="A541" s="208"/>
      <c r="B541" s="246"/>
      <c r="C541" s="192"/>
      <c r="D541" s="91"/>
      <c r="E541" s="91">
        <f>D541*C541</f>
        <v>0</v>
      </c>
      <c r="F541" s="91">
        <f>SUM(F2:F540)</f>
        <v>22461000</v>
      </c>
    </row>
  </sheetData>
  <mergeCells count="24">
    <mergeCell ref="A2:A24"/>
    <mergeCell ref="A25:A35"/>
    <mergeCell ref="A36:A38"/>
    <mergeCell ref="A39:A57"/>
    <mergeCell ref="A58:A76"/>
    <mergeCell ref="A77:A94"/>
    <mergeCell ref="A95:A106"/>
    <mergeCell ref="A107:A127"/>
    <mergeCell ref="A128:A139"/>
    <mergeCell ref="A140:A161"/>
    <mergeCell ref="A162:A183"/>
    <mergeCell ref="A184:A188"/>
    <mergeCell ref="F2:F24"/>
    <mergeCell ref="F25:F35"/>
    <mergeCell ref="F36:F38"/>
    <mergeCell ref="F39:F57"/>
    <mergeCell ref="F58:F76"/>
    <mergeCell ref="F77:F94"/>
    <mergeCell ref="F95:F106"/>
    <mergeCell ref="F107:F127"/>
    <mergeCell ref="F128:F139"/>
    <mergeCell ref="F140:F161"/>
    <mergeCell ref="F162:F183"/>
    <mergeCell ref="F184:F188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73" zoomScaleNormal="73" workbookViewId="0">
      <pane ySplit="1" topLeftCell="A155" activePane="bottomLeft" state="frozen"/>
      <selection/>
      <selection pane="bottomLeft" activeCell="D182" sqref="D182"/>
    </sheetView>
  </sheetViews>
  <sheetFormatPr defaultColWidth="9.140625" defaultRowHeight="17.6" outlineLevelCol="7"/>
  <cols>
    <col min="1" max="1" width="28.3828125" style="172" customWidth="1"/>
    <col min="2" max="2" width="32.1796875" style="173" customWidth="1"/>
    <col min="3" max="3" width="9.140625" style="174"/>
    <col min="4" max="4" width="13.3828125" style="171" customWidth="1"/>
    <col min="5" max="5" width="27.96875" style="171" customWidth="1"/>
    <col min="6" max="6" width="28.1640625" style="171" customWidth="1"/>
    <col min="7" max="7" width="29.25" style="171" customWidth="1"/>
    <col min="8" max="8" width="14.9375" style="171"/>
    <col min="9" max="16384" width="9.140625" style="171"/>
  </cols>
  <sheetData>
    <row r="1" s="13" customFormat="1" ht="20.4" spans="1:7">
      <c r="A1" s="175" t="s">
        <v>0</v>
      </c>
      <c r="B1" s="176" t="s">
        <v>1</v>
      </c>
      <c r="C1" s="177" t="s">
        <v>2</v>
      </c>
      <c r="D1" s="178" t="s">
        <v>3</v>
      </c>
      <c r="E1" s="178" t="s">
        <v>4</v>
      </c>
      <c r="F1" s="178" t="s">
        <v>5</v>
      </c>
      <c r="G1" s="13" t="s">
        <v>119</v>
      </c>
    </row>
    <row r="2" s="171" customFormat="1" spans="1:7">
      <c r="A2" s="179">
        <v>46024</v>
      </c>
      <c r="B2" s="180" t="s">
        <v>40</v>
      </c>
      <c r="C2" s="181">
        <v>7</v>
      </c>
      <c r="D2" s="182">
        <v>22000</v>
      </c>
      <c r="E2" s="182">
        <f t="shared" ref="E2:E38" si="0">D2*C2</f>
        <v>154000</v>
      </c>
      <c r="F2" s="185">
        <f>SUM(E2:E23)</f>
        <v>1315150</v>
      </c>
      <c r="G2" s="186"/>
    </row>
    <row r="3" s="171" customFormat="1" spans="1:7">
      <c r="A3" s="183"/>
      <c r="B3" s="180" t="s">
        <v>120</v>
      </c>
      <c r="C3" s="181">
        <v>2</v>
      </c>
      <c r="D3" s="182">
        <v>45000</v>
      </c>
      <c r="E3" s="182">
        <f t="shared" si="0"/>
        <v>90000</v>
      </c>
      <c r="F3" s="187"/>
      <c r="G3" s="186"/>
    </row>
    <row r="4" s="171" customFormat="1" spans="1:7">
      <c r="A4" s="183"/>
      <c r="B4" s="180" t="s">
        <v>91</v>
      </c>
      <c r="C4" s="181">
        <v>0.5</v>
      </c>
      <c r="D4" s="182">
        <v>55000</v>
      </c>
      <c r="E4" s="182">
        <f t="shared" si="0"/>
        <v>27500</v>
      </c>
      <c r="F4" s="187"/>
      <c r="G4" s="186"/>
    </row>
    <row r="5" s="171" customFormat="1" spans="1:8">
      <c r="A5" s="183"/>
      <c r="B5" s="180" t="s">
        <v>90</v>
      </c>
      <c r="C5" s="181">
        <v>0.5</v>
      </c>
      <c r="D5" s="182">
        <v>70000</v>
      </c>
      <c r="E5" s="182">
        <f t="shared" si="0"/>
        <v>35000</v>
      </c>
      <c r="F5" s="187"/>
      <c r="G5" s="186"/>
      <c r="H5" s="188"/>
    </row>
    <row r="6" s="171" customFormat="1" spans="1:7">
      <c r="A6" s="183"/>
      <c r="B6" s="180" t="s">
        <v>29</v>
      </c>
      <c r="C6" s="181">
        <v>0.15</v>
      </c>
      <c r="D6" s="182">
        <v>83000</v>
      </c>
      <c r="E6" s="182">
        <f t="shared" si="0"/>
        <v>12450</v>
      </c>
      <c r="F6" s="187"/>
      <c r="G6" s="186"/>
    </row>
    <row r="7" s="171" customFormat="1" spans="1:7">
      <c r="A7" s="183"/>
      <c r="B7" s="180" t="s">
        <v>108</v>
      </c>
      <c r="C7" s="181">
        <v>0.08</v>
      </c>
      <c r="D7" s="182">
        <v>110000</v>
      </c>
      <c r="E7" s="182">
        <f t="shared" si="0"/>
        <v>8800</v>
      </c>
      <c r="F7" s="187"/>
      <c r="G7" s="186"/>
    </row>
    <row r="8" s="171" customFormat="1" spans="1:7">
      <c r="A8" s="183"/>
      <c r="B8" s="180" t="s">
        <v>121</v>
      </c>
      <c r="C8" s="181">
        <v>0.05</v>
      </c>
      <c r="D8" s="182">
        <v>198000</v>
      </c>
      <c r="E8" s="182">
        <f t="shared" si="0"/>
        <v>9900</v>
      </c>
      <c r="F8" s="187"/>
      <c r="G8" s="186"/>
    </row>
    <row r="9" s="171" customFormat="1" spans="1:7">
      <c r="A9" s="183"/>
      <c r="B9" s="180" t="s">
        <v>33</v>
      </c>
      <c r="C9" s="181">
        <v>3</v>
      </c>
      <c r="D9" s="182">
        <v>25000</v>
      </c>
      <c r="E9" s="182">
        <f t="shared" si="0"/>
        <v>75000</v>
      </c>
      <c r="F9" s="187"/>
      <c r="G9" s="186"/>
    </row>
    <row r="10" s="171" customFormat="1" spans="1:7">
      <c r="A10" s="183"/>
      <c r="B10" s="180" t="s">
        <v>122</v>
      </c>
      <c r="C10" s="181">
        <v>1</v>
      </c>
      <c r="D10" s="182">
        <v>31000</v>
      </c>
      <c r="E10" s="182">
        <f t="shared" si="0"/>
        <v>31000</v>
      </c>
      <c r="F10" s="187"/>
      <c r="G10" s="186"/>
    </row>
    <row r="11" s="171" customFormat="1" spans="1:7">
      <c r="A11" s="183"/>
      <c r="B11" s="180" t="s">
        <v>123</v>
      </c>
      <c r="C11" s="181">
        <v>2</v>
      </c>
      <c r="D11" s="182">
        <v>35000</v>
      </c>
      <c r="E11" s="182">
        <f t="shared" si="0"/>
        <v>70000</v>
      </c>
      <c r="F11" s="187"/>
      <c r="G11" s="186"/>
    </row>
    <row r="12" s="171" customFormat="1" spans="1:7">
      <c r="A12" s="183"/>
      <c r="B12" s="180" t="s">
        <v>84</v>
      </c>
      <c r="C12" s="181">
        <v>1</v>
      </c>
      <c r="D12" s="182">
        <v>55000</v>
      </c>
      <c r="E12" s="182">
        <f t="shared" si="0"/>
        <v>55000</v>
      </c>
      <c r="F12" s="187"/>
      <c r="G12" s="186"/>
    </row>
    <row r="13" s="171" customFormat="1" spans="1:7">
      <c r="A13" s="183"/>
      <c r="B13" s="180" t="s">
        <v>124</v>
      </c>
      <c r="C13" s="181">
        <v>0.1</v>
      </c>
      <c r="D13" s="182">
        <v>88000</v>
      </c>
      <c r="E13" s="182">
        <f t="shared" si="0"/>
        <v>8800</v>
      </c>
      <c r="F13" s="187"/>
      <c r="G13" s="186"/>
    </row>
    <row r="14" s="171" customFormat="1" spans="1:7">
      <c r="A14" s="183"/>
      <c r="B14" s="180" t="s">
        <v>125</v>
      </c>
      <c r="C14" s="181">
        <v>0.1</v>
      </c>
      <c r="D14" s="182">
        <v>72000</v>
      </c>
      <c r="E14" s="182">
        <f t="shared" si="0"/>
        <v>7200</v>
      </c>
      <c r="F14" s="187"/>
      <c r="G14" s="186"/>
    </row>
    <row r="15" s="171" customFormat="1" spans="1:7">
      <c r="A15" s="183"/>
      <c r="B15" s="180" t="s">
        <v>99</v>
      </c>
      <c r="C15" s="181">
        <v>3</v>
      </c>
      <c r="D15" s="182">
        <v>10000</v>
      </c>
      <c r="E15" s="182">
        <f t="shared" si="0"/>
        <v>30000</v>
      </c>
      <c r="F15" s="187"/>
      <c r="G15" s="186"/>
    </row>
    <row r="16" s="171" customFormat="1" spans="1:7">
      <c r="A16" s="183"/>
      <c r="B16" s="180" t="s">
        <v>100</v>
      </c>
      <c r="C16" s="181">
        <v>1</v>
      </c>
      <c r="D16" s="182">
        <v>50000</v>
      </c>
      <c r="E16" s="182">
        <f t="shared" si="0"/>
        <v>50000</v>
      </c>
      <c r="F16" s="187"/>
      <c r="G16" s="186"/>
    </row>
    <row r="17" s="171" customFormat="1" spans="1:7">
      <c r="A17" s="183"/>
      <c r="B17" s="180" t="s">
        <v>98</v>
      </c>
      <c r="C17" s="181">
        <v>1</v>
      </c>
      <c r="D17" s="182">
        <v>39000</v>
      </c>
      <c r="E17" s="182">
        <f t="shared" si="0"/>
        <v>39000</v>
      </c>
      <c r="F17" s="187"/>
      <c r="G17" s="186"/>
    </row>
    <row r="18" s="171" customFormat="1" spans="1:7">
      <c r="A18" s="183"/>
      <c r="B18" s="180" t="s">
        <v>83</v>
      </c>
      <c r="C18" s="181">
        <v>1.5</v>
      </c>
      <c r="D18" s="182">
        <v>39000</v>
      </c>
      <c r="E18" s="182">
        <f t="shared" si="0"/>
        <v>58500</v>
      </c>
      <c r="F18" s="187"/>
      <c r="G18" s="186"/>
    </row>
    <row r="19" s="171" customFormat="1" spans="1:7">
      <c r="A19" s="183"/>
      <c r="B19" s="180" t="s">
        <v>114</v>
      </c>
      <c r="C19" s="181">
        <v>1</v>
      </c>
      <c r="D19" s="182">
        <v>45000</v>
      </c>
      <c r="E19" s="182">
        <f t="shared" si="0"/>
        <v>45000</v>
      </c>
      <c r="F19" s="187"/>
      <c r="G19" s="186"/>
    </row>
    <row r="20" s="171" customFormat="1" spans="1:7">
      <c r="A20" s="183"/>
      <c r="B20" s="180" t="s">
        <v>58</v>
      </c>
      <c r="C20" s="181">
        <v>5</v>
      </c>
      <c r="D20" s="182">
        <v>25000</v>
      </c>
      <c r="E20" s="182">
        <f t="shared" si="0"/>
        <v>125000</v>
      </c>
      <c r="F20" s="187"/>
      <c r="G20" s="186"/>
    </row>
    <row r="21" s="171" customFormat="1" spans="1:7">
      <c r="A21" s="183"/>
      <c r="B21" s="180" t="s">
        <v>44</v>
      </c>
      <c r="C21" s="181">
        <v>3</v>
      </c>
      <c r="D21" s="182">
        <v>28000</v>
      </c>
      <c r="E21" s="182">
        <f t="shared" si="0"/>
        <v>84000</v>
      </c>
      <c r="F21" s="187"/>
      <c r="G21" s="186"/>
    </row>
    <row r="22" s="171" customFormat="1" spans="1:7">
      <c r="A22" s="183"/>
      <c r="B22" s="180" t="s">
        <v>41</v>
      </c>
      <c r="C22" s="181">
        <v>11</v>
      </c>
      <c r="D22" s="182">
        <v>25000</v>
      </c>
      <c r="E22" s="182">
        <f t="shared" si="0"/>
        <v>275000</v>
      </c>
      <c r="F22" s="187"/>
      <c r="G22" s="186"/>
    </row>
    <row r="23" s="171" customFormat="1" spans="1:7">
      <c r="A23" s="184"/>
      <c r="B23" s="180" t="s">
        <v>97</v>
      </c>
      <c r="C23" s="181">
        <v>0.2</v>
      </c>
      <c r="D23" s="182">
        <v>120000</v>
      </c>
      <c r="E23" s="182">
        <f t="shared" si="0"/>
        <v>24000</v>
      </c>
      <c r="F23" s="189"/>
      <c r="G23" s="186"/>
    </row>
    <row r="24" s="171" customFormat="1" spans="1:7">
      <c r="A24" s="179">
        <v>46024</v>
      </c>
      <c r="B24" s="180" t="s">
        <v>111</v>
      </c>
      <c r="C24" s="181">
        <v>0.3</v>
      </c>
      <c r="D24" s="182">
        <v>28000</v>
      </c>
      <c r="E24" s="182">
        <f t="shared" si="0"/>
        <v>8400</v>
      </c>
      <c r="F24" s="185">
        <f>SUM(E24:E38)</f>
        <v>2508400</v>
      </c>
      <c r="G24" s="186"/>
    </row>
    <row r="25" s="171" customFormat="1" spans="1:7">
      <c r="A25" s="183"/>
      <c r="B25" s="180" t="s">
        <v>30</v>
      </c>
      <c r="C25" s="181">
        <v>1</v>
      </c>
      <c r="D25" s="182">
        <v>50000</v>
      </c>
      <c r="E25" s="182">
        <f t="shared" si="0"/>
        <v>50000</v>
      </c>
      <c r="F25" s="187"/>
      <c r="G25" s="186"/>
    </row>
    <row r="26" s="171" customFormat="1" spans="1:7">
      <c r="A26" s="183"/>
      <c r="B26" s="180" t="s">
        <v>31</v>
      </c>
      <c r="C26" s="181">
        <v>1</v>
      </c>
      <c r="D26" s="182">
        <v>50000</v>
      </c>
      <c r="E26" s="182">
        <f t="shared" si="0"/>
        <v>50000</v>
      </c>
      <c r="F26" s="187"/>
      <c r="G26" s="186"/>
    </row>
    <row r="27" s="171" customFormat="1" spans="1:7">
      <c r="A27" s="183"/>
      <c r="B27" s="180" t="s">
        <v>24</v>
      </c>
      <c r="C27" s="181">
        <v>2</v>
      </c>
      <c r="D27" s="182">
        <v>160000</v>
      </c>
      <c r="E27" s="182">
        <f t="shared" si="0"/>
        <v>320000</v>
      </c>
      <c r="F27" s="187"/>
      <c r="G27" s="186"/>
    </row>
    <row r="28" s="171" customFormat="1" spans="1:7">
      <c r="A28" s="183"/>
      <c r="B28" s="180" t="s">
        <v>6</v>
      </c>
      <c r="C28" s="181">
        <v>2</v>
      </c>
      <c r="D28" s="182">
        <v>25000</v>
      </c>
      <c r="E28" s="182">
        <f t="shared" si="0"/>
        <v>50000</v>
      </c>
      <c r="F28" s="187"/>
      <c r="G28" s="186"/>
    </row>
    <row r="29" s="171" customFormat="1" spans="1:7">
      <c r="A29" s="183"/>
      <c r="B29" s="180" t="s">
        <v>120</v>
      </c>
      <c r="C29" s="181">
        <v>2</v>
      </c>
      <c r="D29" s="182">
        <v>45000</v>
      </c>
      <c r="E29" s="182">
        <f t="shared" si="0"/>
        <v>90000</v>
      </c>
      <c r="F29" s="187"/>
      <c r="G29" s="186"/>
    </row>
    <row r="30" s="171" customFormat="1" spans="1:7">
      <c r="A30" s="183"/>
      <c r="B30" s="180" t="s">
        <v>62</v>
      </c>
      <c r="C30" s="181">
        <v>1</v>
      </c>
      <c r="D30" s="182">
        <v>450000</v>
      </c>
      <c r="E30" s="182">
        <f t="shared" si="0"/>
        <v>450000</v>
      </c>
      <c r="F30" s="187"/>
      <c r="G30" s="186"/>
    </row>
    <row r="31" s="171" customFormat="1" spans="1:7">
      <c r="A31" s="183"/>
      <c r="B31" s="180" t="s">
        <v>126</v>
      </c>
      <c r="C31" s="181">
        <v>1</v>
      </c>
      <c r="D31" s="182">
        <v>165000</v>
      </c>
      <c r="E31" s="182">
        <f t="shared" si="0"/>
        <v>165000</v>
      </c>
      <c r="F31" s="187"/>
      <c r="G31" s="186"/>
    </row>
    <row r="32" s="171" customFormat="1" spans="1:7">
      <c r="A32" s="183"/>
      <c r="B32" s="180" t="s">
        <v>127</v>
      </c>
      <c r="C32" s="181">
        <v>3</v>
      </c>
      <c r="D32" s="182">
        <v>65000</v>
      </c>
      <c r="E32" s="182">
        <f t="shared" si="0"/>
        <v>195000</v>
      </c>
      <c r="F32" s="187"/>
      <c r="G32" s="186"/>
    </row>
    <row r="33" s="171" customFormat="1" spans="1:7">
      <c r="A33" s="183"/>
      <c r="B33" s="180" t="s">
        <v>128</v>
      </c>
      <c r="C33" s="181">
        <v>2</v>
      </c>
      <c r="D33" s="182">
        <v>50000</v>
      </c>
      <c r="E33" s="182">
        <f t="shared" si="0"/>
        <v>100000</v>
      </c>
      <c r="F33" s="187"/>
      <c r="G33" s="186"/>
    </row>
    <row r="34" s="171" customFormat="1" spans="1:7">
      <c r="A34" s="183"/>
      <c r="B34" s="180" t="s">
        <v>75</v>
      </c>
      <c r="C34" s="181">
        <v>1</v>
      </c>
      <c r="D34" s="182">
        <v>320000</v>
      </c>
      <c r="E34" s="182">
        <f t="shared" si="0"/>
        <v>320000</v>
      </c>
      <c r="F34" s="187"/>
      <c r="G34" s="186"/>
    </row>
    <row r="35" ht="13" customHeight="1" spans="1:7">
      <c r="A35" s="183"/>
      <c r="B35" s="180" t="s">
        <v>18</v>
      </c>
      <c r="C35" s="181">
        <v>1</v>
      </c>
      <c r="D35" s="182">
        <v>310000</v>
      </c>
      <c r="E35" s="182">
        <f t="shared" si="0"/>
        <v>310000</v>
      </c>
      <c r="F35" s="187"/>
      <c r="G35" s="186"/>
    </row>
    <row r="36" spans="1:7">
      <c r="A36" s="183"/>
      <c r="B36" s="180" t="s">
        <v>129</v>
      </c>
      <c r="C36" s="181">
        <v>4</v>
      </c>
      <c r="D36" s="182">
        <v>30000</v>
      </c>
      <c r="E36" s="182">
        <f t="shared" si="0"/>
        <v>120000</v>
      </c>
      <c r="F36" s="187"/>
      <c r="G36" s="186"/>
    </row>
    <row r="37" spans="1:7">
      <c r="A37" s="183"/>
      <c r="B37" s="180" t="s">
        <v>23</v>
      </c>
      <c r="C37" s="181">
        <v>1</v>
      </c>
      <c r="D37" s="182">
        <v>250000</v>
      </c>
      <c r="E37" s="182">
        <f t="shared" si="0"/>
        <v>250000</v>
      </c>
      <c r="F37" s="187"/>
      <c r="G37" s="186"/>
    </row>
    <row r="38" spans="1:7">
      <c r="A38" s="184"/>
      <c r="B38" s="180" t="s">
        <v>17</v>
      </c>
      <c r="C38" s="181">
        <v>0.5</v>
      </c>
      <c r="D38" s="182">
        <v>60000</v>
      </c>
      <c r="E38" s="182">
        <f t="shared" si="0"/>
        <v>30000</v>
      </c>
      <c r="F38" s="189"/>
      <c r="G38" s="186"/>
    </row>
    <row r="39" spans="1:7">
      <c r="A39" s="179">
        <v>46025</v>
      </c>
      <c r="B39" s="180" t="s">
        <v>130</v>
      </c>
      <c r="C39" s="181">
        <v>5</v>
      </c>
      <c r="D39" s="182">
        <v>25000</v>
      </c>
      <c r="E39" s="182">
        <f t="shared" ref="E39:E60" si="1">D39*C39</f>
        <v>125000</v>
      </c>
      <c r="F39" s="185">
        <f>SUM(E39:E60)</f>
        <v>2673600</v>
      </c>
      <c r="G39" s="186"/>
    </row>
    <row r="40" spans="1:7">
      <c r="A40" s="183"/>
      <c r="B40" s="180" t="s">
        <v>40</v>
      </c>
      <c r="C40" s="181">
        <v>20</v>
      </c>
      <c r="D40" s="182">
        <v>23000</v>
      </c>
      <c r="E40" s="182">
        <f t="shared" si="1"/>
        <v>460000</v>
      </c>
      <c r="F40" s="187"/>
      <c r="G40" s="186"/>
    </row>
    <row r="41" spans="1:7">
      <c r="A41" s="183"/>
      <c r="B41" s="180" t="s">
        <v>93</v>
      </c>
      <c r="C41" s="181">
        <v>3</v>
      </c>
      <c r="D41" s="182">
        <v>25000</v>
      </c>
      <c r="E41" s="182">
        <f t="shared" si="1"/>
        <v>75000</v>
      </c>
      <c r="F41" s="187"/>
      <c r="G41" s="186"/>
    </row>
    <row r="42" spans="1:7">
      <c r="A42" s="183"/>
      <c r="B42" s="180" t="s">
        <v>69</v>
      </c>
      <c r="C42" s="181">
        <v>8</v>
      </c>
      <c r="D42" s="182">
        <v>66000</v>
      </c>
      <c r="E42" s="182">
        <f t="shared" si="1"/>
        <v>528000</v>
      </c>
      <c r="F42" s="187"/>
      <c r="G42" s="186"/>
    </row>
    <row r="43" spans="1:7">
      <c r="A43" s="183"/>
      <c r="B43" s="180" t="s">
        <v>131</v>
      </c>
      <c r="C43" s="181">
        <v>5</v>
      </c>
      <c r="D43" s="182">
        <v>39000</v>
      </c>
      <c r="E43" s="182">
        <f t="shared" si="1"/>
        <v>195000</v>
      </c>
      <c r="F43" s="187"/>
      <c r="G43" s="186"/>
    </row>
    <row r="44" spans="1:7">
      <c r="A44" s="183"/>
      <c r="B44" s="180" t="s">
        <v>41</v>
      </c>
      <c r="C44" s="181">
        <v>1.8</v>
      </c>
      <c r="D44" s="182">
        <v>25000</v>
      </c>
      <c r="E44" s="182">
        <f t="shared" si="1"/>
        <v>45000</v>
      </c>
      <c r="F44" s="187"/>
      <c r="G44" s="186"/>
    </row>
    <row r="45" spans="1:7">
      <c r="A45" s="183"/>
      <c r="B45" s="180" t="s">
        <v>61</v>
      </c>
      <c r="C45" s="181">
        <v>3</v>
      </c>
      <c r="D45" s="182">
        <v>28000</v>
      </c>
      <c r="E45" s="182">
        <f t="shared" si="1"/>
        <v>84000</v>
      </c>
      <c r="F45" s="187"/>
      <c r="G45" s="186"/>
    </row>
    <row r="46" spans="1:7">
      <c r="A46" s="183"/>
      <c r="B46" s="180" t="s">
        <v>132</v>
      </c>
      <c r="C46" s="181">
        <v>0.5</v>
      </c>
      <c r="D46" s="182">
        <v>140000</v>
      </c>
      <c r="E46" s="182">
        <f t="shared" si="1"/>
        <v>70000</v>
      </c>
      <c r="F46" s="187"/>
      <c r="G46" s="186"/>
    </row>
    <row r="47" spans="1:7">
      <c r="A47" s="183"/>
      <c r="B47" s="180" t="s">
        <v>133</v>
      </c>
      <c r="C47" s="181">
        <v>0.5</v>
      </c>
      <c r="D47" s="182">
        <v>110000</v>
      </c>
      <c r="E47" s="182">
        <f t="shared" si="1"/>
        <v>55000</v>
      </c>
      <c r="F47" s="187"/>
      <c r="G47" s="186"/>
    </row>
    <row r="48" spans="1:7">
      <c r="A48" s="183"/>
      <c r="B48" s="180" t="s">
        <v>134</v>
      </c>
      <c r="C48" s="181">
        <v>2</v>
      </c>
      <c r="D48" s="182">
        <v>75000</v>
      </c>
      <c r="E48" s="182">
        <f t="shared" si="1"/>
        <v>150000</v>
      </c>
      <c r="F48" s="187"/>
      <c r="G48" s="186"/>
    </row>
    <row r="49" spans="1:7">
      <c r="A49" s="183"/>
      <c r="B49" s="180" t="s">
        <v>84</v>
      </c>
      <c r="C49" s="181">
        <v>3</v>
      </c>
      <c r="D49" s="182">
        <v>60000</v>
      </c>
      <c r="E49" s="182">
        <f t="shared" si="1"/>
        <v>180000</v>
      </c>
      <c r="F49" s="187"/>
      <c r="G49" s="186"/>
    </row>
    <row r="50" spans="1:7">
      <c r="A50" s="183"/>
      <c r="B50" s="180" t="s">
        <v>32</v>
      </c>
      <c r="C50" s="181">
        <v>1</v>
      </c>
      <c r="D50" s="182">
        <v>11000</v>
      </c>
      <c r="E50" s="182">
        <f t="shared" si="1"/>
        <v>11000</v>
      </c>
      <c r="F50" s="187"/>
      <c r="G50" s="186"/>
    </row>
    <row r="51" spans="1:7">
      <c r="A51" s="183"/>
      <c r="B51" s="180" t="s">
        <v>88</v>
      </c>
      <c r="C51" s="181">
        <v>1</v>
      </c>
      <c r="D51" s="182">
        <v>17000</v>
      </c>
      <c r="E51" s="182">
        <f t="shared" si="1"/>
        <v>17000</v>
      </c>
      <c r="F51" s="187"/>
      <c r="G51" s="186"/>
    </row>
    <row r="52" spans="1:7">
      <c r="A52" s="183"/>
      <c r="B52" s="180" t="s">
        <v>106</v>
      </c>
      <c r="C52" s="181">
        <v>1</v>
      </c>
      <c r="D52" s="182">
        <v>50000</v>
      </c>
      <c r="E52" s="182">
        <f t="shared" si="1"/>
        <v>50000</v>
      </c>
      <c r="F52" s="187"/>
      <c r="G52" s="186"/>
    </row>
    <row r="53" spans="1:7">
      <c r="A53" s="183"/>
      <c r="B53" s="180" t="s">
        <v>122</v>
      </c>
      <c r="C53" s="181">
        <v>1</v>
      </c>
      <c r="D53" s="182">
        <v>28000</v>
      </c>
      <c r="E53" s="182">
        <f t="shared" si="1"/>
        <v>28000</v>
      </c>
      <c r="F53" s="187"/>
      <c r="G53" s="186"/>
    </row>
    <row r="54" spans="1:7">
      <c r="A54" s="183"/>
      <c r="B54" s="180" t="s">
        <v>33</v>
      </c>
      <c r="C54" s="181">
        <v>2</v>
      </c>
      <c r="D54" s="182">
        <v>28000</v>
      </c>
      <c r="E54" s="182">
        <f t="shared" si="1"/>
        <v>56000</v>
      </c>
      <c r="F54" s="187"/>
      <c r="G54" s="186"/>
    </row>
    <row r="55" spans="1:7">
      <c r="A55" s="183"/>
      <c r="B55" s="180" t="s">
        <v>44</v>
      </c>
      <c r="C55" s="181">
        <v>2</v>
      </c>
      <c r="D55" s="182">
        <v>28000</v>
      </c>
      <c r="E55" s="182">
        <f t="shared" si="1"/>
        <v>56000</v>
      </c>
      <c r="F55" s="187"/>
      <c r="G55" s="186"/>
    </row>
    <row r="56" spans="1:7">
      <c r="A56" s="183"/>
      <c r="B56" s="180" t="s">
        <v>135</v>
      </c>
      <c r="C56" s="181">
        <v>0.1</v>
      </c>
      <c r="D56" s="182">
        <v>77000</v>
      </c>
      <c r="E56" s="182">
        <f t="shared" si="1"/>
        <v>7700</v>
      </c>
      <c r="F56" s="187"/>
      <c r="G56" s="186"/>
    </row>
    <row r="57" spans="1:7">
      <c r="A57" s="183"/>
      <c r="B57" s="180" t="s">
        <v>29</v>
      </c>
      <c r="C57" s="181">
        <v>0.3</v>
      </c>
      <c r="D57" s="182">
        <v>83000</v>
      </c>
      <c r="E57" s="182">
        <f t="shared" si="1"/>
        <v>24900</v>
      </c>
      <c r="F57" s="187"/>
      <c r="G57" s="186"/>
    </row>
    <row r="58" spans="1:7">
      <c r="A58" s="183"/>
      <c r="B58" s="180" t="s">
        <v>83</v>
      </c>
      <c r="C58" s="181">
        <v>2</v>
      </c>
      <c r="D58" s="182">
        <v>39000</v>
      </c>
      <c r="E58" s="182">
        <f t="shared" si="1"/>
        <v>78000</v>
      </c>
      <c r="F58" s="187"/>
      <c r="G58" s="186"/>
    </row>
    <row r="59" spans="1:7">
      <c r="A59" s="183"/>
      <c r="B59" s="180" t="s">
        <v>98</v>
      </c>
      <c r="C59" s="181">
        <v>2</v>
      </c>
      <c r="D59" s="182">
        <v>39000</v>
      </c>
      <c r="E59" s="182">
        <f t="shared" si="1"/>
        <v>78000</v>
      </c>
      <c r="F59" s="187"/>
      <c r="G59" s="186"/>
    </row>
    <row r="60" spans="1:7">
      <c r="A60" s="184"/>
      <c r="B60" s="180" t="s">
        <v>113</v>
      </c>
      <c r="C60" s="181">
        <v>20</v>
      </c>
      <c r="D60" s="182">
        <v>15000</v>
      </c>
      <c r="E60" s="182">
        <f t="shared" si="1"/>
        <v>300000</v>
      </c>
      <c r="F60" s="189"/>
      <c r="G60" s="186"/>
    </row>
    <row r="61" spans="1:7">
      <c r="A61" s="179">
        <v>46025</v>
      </c>
      <c r="B61" s="180" t="s">
        <v>99</v>
      </c>
      <c r="C61" s="181">
        <v>2</v>
      </c>
      <c r="D61" s="182">
        <v>10000</v>
      </c>
      <c r="E61" s="182">
        <f t="shared" ref="E61:E70" si="2">D61*C61</f>
        <v>20000</v>
      </c>
      <c r="F61" s="185">
        <f>SUM(E61:E69)</f>
        <v>421700</v>
      </c>
      <c r="G61" s="186"/>
    </row>
    <row r="62" spans="1:7">
      <c r="A62" s="183"/>
      <c r="B62" s="180" t="s">
        <v>34</v>
      </c>
      <c r="C62" s="181">
        <v>1</v>
      </c>
      <c r="D62" s="182">
        <v>44000</v>
      </c>
      <c r="E62" s="182">
        <f t="shared" si="2"/>
        <v>44000</v>
      </c>
      <c r="F62" s="187"/>
      <c r="G62" s="186"/>
    </row>
    <row r="63" spans="1:7">
      <c r="A63" s="183"/>
      <c r="B63" s="180" t="s">
        <v>96</v>
      </c>
      <c r="C63" s="181">
        <v>0.3</v>
      </c>
      <c r="D63" s="182">
        <v>44000</v>
      </c>
      <c r="E63" s="182">
        <f t="shared" si="2"/>
        <v>13200</v>
      </c>
      <c r="F63" s="187"/>
      <c r="G63" s="186"/>
    </row>
    <row r="64" spans="1:7">
      <c r="A64" s="183"/>
      <c r="B64" s="180" t="s">
        <v>97</v>
      </c>
      <c r="C64" s="181">
        <v>0.3</v>
      </c>
      <c r="D64" s="182">
        <v>120000</v>
      </c>
      <c r="E64" s="182">
        <f t="shared" si="2"/>
        <v>36000</v>
      </c>
      <c r="F64" s="187"/>
      <c r="G64" s="186"/>
    </row>
    <row r="65" spans="1:7">
      <c r="A65" s="183"/>
      <c r="B65" s="180" t="s">
        <v>30</v>
      </c>
      <c r="C65" s="181">
        <v>0.5</v>
      </c>
      <c r="D65" s="182">
        <v>50000</v>
      </c>
      <c r="E65" s="182">
        <f t="shared" si="2"/>
        <v>25000</v>
      </c>
      <c r="F65" s="187"/>
      <c r="G65" s="186"/>
    </row>
    <row r="66" spans="1:7">
      <c r="A66" s="183"/>
      <c r="B66" s="180" t="s">
        <v>31</v>
      </c>
      <c r="C66" s="181">
        <v>0.5</v>
      </c>
      <c r="D66" s="182">
        <v>61000</v>
      </c>
      <c r="E66" s="182">
        <f t="shared" si="2"/>
        <v>30500</v>
      </c>
      <c r="F66" s="187"/>
      <c r="G66" s="186"/>
    </row>
    <row r="67" spans="1:7">
      <c r="A67" s="183"/>
      <c r="B67" s="180" t="s">
        <v>22</v>
      </c>
      <c r="C67" s="181">
        <v>1</v>
      </c>
      <c r="D67" s="182">
        <v>45000</v>
      </c>
      <c r="E67" s="182">
        <f t="shared" si="2"/>
        <v>45000</v>
      </c>
      <c r="F67" s="187"/>
      <c r="G67" s="186"/>
    </row>
    <row r="68" spans="1:7">
      <c r="A68" s="183"/>
      <c r="B68" s="180" t="s">
        <v>25</v>
      </c>
      <c r="C68" s="181">
        <v>2</v>
      </c>
      <c r="D68" s="182">
        <v>65000</v>
      </c>
      <c r="E68" s="182">
        <f t="shared" si="2"/>
        <v>130000</v>
      </c>
      <c r="F68" s="187"/>
      <c r="G68" s="186"/>
    </row>
    <row r="69" spans="1:7">
      <c r="A69" s="184"/>
      <c r="B69" s="180" t="s">
        <v>136</v>
      </c>
      <c r="C69" s="181">
        <v>2</v>
      </c>
      <c r="D69" s="182">
        <v>39000</v>
      </c>
      <c r="E69" s="182">
        <f t="shared" si="2"/>
        <v>78000</v>
      </c>
      <c r="F69" s="189"/>
      <c r="G69" s="186"/>
    </row>
    <row r="70" spans="1:7">
      <c r="A70" s="190">
        <v>46025</v>
      </c>
      <c r="B70" s="180" t="s">
        <v>26</v>
      </c>
      <c r="C70" s="181">
        <v>2</v>
      </c>
      <c r="D70" s="182">
        <v>75000</v>
      </c>
      <c r="E70" s="182">
        <f t="shared" si="2"/>
        <v>150000</v>
      </c>
      <c r="F70" s="197">
        <f>SUM(E70)</f>
        <v>150000</v>
      </c>
      <c r="G70" s="186"/>
    </row>
    <row r="71" spans="1:7">
      <c r="A71" s="179">
        <v>46026</v>
      </c>
      <c r="B71" s="180" t="s">
        <v>131</v>
      </c>
      <c r="C71" s="181">
        <v>3</v>
      </c>
      <c r="D71" s="182">
        <v>39000</v>
      </c>
      <c r="E71" s="182">
        <f t="shared" ref="E71:E77" si="3">D71*C71</f>
        <v>117000</v>
      </c>
      <c r="F71" s="185">
        <f>SUM(E71:E77)</f>
        <v>1192000</v>
      </c>
      <c r="G71" s="186"/>
    </row>
    <row r="72" spans="1:7">
      <c r="A72" s="183"/>
      <c r="B72" s="180" t="s">
        <v>93</v>
      </c>
      <c r="C72" s="181">
        <v>5</v>
      </c>
      <c r="D72" s="182">
        <v>25000</v>
      </c>
      <c r="E72" s="182">
        <f t="shared" si="3"/>
        <v>125000</v>
      </c>
      <c r="F72" s="187"/>
      <c r="G72" s="186"/>
    </row>
    <row r="73" spans="1:7">
      <c r="A73" s="183"/>
      <c r="B73" s="180" t="s">
        <v>69</v>
      </c>
      <c r="C73" s="181">
        <v>5</v>
      </c>
      <c r="D73" s="182">
        <v>66000</v>
      </c>
      <c r="E73" s="182">
        <f t="shared" si="3"/>
        <v>330000</v>
      </c>
      <c r="F73" s="187"/>
      <c r="G73" s="186"/>
    </row>
    <row r="74" spans="1:7">
      <c r="A74" s="183"/>
      <c r="B74" s="180" t="s">
        <v>50</v>
      </c>
      <c r="C74" s="181">
        <v>2</v>
      </c>
      <c r="D74" s="182">
        <v>110000</v>
      </c>
      <c r="E74" s="182">
        <f t="shared" si="3"/>
        <v>220000</v>
      </c>
      <c r="F74" s="187"/>
      <c r="G74" s="186"/>
    </row>
    <row r="75" spans="1:7">
      <c r="A75" s="183"/>
      <c r="B75" s="180" t="s">
        <v>51</v>
      </c>
      <c r="C75" s="181">
        <v>2</v>
      </c>
      <c r="D75" s="182">
        <v>75000</v>
      </c>
      <c r="E75" s="182">
        <f t="shared" si="3"/>
        <v>150000</v>
      </c>
      <c r="F75" s="187"/>
      <c r="G75" s="186"/>
    </row>
    <row r="76" spans="1:7">
      <c r="A76" s="183"/>
      <c r="B76" s="180" t="s">
        <v>76</v>
      </c>
      <c r="C76" s="181">
        <v>4</v>
      </c>
      <c r="D76" s="182">
        <v>20000</v>
      </c>
      <c r="E76" s="182">
        <f t="shared" si="3"/>
        <v>80000</v>
      </c>
      <c r="F76" s="187"/>
      <c r="G76" s="186"/>
    </row>
    <row r="77" spans="1:7">
      <c r="A77" s="184"/>
      <c r="B77" s="180" t="s">
        <v>54</v>
      </c>
      <c r="C77" s="181">
        <v>2</v>
      </c>
      <c r="D77" s="182">
        <v>85000</v>
      </c>
      <c r="E77" s="182">
        <f t="shared" si="3"/>
        <v>170000</v>
      </c>
      <c r="F77" s="189"/>
      <c r="G77" s="186"/>
    </row>
    <row r="78" spans="1:7">
      <c r="A78" s="179">
        <v>46026</v>
      </c>
      <c r="B78" s="180" t="s">
        <v>97</v>
      </c>
      <c r="C78" s="181">
        <v>0.2</v>
      </c>
      <c r="D78" s="182">
        <v>120000</v>
      </c>
      <c r="E78" s="182">
        <f t="shared" ref="E78:E99" si="4">D78*C78</f>
        <v>24000</v>
      </c>
      <c r="F78" s="185">
        <f>SUM(E78:E99)</f>
        <v>1023100</v>
      </c>
      <c r="G78" s="186"/>
    </row>
    <row r="79" spans="1:7">
      <c r="A79" s="183"/>
      <c r="B79" s="180" t="s">
        <v>111</v>
      </c>
      <c r="C79" s="181">
        <v>0.2</v>
      </c>
      <c r="D79" s="182">
        <v>28000</v>
      </c>
      <c r="E79" s="182">
        <f t="shared" si="4"/>
        <v>5600</v>
      </c>
      <c r="F79" s="187"/>
      <c r="G79" s="186"/>
    </row>
    <row r="80" spans="1:7">
      <c r="A80" s="183"/>
      <c r="B80" s="180" t="s">
        <v>30</v>
      </c>
      <c r="C80" s="181">
        <v>0.5</v>
      </c>
      <c r="D80" s="182">
        <v>50000</v>
      </c>
      <c r="E80" s="182">
        <f t="shared" si="4"/>
        <v>25000</v>
      </c>
      <c r="F80" s="187"/>
      <c r="G80" s="186"/>
    </row>
    <row r="81" spans="1:7">
      <c r="A81" s="183"/>
      <c r="B81" s="180" t="s">
        <v>31</v>
      </c>
      <c r="C81" s="181">
        <v>0.5</v>
      </c>
      <c r="D81" s="182">
        <v>61000</v>
      </c>
      <c r="E81" s="182">
        <f t="shared" si="4"/>
        <v>30500</v>
      </c>
      <c r="F81" s="187"/>
      <c r="G81" s="186"/>
    </row>
    <row r="82" spans="1:7">
      <c r="A82" s="183"/>
      <c r="B82" s="180" t="s">
        <v>137</v>
      </c>
      <c r="C82" s="181">
        <v>0.1</v>
      </c>
      <c r="D82" s="182">
        <v>20000</v>
      </c>
      <c r="E82" s="182">
        <f t="shared" si="4"/>
        <v>2000</v>
      </c>
      <c r="F82" s="187"/>
      <c r="G82" s="186"/>
    </row>
    <row r="83" spans="1:7">
      <c r="A83" s="183"/>
      <c r="B83" s="180" t="s">
        <v>124</v>
      </c>
      <c r="C83" s="181">
        <v>0.1</v>
      </c>
      <c r="D83" s="182">
        <v>88000</v>
      </c>
      <c r="E83" s="182">
        <f t="shared" si="4"/>
        <v>8800</v>
      </c>
      <c r="F83" s="187"/>
      <c r="G83" s="186"/>
    </row>
    <row r="84" spans="1:7">
      <c r="A84" s="183"/>
      <c r="B84" s="180" t="s">
        <v>114</v>
      </c>
      <c r="C84" s="181">
        <v>1</v>
      </c>
      <c r="D84" s="182">
        <v>45000</v>
      </c>
      <c r="E84" s="182">
        <f t="shared" si="4"/>
        <v>45000</v>
      </c>
      <c r="F84" s="187"/>
      <c r="G84" s="186"/>
    </row>
    <row r="85" spans="1:7">
      <c r="A85" s="183"/>
      <c r="B85" s="180" t="s">
        <v>100</v>
      </c>
      <c r="C85" s="181">
        <v>6.8</v>
      </c>
      <c r="D85" s="182">
        <v>50000</v>
      </c>
      <c r="E85" s="182">
        <f t="shared" si="4"/>
        <v>340000</v>
      </c>
      <c r="F85" s="187"/>
      <c r="G85" s="186"/>
    </row>
    <row r="86" spans="1:7">
      <c r="A86" s="183"/>
      <c r="B86" s="180" t="s">
        <v>138</v>
      </c>
      <c r="C86" s="181">
        <v>1</v>
      </c>
      <c r="D86" s="182">
        <v>50000</v>
      </c>
      <c r="E86" s="182">
        <f t="shared" si="4"/>
        <v>50000</v>
      </c>
      <c r="F86" s="187"/>
      <c r="G86" s="186"/>
    </row>
    <row r="87" spans="1:7">
      <c r="A87" s="183"/>
      <c r="B87" s="180" t="s">
        <v>83</v>
      </c>
      <c r="C87" s="181">
        <v>1</v>
      </c>
      <c r="D87" s="182">
        <v>39000</v>
      </c>
      <c r="E87" s="182">
        <f t="shared" si="4"/>
        <v>39000</v>
      </c>
      <c r="F87" s="187"/>
      <c r="G87" s="186"/>
    </row>
    <row r="88" spans="1:7">
      <c r="A88" s="183"/>
      <c r="B88" s="191" t="s">
        <v>98</v>
      </c>
      <c r="C88" s="192">
        <v>2</v>
      </c>
      <c r="D88" s="91">
        <v>39000</v>
      </c>
      <c r="E88" s="182">
        <f t="shared" si="4"/>
        <v>78000</v>
      </c>
      <c r="F88" s="187"/>
      <c r="G88" s="186"/>
    </row>
    <row r="89" spans="1:7">
      <c r="A89" s="183"/>
      <c r="B89" s="191" t="s">
        <v>35</v>
      </c>
      <c r="C89" s="192">
        <v>2</v>
      </c>
      <c r="D89" s="91">
        <v>83000</v>
      </c>
      <c r="E89" s="182">
        <f t="shared" si="4"/>
        <v>166000</v>
      </c>
      <c r="F89" s="187"/>
      <c r="G89" s="186"/>
    </row>
    <row r="90" spans="1:7">
      <c r="A90" s="183"/>
      <c r="B90" s="191" t="s">
        <v>84</v>
      </c>
      <c r="C90" s="192">
        <v>1</v>
      </c>
      <c r="D90" s="91">
        <v>60000</v>
      </c>
      <c r="E90" s="182">
        <f t="shared" si="4"/>
        <v>60000</v>
      </c>
      <c r="F90" s="187"/>
      <c r="G90" s="186"/>
    </row>
    <row r="91" spans="1:7">
      <c r="A91" s="183"/>
      <c r="B91" s="191" t="s">
        <v>36</v>
      </c>
      <c r="C91" s="192">
        <v>0.3</v>
      </c>
      <c r="D91" s="91">
        <v>72000</v>
      </c>
      <c r="E91" s="182">
        <f t="shared" si="4"/>
        <v>21600</v>
      </c>
      <c r="F91" s="187"/>
      <c r="G91" s="186"/>
    </row>
    <row r="92" spans="1:7">
      <c r="A92" s="183"/>
      <c r="B92" s="191" t="s">
        <v>89</v>
      </c>
      <c r="C92" s="192">
        <v>0.2</v>
      </c>
      <c r="D92" s="91">
        <v>90000</v>
      </c>
      <c r="E92" s="182">
        <f t="shared" si="4"/>
        <v>18000</v>
      </c>
      <c r="F92" s="187"/>
      <c r="G92" s="186"/>
    </row>
    <row r="93" spans="1:7">
      <c r="A93" s="183"/>
      <c r="B93" s="191" t="s">
        <v>90</v>
      </c>
      <c r="C93" s="192">
        <v>0.3</v>
      </c>
      <c r="D93" s="91">
        <v>70000</v>
      </c>
      <c r="E93" s="182">
        <f t="shared" si="4"/>
        <v>21000</v>
      </c>
      <c r="F93" s="187"/>
      <c r="G93" s="186"/>
    </row>
    <row r="94" spans="1:7">
      <c r="A94" s="183"/>
      <c r="B94" s="191" t="s">
        <v>91</v>
      </c>
      <c r="C94" s="192">
        <v>0.3</v>
      </c>
      <c r="D94" s="91">
        <v>55000</v>
      </c>
      <c r="E94" s="182">
        <f t="shared" si="4"/>
        <v>16500</v>
      </c>
      <c r="F94" s="187"/>
      <c r="G94" s="186"/>
    </row>
    <row r="95" spans="1:7">
      <c r="A95" s="183"/>
      <c r="B95" s="191" t="s">
        <v>121</v>
      </c>
      <c r="C95" s="192">
        <v>0.05</v>
      </c>
      <c r="D95" s="91">
        <v>198000</v>
      </c>
      <c r="E95" s="182">
        <f t="shared" si="4"/>
        <v>9900</v>
      </c>
      <c r="F95" s="187"/>
      <c r="G95" s="186"/>
    </row>
    <row r="96" spans="1:8">
      <c r="A96" s="183"/>
      <c r="B96" s="191" t="s">
        <v>135</v>
      </c>
      <c r="C96" s="192">
        <v>0.05</v>
      </c>
      <c r="D96" s="91">
        <v>77000</v>
      </c>
      <c r="E96" s="182">
        <f t="shared" si="4"/>
        <v>3850</v>
      </c>
      <c r="F96" s="187"/>
      <c r="G96" s="186"/>
      <c r="H96" s="188"/>
    </row>
    <row r="97" spans="1:7">
      <c r="A97" s="183"/>
      <c r="B97" s="191" t="s">
        <v>139</v>
      </c>
      <c r="C97" s="192">
        <v>0.5</v>
      </c>
      <c r="D97" s="91">
        <v>39000</v>
      </c>
      <c r="E97" s="182">
        <f t="shared" si="4"/>
        <v>19500</v>
      </c>
      <c r="F97" s="187"/>
      <c r="G97" s="186"/>
    </row>
    <row r="98" spans="1:7">
      <c r="A98" s="183"/>
      <c r="B98" s="191" t="s">
        <v>108</v>
      </c>
      <c r="C98" s="192">
        <v>0.05</v>
      </c>
      <c r="D98" s="91">
        <v>77000</v>
      </c>
      <c r="E98" s="182">
        <f t="shared" si="4"/>
        <v>3850</v>
      </c>
      <c r="F98" s="187"/>
      <c r="G98" s="186"/>
    </row>
    <row r="99" spans="1:7">
      <c r="A99" s="184"/>
      <c r="B99" s="191" t="s">
        <v>140</v>
      </c>
      <c r="C99" s="192">
        <v>0.5</v>
      </c>
      <c r="D99" s="91">
        <v>70000</v>
      </c>
      <c r="E99" s="182">
        <f t="shared" si="4"/>
        <v>35000</v>
      </c>
      <c r="F99" s="189"/>
      <c r="G99" s="186"/>
    </row>
    <row r="100" spans="1:7">
      <c r="A100" s="193">
        <v>46027</v>
      </c>
      <c r="B100" s="191" t="s">
        <v>41</v>
      </c>
      <c r="C100" s="192">
        <v>3.5</v>
      </c>
      <c r="D100" s="91">
        <v>25000</v>
      </c>
      <c r="E100" s="182">
        <f t="shared" ref="E100:E121" si="5">D100*C100</f>
        <v>87500</v>
      </c>
      <c r="F100" s="198">
        <f>SUM(E100:E121)</f>
        <v>1561000</v>
      </c>
      <c r="G100" s="186"/>
    </row>
    <row r="101" spans="1:7">
      <c r="A101" s="194"/>
      <c r="B101" s="191" t="s">
        <v>44</v>
      </c>
      <c r="C101" s="192">
        <v>2</v>
      </c>
      <c r="D101" s="91">
        <v>28000</v>
      </c>
      <c r="E101" s="182">
        <f t="shared" si="5"/>
        <v>56000</v>
      </c>
      <c r="F101" s="199"/>
      <c r="G101" s="186"/>
    </row>
    <row r="102" spans="1:7">
      <c r="A102" s="194"/>
      <c r="B102" s="191" t="s">
        <v>40</v>
      </c>
      <c r="C102" s="192">
        <v>10</v>
      </c>
      <c r="D102" s="91">
        <v>25000</v>
      </c>
      <c r="E102" s="182">
        <f t="shared" si="5"/>
        <v>250000</v>
      </c>
      <c r="F102" s="199"/>
      <c r="G102" s="186"/>
    </row>
    <row r="103" spans="1:7">
      <c r="A103" s="194"/>
      <c r="B103" s="191" t="s">
        <v>93</v>
      </c>
      <c r="C103" s="192">
        <v>5</v>
      </c>
      <c r="D103" s="91">
        <v>25000</v>
      </c>
      <c r="E103" s="182">
        <f t="shared" si="5"/>
        <v>125000</v>
      </c>
      <c r="F103" s="199"/>
      <c r="G103" s="186"/>
    </row>
    <row r="104" spans="1:7">
      <c r="A104" s="194"/>
      <c r="B104" s="191" t="s">
        <v>69</v>
      </c>
      <c r="C104" s="192">
        <v>5</v>
      </c>
      <c r="D104" s="91">
        <v>66000</v>
      </c>
      <c r="E104" s="182">
        <f t="shared" si="5"/>
        <v>330000</v>
      </c>
      <c r="F104" s="199"/>
      <c r="G104" s="186"/>
    </row>
    <row r="105" spans="1:7">
      <c r="A105" s="194"/>
      <c r="B105" s="191" t="s">
        <v>61</v>
      </c>
      <c r="C105" s="192">
        <v>2</v>
      </c>
      <c r="D105" s="91">
        <v>25000</v>
      </c>
      <c r="E105" s="182">
        <f t="shared" si="5"/>
        <v>50000</v>
      </c>
      <c r="F105" s="199"/>
      <c r="G105" s="186"/>
    </row>
    <row r="106" spans="1:7">
      <c r="A106" s="194"/>
      <c r="B106" s="191" t="s">
        <v>107</v>
      </c>
      <c r="C106" s="192">
        <v>2</v>
      </c>
      <c r="D106" s="91">
        <v>35000</v>
      </c>
      <c r="E106" s="182">
        <f t="shared" si="5"/>
        <v>70000</v>
      </c>
      <c r="F106" s="199"/>
      <c r="G106" s="186"/>
    </row>
    <row r="107" spans="1:7">
      <c r="A107" s="194"/>
      <c r="B107" s="191" t="s">
        <v>86</v>
      </c>
      <c r="C107" s="192">
        <v>0.5</v>
      </c>
      <c r="D107" s="91">
        <v>83000</v>
      </c>
      <c r="E107" s="182">
        <f t="shared" si="5"/>
        <v>41500</v>
      </c>
      <c r="F107" s="199"/>
      <c r="G107" s="186"/>
    </row>
    <row r="108" spans="1:7">
      <c r="A108" s="194"/>
      <c r="B108" s="191" t="s">
        <v>85</v>
      </c>
      <c r="C108" s="192">
        <v>0.5</v>
      </c>
      <c r="D108" s="91">
        <v>72000</v>
      </c>
      <c r="E108" s="182">
        <f t="shared" si="5"/>
        <v>36000</v>
      </c>
      <c r="F108" s="199"/>
      <c r="G108" s="186"/>
    </row>
    <row r="109" spans="1:7">
      <c r="A109" s="194"/>
      <c r="B109" s="191" t="s">
        <v>33</v>
      </c>
      <c r="C109" s="192">
        <v>2</v>
      </c>
      <c r="D109" s="91">
        <v>28000</v>
      </c>
      <c r="E109" s="182">
        <f t="shared" si="5"/>
        <v>56000</v>
      </c>
      <c r="F109" s="199"/>
      <c r="G109" s="186"/>
    </row>
    <row r="110" spans="1:7">
      <c r="A110" s="194"/>
      <c r="B110" s="180" t="s">
        <v>32</v>
      </c>
      <c r="C110" s="181">
        <v>1.5</v>
      </c>
      <c r="D110" s="182">
        <v>11000</v>
      </c>
      <c r="E110" s="182">
        <f t="shared" si="5"/>
        <v>16500</v>
      </c>
      <c r="F110" s="199"/>
      <c r="G110" s="186"/>
    </row>
    <row r="111" spans="1:7">
      <c r="A111" s="194"/>
      <c r="B111" s="180" t="s">
        <v>106</v>
      </c>
      <c r="C111" s="181">
        <v>2</v>
      </c>
      <c r="D111" s="182">
        <v>50000</v>
      </c>
      <c r="E111" s="182">
        <f t="shared" si="5"/>
        <v>100000</v>
      </c>
      <c r="F111" s="199"/>
      <c r="G111" s="186"/>
    </row>
    <row r="112" spans="1:7">
      <c r="A112" s="194"/>
      <c r="B112" s="180" t="s">
        <v>100</v>
      </c>
      <c r="C112" s="181">
        <v>1</v>
      </c>
      <c r="D112" s="182">
        <v>50000</v>
      </c>
      <c r="E112" s="182">
        <f t="shared" si="5"/>
        <v>50000</v>
      </c>
      <c r="F112" s="199"/>
      <c r="G112" s="186"/>
    </row>
    <row r="113" spans="1:7">
      <c r="A113" s="194"/>
      <c r="B113" s="180" t="s">
        <v>141</v>
      </c>
      <c r="C113" s="181">
        <v>1</v>
      </c>
      <c r="D113" s="182">
        <v>25000</v>
      </c>
      <c r="E113" s="182">
        <f t="shared" si="5"/>
        <v>25000</v>
      </c>
      <c r="F113" s="199"/>
      <c r="G113" s="186"/>
    </row>
    <row r="114" spans="1:7">
      <c r="A114" s="194"/>
      <c r="B114" s="180" t="s">
        <v>83</v>
      </c>
      <c r="C114" s="181">
        <v>1</v>
      </c>
      <c r="D114" s="182">
        <v>39000</v>
      </c>
      <c r="E114" s="182">
        <f t="shared" si="5"/>
        <v>39000</v>
      </c>
      <c r="F114" s="199"/>
      <c r="G114" s="186"/>
    </row>
    <row r="115" spans="1:7">
      <c r="A115" s="194"/>
      <c r="B115" s="180" t="s">
        <v>35</v>
      </c>
      <c r="C115" s="181">
        <v>1</v>
      </c>
      <c r="D115" s="182">
        <v>83000</v>
      </c>
      <c r="E115" s="182">
        <f t="shared" si="5"/>
        <v>83000</v>
      </c>
      <c r="F115" s="199"/>
      <c r="G115" s="186"/>
    </row>
    <row r="116" spans="1:7">
      <c r="A116" s="194"/>
      <c r="B116" s="180" t="s">
        <v>124</v>
      </c>
      <c r="C116" s="181">
        <v>0.1</v>
      </c>
      <c r="D116" s="182">
        <v>88000</v>
      </c>
      <c r="E116" s="182">
        <f t="shared" si="5"/>
        <v>8800</v>
      </c>
      <c r="F116" s="199"/>
      <c r="G116" s="186"/>
    </row>
    <row r="117" spans="1:7">
      <c r="A117" s="194"/>
      <c r="B117" s="180" t="s">
        <v>125</v>
      </c>
      <c r="C117" s="181">
        <v>0.1</v>
      </c>
      <c r="D117" s="182">
        <v>72000</v>
      </c>
      <c r="E117" s="182">
        <f t="shared" si="5"/>
        <v>7200</v>
      </c>
      <c r="F117" s="199"/>
      <c r="G117" s="186"/>
    </row>
    <row r="118" spans="1:7">
      <c r="A118" s="194"/>
      <c r="B118" s="180" t="s">
        <v>99</v>
      </c>
      <c r="C118" s="181">
        <v>2</v>
      </c>
      <c r="D118" s="182">
        <v>10000</v>
      </c>
      <c r="E118" s="182">
        <f t="shared" si="5"/>
        <v>20000</v>
      </c>
      <c r="F118" s="199"/>
      <c r="G118" s="186"/>
    </row>
    <row r="119" spans="1:7">
      <c r="A119" s="194"/>
      <c r="B119" s="180" t="s">
        <v>84</v>
      </c>
      <c r="C119" s="181">
        <v>1</v>
      </c>
      <c r="D119" s="182">
        <v>60000</v>
      </c>
      <c r="E119" s="182">
        <f t="shared" si="5"/>
        <v>60000</v>
      </c>
      <c r="F119" s="199"/>
      <c r="G119" s="186"/>
    </row>
    <row r="120" spans="1:7">
      <c r="A120" s="194"/>
      <c r="B120" s="180" t="s">
        <v>142</v>
      </c>
      <c r="C120" s="181">
        <v>0.3</v>
      </c>
      <c r="D120" s="182">
        <v>85000</v>
      </c>
      <c r="E120" s="182">
        <f t="shared" si="5"/>
        <v>25500</v>
      </c>
      <c r="F120" s="199"/>
      <c r="G120" s="186"/>
    </row>
    <row r="121" spans="1:7">
      <c r="A121" s="195"/>
      <c r="B121" s="180" t="s">
        <v>97</v>
      </c>
      <c r="C121" s="181">
        <v>0.2</v>
      </c>
      <c r="D121" s="182">
        <v>120000</v>
      </c>
      <c r="E121" s="182">
        <f t="shared" si="5"/>
        <v>24000</v>
      </c>
      <c r="F121" s="200"/>
      <c r="G121" s="186"/>
    </row>
    <row r="122" spans="1:7">
      <c r="A122" s="179">
        <v>46027</v>
      </c>
      <c r="B122" s="180" t="s">
        <v>30</v>
      </c>
      <c r="C122" s="181">
        <v>0.7</v>
      </c>
      <c r="D122" s="182">
        <v>50000</v>
      </c>
      <c r="E122" s="182">
        <f t="shared" ref="E122:E127" si="6">D122*C122</f>
        <v>35000</v>
      </c>
      <c r="F122" s="185">
        <f>SUM(E122:E127)</f>
        <v>512200</v>
      </c>
      <c r="G122" s="186"/>
    </row>
    <row r="123" spans="1:7">
      <c r="A123" s="183"/>
      <c r="B123" s="180" t="s">
        <v>31</v>
      </c>
      <c r="C123" s="181">
        <v>0.7</v>
      </c>
      <c r="D123" s="182">
        <v>61000</v>
      </c>
      <c r="E123" s="182">
        <f t="shared" si="6"/>
        <v>42700</v>
      </c>
      <c r="F123" s="187"/>
      <c r="G123" s="186"/>
    </row>
    <row r="124" spans="1:7">
      <c r="A124" s="183"/>
      <c r="B124" s="180" t="s">
        <v>96</v>
      </c>
      <c r="C124" s="181">
        <v>0.5</v>
      </c>
      <c r="D124" s="182">
        <v>44000</v>
      </c>
      <c r="E124" s="182">
        <f t="shared" si="6"/>
        <v>22000</v>
      </c>
      <c r="F124" s="187"/>
      <c r="G124" s="186"/>
    </row>
    <row r="125" spans="1:7">
      <c r="A125" s="183"/>
      <c r="B125" s="180" t="s">
        <v>94</v>
      </c>
      <c r="C125" s="181">
        <v>0.5</v>
      </c>
      <c r="D125" s="182">
        <v>61000</v>
      </c>
      <c r="E125" s="182">
        <f t="shared" si="6"/>
        <v>30500</v>
      </c>
      <c r="F125" s="187"/>
      <c r="G125" s="186"/>
    </row>
    <row r="126" spans="1:7">
      <c r="A126" s="183"/>
      <c r="B126" s="180" t="s">
        <v>34</v>
      </c>
      <c r="C126" s="181">
        <v>0.5</v>
      </c>
      <c r="D126" s="182">
        <v>44000</v>
      </c>
      <c r="E126" s="182">
        <f t="shared" si="6"/>
        <v>22000</v>
      </c>
      <c r="F126" s="187"/>
      <c r="G126" s="186"/>
    </row>
    <row r="127" spans="1:7">
      <c r="A127" s="184"/>
      <c r="B127" s="180" t="s">
        <v>24</v>
      </c>
      <c r="C127" s="181">
        <v>2</v>
      </c>
      <c r="D127" s="182">
        <v>180000</v>
      </c>
      <c r="E127" s="182">
        <f t="shared" si="6"/>
        <v>360000</v>
      </c>
      <c r="F127" s="189"/>
      <c r="G127" s="186"/>
    </row>
    <row r="128" spans="1:7">
      <c r="A128" s="196">
        <v>46028</v>
      </c>
      <c r="B128" s="180" t="s">
        <v>143</v>
      </c>
      <c r="C128" s="181">
        <v>0.5</v>
      </c>
      <c r="D128" s="182">
        <v>180000</v>
      </c>
      <c r="E128" s="182">
        <f t="shared" ref="E128:E149" si="7">D128*C128</f>
        <v>90000</v>
      </c>
      <c r="F128" s="201">
        <f>SUM(E128:E149)</f>
        <v>1943900</v>
      </c>
      <c r="G128" s="186"/>
    </row>
    <row r="129" spans="1:7">
      <c r="A129" s="202"/>
      <c r="B129" s="180" t="s">
        <v>69</v>
      </c>
      <c r="C129" s="181">
        <v>5</v>
      </c>
      <c r="D129" s="182">
        <v>66000</v>
      </c>
      <c r="E129" s="182">
        <f t="shared" si="7"/>
        <v>330000</v>
      </c>
      <c r="F129" s="204"/>
      <c r="G129" s="186"/>
    </row>
    <row r="130" spans="1:7">
      <c r="A130" s="202"/>
      <c r="B130" s="180" t="s">
        <v>41</v>
      </c>
      <c r="C130" s="181">
        <v>4.5</v>
      </c>
      <c r="D130" s="182">
        <v>25000</v>
      </c>
      <c r="E130" s="182">
        <f t="shared" si="7"/>
        <v>112500</v>
      </c>
      <c r="F130" s="204"/>
      <c r="G130" s="186"/>
    </row>
    <row r="131" spans="1:7">
      <c r="A131" s="202"/>
      <c r="B131" s="180" t="s">
        <v>144</v>
      </c>
      <c r="C131" s="181">
        <v>2</v>
      </c>
      <c r="D131" s="182">
        <v>85000</v>
      </c>
      <c r="E131" s="182">
        <f t="shared" si="7"/>
        <v>170000</v>
      </c>
      <c r="F131" s="204"/>
      <c r="G131" s="186"/>
    </row>
    <row r="132" spans="1:7">
      <c r="A132" s="202"/>
      <c r="B132" s="180" t="s">
        <v>145</v>
      </c>
      <c r="C132" s="181">
        <v>3</v>
      </c>
      <c r="D132" s="182">
        <v>175000</v>
      </c>
      <c r="E132" s="182">
        <f t="shared" si="7"/>
        <v>525000</v>
      </c>
      <c r="F132" s="204"/>
      <c r="G132" s="186"/>
    </row>
    <row r="133" spans="1:7">
      <c r="A133" s="202"/>
      <c r="B133" s="180" t="s">
        <v>146</v>
      </c>
      <c r="C133" s="181">
        <v>2</v>
      </c>
      <c r="D133" s="182">
        <v>25000</v>
      </c>
      <c r="E133" s="182">
        <f t="shared" si="7"/>
        <v>50000</v>
      </c>
      <c r="F133" s="204"/>
      <c r="G133" s="186"/>
    </row>
    <row r="134" spans="1:7">
      <c r="A134" s="202"/>
      <c r="B134" s="180" t="s">
        <v>147</v>
      </c>
      <c r="C134" s="181">
        <v>2</v>
      </c>
      <c r="D134" s="182">
        <v>27000</v>
      </c>
      <c r="E134" s="182">
        <f t="shared" si="7"/>
        <v>54000</v>
      </c>
      <c r="F134" s="204"/>
      <c r="G134" s="186"/>
    </row>
    <row r="135" spans="1:7">
      <c r="A135" s="202"/>
      <c r="B135" s="180" t="s">
        <v>128</v>
      </c>
      <c r="C135" s="181">
        <v>2</v>
      </c>
      <c r="D135" s="182">
        <v>45000</v>
      </c>
      <c r="E135" s="182">
        <f t="shared" si="7"/>
        <v>90000</v>
      </c>
      <c r="F135" s="204"/>
      <c r="G135" s="186"/>
    </row>
    <row r="136" spans="1:7">
      <c r="A136" s="202"/>
      <c r="B136" s="180" t="s">
        <v>88</v>
      </c>
      <c r="C136" s="181">
        <v>1</v>
      </c>
      <c r="D136" s="182">
        <v>17000</v>
      </c>
      <c r="E136" s="182">
        <f t="shared" si="7"/>
        <v>17000</v>
      </c>
      <c r="F136" s="204"/>
      <c r="G136" s="186"/>
    </row>
    <row r="137" spans="1:7">
      <c r="A137" s="202"/>
      <c r="B137" s="180" t="s">
        <v>32</v>
      </c>
      <c r="C137" s="181">
        <v>2</v>
      </c>
      <c r="D137" s="182">
        <v>11000</v>
      </c>
      <c r="E137" s="182">
        <f t="shared" si="7"/>
        <v>22000</v>
      </c>
      <c r="F137" s="204"/>
      <c r="G137" s="186"/>
    </row>
    <row r="138" spans="1:7">
      <c r="A138" s="202"/>
      <c r="B138" s="180" t="s">
        <v>33</v>
      </c>
      <c r="C138" s="181">
        <v>3</v>
      </c>
      <c r="D138" s="182">
        <v>28000</v>
      </c>
      <c r="E138" s="182">
        <f t="shared" si="7"/>
        <v>84000</v>
      </c>
      <c r="F138" s="204"/>
      <c r="G138" s="186"/>
    </row>
    <row r="139" spans="1:7">
      <c r="A139" s="202"/>
      <c r="B139" s="180" t="s">
        <v>122</v>
      </c>
      <c r="C139" s="181">
        <v>1</v>
      </c>
      <c r="D139" s="182">
        <v>28000</v>
      </c>
      <c r="E139" s="182">
        <f t="shared" si="7"/>
        <v>28000</v>
      </c>
      <c r="F139" s="204"/>
      <c r="G139" s="186"/>
    </row>
    <row r="140" spans="1:7">
      <c r="A140" s="202"/>
      <c r="B140" s="180" t="s">
        <v>44</v>
      </c>
      <c r="C140" s="181">
        <v>2</v>
      </c>
      <c r="D140" s="182">
        <v>28000</v>
      </c>
      <c r="E140" s="182">
        <f t="shared" si="7"/>
        <v>56000</v>
      </c>
      <c r="F140" s="204"/>
      <c r="G140" s="186"/>
    </row>
    <row r="141" spans="1:7">
      <c r="A141" s="202"/>
      <c r="B141" s="180" t="s">
        <v>90</v>
      </c>
      <c r="C141" s="181">
        <v>0.3</v>
      </c>
      <c r="D141" s="182">
        <v>70000</v>
      </c>
      <c r="E141" s="182">
        <f t="shared" si="7"/>
        <v>21000</v>
      </c>
      <c r="F141" s="204"/>
      <c r="G141" s="186"/>
    </row>
    <row r="142" spans="1:7">
      <c r="A142" s="202"/>
      <c r="B142" s="180" t="s">
        <v>91</v>
      </c>
      <c r="C142" s="181">
        <v>0.2</v>
      </c>
      <c r="D142" s="182">
        <v>55000</v>
      </c>
      <c r="E142" s="182">
        <f t="shared" si="7"/>
        <v>11000</v>
      </c>
      <c r="F142" s="204"/>
      <c r="G142" s="186"/>
    </row>
    <row r="143" spans="1:7">
      <c r="A143" s="202"/>
      <c r="B143" s="180" t="s">
        <v>36</v>
      </c>
      <c r="C143" s="181">
        <v>0.2</v>
      </c>
      <c r="D143" s="182">
        <v>72000</v>
      </c>
      <c r="E143" s="182">
        <f t="shared" si="7"/>
        <v>14400</v>
      </c>
      <c r="F143" s="204"/>
      <c r="G143" s="186"/>
    </row>
    <row r="144" spans="1:7">
      <c r="A144" s="202"/>
      <c r="B144" s="180" t="s">
        <v>29</v>
      </c>
      <c r="C144" s="181">
        <v>0.1</v>
      </c>
      <c r="D144" s="182">
        <v>83000</v>
      </c>
      <c r="E144" s="182">
        <f t="shared" si="7"/>
        <v>8300</v>
      </c>
      <c r="F144" s="204"/>
      <c r="G144" s="186"/>
    </row>
    <row r="145" spans="1:7">
      <c r="A145" s="202"/>
      <c r="B145" s="180" t="s">
        <v>108</v>
      </c>
      <c r="C145" s="181">
        <v>0.1</v>
      </c>
      <c r="D145" s="182">
        <v>77000</v>
      </c>
      <c r="E145" s="182">
        <f t="shared" si="7"/>
        <v>7700</v>
      </c>
      <c r="F145" s="204"/>
      <c r="G145" s="186"/>
    </row>
    <row r="146" spans="1:7">
      <c r="A146" s="202"/>
      <c r="B146" s="180" t="s">
        <v>148</v>
      </c>
      <c r="C146" s="181">
        <v>5.8</v>
      </c>
      <c r="D146" s="182">
        <v>10000</v>
      </c>
      <c r="E146" s="182">
        <f t="shared" si="7"/>
        <v>58000</v>
      </c>
      <c r="F146" s="204"/>
      <c r="G146" s="186"/>
    </row>
    <row r="147" spans="1:7">
      <c r="A147" s="202"/>
      <c r="B147" s="180" t="s">
        <v>136</v>
      </c>
      <c r="C147" s="181">
        <v>2</v>
      </c>
      <c r="D147" s="182">
        <v>39000</v>
      </c>
      <c r="E147" s="182">
        <f t="shared" si="7"/>
        <v>78000</v>
      </c>
      <c r="F147" s="204"/>
      <c r="G147" s="186"/>
    </row>
    <row r="148" spans="1:7">
      <c r="A148" s="202"/>
      <c r="B148" s="180" t="s">
        <v>83</v>
      </c>
      <c r="C148" s="181">
        <v>2</v>
      </c>
      <c r="D148" s="182">
        <v>39000</v>
      </c>
      <c r="E148" s="182">
        <f t="shared" si="7"/>
        <v>78000</v>
      </c>
      <c r="F148" s="204"/>
      <c r="G148" s="186"/>
    </row>
    <row r="149" spans="1:7">
      <c r="A149" s="203"/>
      <c r="B149" s="180" t="s">
        <v>98</v>
      </c>
      <c r="C149" s="181">
        <v>1</v>
      </c>
      <c r="D149" s="182">
        <v>39000</v>
      </c>
      <c r="E149" s="182">
        <f t="shared" si="7"/>
        <v>39000</v>
      </c>
      <c r="F149" s="205"/>
      <c r="G149" s="186"/>
    </row>
    <row r="150" spans="1:7">
      <c r="A150" s="196">
        <v>46028</v>
      </c>
      <c r="B150" s="180" t="s">
        <v>84</v>
      </c>
      <c r="C150" s="181">
        <v>1</v>
      </c>
      <c r="D150" s="182">
        <v>60000</v>
      </c>
      <c r="E150" s="182">
        <f t="shared" ref="E150:E157" si="8">D150*C150</f>
        <v>60000</v>
      </c>
      <c r="F150" s="201">
        <f>SUM(E150:E157)</f>
        <v>211800</v>
      </c>
      <c r="G150" s="186"/>
    </row>
    <row r="151" spans="1:7">
      <c r="A151" s="202"/>
      <c r="B151" s="180" t="s">
        <v>124</v>
      </c>
      <c r="C151" s="181">
        <v>0.1</v>
      </c>
      <c r="D151" s="182">
        <v>88000</v>
      </c>
      <c r="E151" s="182">
        <f t="shared" si="8"/>
        <v>8800</v>
      </c>
      <c r="F151" s="204"/>
      <c r="G151" s="186"/>
    </row>
    <row r="152" spans="1:7">
      <c r="A152" s="202"/>
      <c r="B152" s="180" t="s">
        <v>97</v>
      </c>
      <c r="C152" s="181">
        <v>0.2</v>
      </c>
      <c r="D152" s="182">
        <v>120000</v>
      </c>
      <c r="E152" s="182">
        <f t="shared" si="8"/>
        <v>24000</v>
      </c>
      <c r="F152" s="204"/>
      <c r="G152" s="186"/>
    </row>
    <row r="153" spans="1:7">
      <c r="A153" s="202"/>
      <c r="B153" s="180" t="s">
        <v>96</v>
      </c>
      <c r="C153" s="181">
        <v>0.3</v>
      </c>
      <c r="D153" s="182">
        <v>44000</v>
      </c>
      <c r="E153" s="182">
        <f t="shared" si="8"/>
        <v>13200</v>
      </c>
      <c r="F153" s="204"/>
      <c r="G153" s="186"/>
    </row>
    <row r="154" spans="1:7">
      <c r="A154" s="202"/>
      <c r="B154" s="180" t="s">
        <v>149</v>
      </c>
      <c r="C154" s="181">
        <v>0.3</v>
      </c>
      <c r="D154" s="182">
        <v>66000</v>
      </c>
      <c r="E154" s="182">
        <f t="shared" si="8"/>
        <v>19800</v>
      </c>
      <c r="F154" s="204"/>
      <c r="G154" s="186"/>
    </row>
    <row r="155" spans="1:7">
      <c r="A155" s="202"/>
      <c r="B155" s="180" t="s">
        <v>94</v>
      </c>
      <c r="C155" s="181">
        <v>0.5</v>
      </c>
      <c r="D155" s="182">
        <v>61000</v>
      </c>
      <c r="E155" s="182">
        <f t="shared" si="8"/>
        <v>30500</v>
      </c>
      <c r="F155" s="204"/>
      <c r="G155" s="186"/>
    </row>
    <row r="156" spans="1:7">
      <c r="A156" s="202"/>
      <c r="B156" s="180" t="s">
        <v>30</v>
      </c>
      <c r="C156" s="181">
        <v>0.5</v>
      </c>
      <c r="D156" s="182">
        <v>50000</v>
      </c>
      <c r="E156" s="182">
        <f t="shared" si="8"/>
        <v>25000</v>
      </c>
      <c r="F156" s="204"/>
      <c r="G156" s="186"/>
    </row>
    <row r="157" spans="1:7">
      <c r="A157" s="203"/>
      <c r="B157" s="180" t="s">
        <v>31</v>
      </c>
      <c r="C157" s="181">
        <v>0.5</v>
      </c>
      <c r="D157" s="182">
        <v>61000</v>
      </c>
      <c r="E157" s="182">
        <f t="shared" si="8"/>
        <v>30500</v>
      </c>
      <c r="F157" s="205"/>
      <c r="G157" s="186"/>
    </row>
    <row r="158" spans="1:7">
      <c r="A158" s="196">
        <v>46029</v>
      </c>
      <c r="B158" s="180" t="s">
        <v>69</v>
      </c>
      <c r="C158" s="181">
        <v>3</v>
      </c>
      <c r="D158" s="182">
        <v>66000</v>
      </c>
      <c r="E158" s="182">
        <f t="shared" ref="E158:E179" si="9">D158*C158</f>
        <v>198000</v>
      </c>
      <c r="F158" s="201">
        <f>SUM(E158:E179)</f>
        <v>1284300</v>
      </c>
      <c r="G158" s="186"/>
    </row>
    <row r="159" spans="1:7">
      <c r="A159" s="202"/>
      <c r="B159" s="180" t="s">
        <v>90</v>
      </c>
      <c r="C159" s="181">
        <v>0.1</v>
      </c>
      <c r="D159" s="182">
        <v>70000</v>
      </c>
      <c r="E159" s="182">
        <f t="shared" si="9"/>
        <v>7000</v>
      </c>
      <c r="F159" s="204"/>
      <c r="G159" s="186"/>
    </row>
    <row r="160" spans="1:7">
      <c r="A160" s="202"/>
      <c r="B160" s="180" t="s">
        <v>91</v>
      </c>
      <c r="C160" s="181">
        <v>0.1</v>
      </c>
      <c r="D160" s="182">
        <v>55000</v>
      </c>
      <c r="E160" s="182">
        <f t="shared" si="9"/>
        <v>5500</v>
      </c>
      <c r="F160" s="204"/>
      <c r="G160" s="186"/>
    </row>
    <row r="161" spans="1:7">
      <c r="A161" s="202"/>
      <c r="B161" s="180" t="s">
        <v>135</v>
      </c>
      <c r="C161" s="181">
        <v>0.1</v>
      </c>
      <c r="D161" s="182">
        <v>77000</v>
      </c>
      <c r="E161" s="182">
        <f t="shared" si="9"/>
        <v>7700</v>
      </c>
      <c r="F161" s="204"/>
      <c r="G161" s="186"/>
    </row>
    <row r="162" spans="1:7">
      <c r="A162" s="202"/>
      <c r="B162" s="180" t="s">
        <v>121</v>
      </c>
      <c r="C162" s="181">
        <v>0.1</v>
      </c>
      <c r="D162" s="182">
        <v>198000</v>
      </c>
      <c r="E162" s="182">
        <f t="shared" si="9"/>
        <v>19800</v>
      </c>
      <c r="F162" s="204"/>
      <c r="G162" s="186"/>
    </row>
    <row r="163" spans="1:7">
      <c r="A163" s="202"/>
      <c r="B163" s="180" t="s">
        <v>42</v>
      </c>
      <c r="C163" s="181">
        <v>0.1</v>
      </c>
      <c r="D163" s="182">
        <v>72000</v>
      </c>
      <c r="E163" s="182">
        <f t="shared" si="9"/>
        <v>7200</v>
      </c>
      <c r="F163" s="204"/>
      <c r="G163" s="186"/>
    </row>
    <row r="164" spans="1:7">
      <c r="A164" s="202"/>
      <c r="B164" s="180" t="s">
        <v>122</v>
      </c>
      <c r="C164" s="181">
        <v>1</v>
      </c>
      <c r="D164" s="182">
        <v>28000</v>
      </c>
      <c r="E164" s="182">
        <f t="shared" si="9"/>
        <v>28000</v>
      </c>
      <c r="F164" s="204"/>
      <c r="G164" s="186"/>
    </row>
    <row r="165" spans="1:7">
      <c r="A165" s="202"/>
      <c r="B165" s="180" t="s">
        <v>87</v>
      </c>
      <c r="C165" s="181">
        <v>0.5</v>
      </c>
      <c r="D165" s="182">
        <v>94000</v>
      </c>
      <c r="E165" s="182">
        <f t="shared" si="9"/>
        <v>47000</v>
      </c>
      <c r="F165" s="204"/>
      <c r="G165" s="186"/>
    </row>
    <row r="166" spans="1:8">
      <c r="A166" s="202"/>
      <c r="B166" s="180" t="s">
        <v>85</v>
      </c>
      <c r="C166" s="181">
        <v>0.5</v>
      </c>
      <c r="D166" s="182">
        <v>72000</v>
      </c>
      <c r="E166" s="182">
        <f t="shared" si="9"/>
        <v>36000</v>
      </c>
      <c r="F166" s="204"/>
      <c r="G166" s="186"/>
      <c r="H166" s="188"/>
    </row>
    <row r="167" spans="1:7">
      <c r="A167" s="202"/>
      <c r="B167" s="180" t="s">
        <v>86</v>
      </c>
      <c r="C167" s="181">
        <v>0.5</v>
      </c>
      <c r="D167" s="182">
        <v>83000</v>
      </c>
      <c r="E167" s="182">
        <f t="shared" si="9"/>
        <v>41500</v>
      </c>
      <c r="F167" s="204"/>
      <c r="G167" s="186"/>
    </row>
    <row r="168" spans="1:7">
      <c r="A168" s="202"/>
      <c r="B168" s="180" t="s">
        <v>123</v>
      </c>
      <c r="C168" s="181">
        <v>2</v>
      </c>
      <c r="D168" s="182">
        <v>35000</v>
      </c>
      <c r="E168" s="182">
        <f t="shared" si="9"/>
        <v>70000</v>
      </c>
      <c r="F168" s="204"/>
      <c r="G168" s="186"/>
    </row>
    <row r="169" spans="1:7">
      <c r="A169" s="202"/>
      <c r="B169" s="180" t="s">
        <v>150</v>
      </c>
      <c r="C169" s="181">
        <v>0.1</v>
      </c>
      <c r="D169" s="182">
        <v>165000</v>
      </c>
      <c r="E169" s="182">
        <f t="shared" si="9"/>
        <v>16500</v>
      </c>
      <c r="F169" s="204"/>
      <c r="G169" s="186"/>
    </row>
    <row r="170" spans="1:7">
      <c r="A170" s="202"/>
      <c r="B170" s="180" t="s">
        <v>34</v>
      </c>
      <c r="C170" s="181">
        <v>1</v>
      </c>
      <c r="D170" s="182">
        <v>44000</v>
      </c>
      <c r="E170" s="182">
        <f t="shared" si="9"/>
        <v>44000</v>
      </c>
      <c r="F170" s="204"/>
      <c r="G170" s="186"/>
    </row>
    <row r="171" spans="1:7">
      <c r="A171" s="202"/>
      <c r="B171" s="180" t="s">
        <v>151</v>
      </c>
      <c r="C171" s="181">
        <v>1</v>
      </c>
      <c r="D171" s="182">
        <v>55000</v>
      </c>
      <c r="E171" s="182">
        <f t="shared" si="9"/>
        <v>55000</v>
      </c>
      <c r="F171" s="204"/>
      <c r="G171" s="186"/>
    </row>
    <row r="172" spans="1:7">
      <c r="A172" s="202"/>
      <c r="B172" s="180" t="s">
        <v>111</v>
      </c>
      <c r="C172" s="181">
        <v>0.2</v>
      </c>
      <c r="D172" s="182">
        <v>28000</v>
      </c>
      <c r="E172" s="182">
        <f t="shared" si="9"/>
        <v>5600</v>
      </c>
      <c r="F172" s="204"/>
      <c r="G172" s="186"/>
    </row>
    <row r="173" spans="1:7">
      <c r="A173" s="202"/>
      <c r="B173" s="180" t="s">
        <v>97</v>
      </c>
      <c r="C173" s="181">
        <v>0.3</v>
      </c>
      <c r="D173" s="182">
        <v>120000</v>
      </c>
      <c r="E173" s="182">
        <f t="shared" si="9"/>
        <v>36000</v>
      </c>
      <c r="F173" s="204"/>
      <c r="G173" s="186"/>
    </row>
    <row r="174" spans="1:7">
      <c r="A174" s="202"/>
      <c r="B174" s="180" t="s">
        <v>113</v>
      </c>
      <c r="C174" s="181">
        <v>7.1</v>
      </c>
      <c r="D174" s="182">
        <v>15000</v>
      </c>
      <c r="E174" s="182">
        <f t="shared" si="9"/>
        <v>106500</v>
      </c>
      <c r="F174" s="204"/>
      <c r="G174" s="186"/>
    </row>
    <row r="175" spans="1:7">
      <c r="A175" s="202"/>
      <c r="B175" s="180" t="s">
        <v>98</v>
      </c>
      <c r="C175" s="181">
        <v>2</v>
      </c>
      <c r="D175" s="182">
        <v>39000</v>
      </c>
      <c r="E175" s="182">
        <f t="shared" si="9"/>
        <v>78000</v>
      </c>
      <c r="F175" s="204"/>
      <c r="G175" s="186"/>
    </row>
    <row r="176" spans="1:7">
      <c r="A176" s="202"/>
      <c r="B176" s="180" t="s">
        <v>79</v>
      </c>
      <c r="C176" s="181">
        <v>1</v>
      </c>
      <c r="D176" s="182">
        <v>45000</v>
      </c>
      <c r="E176" s="182">
        <f t="shared" si="9"/>
        <v>45000</v>
      </c>
      <c r="F176" s="204"/>
      <c r="G176" s="186"/>
    </row>
    <row r="177" spans="1:7">
      <c r="A177" s="202"/>
      <c r="B177" s="180" t="s">
        <v>144</v>
      </c>
      <c r="C177" s="181">
        <v>2</v>
      </c>
      <c r="D177" s="182">
        <v>75000</v>
      </c>
      <c r="E177" s="182">
        <f t="shared" si="9"/>
        <v>150000</v>
      </c>
      <c r="F177" s="204"/>
      <c r="G177" s="186"/>
    </row>
    <row r="178" spans="1:7">
      <c r="A178" s="202"/>
      <c r="B178" s="180" t="s">
        <v>152</v>
      </c>
      <c r="C178" s="181">
        <v>2</v>
      </c>
      <c r="D178" s="182">
        <v>25000</v>
      </c>
      <c r="E178" s="182">
        <f t="shared" si="9"/>
        <v>50000</v>
      </c>
      <c r="F178" s="204"/>
      <c r="G178" s="186"/>
    </row>
    <row r="179" spans="1:7">
      <c r="A179" s="203"/>
      <c r="B179" s="180" t="s">
        <v>40</v>
      </c>
      <c r="C179" s="181">
        <v>10</v>
      </c>
      <c r="D179" s="182">
        <v>23000</v>
      </c>
      <c r="E179" s="182">
        <f t="shared" si="9"/>
        <v>230000</v>
      </c>
      <c r="F179" s="205"/>
      <c r="G179" s="186"/>
    </row>
    <row r="180" spans="1:7">
      <c r="A180" s="190">
        <v>46029</v>
      </c>
      <c r="B180" s="180" t="s">
        <v>93</v>
      </c>
      <c r="C180" s="181">
        <v>5</v>
      </c>
      <c r="D180" s="182">
        <v>25000</v>
      </c>
      <c r="E180" s="182">
        <f>D180*C180</f>
        <v>125000</v>
      </c>
      <c r="F180" s="201">
        <f>SUM(E180:E181)</f>
        <v>475000</v>
      </c>
      <c r="G180" s="186"/>
    </row>
    <row r="181" spans="1:7">
      <c r="A181" s="190"/>
      <c r="B181" s="180" t="s">
        <v>145</v>
      </c>
      <c r="C181" s="181">
        <v>2</v>
      </c>
      <c r="D181" s="182">
        <v>175000</v>
      </c>
      <c r="E181" s="182">
        <f>D181*C181</f>
        <v>350000</v>
      </c>
      <c r="F181" s="205"/>
      <c r="G181" s="186"/>
    </row>
    <row r="182" spans="1:7">
      <c r="A182" s="190"/>
      <c r="B182" s="180"/>
      <c r="C182" s="181"/>
      <c r="D182" s="182"/>
      <c r="E182" s="91"/>
      <c r="F182" s="197"/>
      <c r="G182" s="186"/>
    </row>
    <row r="183" spans="1:7">
      <c r="A183" s="190"/>
      <c r="B183" s="180"/>
      <c r="C183" s="181"/>
      <c r="D183" s="182"/>
      <c r="E183" s="91"/>
      <c r="F183" s="197"/>
      <c r="G183" s="186"/>
    </row>
    <row r="184" spans="1:7">
      <c r="A184" s="190"/>
      <c r="B184" s="180"/>
      <c r="C184" s="181"/>
      <c r="D184" s="182"/>
      <c r="E184" s="91"/>
      <c r="F184" s="197"/>
      <c r="G184" s="186"/>
    </row>
    <row r="185" spans="1:7">
      <c r="A185" s="190"/>
      <c r="B185" s="180"/>
      <c r="C185" s="181"/>
      <c r="D185" s="182"/>
      <c r="E185" s="91"/>
      <c r="F185" s="197"/>
      <c r="G185" s="186"/>
    </row>
    <row r="186" spans="1:7">
      <c r="A186" s="190"/>
      <c r="B186" s="180"/>
      <c r="C186" s="181"/>
      <c r="D186" s="182"/>
      <c r="E186" s="91"/>
      <c r="F186" s="197"/>
      <c r="G186" s="186"/>
    </row>
    <row r="187" spans="1:7">
      <c r="A187" s="190"/>
      <c r="B187" s="180"/>
      <c r="C187" s="181"/>
      <c r="D187" s="182"/>
      <c r="E187" s="91"/>
      <c r="F187" s="197"/>
      <c r="G187" s="186"/>
    </row>
    <row r="188" spans="1:7">
      <c r="A188" s="190"/>
      <c r="B188" s="180"/>
      <c r="C188" s="181"/>
      <c r="D188" s="182"/>
      <c r="E188" s="91"/>
      <c r="F188" s="197"/>
      <c r="G188" s="186"/>
    </row>
    <row r="189" spans="1:7">
      <c r="A189" s="190"/>
      <c r="B189" s="180"/>
      <c r="C189" s="181"/>
      <c r="D189" s="182"/>
      <c r="E189" s="91"/>
      <c r="F189" s="197"/>
      <c r="G189" s="186"/>
    </row>
    <row r="190" spans="1:7">
      <c r="A190" s="190"/>
      <c r="B190" s="180"/>
      <c r="C190" s="181"/>
      <c r="D190" s="182"/>
      <c r="E190" s="91"/>
      <c r="F190" s="197"/>
      <c r="G190" s="186"/>
    </row>
    <row r="191" spans="1:7">
      <c r="A191" s="190"/>
      <c r="B191" s="180"/>
      <c r="C191" s="181"/>
      <c r="D191" s="182"/>
      <c r="E191" s="91"/>
      <c r="F191" s="197"/>
      <c r="G191" s="186"/>
    </row>
    <row r="192" spans="1:7">
      <c r="A192" s="190"/>
      <c r="B192" s="180"/>
      <c r="C192" s="181"/>
      <c r="D192" s="182"/>
      <c r="E192" s="91"/>
      <c r="F192" s="197"/>
      <c r="G192" s="186"/>
    </row>
    <row r="193" spans="1:7">
      <c r="A193" s="190"/>
      <c r="B193" s="180"/>
      <c r="C193" s="181"/>
      <c r="D193" s="182"/>
      <c r="E193" s="91"/>
      <c r="F193" s="197"/>
      <c r="G193" s="186"/>
    </row>
    <row r="194" spans="1:7">
      <c r="A194" s="190"/>
      <c r="B194" s="180"/>
      <c r="C194" s="181"/>
      <c r="D194" s="182"/>
      <c r="E194" s="91"/>
      <c r="F194" s="197"/>
      <c r="G194" s="186"/>
    </row>
    <row r="195" spans="1:7">
      <c r="A195" s="190"/>
      <c r="B195" s="180"/>
      <c r="C195" s="181"/>
      <c r="D195" s="182"/>
      <c r="E195" s="91"/>
      <c r="F195" s="197"/>
      <c r="G195" s="186"/>
    </row>
    <row r="196" spans="1:7">
      <c r="A196" s="190"/>
      <c r="B196" s="180"/>
      <c r="C196" s="181"/>
      <c r="D196" s="182"/>
      <c r="E196" s="91"/>
      <c r="F196" s="197"/>
      <c r="G196" s="186"/>
    </row>
    <row r="197" spans="1:7">
      <c r="A197" s="190"/>
      <c r="B197" s="180"/>
      <c r="C197" s="181"/>
      <c r="D197" s="182"/>
      <c r="E197" s="91"/>
      <c r="F197" s="197"/>
      <c r="G197" s="186"/>
    </row>
    <row r="198" spans="1:7">
      <c r="A198" s="190"/>
      <c r="B198" s="180"/>
      <c r="C198" s="181"/>
      <c r="D198" s="182"/>
      <c r="E198" s="91"/>
      <c r="F198" s="197"/>
      <c r="G198" s="186"/>
    </row>
    <row r="199" spans="1:7">
      <c r="A199" s="190"/>
      <c r="B199" s="180"/>
      <c r="C199" s="181"/>
      <c r="D199" s="182"/>
      <c r="E199" s="91"/>
      <c r="F199" s="197"/>
      <c r="G199" s="186"/>
    </row>
    <row r="200" spans="1:7">
      <c r="A200" s="190"/>
      <c r="B200" s="180"/>
      <c r="C200" s="181"/>
      <c r="D200" s="182"/>
      <c r="E200" s="91"/>
      <c r="F200" s="197"/>
      <c r="G200" s="186"/>
    </row>
    <row r="201" spans="1:7">
      <c r="A201" s="190"/>
      <c r="B201" s="180"/>
      <c r="C201" s="181"/>
      <c r="D201" s="182"/>
      <c r="E201" s="91"/>
      <c r="F201" s="197"/>
      <c r="G201" s="186"/>
    </row>
    <row r="202" spans="1:7">
      <c r="A202" s="190"/>
      <c r="B202" s="180"/>
      <c r="C202" s="181"/>
      <c r="D202" s="182"/>
      <c r="E202" s="91"/>
      <c r="F202" s="197"/>
      <c r="G202" s="207"/>
    </row>
    <row r="203" spans="1:7">
      <c r="A203" s="190"/>
      <c r="B203" s="180"/>
      <c r="C203" s="181"/>
      <c r="D203" s="182"/>
      <c r="E203" s="91"/>
      <c r="F203" s="197"/>
      <c r="G203" s="186"/>
    </row>
    <row r="204" spans="1:7">
      <c r="A204" s="190"/>
      <c r="B204" s="180"/>
      <c r="C204" s="181"/>
      <c r="D204" s="182"/>
      <c r="E204" s="91"/>
      <c r="F204" s="197"/>
      <c r="G204" s="186"/>
    </row>
    <row r="205" spans="1:7">
      <c r="A205" s="190"/>
      <c r="B205" s="180"/>
      <c r="C205" s="181"/>
      <c r="D205" s="182"/>
      <c r="E205" s="91"/>
      <c r="F205" s="197"/>
      <c r="G205" s="186"/>
    </row>
    <row r="206" spans="1:7">
      <c r="A206" s="190"/>
      <c r="B206" s="180"/>
      <c r="C206" s="181"/>
      <c r="D206" s="182"/>
      <c r="E206" s="91"/>
      <c r="F206" s="197"/>
      <c r="G206" s="186"/>
    </row>
    <row r="207" spans="1:7">
      <c r="A207" s="190"/>
      <c r="B207" s="180"/>
      <c r="C207" s="181"/>
      <c r="D207" s="182"/>
      <c r="E207" s="91"/>
      <c r="F207" s="197"/>
      <c r="G207" s="186"/>
    </row>
    <row r="208" spans="1:7">
      <c r="A208" s="190"/>
      <c r="B208" s="180"/>
      <c r="C208" s="181"/>
      <c r="D208" s="182"/>
      <c r="E208" s="91"/>
      <c r="F208" s="197"/>
      <c r="G208" s="186"/>
    </row>
    <row r="209" spans="1:7">
      <c r="A209" s="190"/>
      <c r="B209" s="180"/>
      <c r="C209" s="181"/>
      <c r="D209" s="182"/>
      <c r="E209" s="91"/>
      <c r="F209" s="197"/>
      <c r="G209" s="186"/>
    </row>
    <row r="210" spans="1:7">
      <c r="A210" s="190"/>
      <c r="B210" s="180"/>
      <c r="C210" s="181"/>
      <c r="D210" s="182"/>
      <c r="E210" s="91"/>
      <c r="F210" s="197"/>
      <c r="G210" s="186"/>
    </row>
    <row r="211" spans="1:7">
      <c r="A211" s="190"/>
      <c r="B211" s="180"/>
      <c r="C211" s="181"/>
      <c r="D211" s="182"/>
      <c r="E211" s="91"/>
      <c r="F211" s="197"/>
      <c r="G211" s="186"/>
    </row>
    <row r="212" spans="1:7">
      <c r="A212" s="190"/>
      <c r="B212" s="180"/>
      <c r="C212" s="181"/>
      <c r="D212" s="182"/>
      <c r="E212" s="91"/>
      <c r="F212" s="197"/>
      <c r="G212" s="186"/>
    </row>
    <row r="213" spans="1:7">
      <c r="A213" s="190"/>
      <c r="B213" s="180"/>
      <c r="C213" s="181"/>
      <c r="D213" s="182"/>
      <c r="E213" s="91"/>
      <c r="F213" s="197"/>
      <c r="G213" s="186"/>
    </row>
    <row r="214" spans="1:7">
      <c r="A214" s="190"/>
      <c r="B214" s="180"/>
      <c r="C214" s="181"/>
      <c r="D214" s="182"/>
      <c r="E214" s="91"/>
      <c r="F214" s="197"/>
      <c r="G214" s="186"/>
    </row>
    <row r="215" spans="1:7">
      <c r="A215" s="190"/>
      <c r="B215" s="180"/>
      <c r="C215" s="181"/>
      <c r="D215" s="182"/>
      <c r="E215" s="91"/>
      <c r="F215" s="197"/>
      <c r="G215" s="186"/>
    </row>
    <row r="216" spans="1:7">
      <c r="A216" s="190"/>
      <c r="B216" s="180"/>
      <c r="C216" s="181"/>
      <c r="D216" s="182"/>
      <c r="E216" s="91"/>
      <c r="F216" s="197"/>
      <c r="G216" s="186"/>
    </row>
    <row r="217" spans="1:7">
      <c r="A217" s="190"/>
      <c r="B217" s="180"/>
      <c r="C217" s="181"/>
      <c r="D217" s="182"/>
      <c r="E217" s="91"/>
      <c r="F217" s="197"/>
      <c r="G217" s="186"/>
    </row>
    <row r="218" spans="1:7">
      <c r="A218" s="190"/>
      <c r="B218" s="180"/>
      <c r="C218" s="181"/>
      <c r="D218" s="182"/>
      <c r="E218" s="91"/>
      <c r="F218" s="197"/>
      <c r="G218" s="186"/>
    </row>
    <row r="219" spans="1:7">
      <c r="A219" s="190"/>
      <c r="B219" s="180"/>
      <c r="C219" s="181"/>
      <c r="D219" s="182"/>
      <c r="E219" s="91"/>
      <c r="F219" s="197"/>
      <c r="G219" s="186"/>
    </row>
    <row r="220" spans="1:7">
      <c r="A220" s="190"/>
      <c r="B220" s="180"/>
      <c r="C220" s="181"/>
      <c r="D220" s="182"/>
      <c r="E220" s="91"/>
      <c r="F220" s="197"/>
      <c r="G220" s="186"/>
    </row>
    <row r="221" spans="1:7">
      <c r="A221" s="190"/>
      <c r="B221" s="180"/>
      <c r="C221" s="181"/>
      <c r="D221" s="182"/>
      <c r="E221" s="91"/>
      <c r="F221" s="197"/>
      <c r="G221" s="186"/>
    </row>
    <row r="222" spans="1:7">
      <c r="A222" s="190"/>
      <c r="B222" s="180"/>
      <c r="C222" s="181"/>
      <c r="D222" s="182"/>
      <c r="E222" s="91"/>
      <c r="F222" s="197"/>
      <c r="G222" s="186"/>
    </row>
    <row r="223" spans="1:7">
      <c r="A223" s="190"/>
      <c r="B223" s="180"/>
      <c r="C223" s="181"/>
      <c r="D223" s="182"/>
      <c r="E223" s="91"/>
      <c r="F223" s="197"/>
      <c r="G223" s="186"/>
    </row>
    <row r="224" spans="1:7">
      <c r="A224" s="190"/>
      <c r="B224" s="180"/>
      <c r="C224" s="181"/>
      <c r="D224" s="182"/>
      <c r="E224" s="91"/>
      <c r="F224" s="197"/>
      <c r="G224" s="186"/>
    </row>
    <row r="225" spans="1:7">
      <c r="A225" s="190"/>
      <c r="B225" s="180"/>
      <c r="C225" s="181"/>
      <c r="D225" s="182"/>
      <c r="E225" s="91"/>
      <c r="F225" s="197"/>
      <c r="G225" s="186"/>
    </row>
    <row r="226" spans="1:7">
      <c r="A226" s="190"/>
      <c r="B226" s="180"/>
      <c r="C226" s="181"/>
      <c r="D226" s="182"/>
      <c r="E226" s="91"/>
      <c r="F226" s="197"/>
      <c r="G226" s="186"/>
    </row>
    <row r="227" spans="1:7">
      <c r="A227" s="190"/>
      <c r="B227" s="180"/>
      <c r="C227" s="181"/>
      <c r="D227" s="182"/>
      <c r="E227" s="91"/>
      <c r="F227" s="197"/>
      <c r="G227" s="186"/>
    </row>
    <row r="228" spans="1:7">
      <c r="A228" s="190"/>
      <c r="B228" s="180"/>
      <c r="C228" s="181"/>
      <c r="D228" s="182"/>
      <c r="E228" s="91"/>
      <c r="F228" s="197"/>
      <c r="G228" s="186"/>
    </row>
    <row r="229" spans="1:7">
      <c r="A229" s="190"/>
      <c r="B229" s="180"/>
      <c r="C229" s="181"/>
      <c r="D229" s="182"/>
      <c r="E229" s="91"/>
      <c r="F229" s="197"/>
      <c r="G229" s="186"/>
    </row>
    <row r="230" spans="1:7">
      <c r="A230" s="190"/>
      <c r="B230" s="180"/>
      <c r="C230" s="181"/>
      <c r="D230" s="182"/>
      <c r="E230" s="91"/>
      <c r="F230" s="197"/>
      <c r="G230" s="186"/>
    </row>
    <row r="231" spans="1:7">
      <c r="A231" s="190"/>
      <c r="B231" s="180"/>
      <c r="C231" s="181"/>
      <c r="D231" s="182"/>
      <c r="E231" s="91"/>
      <c r="F231" s="197"/>
      <c r="G231" s="186"/>
    </row>
    <row r="232" spans="1:7">
      <c r="A232" s="190"/>
      <c r="B232" s="180"/>
      <c r="C232" s="181"/>
      <c r="D232" s="182"/>
      <c r="E232" s="91"/>
      <c r="F232" s="197"/>
      <c r="G232" s="186"/>
    </row>
    <row r="233" spans="1:7">
      <c r="A233" s="190"/>
      <c r="B233" s="180"/>
      <c r="C233" s="206"/>
      <c r="D233" s="182"/>
      <c r="E233" s="91"/>
      <c r="F233" s="197"/>
      <c r="G233" s="186"/>
    </row>
    <row r="234" spans="1:7">
      <c r="A234" s="190"/>
      <c r="B234" s="180"/>
      <c r="C234" s="206"/>
      <c r="D234" s="182"/>
      <c r="E234" s="91"/>
      <c r="F234" s="197"/>
      <c r="G234" s="186"/>
    </row>
    <row r="235" spans="1:7">
      <c r="A235" s="190"/>
      <c r="B235" s="180"/>
      <c r="C235" s="206"/>
      <c r="D235" s="182"/>
      <c r="E235" s="91"/>
      <c r="F235" s="197"/>
      <c r="G235" s="186"/>
    </row>
    <row r="236" spans="1:7">
      <c r="A236" s="190"/>
      <c r="B236" s="180"/>
      <c r="C236" s="206"/>
      <c r="D236" s="182"/>
      <c r="E236" s="91"/>
      <c r="F236" s="197"/>
      <c r="G236" s="186"/>
    </row>
    <row r="237" spans="1:7">
      <c r="A237" s="190"/>
      <c r="B237" s="180"/>
      <c r="C237" s="206"/>
      <c r="D237" s="182"/>
      <c r="E237" s="91"/>
      <c r="F237" s="197"/>
      <c r="G237" s="186"/>
    </row>
    <row r="238" spans="1:7">
      <c r="A238" s="190"/>
      <c r="B238" s="180"/>
      <c r="C238" s="206"/>
      <c r="D238" s="182"/>
      <c r="E238" s="91"/>
      <c r="F238" s="197"/>
      <c r="G238" s="186"/>
    </row>
    <row r="239" spans="1:7">
      <c r="A239" s="190"/>
      <c r="B239" s="180"/>
      <c r="C239" s="206"/>
      <c r="D239" s="182"/>
      <c r="E239" s="91"/>
      <c r="F239" s="197"/>
      <c r="G239" s="186"/>
    </row>
    <row r="240" spans="1:7">
      <c r="A240" s="190"/>
      <c r="B240" s="180"/>
      <c r="C240" s="206"/>
      <c r="D240" s="182"/>
      <c r="E240" s="91"/>
      <c r="F240" s="197"/>
      <c r="G240" s="186"/>
    </row>
    <row r="241" spans="1:7">
      <c r="A241" s="190"/>
      <c r="B241" s="180"/>
      <c r="C241" s="206"/>
      <c r="D241" s="182"/>
      <c r="E241" s="91"/>
      <c r="F241" s="197"/>
      <c r="G241" s="186"/>
    </row>
    <row r="242" spans="1:7">
      <c r="A242" s="190"/>
      <c r="B242" s="180"/>
      <c r="C242" s="206"/>
      <c r="D242" s="182"/>
      <c r="E242" s="91"/>
      <c r="F242" s="197"/>
      <c r="G242" s="186"/>
    </row>
    <row r="243" spans="1:7">
      <c r="A243" s="190"/>
      <c r="B243" s="180"/>
      <c r="C243" s="206"/>
      <c r="D243" s="182"/>
      <c r="E243" s="91"/>
      <c r="F243" s="197"/>
      <c r="G243" s="186"/>
    </row>
    <row r="244" spans="1:7">
      <c r="A244" s="190"/>
      <c r="B244" s="180"/>
      <c r="C244" s="206"/>
      <c r="D244" s="182"/>
      <c r="E244" s="91"/>
      <c r="F244" s="197"/>
      <c r="G244" s="186"/>
    </row>
    <row r="245" spans="1:7">
      <c r="A245" s="190"/>
      <c r="B245" s="180"/>
      <c r="C245" s="206"/>
      <c r="D245" s="182"/>
      <c r="E245" s="91"/>
      <c r="F245" s="197"/>
      <c r="G245" s="186"/>
    </row>
    <row r="246" spans="1:7">
      <c r="A246" s="190"/>
      <c r="B246" s="180"/>
      <c r="C246" s="206"/>
      <c r="D246" s="182"/>
      <c r="E246" s="91"/>
      <c r="F246" s="197"/>
      <c r="G246" s="186"/>
    </row>
    <row r="247" spans="1:7">
      <c r="A247" s="190"/>
      <c r="B247" s="180"/>
      <c r="C247" s="206"/>
      <c r="D247" s="182"/>
      <c r="E247" s="91"/>
      <c r="F247" s="197"/>
      <c r="G247" s="186"/>
    </row>
    <row r="248" spans="1:7">
      <c r="A248" s="190"/>
      <c r="B248" s="180"/>
      <c r="C248" s="206"/>
      <c r="D248" s="182"/>
      <c r="E248" s="91"/>
      <c r="F248" s="197"/>
      <c r="G248" s="186"/>
    </row>
    <row r="249" spans="1:7">
      <c r="A249" s="190"/>
      <c r="B249" s="180"/>
      <c r="C249" s="206"/>
      <c r="D249" s="182"/>
      <c r="E249" s="91"/>
      <c r="F249" s="197"/>
      <c r="G249" s="186"/>
    </row>
    <row r="250" spans="1:7">
      <c r="A250" s="190"/>
      <c r="B250" s="180"/>
      <c r="C250" s="206"/>
      <c r="D250" s="182"/>
      <c r="E250" s="91"/>
      <c r="F250" s="197"/>
      <c r="G250" s="186"/>
    </row>
    <row r="251" spans="1:7">
      <c r="A251" s="190"/>
      <c r="B251" s="180"/>
      <c r="C251" s="206"/>
      <c r="D251" s="182"/>
      <c r="E251" s="91"/>
      <c r="F251" s="197"/>
      <c r="G251" s="186"/>
    </row>
    <row r="252" spans="1:7">
      <c r="A252" s="190"/>
      <c r="B252" s="180"/>
      <c r="C252" s="206"/>
      <c r="D252" s="182"/>
      <c r="E252" s="91"/>
      <c r="F252" s="197"/>
      <c r="G252" s="186"/>
    </row>
    <row r="253" spans="1:7">
      <c r="A253" s="190"/>
      <c r="B253" s="180"/>
      <c r="C253" s="206"/>
      <c r="D253" s="182"/>
      <c r="E253" s="91"/>
      <c r="F253" s="197"/>
      <c r="G253" s="186"/>
    </row>
    <row r="254" spans="1:7">
      <c r="A254" s="190"/>
      <c r="B254" s="180"/>
      <c r="C254" s="206"/>
      <c r="D254" s="182"/>
      <c r="E254" s="91"/>
      <c r="F254" s="197"/>
      <c r="G254" s="186"/>
    </row>
    <row r="255" spans="1:7">
      <c r="A255" s="190"/>
      <c r="B255" s="180"/>
      <c r="C255" s="181"/>
      <c r="D255" s="182"/>
      <c r="E255" s="91"/>
      <c r="F255" s="197"/>
      <c r="G255" s="186"/>
    </row>
    <row r="256" spans="1:7">
      <c r="A256" s="190"/>
      <c r="B256" s="180"/>
      <c r="C256" s="181"/>
      <c r="D256" s="182"/>
      <c r="E256" s="91"/>
      <c r="F256" s="197"/>
      <c r="G256" s="186"/>
    </row>
    <row r="257" spans="1:7">
      <c r="A257" s="190"/>
      <c r="B257" s="180"/>
      <c r="C257" s="181"/>
      <c r="D257" s="182"/>
      <c r="E257" s="91"/>
      <c r="F257" s="197"/>
      <c r="G257" s="186"/>
    </row>
    <row r="258" spans="1:7">
      <c r="A258" s="190"/>
      <c r="B258" s="180"/>
      <c r="C258" s="181"/>
      <c r="D258" s="182"/>
      <c r="E258" s="91"/>
      <c r="F258" s="197"/>
      <c r="G258" s="186"/>
    </row>
    <row r="259" spans="1:7">
      <c r="A259" s="190"/>
      <c r="B259" s="180"/>
      <c r="C259" s="181"/>
      <c r="D259" s="182"/>
      <c r="E259" s="91"/>
      <c r="F259" s="197"/>
      <c r="G259" s="186"/>
    </row>
    <row r="260" spans="1:7">
      <c r="A260" s="190"/>
      <c r="B260" s="180"/>
      <c r="C260" s="181"/>
      <c r="D260" s="182"/>
      <c r="E260" s="91"/>
      <c r="F260" s="197"/>
      <c r="G260" s="186"/>
    </row>
    <row r="261" spans="1:7">
      <c r="A261" s="190"/>
      <c r="B261" s="180"/>
      <c r="C261" s="181"/>
      <c r="D261" s="182"/>
      <c r="E261" s="91"/>
      <c r="F261" s="197"/>
      <c r="G261" s="186"/>
    </row>
    <row r="262" spans="1:7">
      <c r="A262" s="190"/>
      <c r="B262" s="180"/>
      <c r="C262" s="181"/>
      <c r="D262" s="182"/>
      <c r="E262" s="91"/>
      <c r="F262" s="197"/>
      <c r="G262" s="186"/>
    </row>
    <row r="263" spans="1:7">
      <c r="A263" s="190"/>
      <c r="B263" s="180"/>
      <c r="C263" s="181"/>
      <c r="D263" s="182"/>
      <c r="E263" s="91"/>
      <c r="F263" s="197"/>
      <c r="G263" s="186"/>
    </row>
    <row r="264" spans="1:7">
      <c r="A264" s="190"/>
      <c r="B264" s="180"/>
      <c r="C264" s="181"/>
      <c r="D264" s="182"/>
      <c r="E264" s="91"/>
      <c r="F264" s="197"/>
      <c r="G264" s="186"/>
    </row>
    <row r="265" spans="1:7">
      <c r="A265" s="190"/>
      <c r="B265" s="180"/>
      <c r="C265" s="181"/>
      <c r="D265" s="182"/>
      <c r="E265" s="91"/>
      <c r="F265" s="197"/>
      <c r="G265" s="186"/>
    </row>
    <row r="266" spans="1:7">
      <c r="A266" s="190"/>
      <c r="B266" s="180"/>
      <c r="C266" s="181"/>
      <c r="D266" s="182"/>
      <c r="E266" s="91"/>
      <c r="F266" s="197"/>
      <c r="G266" s="186"/>
    </row>
    <row r="267" spans="1:7">
      <c r="A267" s="190"/>
      <c r="B267" s="180"/>
      <c r="C267" s="181"/>
      <c r="D267" s="182"/>
      <c r="E267" s="91"/>
      <c r="F267" s="197"/>
      <c r="G267" s="186"/>
    </row>
    <row r="268" spans="1:7">
      <c r="A268" s="190"/>
      <c r="B268" s="180"/>
      <c r="C268" s="181"/>
      <c r="D268" s="182"/>
      <c r="E268" s="91"/>
      <c r="F268" s="197"/>
      <c r="G268" s="186"/>
    </row>
    <row r="269" spans="1:7">
      <c r="A269" s="190"/>
      <c r="B269" s="180"/>
      <c r="C269" s="181"/>
      <c r="D269" s="182"/>
      <c r="E269" s="91"/>
      <c r="F269" s="197"/>
      <c r="G269" s="186"/>
    </row>
    <row r="270" spans="1:7">
      <c r="A270" s="190"/>
      <c r="B270" s="180"/>
      <c r="C270" s="181"/>
      <c r="D270" s="182"/>
      <c r="E270" s="91"/>
      <c r="F270" s="197"/>
      <c r="G270" s="186"/>
    </row>
    <row r="271" spans="1:7">
      <c r="A271" s="190"/>
      <c r="B271" s="180"/>
      <c r="C271" s="181"/>
      <c r="D271" s="182"/>
      <c r="E271" s="91"/>
      <c r="F271" s="197"/>
      <c r="G271" s="186"/>
    </row>
    <row r="272" spans="1:7">
      <c r="A272" s="190"/>
      <c r="B272" s="180"/>
      <c r="C272" s="181"/>
      <c r="D272" s="182"/>
      <c r="E272" s="91"/>
      <c r="F272" s="197"/>
      <c r="G272" s="186"/>
    </row>
    <row r="273" spans="1:7">
      <c r="A273" s="190"/>
      <c r="B273" s="180"/>
      <c r="C273" s="181"/>
      <c r="D273" s="182"/>
      <c r="E273" s="91"/>
      <c r="F273" s="197"/>
      <c r="G273" s="186"/>
    </row>
    <row r="274" spans="1:7">
      <c r="A274" s="190"/>
      <c r="B274" s="180"/>
      <c r="C274" s="181"/>
      <c r="D274" s="182"/>
      <c r="E274" s="91"/>
      <c r="F274" s="197"/>
      <c r="G274" s="186"/>
    </row>
    <row r="275" spans="1:7">
      <c r="A275" s="190"/>
      <c r="B275" s="180"/>
      <c r="C275" s="181"/>
      <c r="D275" s="182"/>
      <c r="E275" s="91"/>
      <c r="F275" s="197"/>
      <c r="G275" s="186"/>
    </row>
    <row r="276" spans="1:7">
      <c r="A276" s="190"/>
      <c r="B276" s="180"/>
      <c r="C276" s="181"/>
      <c r="D276" s="182"/>
      <c r="E276" s="91"/>
      <c r="F276" s="197"/>
      <c r="G276" s="186"/>
    </row>
    <row r="277" spans="1:7">
      <c r="A277" s="190"/>
      <c r="B277" s="180"/>
      <c r="C277" s="181"/>
      <c r="D277" s="182"/>
      <c r="E277" s="91"/>
      <c r="F277" s="197"/>
      <c r="G277" s="186"/>
    </row>
    <row r="278" spans="1:7">
      <c r="A278" s="190"/>
      <c r="B278" s="180"/>
      <c r="C278" s="181"/>
      <c r="D278" s="182"/>
      <c r="E278" s="91"/>
      <c r="F278" s="197"/>
      <c r="G278" s="186"/>
    </row>
    <row r="279" spans="1:7">
      <c r="A279" s="190"/>
      <c r="B279" s="180"/>
      <c r="C279" s="181"/>
      <c r="D279" s="182"/>
      <c r="E279" s="91"/>
      <c r="F279" s="197"/>
      <c r="G279" s="186"/>
    </row>
    <row r="280" spans="1:7">
      <c r="A280" s="190"/>
      <c r="B280" s="180"/>
      <c r="C280" s="181"/>
      <c r="D280" s="182"/>
      <c r="E280" s="91"/>
      <c r="F280" s="197"/>
      <c r="G280" s="207"/>
    </row>
    <row r="281" spans="1:7">
      <c r="A281" s="190"/>
      <c r="B281" s="180"/>
      <c r="C281" s="181"/>
      <c r="D281" s="182"/>
      <c r="E281" s="91"/>
      <c r="F281" s="197"/>
      <c r="G281" s="186"/>
    </row>
    <row r="282" spans="1:7">
      <c r="A282" s="190"/>
      <c r="B282" s="180"/>
      <c r="C282" s="181"/>
      <c r="D282" s="182"/>
      <c r="E282" s="91"/>
      <c r="F282" s="197"/>
      <c r="G282" s="186"/>
    </row>
    <row r="283" spans="1:7">
      <c r="A283" s="208"/>
      <c r="B283" s="191"/>
      <c r="C283" s="181"/>
      <c r="D283" s="182"/>
      <c r="E283" s="91"/>
      <c r="F283" s="197"/>
      <c r="G283" s="186"/>
    </row>
    <row r="284" spans="1:7">
      <c r="A284" s="208"/>
      <c r="B284" s="191"/>
      <c r="C284" s="181"/>
      <c r="D284" s="182"/>
      <c r="E284" s="91"/>
      <c r="F284" s="197"/>
      <c r="G284" s="186"/>
    </row>
    <row r="285" spans="1:7">
      <c r="A285" s="208"/>
      <c r="B285" s="191"/>
      <c r="C285" s="181"/>
      <c r="D285" s="182"/>
      <c r="E285" s="91"/>
      <c r="F285" s="197"/>
      <c r="G285" s="186"/>
    </row>
    <row r="286" spans="1:7">
      <c r="A286" s="208"/>
      <c r="B286" s="191"/>
      <c r="C286" s="181"/>
      <c r="D286" s="182"/>
      <c r="E286" s="91"/>
      <c r="F286" s="197"/>
      <c r="G286" s="186"/>
    </row>
    <row r="287" spans="1:7">
      <c r="A287" s="208"/>
      <c r="B287" s="191"/>
      <c r="C287" s="181"/>
      <c r="D287" s="182"/>
      <c r="E287" s="91"/>
      <c r="F287" s="197"/>
      <c r="G287" s="186"/>
    </row>
    <row r="288" spans="1:7">
      <c r="A288" s="208"/>
      <c r="B288" s="180"/>
      <c r="C288" s="181"/>
      <c r="D288" s="182"/>
      <c r="E288" s="91"/>
      <c r="F288" s="197"/>
      <c r="G288" s="186"/>
    </row>
    <row r="289" spans="1:7">
      <c r="A289" s="208"/>
      <c r="B289" s="180"/>
      <c r="C289" s="181"/>
      <c r="D289" s="182"/>
      <c r="E289" s="91"/>
      <c r="F289" s="197"/>
      <c r="G289" s="186"/>
    </row>
    <row r="290" spans="1:7">
      <c r="A290" s="208"/>
      <c r="B290" s="180"/>
      <c r="C290" s="181"/>
      <c r="D290" s="182"/>
      <c r="E290" s="91"/>
      <c r="F290" s="197"/>
      <c r="G290" s="186"/>
    </row>
    <row r="291" spans="1:7">
      <c r="A291" s="208"/>
      <c r="B291" s="180"/>
      <c r="C291" s="181"/>
      <c r="D291" s="182"/>
      <c r="E291" s="91"/>
      <c r="F291" s="197"/>
      <c r="G291" s="186"/>
    </row>
    <row r="292" spans="1:7">
      <c r="A292" s="208"/>
      <c r="B292" s="180"/>
      <c r="C292" s="181"/>
      <c r="D292" s="182"/>
      <c r="E292" s="91"/>
      <c r="F292" s="197"/>
      <c r="G292" s="186"/>
    </row>
    <row r="293" spans="1:7">
      <c r="A293" s="208"/>
      <c r="B293" s="180"/>
      <c r="C293" s="181"/>
      <c r="D293" s="182"/>
      <c r="E293" s="91"/>
      <c r="F293" s="197"/>
      <c r="G293" s="186"/>
    </row>
    <row r="294" spans="1:7">
      <c r="A294" s="208"/>
      <c r="B294" s="180"/>
      <c r="C294" s="181"/>
      <c r="D294" s="182"/>
      <c r="E294" s="91"/>
      <c r="F294" s="197"/>
      <c r="G294" s="186"/>
    </row>
    <row r="295" spans="1:7">
      <c r="A295" s="208"/>
      <c r="B295" s="180"/>
      <c r="C295" s="181"/>
      <c r="D295" s="182"/>
      <c r="E295" s="91"/>
      <c r="F295" s="197"/>
      <c r="G295" s="186"/>
    </row>
    <row r="296" spans="1:7">
      <c r="A296" s="208"/>
      <c r="B296" s="180"/>
      <c r="C296" s="181"/>
      <c r="D296" s="182"/>
      <c r="E296" s="91"/>
      <c r="F296" s="197"/>
      <c r="G296" s="186"/>
    </row>
    <row r="297" spans="1:7">
      <c r="A297" s="208"/>
      <c r="B297" s="180"/>
      <c r="C297" s="181"/>
      <c r="D297" s="182"/>
      <c r="E297" s="91"/>
      <c r="F297" s="197"/>
      <c r="G297" s="186"/>
    </row>
    <row r="298" spans="1:7">
      <c r="A298" s="208"/>
      <c r="B298" s="180"/>
      <c r="C298" s="181"/>
      <c r="D298" s="182"/>
      <c r="E298" s="91"/>
      <c r="F298" s="197"/>
      <c r="G298" s="186"/>
    </row>
    <row r="299" spans="1:7">
      <c r="A299" s="208"/>
      <c r="B299" s="180"/>
      <c r="C299" s="181"/>
      <c r="D299" s="182"/>
      <c r="E299" s="91"/>
      <c r="F299" s="197"/>
      <c r="G299" s="186"/>
    </row>
    <row r="300" spans="1:7">
      <c r="A300" s="208"/>
      <c r="B300" s="180"/>
      <c r="C300" s="181"/>
      <c r="D300" s="182"/>
      <c r="E300" s="91"/>
      <c r="F300" s="197"/>
      <c r="G300" s="186"/>
    </row>
    <row r="301" spans="1:7">
      <c r="A301" s="208"/>
      <c r="B301" s="180"/>
      <c r="C301" s="181"/>
      <c r="D301" s="182"/>
      <c r="E301" s="91"/>
      <c r="F301" s="197"/>
      <c r="G301" s="186"/>
    </row>
    <row r="302" spans="1:7">
      <c r="A302" s="208"/>
      <c r="B302" s="180"/>
      <c r="C302" s="181"/>
      <c r="D302" s="182"/>
      <c r="E302" s="91"/>
      <c r="F302" s="197"/>
      <c r="G302" s="186"/>
    </row>
    <row r="303" spans="1:7">
      <c r="A303" s="208"/>
      <c r="B303" s="180"/>
      <c r="C303" s="181"/>
      <c r="D303" s="182"/>
      <c r="E303" s="91"/>
      <c r="F303" s="197"/>
      <c r="G303" s="186"/>
    </row>
    <row r="304" spans="1:7">
      <c r="A304" s="190"/>
      <c r="B304" s="180"/>
      <c r="C304" s="181"/>
      <c r="D304" s="182"/>
      <c r="E304" s="91"/>
      <c r="F304" s="197"/>
      <c r="G304" s="186"/>
    </row>
    <row r="305" spans="1:7">
      <c r="A305" s="190"/>
      <c r="B305" s="180"/>
      <c r="C305" s="181"/>
      <c r="D305" s="182"/>
      <c r="E305" s="91"/>
      <c r="F305" s="197"/>
      <c r="G305" s="186"/>
    </row>
    <row r="306" spans="1:8">
      <c r="A306" s="190"/>
      <c r="B306" s="180"/>
      <c r="C306" s="181"/>
      <c r="D306" s="182"/>
      <c r="E306" s="91"/>
      <c r="F306" s="197"/>
      <c r="G306" s="186"/>
      <c r="H306" s="188"/>
    </row>
    <row r="307" spans="1:7">
      <c r="A307" s="190"/>
      <c r="B307" s="180"/>
      <c r="C307" s="181"/>
      <c r="D307" s="182"/>
      <c r="E307" s="91"/>
      <c r="F307" s="197"/>
      <c r="G307" s="186"/>
    </row>
    <row r="308" spans="1:7">
      <c r="A308" s="190"/>
      <c r="B308" s="180"/>
      <c r="C308" s="181"/>
      <c r="D308" s="182"/>
      <c r="E308" s="91"/>
      <c r="F308" s="197"/>
      <c r="G308" s="186"/>
    </row>
    <row r="309" spans="1:7">
      <c r="A309" s="190"/>
      <c r="B309" s="180"/>
      <c r="C309" s="181"/>
      <c r="D309" s="182"/>
      <c r="E309" s="91"/>
      <c r="F309" s="197"/>
      <c r="G309" s="186"/>
    </row>
    <row r="310" spans="1:7">
      <c r="A310" s="190"/>
      <c r="B310" s="180"/>
      <c r="C310" s="181"/>
      <c r="D310" s="182"/>
      <c r="E310" s="91"/>
      <c r="F310" s="197"/>
      <c r="G310" s="186"/>
    </row>
    <row r="311" spans="1:7">
      <c r="A311" s="190"/>
      <c r="B311" s="180"/>
      <c r="C311" s="181"/>
      <c r="D311" s="182"/>
      <c r="E311" s="91"/>
      <c r="F311" s="197"/>
      <c r="G311" s="186"/>
    </row>
    <row r="312" spans="1:7">
      <c r="A312" s="190"/>
      <c r="B312" s="180"/>
      <c r="C312" s="181"/>
      <c r="D312" s="182"/>
      <c r="E312" s="91"/>
      <c r="F312" s="197"/>
      <c r="G312" s="186"/>
    </row>
    <row r="313" spans="1:7">
      <c r="A313" s="190"/>
      <c r="B313" s="180"/>
      <c r="C313" s="181"/>
      <c r="D313" s="182"/>
      <c r="E313" s="91"/>
      <c r="F313" s="197"/>
      <c r="G313" s="186"/>
    </row>
    <row r="314" spans="1:7">
      <c r="A314" s="190"/>
      <c r="B314" s="180"/>
      <c r="C314" s="181"/>
      <c r="D314" s="182"/>
      <c r="E314" s="91"/>
      <c r="F314" s="197"/>
      <c r="G314" s="186"/>
    </row>
    <row r="315" spans="1:7">
      <c r="A315" s="190"/>
      <c r="B315" s="180"/>
      <c r="C315" s="181"/>
      <c r="D315" s="182"/>
      <c r="E315" s="91"/>
      <c r="F315" s="197"/>
      <c r="G315" s="186"/>
    </row>
    <row r="316" spans="1:7">
      <c r="A316" s="190"/>
      <c r="B316" s="180"/>
      <c r="C316" s="181"/>
      <c r="D316" s="182"/>
      <c r="E316" s="91"/>
      <c r="F316" s="197"/>
      <c r="G316" s="186"/>
    </row>
    <row r="317" spans="1:7">
      <c r="A317" s="190"/>
      <c r="B317" s="180"/>
      <c r="C317" s="181"/>
      <c r="D317" s="182"/>
      <c r="E317" s="91"/>
      <c r="F317" s="197"/>
      <c r="G317" s="186"/>
    </row>
    <row r="318" spans="1:7">
      <c r="A318" s="190"/>
      <c r="B318" s="180"/>
      <c r="C318" s="181"/>
      <c r="D318" s="182"/>
      <c r="E318" s="91"/>
      <c r="F318" s="197"/>
      <c r="G318" s="186"/>
    </row>
    <row r="319" spans="1:7">
      <c r="A319" s="190"/>
      <c r="B319" s="180"/>
      <c r="C319" s="181"/>
      <c r="D319" s="182"/>
      <c r="E319" s="91"/>
      <c r="F319" s="197"/>
      <c r="G319" s="186"/>
    </row>
    <row r="320" spans="1:7">
      <c r="A320" s="190"/>
      <c r="B320" s="180"/>
      <c r="C320" s="181"/>
      <c r="D320" s="182"/>
      <c r="E320" s="91"/>
      <c r="F320" s="197"/>
      <c r="G320" s="186"/>
    </row>
    <row r="321" spans="1:7">
      <c r="A321" s="190"/>
      <c r="B321" s="180"/>
      <c r="C321" s="181"/>
      <c r="D321" s="182"/>
      <c r="E321" s="91"/>
      <c r="F321" s="197"/>
      <c r="G321" s="186"/>
    </row>
    <row r="322" spans="1:7">
      <c r="A322" s="190"/>
      <c r="B322" s="180"/>
      <c r="C322" s="181"/>
      <c r="D322" s="182"/>
      <c r="E322" s="91"/>
      <c r="F322" s="197"/>
      <c r="G322" s="186"/>
    </row>
    <row r="323" spans="1:7">
      <c r="A323" s="190"/>
      <c r="B323" s="180"/>
      <c r="C323" s="181"/>
      <c r="D323" s="182"/>
      <c r="E323" s="91"/>
      <c r="F323" s="197"/>
      <c r="G323" s="186"/>
    </row>
    <row r="324" spans="1:7">
      <c r="A324" s="190"/>
      <c r="B324" s="180"/>
      <c r="C324" s="181"/>
      <c r="D324" s="182"/>
      <c r="E324" s="91"/>
      <c r="F324" s="197"/>
      <c r="G324" s="186"/>
    </row>
    <row r="325" spans="1:7">
      <c r="A325" s="190"/>
      <c r="B325" s="180"/>
      <c r="C325" s="181"/>
      <c r="D325" s="182"/>
      <c r="E325" s="91"/>
      <c r="F325" s="197"/>
      <c r="G325" s="186"/>
    </row>
    <row r="326" spans="1:7">
      <c r="A326" s="190"/>
      <c r="B326" s="180"/>
      <c r="C326" s="181"/>
      <c r="D326" s="182"/>
      <c r="E326" s="91"/>
      <c r="F326" s="197"/>
      <c r="G326" s="186"/>
    </row>
    <row r="327" spans="1:7">
      <c r="A327" s="190"/>
      <c r="B327" s="180"/>
      <c r="C327" s="181"/>
      <c r="D327" s="182"/>
      <c r="E327" s="91"/>
      <c r="F327" s="197"/>
      <c r="G327" s="186"/>
    </row>
    <row r="328" spans="1:7">
      <c r="A328" s="190"/>
      <c r="B328" s="180"/>
      <c r="C328" s="181"/>
      <c r="D328" s="182"/>
      <c r="E328" s="91"/>
      <c r="F328" s="197"/>
      <c r="G328" s="186"/>
    </row>
    <row r="329" spans="1:7">
      <c r="A329" s="190"/>
      <c r="B329" s="180"/>
      <c r="C329" s="181"/>
      <c r="D329" s="182"/>
      <c r="E329" s="91"/>
      <c r="F329" s="197"/>
      <c r="G329" s="186"/>
    </row>
    <row r="330" spans="1:7">
      <c r="A330" s="190"/>
      <c r="B330" s="180"/>
      <c r="C330" s="181"/>
      <c r="D330" s="182"/>
      <c r="E330" s="91"/>
      <c r="F330" s="197"/>
      <c r="G330" s="186"/>
    </row>
    <row r="331" spans="1:7">
      <c r="A331" s="190"/>
      <c r="B331" s="180"/>
      <c r="C331" s="181"/>
      <c r="D331" s="182"/>
      <c r="E331" s="91"/>
      <c r="F331" s="197"/>
      <c r="G331" s="186"/>
    </row>
    <row r="332" spans="1:7">
      <c r="A332" s="190"/>
      <c r="B332" s="180"/>
      <c r="C332" s="181"/>
      <c r="D332" s="182"/>
      <c r="E332" s="91"/>
      <c r="F332" s="197"/>
      <c r="G332" s="186"/>
    </row>
    <row r="333" spans="1:7">
      <c r="A333" s="190"/>
      <c r="B333" s="180"/>
      <c r="C333" s="181"/>
      <c r="D333" s="182"/>
      <c r="E333" s="91"/>
      <c r="F333" s="197"/>
      <c r="G333" s="186"/>
    </row>
    <row r="334" spans="1:7">
      <c r="A334" s="190"/>
      <c r="B334" s="180"/>
      <c r="C334" s="181"/>
      <c r="D334" s="182"/>
      <c r="E334" s="91"/>
      <c r="F334" s="197"/>
      <c r="G334" s="186"/>
    </row>
    <row r="335" spans="1:7">
      <c r="A335" s="190"/>
      <c r="B335" s="180"/>
      <c r="C335" s="181"/>
      <c r="D335" s="182"/>
      <c r="E335" s="91"/>
      <c r="F335" s="197"/>
      <c r="G335" s="186"/>
    </row>
    <row r="336" spans="1:7">
      <c r="A336" s="190"/>
      <c r="B336" s="180"/>
      <c r="C336" s="181"/>
      <c r="D336" s="182"/>
      <c r="E336" s="91"/>
      <c r="F336" s="197"/>
      <c r="G336" s="186"/>
    </row>
    <row r="337" spans="1:7">
      <c r="A337" s="190"/>
      <c r="B337" s="180"/>
      <c r="C337" s="181"/>
      <c r="D337" s="182"/>
      <c r="E337" s="91"/>
      <c r="F337" s="197"/>
      <c r="G337" s="186"/>
    </row>
    <row r="338" spans="1:7">
      <c r="A338" s="190"/>
      <c r="B338" s="180"/>
      <c r="C338" s="181"/>
      <c r="D338" s="182"/>
      <c r="E338" s="91"/>
      <c r="F338" s="197"/>
      <c r="G338" s="186"/>
    </row>
    <row r="339" spans="1:7">
      <c r="A339" s="190"/>
      <c r="B339" s="180"/>
      <c r="C339" s="181"/>
      <c r="D339" s="182"/>
      <c r="E339" s="91"/>
      <c r="F339" s="197"/>
      <c r="G339" s="186"/>
    </row>
    <row r="340" spans="1:7">
      <c r="A340" s="190"/>
      <c r="B340" s="180"/>
      <c r="C340" s="181"/>
      <c r="D340" s="182"/>
      <c r="E340" s="91"/>
      <c r="F340" s="197"/>
      <c r="G340" s="186"/>
    </row>
    <row r="341" spans="1:7">
      <c r="A341" s="190"/>
      <c r="B341" s="180"/>
      <c r="C341" s="181"/>
      <c r="D341" s="182"/>
      <c r="E341" s="91"/>
      <c r="F341" s="197"/>
      <c r="G341" s="186"/>
    </row>
    <row r="342" spans="1:7">
      <c r="A342" s="190"/>
      <c r="B342" s="180"/>
      <c r="C342" s="181"/>
      <c r="D342" s="182"/>
      <c r="E342" s="91"/>
      <c r="F342" s="197"/>
      <c r="G342" s="186"/>
    </row>
    <row r="343" spans="1:7">
      <c r="A343" s="190"/>
      <c r="B343" s="180"/>
      <c r="C343" s="181"/>
      <c r="D343" s="182"/>
      <c r="E343" s="91"/>
      <c r="F343" s="197"/>
      <c r="G343" s="186"/>
    </row>
    <row r="344" spans="1:7">
      <c r="A344" s="190"/>
      <c r="B344" s="180"/>
      <c r="C344" s="181"/>
      <c r="D344" s="182"/>
      <c r="E344" s="91"/>
      <c r="F344" s="197"/>
      <c r="G344" s="186"/>
    </row>
    <row r="345" spans="1:7">
      <c r="A345" s="190"/>
      <c r="B345" s="180"/>
      <c r="C345" s="181"/>
      <c r="D345" s="182"/>
      <c r="E345" s="91"/>
      <c r="F345" s="197"/>
      <c r="G345" s="186"/>
    </row>
    <row r="346" spans="1:7">
      <c r="A346" s="190"/>
      <c r="B346" s="180"/>
      <c r="C346" s="181"/>
      <c r="D346" s="182"/>
      <c r="E346" s="91"/>
      <c r="F346" s="197"/>
      <c r="G346" s="186"/>
    </row>
    <row r="347" spans="1:7">
      <c r="A347" s="190"/>
      <c r="B347" s="180"/>
      <c r="C347" s="181"/>
      <c r="D347" s="182"/>
      <c r="E347" s="91"/>
      <c r="F347" s="197"/>
      <c r="G347" s="186"/>
    </row>
    <row r="348" spans="1:7">
      <c r="A348" s="190"/>
      <c r="B348" s="180"/>
      <c r="C348" s="181"/>
      <c r="D348" s="182"/>
      <c r="E348" s="91"/>
      <c r="F348" s="197"/>
      <c r="G348" s="186"/>
    </row>
    <row r="349" spans="1:7">
      <c r="A349" s="190"/>
      <c r="B349" s="180"/>
      <c r="C349" s="181"/>
      <c r="D349" s="182"/>
      <c r="E349" s="91"/>
      <c r="F349" s="197"/>
      <c r="G349" s="186"/>
    </row>
    <row r="350" spans="1:7">
      <c r="A350" s="190"/>
      <c r="B350" s="180"/>
      <c r="C350" s="181"/>
      <c r="D350" s="182"/>
      <c r="E350" s="91"/>
      <c r="F350" s="197"/>
      <c r="G350" s="186"/>
    </row>
    <row r="351" spans="1:7">
      <c r="A351" s="190"/>
      <c r="B351" s="180"/>
      <c r="C351" s="181"/>
      <c r="D351" s="182"/>
      <c r="E351" s="91"/>
      <c r="F351" s="197"/>
      <c r="G351" s="186"/>
    </row>
    <row r="352" spans="1:7">
      <c r="A352" s="190"/>
      <c r="B352" s="180"/>
      <c r="C352" s="181"/>
      <c r="D352" s="182"/>
      <c r="E352" s="91"/>
      <c r="F352" s="197"/>
      <c r="G352" s="186"/>
    </row>
    <row r="353" spans="1:7">
      <c r="A353" s="190"/>
      <c r="B353" s="180"/>
      <c r="C353" s="181"/>
      <c r="D353" s="182"/>
      <c r="E353" s="91"/>
      <c r="F353" s="197"/>
      <c r="G353" s="186"/>
    </row>
    <row r="354" spans="1:7">
      <c r="A354" s="190"/>
      <c r="B354" s="180"/>
      <c r="C354" s="181"/>
      <c r="D354" s="182"/>
      <c r="E354" s="91"/>
      <c r="F354" s="197"/>
      <c r="G354" s="186"/>
    </row>
    <row r="355" spans="1:7">
      <c r="A355" s="190"/>
      <c r="B355" s="180"/>
      <c r="C355" s="181"/>
      <c r="D355" s="182"/>
      <c r="E355" s="91"/>
      <c r="F355" s="197"/>
      <c r="G355" s="186"/>
    </row>
    <row r="356" spans="1:7">
      <c r="A356" s="190"/>
      <c r="B356" s="180"/>
      <c r="C356" s="181"/>
      <c r="D356" s="182"/>
      <c r="E356" s="91"/>
      <c r="F356" s="197"/>
      <c r="G356" s="186"/>
    </row>
    <row r="357" spans="1:7">
      <c r="A357" s="190"/>
      <c r="B357" s="180"/>
      <c r="C357" s="181"/>
      <c r="D357" s="182"/>
      <c r="E357" s="91"/>
      <c r="F357" s="197"/>
      <c r="G357" s="186"/>
    </row>
    <row r="358" spans="1:7">
      <c r="A358" s="190"/>
      <c r="B358" s="180"/>
      <c r="C358" s="181"/>
      <c r="D358" s="182"/>
      <c r="E358" s="91"/>
      <c r="F358" s="197"/>
      <c r="G358" s="186"/>
    </row>
    <row r="359" spans="1:7">
      <c r="A359" s="190"/>
      <c r="B359" s="180"/>
      <c r="C359" s="181"/>
      <c r="D359" s="182"/>
      <c r="E359" s="91"/>
      <c r="F359" s="197"/>
      <c r="G359" s="186"/>
    </row>
    <row r="360" spans="1:7">
      <c r="A360" s="190"/>
      <c r="B360" s="180"/>
      <c r="C360" s="181"/>
      <c r="D360" s="182"/>
      <c r="E360" s="91"/>
      <c r="F360" s="197"/>
      <c r="G360" s="186"/>
    </row>
    <row r="361" spans="1:7">
      <c r="A361" s="190"/>
      <c r="B361" s="180"/>
      <c r="C361" s="181"/>
      <c r="D361" s="182"/>
      <c r="E361" s="91"/>
      <c r="F361" s="197"/>
      <c r="G361" s="186"/>
    </row>
    <row r="362" spans="1:7">
      <c r="A362" s="190"/>
      <c r="B362" s="180"/>
      <c r="C362" s="181"/>
      <c r="D362" s="182"/>
      <c r="E362" s="91"/>
      <c r="F362" s="197"/>
      <c r="G362" s="186"/>
    </row>
    <row r="363" spans="1:7">
      <c r="A363" s="190"/>
      <c r="B363" s="180"/>
      <c r="C363" s="181"/>
      <c r="D363" s="182"/>
      <c r="E363" s="91"/>
      <c r="F363" s="197"/>
      <c r="G363" s="186"/>
    </row>
    <row r="364" spans="1:7">
      <c r="A364" s="190"/>
      <c r="B364" s="180"/>
      <c r="C364" s="181"/>
      <c r="D364" s="182"/>
      <c r="E364" s="91"/>
      <c r="F364" s="197"/>
      <c r="G364" s="186"/>
    </row>
    <row r="365" spans="1:7">
      <c r="A365" s="190"/>
      <c r="B365" s="180"/>
      <c r="C365" s="181"/>
      <c r="D365" s="182"/>
      <c r="E365" s="91"/>
      <c r="F365" s="197"/>
      <c r="G365" s="186"/>
    </row>
    <row r="366" spans="1:7">
      <c r="A366" s="190"/>
      <c r="B366" s="180"/>
      <c r="C366" s="181"/>
      <c r="D366" s="182"/>
      <c r="E366" s="91"/>
      <c r="F366" s="197"/>
      <c r="G366" s="186"/>
    </row>
    <row r="367" spans="1:7">
      <c r="A367" s="190"/>
      <c r="B367" s="180"/>
      <c r="C367" s="181"/>
      <c r="D367" s="182"/>
      <c r="E367" s="91"/>
      <c r="F367" s="197"/>
      <c r="G367" s="186"/>
    </row>
    <row r="368" spans="1:7">
      <c r="A368" s="190"/>
      <c r="B368" s="180"/>
      <c r="C368" s="181"/>
      <c r="D368" s="182"/>
      <c r="E368" s="91"/>
      <c r="F368" s="197"/>
      <c r="G368" s="186"/>
    </row>
    <row r="369" spans="1:7">
      <c r="A369" s="190"/>
      <c r="B369" s="180"/>
      <c r="C369" s="181"/>
      <c r="D369" s="182"/>
      <c r="E369" s="91"/>
      <c r="F369" s="197"/>
      <c r="G369" s="186"/>
    </row>
    <row r="370" spans="1:7">
      <c r="A370" s="190"/>
      <c r="B370" s="180"/>
      <c r="C370" s="181"/>
      <c r="D370" s="182"/>
      <c r="E370" s="91"/>
      <c r="F370" s="197"/>
      <c r="G370" s="186"/>
    </row>
    <row r="371" spans="1:7">
      <c r="A371" s="190"/>
      <c r="B371" s="180"/>
      <c r="C371" s="181"/>
      <c r="D371" s="182"/>
      <c r="E371" s="91"/>
      <c r="F371" s="197"/>
      <c r="G371" s="186"/>
    </row>
    <row r="372" spans="1:7">
      <c r="A372" s="190"/>
      <c r="B372" s="180"/>
      <c r="C372" s="181"/>
      <c r="D372" s="182"/>
      <c r="E372" s="91"/>
      <c r="F372" s="197"/>
      <c r="G372" s="186"/>
    </row>
    <row r="373" spans="1:7">
      <c r="A373" s="190"/>
      <c r="B373" s="180"/>
      <c r="C373" s="181"/>
      <c r="D373" s="182"/>
      <c r="E373" s="91"/>
      <c r="F373" s="197"/>
      <c r="G373" s="186"/>
    </row>
    <row r="374" spans="1:7">
      <c r="A374" s="190"/>
      <c r="B374" s="180"/>
      <c r="C374" s="181"/>
      <c r="D374" s="182"/>
      <c r="E374" s="91"/>
      <c r="F374" s="197"/>
      <c r="G374" s="186"/>
    </row>
    <row r="375" spans="1:7">
      <c r="A375" s="190"/>
      <c r="B375" s="180"/>
      <c r="C375" s="181"/>
      <c r="D375" s="182"/>
      <c r="E375" s="91"/>
      <c r="F375" s="197"/>
      <c r="G375" s="186"/>
    </row>
    <row r="376" spans="1:7">
      <c r="A376" s="190"/>
      <c r="B376" s="180"/>
      <c r="C376" s="181"/>
      <c r="D376" s="182"/>
      <c r="E376" s="91"/>
      <c r="F376" s="197"/>
      <c r="G376" s="186"/>
    </row>
    <row r="377" spans="1:7">
      <c r="A377" s="190"/>
      <c r="B377" s="180"/>
      <c r="C377" s="181"/>
      <c r="D377" s="182"/>
      <c r="E377" s="91"/>
      <c r="F377" s="197"/>
      <c r="G377" s="186"/>
    </row>
    <row r="378" spans="1:7">
      <c r="A378" s="190"/>
      <c r="B378" s="180"/>
      <c r="C378" s="181"/>
      <c r="D378" s="182"/>
      <c r="E378" s="91"/>
      <c r="F378" s="197"/>
      <c r="G378" s="186"/>
    </row>
    <row r="379" spans="1:7">
      <c r="A379" s="190"/>
      <c r="B379" s="180"/>
      <c r="C379" s="181"/>
      <c r="D379" s="182"/>
      <c r="E379" s="91"/>
      <c r="F379" s="197"/>
      <c r="G379" s="186"/>
    </row>
    <row r="380" spans="1:7">
      <c r="A380" s="190"/>
      <c r="B380" s="180"/>
      <c r="C380" s="181"/>
      <c r="D380" s="182"/>
      <c r="E380" s="91"/>
      <c r="F380" s="197"/>
      <c r="G380" s="186"/>
    </row>
    <row r="381" spans="1:7">
      <c r="A381" s="190"/>
      <c r="B381" s="180"/>
      <c r="C381" s="181"/>
      <c r="D381" s="182"/>
      <c r="E381" s="91"/>
      <c r="F381" s="197"/>
      <c r="G381" s="186"/>
    </row>
    <row r="382" spans="1:7">
      <c r="A382" s="190"/>
      <c r="B382" s="180"/>
      <c r="C382" s="181"/>
      <c r="D382" s="182"/>
      <c r="E382" s="91"/>
      <c r="F382" s="197"/>
      <c r="G382" s="186"/>
    </row>
    <row r="383" spans="1:7">
      <c r="A383" s="190"/>
      <c r="B383" s="180"/>
      <c r="C383" s="181"/>
      <c r="D383" s="182"/>
      <c r="E383" s="91"/>
      <c r="F383" s="197"/>
      <c r="G383" s="186"/>
    </row>
    <row r="384" spans="1:7">
      <c r="A384" s="190"/>
      <c r="B384" s="180"/>
      <c r="C384" s="181"/>
      <c r="D384" s="182"/>
      <c r="E384" s="91"/>
      <c r="F384" s="197"/>
      <c r="G384" s="207"/>
    </row>
    <row r="385" spans="1:7">
      <c r="A385" s="190"/>
      <c r="B385" s="180"/>
      <c r="C385" s="181"/>
      <c r="D385" s="182"/>
      <c r="E385" s="91"/>
      <c r="F385" s="197"/>
      <c r="G385" s="186"/>
    </row>
    <row r="386" spans="1:7">
      <c r="A386" s="190"/>
      <c r="B386" s="180"/>
      <c r="C386" s="181"/>
      <c r="D386" s="182"/>
      <c r="E386" s="91"/>
      <c r="F386" s="197"/>
      <c r="G386" s="186"/>
    </row>
    <row r="387" spans="1:7">
      <c r="A387" s="190"/>
      <c r="B387" s="180"/>
      <c r="C387" s="181"/>
      <c r="D387" s="182"/>
      <c r="E387" s="91"/>
      <c r="F387" s="197"/>
      <c r="G387" s="186"/>
    </row>
    <row r="388" spans="1:7">
      <c r="A388" s="190"/>
      <c r="B388" s="180"/>
      <c r="C388" s="181"/>
      <c r="D388" s="182"/>
      <c r="E388" s="91"/>
      <c r="F388" s="197"/>
      <c r="G388" s="186"/>
    </row>
    <row r="389" spans="1:7">
      <c r="A389" s="190"/>
      <c r="B389" s="180"/>
      <c r="C389" s="181"/>
      <c r="D389" s="182"/>
      <c r="E389" s="91"/>
      <c r="F389" s="197"/>
      <c r="G389" s="186"/>
    </row>
    <row r="390" spans="1:7">
      <c r="A390" s="190"/>
      <c r="B390" s="180"/>
      <c r="C390" s="181"/>
      <c r="D390" s="182"/>
      <c r="E390" s="91"/>
      <c r="F390" s="197"/>
      <c r="G390" s="186"/>
    </row>
    <row r="391" spans="1:7">
      <c r="A391" s="190"/>
      <c r="B391" s="180"/>
      <c r="C391" s="181"/>
      <c r="D391" s="182"/>
      <c r="E391" s="91"/>
      <c r="F391" s="197"/>
      <c r="G391" s="186"/>
    </row>
    <row r="392" spans="1:7">
      <c r="A392" s="190"/>
      <c r="B392" s="180"/>
      <c r="C392" s="181"/>
      <c r="D392" s="182"/>
      <c r="E392" s="91"/>
      <c r="F392" s="197"/>
      <c r="G392" s="186"/>
    </row>
    <row r="393" spans="1:7">
      <c r="A393" s="190"/>
      <c r="B393" s="180"/>
      <c r="C393" s="181"/>
      <c r="D393" s="182"/>
      <c r="E393" s="91"/>
      <c r="F393" s="197"/>
      <c r="G393" s="186"/>
    </row>
    <row r="394" spans="1:7">
      <c r="A394" s="190"/>
      <c r="B394" s="180"/>
      <c r="C394" s="181"/>
      <c r="D394" s="182"/>
      <c r="E394" s="91"/>
      <c r="F394" s="197"/>
      <c r="G394" s="186"/>
    </row>
    <row r="395" spans="1:7">
      <c r="A395" s="190"/>
      <c r="B395" s="180"/>
      <c r="C395" s="181"/>
      <c r="D395" s="182"/>
      <c r="E395" s="91"/>
      <c r="F395" s="197"/>
      <c r="G395" s="186"/>
    </row>
    <row r="396" spans="1:7">
      <c r="A396" s="190"/>
      <c r="B396" s="180"/>
      <c r="C396" s="181"/>
      <c r="D396" s="182"/>
      <c r="E396" s="91"/>
      <c r="F396" s="197"/>
      <c r="G396" s="186"/>
    </row>
    <row r="397" spans="1:7">
      <c r="A397" s="190"/>
      <c r="B397" s="180"/>
      <c r="C397" s="181"/>
      <c r="D397" s="182"/>
      <c r="E397" s="91"/>
      <c r="F397" s="197"/>
      <c r="G397" s="186"/>
    </row>
    <row r="398" spans="1:7">
      <c r="A398" s="190"/>
      <c r="B398" s="180"/>
      <c r="C398" s="181"/>
      <c r="D398" s="182"/>
      <c r="E398" s="91"/>
      <c r="F398" s="197"/>
      <c r="G398" s="186"/>
    </row>
    <row r="399" spans="1:7">
      <c r="A399" s="190"/>
      <c r="B399" s="180"/>
      <c r="C399" s="181"/>
      <c r="D399" s="182"/>
      <c r="E399" s="91"/>
      <c r="F399" s="197"/>
      <c r="G399" s="186"/>
    </row>
    <row r="400" spans="1:7">
      <c r="A400" s="190"/>
      <c r="B400" s="180"/>
      <c r="C400" s="181"/>
      <c r="D400" s="182"/>
      <c r="E400" s="91"/>
      <c r="F400" s="197"/>
      <c r="G400" s="186"/>
    </row>
    <row r="401" spans="1:7">
      <c r="A401" s="190"/>
      <c r="B401" s="180"/>
      <c r="C401" s="181"/>
      <c r="D401" s="182"/>
      <c r="E401" s="91"/>
      <c r="F401" s="197"/>
      <c r="G401" s="186"/>
    </row>
    <row r="402" spans="1:7">
      <c r="A402" s="190"/>
      <c r="B402" s="180"/>
      <c r="C402" s="181"/>
      <c r="D402" s="182"/>
      <c r="E402" s="91"/>
      <c r="F402" s="197"/>
      <c r="G402" s="186"/>
    </row>
    <row r="403" spans="1:7">
      <c r="A403" s="190"/>
      <c r="B403" s="180"/>
      <c r="C403" s="181"/>
      <c r="D403" s="182"/>
      <c r="E403" s="91"/>
      <c r="F403" s="197"/>
      <c r="G403" s="186"/>
    </row>
    <row r="404" spans="1:7">
      <c r="A404" s="190"/>
      <c r="B404" s="180"/>
      <c r="C404" s="181"/>
      <c r="D404" s="182"/>
      <c r="E404" s="91"/>
      <c r="F404" s="197"/>
      <c r="G404" s="186"/>
    </row>
    <row r="405" spans="1:7">
      <c r="A405" s="190"/>
      <c r="B405" s="180"/>
      <c r="C405" s="181"/>
      <c r="D405" s="182"/>
      <c r="E405" s="91"/>
      <c r="F405" s="197"/>
      <c r="G405" s="186"/>
    </row>
    <row r="406" spans="1:7">
      <c r="A406" s="190"/>
      <c r="B406" s="180"/>
      <c r="C406" s="181"/>
      <c r="D406" s="182"/>
      <c r="E406" s="91"/>
      <c r="F406" s="197"/>
      <c r="G406" s="186"/>
    </row>
    <row r="407" spans="1:7">
      <c r="A407" s="190"/>
      <c r="B407" s="180"/>
      <c r="C407" s="181"/>
      <c r="D407" s="182"/>
      <c r="E407" s="91"/>
      <c r="F407" s="197"/>
      <c r="G407" s="186"/>
    </row>
    <row r="408" spans="1:7">
      <c r="A408" s="190"/>
      <c r="B408" s="180"/>
      <c r="C408" s="181"/>
      <c r="D408" s="182"/>
      <c r="E408" s="91"/>
      <c r="F408" s="197"/>
      <c r="G408" s="186"/>
    </row>
    <row r="409" spans="1:7">
      <c r="A409" s="190"/>
      <c r="B409" s="180"/>
      <c r="C409" s="181"/>
      <c r="D409" s="182"/>
      <c r="E409" s="91"/>
      <c r="F409" s="197"/>
      <c r="G409" s="186"/>
    </row>
    <row r="410" spans="1:7">
      <c r="A410" s="190"/>
      <c r="B410" s="180"/>
      <c r="C410" s="181"/>
      <c r="D410" s="182"/>
      <c r="E410" s="91"/>
      <c r="F410" s="197"/>
      <c r="G410" s="186"/>
    </row>
    <row r="411" spans="1:7">
      <c r="A411" s="190"/>
      <c r="B411" s="180"/>
      <c r="C411" s="181"/>
      <c r="D411" s="182"/>
      <c r="E411" s="91"/>
      <c r="F411" s="197"/>
      <c r="G411" s="186"/>
    </row>
    <row r="412" spans="1:7">
      <c r="A412" s="190"/>
      <c r="B412" s="180"/>
      <c r="C412" s="181"/>
      <c r="D412" s="182"/>
      <c r="E412" s="91"/>
      <c r="F412" s="197"/>
      <c r="G412" s="186"/>
    </row>
    <row r="413" spans="1:7">
      <c r="A413" s="190"/>
      <c r="B413" s="180"/>
      <c r="C413" s="181"/>
      <c r="D413" s="182"/>
      <c r="E413" s="91"/>
      <c r="F413" s="197"/>
      <c r="G413" s="186"/>
    </row>
    <row r="414" spans="1:7">
      <c r="A414" s="190"/>
      <c r="B414" s="180"/>
      <c r="C414" s="181"/>
      <c r="D414" s="182"/>
      <c r="E414" s="91"/>
      <c r="F414" s="197"/>
      <c r="G414" s="186"/>
    </row>
    <row r="415" spans="1:7">
      <c r="A415" s="190"/>
      <c r="B415" s="180"/>
      <c r="C415" s="181"/>
      <c r="D415" s="182"/>
      <c r="E415" s="91"/>
      <c r="F415" s="197"/>
      <c r="G415" s="186"/>
    </row>
    <row r="416" spans="1:7">
      <c r="A416" s="190"/>
      <c r="B416" s="180"/>
      <c r="C416" s="181"/>
      <c r="D416" s="182"/>
      <c r="E416" s="91"/>
      <c r="F416" s="197"/>
      <c r="G416" s="186"/>
    </row>
    <row r="417" spans="1:7">
      <c r="A417" s="190"/>
      <c r="B417" s="180"/>
      <c r="C417" s="181"/>
      <c r="D417" s="182"/>
      <c r="E417" s="91"/>
      <c r="F417" s="197"/>
      <c r="G417" s="186"/>
    </row>
    <row r="418" spans="1:7">
      <c r="A418" s="190"/>
      <c r="B418" s="180"/>
      <c r="C418" s="181"/>
      <c r="D418" s="182"/>
      <c r="E418" s="91"/>
      <c r="F418" s="197"/>
      <c r="G418" s="186"/>
    </row>
    <row r="419" spans="1:7">
      <c r="A419" s="190"/>
      <c r="B419" s="180"/>
      <c r="C419" s="181"/>
      <c r="D419" s="182"/>
      <c r="E419" s="91"/>
      <c r="F419" s="197"/>
      <c r="G419" s="186"/>
    </row>
    <row r="420" spans="1:7">
      <c r="A420" s="190"/>
      <c r="B420" s="180"/>
      <c r="C420" s="181"/>
      <c r="D420" s="182"/>
      <c r="E420" s="91"/>
      <c r="F420" s="197"/>
      <c r="G420" s="186"/>
    </row>
    <row r="421" spans="1:7">
      <c r="A421" s="190"/>
      <c r="B421" s="180"/>
      <c r="C421" s="181"/>
      <c r="D421" s="182"/>
      <c r="E421" s="91"/>
      <c r="F421" s="197"/>
      <c r="G421" s="186"/>
    </row>
    <row r="422" spans="1:7">
      <c r="A422" s="190"/>
      <c r="B422" s="180"/>
      <c r="C422" s="181"/>
      <c r="D422" s="182"/>
      <c r="E422" s="91"/>
      <c r="F422" s="197"/>
      <c r="G422" s="186"/>
    </row>
    <row r="423" spans="1:7">
      <c r="A423" s="190"/>
      <c r="B423" s="180"/>
      <c r="C423" s="181"/>
      <c r="D423" s="182"/>
      <c r="E423" s="91"/>
      <c r="F423" s="197"/>
      <c r="G423" s="186"/>
    </row>
    <row r="424" spans="1:7">
      <c r="A424" s="190"/>
      <c r="B424" s="180"/>
      <c r="C424" s="181"/>
      <c r="D424" s="182"/>
      <c r="E424" s="91"/>
      <c r="F424" s="197"/>
      <c r="G424" s="186"/>
    </row>
    <row r="425" spans="1:7">
      <c r="A425" s="190"/>
      <c r="B425" s="180"/>
      <c r="C425" s="181"/>
      <c r="D425" s="182"/>
      <c r="E425" s="91"/>
      <c r="F425" s="197"/>
      <c r="G425" s="186"/>
    </row>
    <row r="426" spans="1:7">
      <c r="A426" s="190"/>
      <c r="B426" s="180"/>
      <c r="C426" s="181"/>
      <c r="D426" s="182"/>
      <c r="E426" s="91"/>
      <c r="F426" s="197"/>
      <c r="G426" s="186"/>
    </row>
    <row r="427" spans="1:7">
      <c r="A427" s="190"/>
      <c r="B427" s="180"/>
      <c r="C427" s="181"/>
      <c r="D427" s="182"/>
      <c r="E427" s="91"/>
      <c r="F427" s="197"/>
      <c r="G427" s="186"/>
    </row>
    <row r="428" spans="1:7">
      <c r="A428" s="190"/>
      <c r="B428" s="180"/>
      <c r="C428" s="181"/>
      <c r="D428" s="182"/>
      <c r="E428" s="91"/>
      <c r="F428" s="197"/>
      <c r="G428" s="186"/>
    </row>
    <row r="429" spans="1:7">
      <c r="A429" s="190"/>
      <c r="B429" s="180"/>
      <c r="C429" s="181"/>
      <c r="D429" s="182"/>
      <c r="E429" s="91"/>
      <c r="F429" s="197"/>
      <c r="G429" s="186"/>
    </row>
    <row r="430" spans="1:7">
      <c r="A430" s="190"/>
      <c r="B430" s="180"/>
      <c r="C430" s="181"/>
      <c r="D430" s="182"/>
      <c r="E430" s="91"/>
      <c r="F430" s="197"/>
      <c r="G430" s="186"/>
    </row>
    <row r="431" spans="1:7">
      <c r="A431" s="190"/>
      <c r="B431" s="180"/>
      <c r="C431" s="181"/>
      <c r="D431" s="182"/>
      <c r="E431" s="91"/>
      <c r="F431" s="197"/>
      <c r="G431" s="186"/>
    </row>
    <row r="432" spans="1:7">
      <c r="A432" s="190"/>
      <c r="B432" s="180"/>
      <c r="C432" s="181"/>
      <c r="D432" s="182"/>
      <c r="E432" s="91"/>
      <c r="F432" s="197"/>
      <c r="G432" s="186"/>
    </row>
    <row r="433" spans="1:7">
      <c r="A433" s="190"/>
      <c r="B433" s="180"/>
      <c r="C433" s="181"/>
      <c r="D433" s="182"/>
      <c r="E433" s="91"/>
      <c r="F433" s="197"/>
      <c r="G433" s="186"/>
    </row>
    <row r="434" spans="1:7">
      <c r="A434" s="190"/>
      <c r="B434" s="180"/>
      <c r="C434" s="181"/>
      <c r="D434" s="182"/>
      <c r="E434" s="91"/>
      <c r="F434" s="197"/>
      <c r="G434" s="186"/>
    </row>
    <row r="435" spans="1:7">
      <c r="A435" s="190"/>
      <c r="B435" s="180"/>
      <c r="C435" s="181"/>
      <c r="D435" s="182"/>
      <c r="E435" s="91"/>
      <c r="F435" s="197"/>
      <c r="G435" s="186"/>
    </row>
    <row r="436" spans="1:7">
      <c r="A436" s="190"/>
      <c r="B436" s="180"/>
      <c r="C436" s="181"/>
      <c r="D436" s="182"/>
      <c r="E436" s="91"/>
      <c r="F436" s="197"/>
      <c r="G436" s="186"/>
    </row>
    <row r="437" spans="1:7">
      <c r="A437" s="190"/>
      <c r="B437" s="180"/>
      <c r="C437" s="181"/>
      <c r="D437" s="182"/>
      <c r="E437" s="91"/>
      <c r="F437" s="197"/>
      <c r="G437" s="186"/>
    </row>
    <row r="438" spans="1:7">
      <c r="A438" s="190"/>
      <c r="B438" s="180"/>
      <c r="C438" s="181"/>
      <c r="D438" s="182"/>
      <c r="E438" s="91"/>
      <c r="F438" s="197"/>
      <c r="G438" s="186"/>
    </row>
    <row r="439" spans="1:7">
      <c r="A439" s="190"/>
      <c r="B439" s="180"/>
      <c r="C439" s="181"/>
      <c r="D439" s="182"/>
      <c r="E439" s="91"/>
      <c r="F439" s="197"/>
      <c r="G439" s="186"/>
    </row>
    <row r="440" spans="1:7">
      <c r="A440" s="190"/>
      <c r="B440" s="180"/>
      <c r="C440" s="181"/>
      <c r="D440" s="182"/>
      <c r="E440" s="91"/>
      <c r="F440" s="197"/>
      <c r="G440" s="186"/>
    </row>
    <row r="441" spans="1:7">
      <c r="A441" s="190"/>
      <c r="B441" s="180"/>
      <c r="C441" s="181"/>
      <c r="D441" s="182"/>
      <c r="E441" s="91"/>
      <c r="F441" s="197"/>
      <c r="G441" s="186"/>
    </row>
    <row r="442" spans="1:7">
      <c r="A442" s="190"/>
      <c r="B442" s="180"/>
      <c r="C442" s="181"/>
      <c r="D442" s="182"/>
      <c r="E442" s="91"/>
      <c r="F442" s="197"/>
      <c r="G442" s="186"/>
    </row>
    <row r="443" spans="1:7">
      <c r="A443" s="190"/>
      <c r="B443" s="180"/>
      <c r="C443" s="181"/>
      <c r="D443" s="182"/>
      <c r="E443" s="91"/>
      <c r="F443" s="197"/>
      <c r="G443" s="186"/>
    </row>
    <row r="444" spans="1:7">
      <c r="A444" s="190"/>
      <c r="B444" s="180"/>
      <c r="C444" s="181"/>
      <c r="D444" s="182"/>
      <c r="E444" s="91"/>
      <c r="F444" s="197"/>
      <c r="G444" s="186"/>
    </row>
    <row r="445" spans="1:7">
      <c r="A445" s="190"/>
      <c r="B445" s="180"/>
      <c r="C445" s="181"/>
      <c r="D445" s="182"/>
      <c r="E445" s="91"/>
      <c r="F445" s="197"/>
      <c r="G445" s="186"/>
    </row>
    <row r="446" spans="1:7">
      <c r="A446" s="190"/>
      <c r="B446" s="180"/>
      <c r="C446" s="181"/>
      <c r="D446" s="182"/>
      <c r="E446" s="91"/>
      <c r="F446" s="197"/>
      <c r="G446" s="186"/>
    </row>
    <row r="447" spans="1:7">
      <c r="A447" s="190"/>
      <c r="B447" s="180"/>
      <c r="C447" s="181"/>
      <c r="D447" s="182"/>
      <c r="E447" s="91"/>
      <c r="F447" s="197"/>
      <c r="G447" s="186"/>
    </row>
    <row r="448" spans="1:7">
      <c r="A448" s="190"/>
      <c r="B448" s="180"/>
      <c r="C448" s="181"/>
      <c r="D448" s="182"/>
      <c r="E448" s="91"/>
      <c r="F448" s="197"/>
      <c r="G448" s="186"/>
    </row>
    <row r="449" spans="1:7">
      <c r="A449" s="190"/>
      <c r="B449" s="180"/>
      <c r="C449" s="181"/>
      <c r="D449" s="182"/>
      <c r="E449" s="91"/>
      <c r="F449" s="197"/>
      <c r="G449" s="186"/>
    </row>
    <row r="450" spans="1:7">
      <c r="A450" s="190"/>
      <c r="B450" s="180"/>
      <c r="C450" s="181"/>
      <c r="D450" s="182"/>
      <c r="E450" s="91"/>
      <c r="F450" s="197"/>
      <c r="G450" s="186"/>
    </row>
    <row r="451" spans="1:7">
      <c r="A451" s="190"/>
      <c r="B451" s="180"/>
      <c r="C451" s="181"/>
      <c r="D451" s="182"/>
      <c r="E451" s="91"/>
      <c r="F451" s="197"/>
      <c r="G451" s="186"/>
    </row>
    <row r="452" spans="1:7">
      <c r="A452" s="190"/>
      <c r="B452" s="180"/>
      <c r="C452" s="181"/>
      <c r="D452" s="182"/>
      <c r="E452" s="91"/>
      <c r="F452" s="197"/>
      <c r="G452" s="186"/>
    </row>
    <row r="453" spans="1:7">
      <c r="A453" s="190"/>
      <c r="B453" s="180"/>
      <c r="C453" s="181"/>
      <c r="D453" s="182"/>
      <c r="E453" s="91"/>
      <c r="F453" s="197"/>
      <c r="G453" s="186"/>
    </row>
    <row r="454" spans="1:7">
      <c r="A454" s="190"/>
      <c r="B454" s="180"/>
      <c r="C454" s="181"/>
      <c r="D454" s="182"/>
      <c r="E454" s="91"/>
      <c r="F454" s="197"/>
      <c r="G454" s="186"/>
    </row>
    <row r="455" spans="1:7">
      <c r="A455" s="190"/>
      <c r="B455" s="180"/>
      <c r="C455" s="181"/>
      <c r="D455" s="182"/>
      <c r="E455" s="91"/>
      <c r="F455" s="197"/>
      <c r="G455" s="186"/>
    </row>
    <row r="456" spans="1:7">
      <c r="A456" s="190"/>
      <c r="B456" s="180"/>
      <c r="C456" s="181"/>
      <c r="D456" s="182"/>
      <c r="E456" s="91"/>
      <c r="F456" s="197"/>
      <c r="G456" s="186"/>
    </row>
    <row r="457" spans="1:7">
      <c r="A457" s="190"/>
      <c r="B457" s="180"/>
      <c r="C457" s="181"/>
      <c r="D457" s="182"/>
      <c r="E457" s="91"/>
      <c r="F457" s="197"/>
      <c r="G457" s="186"/>
    </row>
    <row r="458" spans="1:7">
      <c r="A458" s="190"/>
      <c r="B458" s="180"/>
      <c r="C458" s="181"/>
      <c r="D458" s="182"/>
      <c r="E458" s="91"/>
      <c r="F458" s="197"/>
      <c r="G458" s="186"/>
    </row>
    <row r="459" spans="1:7">
      <c r="A459" s="190"/>
      <c r="B459" s="180"/>
      <c r="C459" s="181"/>
      <c r="D459" s="182"/>
      <c r="E459" s="91"/>
      <c r="F459" s="197"/>
      <c r="G459" s="186"/>
    </row>
    <row r="460" spans="1:7">
      <c r="A460" s="190"/>
      <c r="B460" s="180"/>
      <c r="C460" s="181"/>
      <c r="D460" s="182"/>
      <c r="E460" s="91"/>
      <c r="F460" s="197"/>
      <c r="G460" s="186"/>
    </row>
    <row r="461" spans="1:7">
      <c r="A461" s="190"/>
      <c r="B461" s="180"/>
      <c r="C461" s="181"/>
      <c r="D461" s="182"/>
      <c r="E461" s="91"/>
      <c r="F461" s="197"/>
      <c r="G461" s="186"/>
    </row>
    <row r="462" spans="1:7">
      <c r="A462" s="190"/>
      <c r="B462" s="180"/>
      <c r="C462" s="181"/>
      <c r="D462" s="182"/>
      <c r="E462" s="91"/>
      <c r="F462" s="197"/>
      <c r="G462" s="186"/>
    </row>
    <row r="463" spans="1:7">
      <c r="A463" s="190"/>
      <c r="B463" s="180"/>
      <c r="C463" s="181"/>
      <c r="D463" s="182"/>
      <c r="E463" s="91"/>
      <c r="F463" s="197"/>
      <c r="G463" s="186"/>
    </row>
    <row r="464" spans="1:7">
      <c r="A464" s="190"/>
      <c r="B464" s="180"/>
      <c r="C464" s="181"/>
      <c r="D464" s="182"/>
      <c r="E464" s="91"/>
      <c r="F464" s="197"/>
      <c r="G464" s="186"/>
    </row>
    <row r="465" spans="1:7">
      <c r="A465" s="190"/>
      <c r="B465" s="180"/>
      <c r="C465" s="181"/>
      <c r="D465" s="182"/>
      <c r="E465" s="91"/>
      <c r="F465" s="197"/>
      <c r="G465" s="186"/>
    </row>
    <row r="466" spans="1:7">
      <c r="A466" s="190"/>
      <c r="B466" s="180"/>
      <c r="C466" s="181"/>
      <c r="D466" s="182"/>
      <c r="E466" s="91"/>
      <c r="F466" s="197"/>
      <c r="G466" s="186"/>
    </row>
    <row r="467" spans="1:7">
      <c r="A467" s="190"/>
      <c r="B467" s="180"/>
      <c r="C467" s="181"/>
      <c r="D467" s="182"/>
      <c r="E467" s="91"/>
      <c r="F467" s="197"/>
      <c r="G467" s="186"/>
    </row>
    <row r="468" spans="1:7">
      <c r="A468" s="190"/>
      <c r="B468" s="180"/>
      <c r="C468" s="181"/>
      <c r="D468" s="182"/>
      <c r="E468" s="91"/>
      <c r="F468" s="197"/>
      <c r="G468" s="186"/>
    </row>
    <row r="469" spans="1:7">
      <c r="A469" s="190"/>
      <c r="B469" s="180"/>
      <c r="C469" s="181"/>
      <c r="D469" s="182"/>
      <c r="E469" s="91"/>
      <c r="F469" s="197"/>
      <c r="G469" s="186"/>
    </row>
    <row r="470" spans="1:7">
      <c r="A470" s="190"/>
      <c r="B470" s="180"/>
      <c r="C470" s="181"/>
      <c r="D470" s="182"/>
      <c r="E470" s="91"/>
      <c r="F470" s="197"/>
      <c r="G470" s="186"/>
    </row>
    <row r="471" spans="1:7">
      <c r="A471" s="190"/>
      <c r="B471" s="180"/>
      <c r="C471" s="181"/>
      <c r="D471" s="182"/>
      <c r="E471" s="91"/>
      <c r="F471" s="197"/>
      <c r="G471" s="186"/>
    </row>
    <row r="472" spans="1:7">
      <c r="A472" s="190"/>
      <c r="B472" s="180"/>
      <c r="C472" s="181"/>
      <c r="D472" s="182"/>
      <c r="E472" s="91"/>
      <c r="F472" s="197"/>
      <c r="G472" s="186"/>
    </row>
    <row r="473" spans="1:8">
      <c r="A473" s="190"/>
      <c r="B473" s="180"/>
      <c r="C473" s="181"/>
      <c r="D473" s="182"/>
      <c r="E473" s="91"/>
      <c r="F473" s="197"/>
      <c r="G473" s="186"/>
      <c r="H473" s="209"/>
    </row>
    <row r="474" spans="1:8">
      <c r="A474" s="190"/>
      <c r="B474" s="180"/>
      <c r="C474" s="181"/>
      <c r="D474" s="182"/>
      <c r="E474" s="91"/>
      <c r="F474" s="197"/>
      <c r="G474" s="186"/>
      <c r="H474" s="209"/>
    </row>
    <row r="475" spans="1:8">
      <c r="A475" s="190"/>
      <c r="B475" s="180"/>
      <c r="C475" s="181"/>
      <c r="D475" s="182"/>
      <c r="E475" s="91"/>
      <c r="F475" s="197"/>
      <c r="G475" s="186"/>
      <c r="H475" s="209"/>
    </row>
    <row r="476" spans="1:8">
      <c r="A476" s="190"/>
      <c r="B476" s="180"/>
      <c r="C476" s="181"/>
      <c r="D476" s="182"/>
      <c r="E476" s="91"/>
      <c r="F476" s="197"/>
      <c r="G476" s="186"/>
      <c r="H476" s="209"/>
    </row>
    <row r="477" spans="1:8">
      <c r="A477" s="190"/>
      <c r="B477" s="180"/>
      <c r="C477" s="181"/>
      <c r="D477" s="182"/>
      <c r="E477" s="91"/>
      <c r="F477" s="197"/>
      <c r="G477" s="186"/>
      <c r="H477" s="209"/>
    </row>
    <row r="478" spans="1:8">
      <c r="A478" s="190"/>
      <c r="B478" s="180"/>
      <c r="C478" s="181"/>
      <c r="D478" s="182"/>
      <c r="E478" s="91"/>
      <c r="F478" s="197"/>
      <c r="G478" s="186"/>
      <c r="H478" s="209"/>
    </row>
    <row r="479" spans="1:8">
      <c r="A479" s="190"/>
      <c r="B479" s="180"/>
      <c r="C479" s="181"/>
      <c r="D479" s="182"/>
      <c r="E479" s="91"/>
      <c r="F479" s="197"/>
      <c r="G479" s="186"/>
      <c r="H479" s="209"/>
    </row>
    <row r="480" spans="1:8">
      <c r="A480" s="190"/>
      <c r="B480" s="180"/>
      <c r="C480" s="181"/>
      <c r="D480" s="182"/>
      <c r="E480" s="91"/>
      <c r="F480" s="197"/>
      <c r="G480" s="186"/>
      <c r="H480" s="209"/>
    </row>
    <row r="481" spans="1:8">
      <c r="A481" s="190"/>
      <c r="B481" s="180"/>
      <c r="C481" s="181"/>
      <c r="D481" s="182"/>
      <c r="E481" s="91"/>
      <c r="F481" s="197"/>
      <c r="G481" s="186"/>
      <c r="H481" s="209"/>
    </row>
    <row r="482" spans="1:8">
      <c r="A482" s="190"/>
      <c r="B482" s="180"/>
      <c r="C482" s="181"/>
      <c r="D482" s="182"/>
      <c r="E482" s="91"/>
      <c r="F482" s="197"/>
      <c r="G482" s="186"/>
      <c r="H482" s="209"/>
    </row>
    <row r="483" spans="1:8">
      <c r="A483" s="190"/>
      <c r="B483" s="180"/>
      <c r="C483" s="181"/>
      <c r="D483" s="182"/>
      <c r="E483" s="91"/>
      <c r="F483" s="197"/>
      <c r="G483" s="186"/>
      <c r="H483" s="209"/>
    </row>
    <row r="484" spans="1:8">
      <c r="A484" s="190"/>
      <c r="B484" s="180"/>
      <c r="C484" s="181"/>
      <c r="D484" s="182"/>
      <c r="E484" s="91"/>
      <c r="F484" s="197"/>
      <c r="G484" s="186"/>
      <c r="H484" s="209"/>
    </row>
    <row r="485" spans="1:8">
      <c r="A485" s="190"/>
      <c r="B485" s="180"/>
      <c r="C485" s="181"/>
      <c r="D485" s="182"/>
      <c r="E485" s="91"/>
      <c r="F485" s="197"/>
      <c r="G485" s="186"/>
      <c r="H485" s="209"/>
    </row>
    <row r="486" spans="1:8">
      <c r="A486" s="190"/>
      <c r="B486" s="180"/>
      <c r="C486" s="181"/>
      <c r="D486" s="182"/>
      <c r="E486" s="91"/>
      <c r="F486" s="197"/>
      <c r="G486" s="186"/>
      <c r="H486" s="209"/>
    </row>
    <row r="487" spans="1:8">
      <c r="A487" s="190"/>
      <c r="B487" s="180"/>
      <c r="C487" s="181"/>
      <c r="D487" s="182"/>
      <c r="E487" s="91"/>
      <c r="F487" s="197"/>
      <c r="G487" s="186"/>
      <c r="H487" s="209"/>
    </row>
    <row r="488" spans="1:8">
      <c r="A488" s="190"/>
      <c r="B488" s="180"/>
      <c r="C488" s="181"/>
      <c r="D488" s="182"/>
      <c r="E488" s="91"/>
      <c r="F488" s="197"/>
      <c r="G488" s="186"/>
      <c r="H488" s="209"/>
    </row>
    <row r="489" spans="1:8">
      <c r="A489" s="190"/>
      <c r="B489" s="180"/>
      <c r="C489" s="181"/>
      <c r="D489" s="182"/>
      <c r="E489" s="91"/>
      <c r="F489" s="197"/>
      <c r="G489" s="186"/>
      <c r="H489" s="209"/>
    </row>
    <row r="490" spans="1:8">
      <c r="A490" s="190"/>
      <c r="B490" s="180"/>
      <c r="C490" s="181"/>
      <c r="D490" s="182"/>
      <c r="E490" s="91"/>
      <c r="F490" s="197"/>
      <c r="G490" s="186"/>
      <c r="H490" s="209"/>
    </row>
    <row r="491" spans="1:8">
      <c r="A491" s="190"/>
      <c r="B491" s="180"/>
      <c r="C491" s="181"/>
      <c r="D491" s="182"/>
      <c r="E491" s="91"/>
      <c r="F491" s="197"/>
      <c r="G491" s="186"/>
      <c r="H491" s="209"/>
    </row>
    <row r="492" spans="1:8">
      <c r="A492" s="190"/>
      <c r="B492" s="180"/>
      <c r="C492" s="181"/>
      <c r="D492" s="182"/>
      <c r="E492" s="91"/>
      <c r="F492" s="197"/>
      <c r="G492" s="186"/>
      <c r="H492" s="209"/>
    </row>
    <row r="493" spans="1:7">
      <c r="A493" s="190"/>
      <c r="B493" s="180"/>
      <c r="C493" s="181"/>
      <c r="D493" s="182"/>
      <c r="E493" s="91"/>
      <c r="F493" s="197"/>
      <c r="G493" s="186"/>
    </row>
    <row r="494" spans="1:7">
      <c r="A494" s="190"/>
      <c r="B494" s="180"/>
      <c r="C494" s="181"/>
      <c r="D494" s="182"/>
      <c r="E494" s="91"/>
      <c r="F494" s="197"/>
      <c r="G494" s="186"/>
    </row>
    <row r="495" spans="1:7">
      <c r="A495" s="190"/>
      <c r="B495" s="180"/>
      <c r="C495" s="181"/>
      <c r="D495" s="182"/>
      <c r="E495" s="91"/>
      <c r="F495" s="197"/>
      <c r="G495" s="186"/>
    </row>
    <row r="496" spans="1:7">
      <c r="A496" s="190"/>
      <c r="B496" s="180"/>
      <c r="C496" s="181"/>
      <c r="D496" s="182"/>
      <c r="E496" s="91"/>
      <c r="F496" s="197"/>
      <c r="G496" s="186"/>
    </row>
    <row r="497" spans="1:7">
      <c r="A497" s="190"/>
      <c r="B497" s="180"/>
      <c r="C497" s="181"/>
      <c r="D497" s="182"/>
      <c r="E497" s="91"/>
      <c r="F497" s="197"/>
      <c r="G497" s="186"/>
    </row>
    <row r="498" spans="1:7">
      <c r="A498" s="190"/>
      <c r="B498" s="180"/>
      <c r="C498" s="181"/>
      <c r="D498" s="182"/>
      <c r="E498" s="91"/>
      <c r="F498" s="197"/>
      <c r="G498" s="186"/>
    </row>
    <row r="499" spans="1:7">
      <c r="A499" s="190"/>
      <c r="B499" s="180"/>
      <c r="C499" s="181"/>
      <c r="D499" s="182"/>
      <c r="E499" s="91"/>
      <c r="F499" s="197"/>
      <c r="G499" s="186"/>
    </row>
    <row r="500" spans="1:7">
      <c r="A500" s="190"/>
      <c r="B500" s="180"/>
      <c r="C500" s="181"/>
      <c r="D500" s="182"/>
      <c r="E500" s="91"/>
      <c r="F500" s="197"/>
      <c r="G500" s="186"/>
    </row>
    <row r="501" spans="1:7">
      <c r="A501" s="190"/>
      <c r="B501" s="180"/>
      <c r="C501" s="181"/>
      <c r="D501" s="182"/>
      <c r="E501" s="91"/>
      <c r="F501" s="197"/>
      <c r="G501" s="186"/>
    </row>
    <row r="502" spans="1:7">
      <c r="A502" s="190"/>
      <c r="B502" s="180"/>
      <c r="C502" s="181"/>
      <c r="D502" s="182"/>
      <c r="E502" s="91"/>
      <c r="F502" s="197"/>
      <c r="G502" s="186"/>
    </row>
    <row r="503" spans="1:7">
      <c r="A503" s="190"/>
      <c r="B503" s="180"/>
      <c r="C503" s="181"/>
      <c r="D503" s="182"/>
      <c r="E503" s="91"/>
      <c r="F503" s="197"/>
      <c r="G503" s="186"/>
    </row>
    <row r="504" spans="1:7">
      <c r="A504" s="190"/>
      <c r="B504" s="180"/>
      <c r="C504" s="181"/>
      <c r="D504" s="182"/>
      <c r="E504" s="91"/>
      <c r="F504" s="197"/>
      <c r="G504" s="186"/>
    </row>
    <row r="505" spans="1:7">
      <c r="A505" s="190"/>
      <c r="B505" s="180"/>
      <c r="C505" s="181"/>
      <c r="D505" s="182"/>
      <c r="E505" s="91"/>
      <c r="F505" s="197"/>
      <c r="G505" s="186"/>
    </row>
    <row r="506" spans="1:7">
      <c r="A506" s="190"/>
      <c r="B506" s="180"/>
      <c r="C506" s="181"/>
      <c r="D506" s="182"/>
      <c r="E506" s="91"/>
      <c r="F506" s="197"/>
      <c r="G506" s="186"/>
    </row>
    <row r="507" spans="1:7">
      <c r="A507" s="190"/>
      <c r="B507" s="180"/>
      <c r="C507" s="181"/>
      <c r="D507" s="182"/>
      <c r="E507" s="91"/>
      <c r="F507" s="197"/>
      <c r="G507" s="186"/>
    </row>
    <row r="508" spans="1:7">
      <c r="A508" s="190"/>
      <c r="B508" s="180"/>
      <c r="C508" s="181"/>
      <c r="D508" s="182"/>
      <c r="E508" s="91"/>
      <c r="F508" s="197"/>
      <c r="G508" s="186"/>
    </row>
    <row r="509" spans="1:7">
      <c r="A509" s="190"/>
      <c r="B509" s="180"/>
      <c r="C509" s="181"/>
      <c r="D509" s="182"/>
      <c r="E509" s="91"/>
      <c r="F509" s="197"/>
      <c r="G509" s="186"/>
    </row>
    <row r="510" spans="1:7">
      <c r="A510" s="190"/>
      <c r="B510" s="180"/>
      <c r="C510" s="181"/>
      <c r="D510" s="182"/>
      <c r="E510" s="91"/>
      <c r="F510" s="197"/>
      <c r="G510" s="186"/>
    </row>
    <row r="511" spans="1:7">
      <c r="A511" s="190"/>
      <c r="B511" s="180"/>
      <c r="C511" s="181"/>
      <c r="D511" s="182"/>
      <c r="E511" s="91"/>
      <c r="F511" s="197"/>
      <c r="G511" s="186"/>
    </row>
    <row r="512" spans="1:7">
      <c r="A512" s="190"/>
      <c r="B512" s="180"/>
      <c r="C512" s="181"/>
      <c r="D512" s="182"/>
      <c r="E512" s="91"/>
      <c r="F512" s="197"/>
      <c r="G512" s="186"/>
    </row>
    <row r="513" spans="1:7">
      <c r="A513" s="190"/>
      <c r="B513" s="180"/>
      <c r="C513" s="181"/>
      <c r="D513" s="182"/>
      <c r="E513" s="91"/>
      <c r="F513" s="197"/>
      <c r="G513" s="186"/>
    </row>
    <row r="514" spans="1:7">
      <c r="A514" s="190"/>
      <c r="B514" s="180"/>
      <c r="C514" s="181"/>
      <c r="D514" s="182"/>
      <c r="E514" s="91"/>
      <c r="F514" s="197"/>
      <c r="G514" s="186"/>
    </row>
    <row r="515" spans="1:7">
      <c r="A515" s="190"/>
      <c r="B515" s="180"/>
      <c r="C515" s="181"/>
      <c r="D515" s="182"/>
      <c r="E515" s="91"/>
      <c r="F515" s="197"/>
      <c r="G515" s="186"/>
    </row>
    <row r="516" spans="1:7">
      <c r="A516" s="190"/>
      <c r="B516" s="180"/>
      <c r="C516" s="181"/>
      <c r="D516" s="182"/>
      <c r="E516" s="91"/>
      <c r="F516" s="197"/>
      <c r="G516" s="186"/>
    </row>
    <row r="517" spans="1:7">
      <c r="A517" s="190"/>
      <c r="B517" s="180"/>
      <c r="C517" s="181"/>
      <c r="D517" s="182"/>
      <c r="E517" s="91"/>
      <c r="F517" s="197"/>
      <c r="G517" s="186"/>
    </row>
    <row r="518" spans="1:7">
      <c r="A518" s="190"/>
      <c r="B518" s="180"/>
      <c r="C518" s="181"/>
      <c r="D518" s="182"/>
      <c r="E518" s="91"/>
      <c r="F518" s="197"/>
      <c r="G518" s="186"/>
    </row>
    <row r="519" spans="1:7">
      <c r="A519" s="190"/>
      <c r="B519" s="180"/>
      <c r="C519" s="181"/>
      <c r="D519" s="182"/>
      <c r="E519" s="91"/>
      <c r="F519" s="197"/>
      <c r="G519" s="186"/>
    </row>
    <row r="520" spans="1:7">
      <c r="A520" s="190"/>
      <c r="B520" s="180"/>
      <c r="C520" s="181"/>
      <c r="D520" s="182"/>
      <c r="E520" s="91"/>
      <c r="F520" s="197"/>
      <c r="G520" s="186"/>
    </row>
    <row r="521" spans="1:7">
      <c r="A521" s="190"/>
      <c r="B521" s="180"/>
      <c r="C521" s="181"/>
      <c r="D521" s="182"/>
      <c r="E521" s="91"/>
      <c r="F521" s="197"/>
      <c r="G521" s="186"/>
    </row>
    <row r="522" spans="1:7">
      <c r="A522" s="190"/>
      <c r="B522" s="180"/>
      <c r="C522" s="181"/>
      <c r="D522" s="182"/>
      <c r="E522" s="91"/>
      <c r="F522" s="197"/>
      <c r="G522" s="186"/>
    </row>
    <row r="523" spans="1:7">
      <c r="A523" s="190"/>
      <c r="B523" s="180"/>
      <c r="C523" s="181"/>
      <c r="D523" s="182"/>
      <c r="E523" s="91"/>
      <c r="F523" s="197"/>
      <c r="G523" s="186"/>
    </row>
    <row r="524" spans="1:7">
      <c r="A524" s="190"/>
      <c r="B524" s="180"/>
      <c r="C524" s="181"/>
      <c r="D524" s="182"/>
      <c r="E524" s="91"/>
      <c r="F524" s="197"/>
      <c r="G524" s="186"/>
    </row>
    <row r="525" spans="1:7">
      <c r="A525" s="190"/>
      <c r="B525" s="180"/>
      <c r="C525" s="181"/>
      <c r="D525" s="182"/>
      <c r="E525" s="91"/>
      <c r="F525" s="197"/>
      <c r="G525" s="186"/>
    </row>
    <row r="526" spans="1:7">
      <c r="A526" s="190"/>
      <c r="B526" s="180"/>
      <c r="C526" s="181"/>
      <c r="D526" s="182"/>
      <c r="E526" s="91"/>
      <c r="F526" s="197"/>
      <c r="G526" s="186"/>
    </row>
    <row r="527" spans="1:7">
      <c r="A527" s="190"/>
      <c r="B527" s="180"/>
      <c r="C527" s="181"/>
      <c r="D527" s="182"/>
      <c r="E527" s="91"/>
      <c r="F527" s="197"/>
      <c r="G527" s="186"/>
    </row>
    <row r="528" spans="1:7">
      <c r="A528" s="190"/>
      <c r="B528" s="180"/>
      <c r="C528" s="181"/>
      <c r="D528" s="182"/>
      <c r="E528" s="91"/>
      <c r="F528" s="197"/>
      <c r="G528" s="186"/>
    </row>
    <row r="529" spans="1:7">
      <c r="A529" s="190"/>
      <c r="B529" s="180"/>
      <c r="C529" s="181"/>
      <c r="D529" s="182"/>
      <c r="E529" s="91"/>
      <c r="F529" s="197"/>
      <c r="G529" s="186"/>
    </row>
    <row r="530" spans="1:7">
      <c r="A530" s="190"/>
      <c r="B530" s="180"/>
      <c r="C530" s="181"/>
      <c r="D530" s="182"/>
      <c r="E530" s="91"/>
      <c r="F530" s="197"/>
      <c r="G530" s="186"/>
    </row>
    <row r="531" spans="1:7">
      <c r="A531" s="190"/>
      <c r="B531" s="180"/>
      <c r="C531" s="181"/>
      <c r="D531" s="182"/>
      <c r="E531" s="91"/>
      <c r="F531" s="197"/>
      <c r="G531" s="186"/>
    </row>
    <row r="532" spans="1:7">
      <c r="A532" s="190"/>
      <c r="B532" s="180"/>
      <c r="C532" s="181"/>
      <c r="D532" s="182"/>
      <c r="E532" s="91"/>
      <c r="F532" s="197"/>
      <c r="G532" s="186"/>
    </row>
    <row r="533" spans="1:7">
      <c r="A533" s="190"/>
      <c r="B533" s="180"/>
      <c r="C533" s="181"/>
      <c r="D533" s="182"/>
      <c r="E533" s="91"/>
      <c r="F533" s="197"/>
      <c r="G533" s="186"/>
    </row>
    <row r="534" spans="1:7">
      <c r="A534" s="190"/>
      <c r="B534" s="180"/>
      <c r="C534" s="181"/>
      <c r="D534" s="182"/>
      <c r="E534" s="91"/>
      <c r="F534" s="197"/>
      <c r="G534" s="186"/>
    </row>
    <row r="535" spans="1:7">
      <c r="A535" s="190"/>
      <c r="B535" s="180"/>
      <c r="C535" s="181"/>
      <c r="D535" s="182"/>
      <c r="E535" s="91"/>
      <c r="F535" s="197"/>
      <c r="G535" s="186"/>
    </row>
    <row r="536" spans="1:7">
      <c r="A536" s="190"/>
      <c r="B536" s="180"/>
      <c r="C536" s="181"/>
      <c r="D536" s="182"/>
      <c r="E536" s="91"/>
      <c r="F536" s="197"/>
      <c r="G536" s="186"/>
    </row>
    <row r="537" spans="1:7">
      <c r="A537" s="190"/>
      <c r="B537" s="210"/>
      <c r="C537" s="211"/>
      <c r="D537" s="182"/>
      <c r="E537" s="91"/>
      <c r="F537" s="212"/>
      <c r="G537" s="186"/>
    </row>
    <row r="538" spans="1:7">
      <c r="A538" s="190"/>
      <c r="B538" s="210"/>
      <c r="C538" s="211"/>
      <c r="D538" s="182"/>
      <c r="E538" s="91"/>
      <c r="F538" s="212"/>
      <c r="G538" s="186"/>
    </row>
    <row r="539" spans="1:7">
      <c r="A539" s="190"/>
      <c r="B539" s="180"/>
      <c r="C539" s="181"/>
      <c r="D539" s="182"/>
      <c r="E539" s="91"/>
      <c r="F539" s="212"/>
      <c r="G539" s="186"/>
    </row>
    <row r="540" spans="1:7">
      <c r="A540" s="190"/>
      <c r="B540" s="180"/>
      <c r="C540" s="181"/>
      <c r="D540" s="182"/>
      <c r="E540" s="91"/>
      <c r="F540" s="212"/>
      <c r="G540" s="186"/>
    </row>
    <row r="541" spans="1:7">
      <c r="A541" s="190"/>
      <c r="B541" s="180"/>
      <c r="C541" s="181"/>
      <c r="D541" s="182"/>
      <c r="E541" s="91"/>
      <c r="F541" s="212"/>
      <c r="G541" s="186"/>
    </row>
    <row r="542" spans="1:7">
      <c r="A542" s="190"/>
      <c r="B542" s="180"/>
      <c r="C542" s="181"/>
      <c r="D542" s="182"/>
      <c r="E542" s="91"/>
      <c r="F542" s="212"/>
      <c r="G542" s="186"/>
    </row>
    <row r="543" spans="1:7">
      <c r="A543" s="190"/>
      <c r="B543" s="180"/>
      <c r="C543" s="181"/>
      <c r="D543" s="182"/>
      <c r="E543" s="91"/>
      <c r="F543" s="212"/>
      <c r="G543" s="186"/>
    </row>
    <row r="544" spans="1:7">
      <c r="A544" s="190"/>
      <c r="B544" s="180"/>
      <c r="C544" s="181"/>
      <c r="D544" s="182"/>
      <c r="E544" s="91"/>
      <c r="F544" s="212"/>
      <c r="G544" s="186"/>
    </row>
    <row r="545" spans="1:7">
      <c r="A545" s="190"/>
      <c r="B545" s="180"/>
      <c r="C545" s="181"/>
      <c r="D545" s="182"/>
      <c r="E545" s="91"/>
      <c r="F545" s="212"/>
      <c r="G545" s="186"/>
    </row>
    <row r="546" spans="1:7">
      <c r="A546" s="190"/>
      <c r="B546" s="180"/>
      <c r="C546" s="181"/>
      <c r="D546" s="182"/>
      <c r="E546" s="91"/>
      <c r="F546" s="212"/>
      <c r="G546" s="186"/>
    </row>
    <row r="547" spans="1:7">
      <c r="A547" s="190"/>
      <c r="B547" s="180"/>
      <c r="C547" s="181"/>
      <c r="D547" s="182"/>
      <c r="E547" s="91"/>
      <c r="F547" s="212"/>
      <c r="G547" s="186"/>
    </row>
    <row r="548" spans="1:7">
      <c r="A548" s="190"/>
      <c r="B548" s="180"/>
      <c r="C548" s="181"/>
      <c r="D548" s="182"/>
      <c r="E548" s="91"/>
      <c r="F548" s="212"/>
      <c r="G548" s="186"/>
    </row>
    <row r="549" spans="1:7">
      <c r="A549" s="190"/>
      <c r="B549" s="180"/>
      <c r="C549" s="181"/>
      <c r="D549" s="182"/>
      <c r="E549" s="91"/>
      <c r="F549" s="212"/>
      <c r="G549" s="186"/>
    </row>
    <row r="550" spans="1:7">
      <c r="A550" s="190"/>
      <c r="B550" s="180"/>
      <c r="C550" s="181"/>
      <c r="D550" s="182"/>
      <c r="E550" s="91"/>
      <c r="F550" s="212"/>
      <c r="G550" s="186"/>
    </row>
    <row r="551" spans="1:7">
      <c r="A551" s="190"/>
      <c r="B551" s="180"/>
      <c r="C551" s="181"/>
      <c r="D551" s="182"/>
      <c r="E551" s="91"/>
      <c r="F551" s="212"/>
      <c r="G551" s="186"/>
    </row>
    <row r="552" spans="1:7">
      <c r="A552" s="190"/>
      <c r="B552" s="180"/>
      <c r="C552" s="181"/>
      <c r="D552" s="182"/>
      <c r="E552" s="91"/>
      <c r="F552" s="212"/>
      <c r="G552" s="186"/>
    </row>
    <row r="553" spans="1:7">
      <c r="A553" s="190"/>
      <c r="B553" s="180"/>
      <c r="C553" s="181"/>
      <c r="D553" s="182"/>
      <c r="E553" s="91"/>
      <c r="F553" s="212"/>
      <c r="G553" s="186"/>
    </row>
    <row r="554" spans="1:7">
      <c r="A554" s="190"/>
      <c r="B554" s="180"/>
      <c r="C554" s="181"/>
      <c r="D554" s="182"/>
      <c r="E554" s="91"/>
      <c r="F554" s="212"/>
      <c r="G554" s="186"/>
    </row>
    <row r="555" spans="1:7">
      <c r="A555" s="190"/>
      <c r="B555" s="180"/>
      <c r="C555" s="181"/>
      <c r="D555" s="182"/>
      <c r="E555" s="91"/>
      <c r="F555" s="212"/>
      <c r="G555" s="186"/>
    </row>
    <row r="556" spans="1:7">
      <c r="A556" s="190"/>
      <c r="B556" s="180"/>
      <c r="C556" s="181"/>
      <c r="D556" s="182"/>
      <c r="E556" s="91"/>
      <c r="F556" s="212"/>
      <c r="G556" s="186"/>
    </row>
    <row r="557" spans="1:7">
      <c r="A557" s="190"/>
      <c r="B557" s="180"/>
      <c r="C557" s="181"/>
      <c r="D557" s="182"/>
      <c r="E557" s="91"/>
      <c r="F557" s="212"/>
      <c r="G557" s="186"/>
    </row>
    <row r="558" spans="1:7">
      <c r="A558" s="190"/>
      <c r="B558" s="180"/>
      <c r="C558" s="181"/>
      <c r="D558" s="182"/>
      <c r="E558" s="91"/>
      <c r="F558" s="212"/>
      <c r="G558" s="186"/>
    </row>
    <row r="559" spans="1:6">
      <c r="A559" s="190"/>
      <c r="B559" s="180"/>
      <c r="C559" s="181"/>
      <c r="D559" s="182"/>
      <c r="E559" s="91"/>
      <c r="F559" s="197"/>
    </row>
    <row r="560" spans="1:6">
      <c r="A560" s="190"/>
      <c r="B560" s="180"/>
      <c r="C560" s="181"/>
      <c r="D560" s="182"/>
      <c r="E560" s="91"/>
      <c r="F560" s="197"/>
    </row>
    <row r="561" spans="1:6">
      <c r="A561" s="190"/>
      <c r="B561" s="180"/>
      <c r="C561" s="181"/>
      <c r="D561" s="182"/>
      <c r="E561" s="91"/>
      <c r="F561" s="197"/>
    </row>
    <row r="562" spans="1:6">
      <c r="A562" s="190"/>
      <c r="B562" s="180"/>
      <c r="C562" s="181"/>
      <c r="D562" s="182"/>
      <c r="E562" s="91"/>
      <c r="F562" s="197"/>
    </row>
    <row r="563" spans="1:6">
      <c r="A563" s="190"/>
      <c r="B563" s="180"/>
      <c r="C563" s="181"/>
      <c r="D563" s="182"/>
      <c r="E563" s="91"/>
      <c r="F563" s="197"/>
    </row>
    <row r="564" spans="1:6">
      <c r="A564" s="190"/>
      <c r="B564" s="180"/>
      <c r="C564" s="181"/>
      <c r="D564" s="182"/>
      <c r="E564" s="91"/>
      <c r="F564" s="197"/>
    </row>
    <row r="565" spans="1:6">
      <c r="A565" s="190"/>
      <c r="B565" s="180"/>
      <c r="C565" s="181"/>
      <c r="D565" s="182"/>
      <c r="E565" s="91"/>
      <c r="F565" s="197"/>
    </row>
    <row r="566" spans="1:6">
      <c r="A566" s="190"/>
      <c r="B566" s="180"/>
      <c r="C566" s="181"/>
      <c r="D566" s="182"/>
      <c r="E566" s="91"/>
      <c r="F566" s="197"/>
    </row>
    <row r="567" spans="1:6">
      <c r="A567" s="190"/>
      <c r="B567" s="180"/>
      <c r="C567" s="181"/>
      <c r="D567" s="182"/>
      <c r="E567" s="91"/>
      <c r="F567" s="197"/>
    </row>
    <row r="568" spans="1:6">
      <c r="A568" s="190"/>
      <c r="B568" s="180"/>
      <c r="C568" s="181"/>
      <c r="D568" s="182"/>
      <c r="E568" s="91"/>
      <c r="F568" s="197"/>
    </row>
    <row r="569" spans="1:6">
      <c r="A569" s="190"/>
      <c r="B569" s="180"/>
      <c r="C569" s="181"/>
      <c r="D569" s="182"/>
      <c r="E569" s="91"/>
      <c r="F569" s="197"/>
    </row>
    <row r="570" spans="1:6">
      <c r="A570" s="190"/>
      <c r="B570" s="180"/>
      <c r="C570" s="181"/>
      <c r="D570" s="182"/>
      <c r="E570" s="91"/>
      <c r="F570" s="197"/>
    </row>
    <row r="571" spans="1:6">
      <c r="A571" s="190"/>
      <c r="B571" s="180"/>
      <c r="C571" s="181"/>
      <c r="D571" s="182"/>
      <c r="E571" s="91"/>
      <c r="F571" s="197"/>
    </row>
    <row r="572" spans="1:6">
      <c r="A572" s="190"/>
      <c r="B572" s="180"/>
      <c r="C572" s="181"/>
      <c r="D572" s="182"/>
      <c r="E572" s="91"/>
      <c r="F572" s="197"/>
    </row>
    <row r="573" spans="1:6">
      <c r="A573" s="190"/>
      <c r="B573" s="180"/>
      <c r="C573" s="181"/>
      <c r="D573" s="182"/>
      <c r="E573" s="91"/>
      <c r="F573" s="197"/>
    </row>
    <row r="574" spans="1:6">
      <c r="A574" s="190"/>
      <c r="B574" s="180"/>
      <c r="C574" s="181"/>
      <c r="D574" s="182"/>
      <c r="E574" s="91"/>
      <c r="F574" s="197"/>
    </row>
    <row r="575" spans="1:6">
      <c r="A575" s="190"/>
      <c r="B575" s="180"/>
      <c r="C575" s="181"/>
      <c r="D575" s="182"/>
      <c r="E575" s="91"/>
      <c r="F575" s="197"/>
    </row>
    <row r="576" spans="1:6">
      <c r="A576" s="190"/>
      <c r="B576" s="180"/>
      <c r="C576" s="181"/>
      <c r="D576" s="182"/>
      <c r="E576" s="91"/>
      <c r="F576" s="197"/>
    </row>
    <row r="577" spans="1:6">
      <c r="A577" s="190"/>
      <c r="B577" s="180"/>
      <c r="C577" s="181"/>
      <c r="D577" s="182"/>
      <c r="E577" s="91"/>
      <c r="F577" s="197"/>
    </row>
    <row r="578" spans="1:6">
      <c r="A578" s="190"/>
      <c r="B578" s="180"/>
      <c r="C578" s="181"/>
      <c r="D578" s="182"/>
      <c r="E578" s="91"/>
      <c r="F578" s="197"/>
    </row>
    <row r="579" spans="1:6">
      <c r="A579" s="190"/>
      <c r="B579" s="180"/>
      <c r="C579" s="181"/>
      <c r="D579" s="182"/>
      <c r="E579" s="91"/>
      <c r="F579" s="197"/>
    </row>
    <row r="580" spans="1:6">
      <c r="A580" s="190"/>
      <c r="B580" s="180"/>
      <c r="C580" s="181"/>
      <c r="D580" s="182"/>
      <c r="E580" s="91"/>
      <c r="F580" s="197"/>
    </row>
    <row r="581" spans="1:6">
      <c r="A581" s="190"/>
      <c r="B581" s="180"/>
      <c r="C581" s="181"/>
      <c r="D581" s="182"/>
      <c r="E581" s="91"/>
      <c r="F581" s="197"/>
    </row>
    <row r="582" spans="1:6">
      <c r="A582" s="190"/>
      <c r="B582" s="180"/>
      <c r="C582" s="181"/>
      <c r="D582" s="182"/>
      <c r="E582" s="91"/>
      <c r="F582" s="197"/>
    </row>
    <row r="583" spans="1:6">
      <c r="A583" s="190"/>
      <c r="B583" s="180"/>
      <c r="C583" s="181"/>
      <c r="D583" s="182"/>
      <c r="E583" s="91"/>
      <c r="F583" s="197"/>
    </row>
    <row r="584" spans="1:6">
      <c r="A584" s="190"/>
      <c r="B584" s="180"/>
      <c r="C584" s="181"/>
      <c r="D584" s="182"/>
      <c r="E584" s="91"/>
      <c r="F584" s="197"/>
    </row>
    <row r="585" spans="1:6">
      <c r="A585" s="190"/>
      <c r="B585" s="180"/>
      <c r="C585" s="181"/>
      <c r="D585" s="182"/>
      <c r="E585" s="91"/>
      <c r="F585" s="197"/>
    </row>
    <row r="586" spans="1:6">
      <c r="A586" s="190"/>
      <c r="B586" s="180"/>
      <c r="C586" s="181"/>
      <c r="D586" s="182"/>
      <c r="E586" s="91"/>
      <c r="F586" s="197"/>
    </row>
    <row r="587" spans="1:6">
      <c r="A587" s="190"/>
      <c r="B587" s="180"/>
      <c r="C587" s="181"/>
      <c r="D587" s="182"/>
      <c r="E587" s="91"/>
      <c r="F587" s="197"/>
    </row>
    <row r="588" spans="1:6">
      <c r="A588" s="190"/>
      <c r="B588" s="180"/>
      <c r="C588" s="181"/>
      <c r="D588" s="182"/>
      <c r="E588" s="91"/>
      <c r="F588" s="197"/>
    </row>
    <row r="589" spans="1:6">
      <c r="A589" s="190"/>
      <c r="B589" s="180"/>
      <c r="C589" s="181"/>
      <c r="D589" s="182"/>
      <c r="E589" s="91"/>
      <c r="F589" s="197"/>
    </row>
    <row r="590" spans="1:6">
      <c r="A590" s="190"/>
      <c r="B590" s="180"/>
      <c r="C590" s="181"/>
      <c r="D590" s="182"/>
      <c r="E590" s="91"/>
      <c r="F590" s="197"/>
    </row>
    <row r="591" spans="1:6">
      <c r="A591" s="190"/>
      <c r="B591" s="180"/>
      <c r="C591" s="181"/>
      <c r="D591" s="182"/>
      <c r="E591" s="91"/>
      <c r="F591" s="197"/>
    </row>
    <row r="592" spans="1:6">
      <c r="A592" s="190"/>
      <c r="B592" s="180"/>
      <c r="C592" s="181"/>
      <c r="D592" s="182"/>
      <c r="E592" s="91"/>
      <c r="F592" s="213"/>
    </row>
    <row r="593" spans="1:6">
      <c r="A593" s="190"/>
      <c r="B593" s="180"/>
      <c r="C593" s="181"/>
      <c r="D593" s="182"/>
      <c r="E593" s="91"/>
      <c r="F593" s="213"/>
    </row>
    <row r="594" spans="1:6">
      <c r="A594" s="190"/>
      <c r="B594" s="180"/>
      <c r="C594" s="181"/>
      <c r="D594" s="182"/>
      <c r="E594" s="91"/>
      <c r="F594" s="213"/>
    </row>
    <row r="595" spans="1:6">
      <c r="A595" s="190"/>
      <c r="B595" s="180"/>
      <c r="C595" s="181"/>
      <c r="D595" s="182"/>
      <c r="E595" s="91"/>
      <c r="F595" s="213"/>
    </row>
    <row r="596" spans="1:6">
      <c r="A596" s="190"/>
      <c r="B596" s="180"/>
      <c r="C596" s="181"/>
      <c r="D596" s="182"/>
      <c r="E596" s="91"/>
      <c r="F596" s="213"/>
    </row>
    <row r="597" spans="1:6">
      <c r="A597" s="190"/>
      <c r="B597" s="180"/>
      <c r="C597" s="181"/>
      <c r="D597" s="182"/>
      <c r="E597" s="91"/>
      <c r="F597" s="213"/>
    </row>
    <row r="598" spans="1:6">
      <c r="A598" s="190"/>
      <c r="B598" s="180"/>
      <c r="C598" s="181"/>
      <c r="D598" s="182"/>
      <c r="E598" s="91"/>
      <c r="F598" s="213"/>
    </row>
    <row r="599" spans="1:6">
      <c r="A599" s="190"/>
      <c r="B599" s="180"/>
      <c r="C599" s="181"/>
      <c r="D599" s="182"/>
      <c r="E599" s="91"/>
      <c r="F599" s="213"/>
    </row>
    <row r="600" spans="1:6">
      <c r="A600" s="190"/>
      <c r="B600" s="180"/>
      <c r="C600" s="181"/>
      <c r="D600" s="182"/>
      <c r="E600" s="91"/>
      <c r="F600" s="213"/>
    </row>
    <row r="601" spans="1:6">
      <c r="A601" s="190"/>
      <c r="B601" s="180"/>
      <c r="C601" s="181"/>
      <c r="D601" s="182"/>
      <c r="E601" s="91"/>
      <c r="F601" s="213"/>
    </row>
    <row r="602" spans="1:6">
      <c r="A602" s="190"/>
      <c r="B602" s="180"/>
      <c r="C602" s="181"/>
      <c r="D602" s="182"/>
      <c r="E602" s="91"/>
      <c r="F602" s="213"/>
    </row>
    <row r="603" spans="1:6">
      <c r="A603" s="190"/>
      <c r="B603" s="180"/>
      <c r="C603" s="181"/>
      <c r="D603" s="182"/>
      <c r="E603" s="91"/>
      <c r="F603" s="213"/>
    </row>
    <row r="604" spans="1:6">
      <c r="A604" s="190"/>
      <c r="B604" s="180"/>
      <c r="C604" s="181"/>
      <c r="D604" s="182"/>
      <c r="E604" s="91"/>
      <c r="F604" s="213"/>
    </row>
    <row r="605" spans="1:6">
      <c r="A605" s="190"/>
      <c r="B605" s="180"/>
      <c r="C605" s="181"/>
      <c r="D605" s="182"/>
      <c r="E605" s="91"/>
      <c r="F605" s="213"/>
    </row>
    <row r="606" spans="1:6">
      <c r="A606" s="190"/>
      <c r="B606" s="180"/>
      <c r="C606" s="181"/>
      <c r="D606" s="182"/>
      <c r="E606" s="91"/>
      <c r="F606" s="213"/>
    </row>
    <row r="607" spans="1:6">
      <c r="A607" s="190"/>
      <c r="B607" s="180"/>
      <c r="C607" s="181"/>
      <c r="D607" s="182"/>
      <c r="E607" s="91"/>
      <c r="F607" s="213"/>
    </row>
    <row r="608" spans="1:6">
      <c r="A608" s="190"/>
      <c r="B608" s="180"/>
      <c r="C608" s="181"/>
      <c r="D608" s="182"/>
      <c r="E608" s="91"/>
      <c r="F608" s="213"/>
    </row>
    <row r="609" spans="1:6">
      <c r="A609" s="190"/>
      <c r="B609" s="180"/>
      <c r="C609" s="181"/>
      <c r="D609" s="182"/>
      <c r="E609" s="91"/>
      <c r="F609" s="213"/>
    </row>
    <row r="610" spans="1:6">
      <c r="A610" s="190"/>
      <c r="B610" s="180"/>
      <c r="C610" s="181"/>
      <c r="D610" s="182"/>
      <c r="E610" s="91"/>
      <c r="F610" s="213"/>
    </row>
    <row r="611" spans="1:6">
      <c r="A611" s="190"/>
      <c r="B611" s="180"/>
      <c r="C611" s="181"/>
      <c r="D611" s="182"/>
      <c r="E611" s="91"/>
      <c r="F611" s="213"/>
    </row>
    <row r="612" spans="1:6">
      <c r="A612" s="190"/>
      <c r="B612" s="180"/>
      <c r="C612" s="181"/>
      <c r="D612" s="182"/>
      <c r="E612" s="91"/>
      <c r="F612" s="213"/>
    </row>
    <row r="613" spans="1:6">
      <c r="A613" s="190"/>
      <c r="B613" s="180"/>
      <c r="C613" s="181"/>
      <c r="D613" s="182"/>
      <c r="E613" s="91"/>
      <c r="F613" s="213"/>
    </row>
    <row r="614" spans="1:6">
      <c r="A614" s="190"/>
      <c r="B614" s="180"/>
      <c r="C614" s="181"/>
      <c r="D614" s="182"/>
      <c r="E614" s="91"/>
      <c r="F614" s="213"/>
    </row>
    <row r="615" spans="1:6">
      <c r="A615" s="190"/>
      <c r="B615" s="180"/>
      <c r="C615" s="181"/>
      <c r="D615" s="182"/>
      <c r="E615" s="91"/>
      <c r="F615" s="213"/>
    </row>
    <row r="616" spans="1:6">
      <c r="A616" s="190"/>
      <c r="B616" s="180"/>
      <c r="C616" s="181"/>
      <c r="D616" s="182"/>
      <c r="E616" s="91"/>
      <c r="F616" s="213"/>
    </row>
    <row r="617" spans="1:6">
      <c r="A617" s="190"/>
      <c r="B617" s="180"/>
      <c r="C617" s="181"/>
      <c r="D617" s="182"/>
      <c r="E617" s="91"/>
      <c r="F617" s="213"/>
    </row>
    <row r="618" spans="1:6">
      <c r="A618" s="190"/>
      <c r="B618" s="180"/>
      <c r="C618" s="181"/>
      <c r="D618" s="182"/>
      <c r="E618" s="91"/>
      <c r="F618" s="213"/>
    </row>
    <row r="619" spans="1:6">
      <c r="A619" s="190"/>
      <c r="B619" s="180"/>
      <c r="C619" s="181"/>
      <c r="D619" s="182"/>
      <c r="E619" s="91"/>
      <c r="F619" s="213"/>
    </row>
    <row r="620" spans="1:6">
      <c r="A620" s="190"/>
      <c r="B620" s="180"/>
      <c r="C620" s="181"/>
      <c r="D620" s="182"/>
      <c r="E620" s="91"/>
      <c r="F620" s="213"/>
    </row>
    <row r="621" spans="1:6">
      <c r="A621" s="190"/>
      <c r="B621" s="180"/>
      <c r="C621" s="181"/>
      <c r="D621" s="182"/>
      <c r="E621" s="91"/>
      <c r="F621" s="213"/>
    </row>
    <row r="622" spans="1:6">
      <c r="A622" s="190"/>
      <c r="B622" s="180"/>
      <c r="C622" s="181"/>
      <c r="D622" s="182"/>
      <c r="E622" s="91"/>
      <c r="F622" s="213"/>
    </row>
    <row r="623" spans="1:6">
      <c r="A623" s="190"/>
      <c r="B623" s="180"/>
      <c r="C623" s="181"/>
      <c r="D623" s="182"/>
      <c r="E623" s="91"/>
      <c r="F623" s="213"/>
    </row>
    <row r="624" spans="1:6">
      <c r="A624" s="190"/>
      <c r="B624" s="180"/>
      <c r="C624" s="181"/>
      <c r="D624" s="182"/>
      <c r="E624" s="91"/>
      <c r="F624" s="213"/>
    </row>
    <row r="625" spans="1:6">
      <c r="A625" s="190"/>
      <c r="B625" s="180"/>
      <c r="C625" s="181"/>
      <c r="D625" s="182"/>
      <c r="E625" s="91"/>
      <c r="F625" s="213"/>
    </row>
    <row r="626" spans="1:6">
      <c r="A626" s="190"/>
      <c r="B626" s="180"/>
      <c r="C626" s="181"/>
      <c r="D626" s="182"/>
      <c r="E626" s="91"/>
      <c r="F626" s="213"/>
    </row>
    <row r="627" spans="1:6">
      <c r="A627" s="190"/>
      <c r="B627" s="180"/>
      <c r="C627" s="181"/>
      <c r="D627" s="182"/>
      <c r="E627" s="91"/>
      <c r="F627" s="213"/>
    </row>
    <row r="628" spans="1:6">
      <c r="A628" s="190"/>
      <c r="B628" s="180"/>
      <c r="C628" s="181"/>
      <c r="D628" s="182"/>
      <c r="E628" s="91"/>
      <c r="F628" s="213"/>
    </row>
    <row r="629" spans="1:6">
      <c r="A629" s="190"/>
      <c r="B629" s="180"/>
      <c r="C629" s="181"/>
      <c r="D629" s="182"/>
      <c r="E629" s="91"/>
      <c r="F629" s="213"/>
    </row>
    <row r="630" spans="1:6">
      <c r="A630" s="190"/>
      <c r="B630" s="180"/>
      <c r="C630" s="181"/>
      <c r="D630" s="182"/>
      <c r="E630" s="91"/>
      <c r="F630" s="213"/>
    </row>
    <row r="631" spans="1:6">
      <c r="A631" s="190"/>
      <c r="B631" s="180"/>
      <c r="C631" s="181"/>
      <c r="D631" s="182"/>
      <c r="E631" s="91"/>
      <c r="F631" s="213"/>
    </row>
    <row r="632" spans="1:6">
      <c r="A632" s="190"/>
      <c r="B632" s="180"/>
      <c r="C632" s="181"/>
      <c r="D632" s="182"/>
      <c r="E632" s="91"/>
      <c r="F632" s="213"/>
    </row>
    <row r="633" spans="1:6">
      <c r="A633" s="190"/>
      <c r="B633" s="180"/>
      <c r="C633" s="181"/>
      <c r="D633" s="182"/>
      <c r="E633" s="91"/>
      <c r="F633" s="213"/>
    </row>
    <row r="634" spans="1:6">
      <c r="A634" s="190"/>
      <c r="B634" s="180"/>
      <c r="C634" s="181"/>
      <c r="D634" s="182"/>
      <c r="E634" s="91"/>
      <c r="F634" s="213"/>
    </row>
    <row r="635" spans="1:6">
      <c r="A635" s="190"/>
      <c r="B635" s="180"/>
      <c r="C635" s="181"/>
      <c r="D635" s="182"/>
      <c r="E635" s="91"/>
      <c r="F635" s="213"/>
    </row>
    <row r="636" spans="1:6">
      <c r="A636" s="190"/>
      <c r="B636" s="180"/>
      <c r="C636" s="181"/>
      <c r="D636" s="182"/>
      <c r="E636" s="91"/>
      <c r="F636" s="213"/>
    </row>
    <row r="637" spans="1:6">
      <c r="A637" s="190"/>
      <c r="B637" s="180"/>
      <c r="C637" s="181"/>
      <c r="D637" s="182"/>
      <c r="E637" s="91"/>
      <c r="F637" s="213"/>
    </row>
    <row r="638" spans="1:6">
      <c r="A638" s="190"/>
      <c r="B638" s="180"/>
      <c r="C638" s="181"/>
      <c r="D638" s="182"/>
      <c r="E638" s="91"/>
      <c r="F638" s="213"/>
    </row>
    <row r="639" spans="1:6">
      <c r="A639" s="190"/>
      <c r="B639" s="180"/>
      <c r="C639" s="181"/>
      <c r="D639" s="182"/>
      <c r="E639" s="91"/>
      <c r="F639" s="213"/>
    </row>
    <row r="640" spans="1:6">
      <c r="A640" s="190"/>
      <c r="B640" s="180"/>
      <c r="C640" s="181"/>
      <c r="D640" s="182"/>
      <c r="E640" s="91"/>
      <c r="F640" s="213"/>
    </row>
    <row r="641" spans="1:6">
      <c r="A641" s="190"/>
      <c r="B641" s="180"/>
      <c r="C641" s="181"/>
      <c r="D641" s="182"/>
      <c r="E641" s="91"/>
      <c r="F641" s="213"/>
    </row>
    <row r="642" spans="1:6">
      <c r="A642" s="190"/>
      <c r="B642" s="180"/>
      <c r="C642" s="181"/>
      <c r="D642" s="182"/>
      <c r="E642" s="91"/>
      <c r="F642" s="213"/>
    </row>
    <row r="643" spans="1:6">
      <c r="A643" s="190"/>
      <c r="B643" s="180"/>
      <c r="C643" s="181"/>
      <c r="D643" s="182"/>
      <c r="E643" s="91"/>
      <c r="F643" s="213"/>
    </row>
    <row r="644" spans="1:6">
      <c r="A644" s="190"/>
      <c r="B644" s="180"/>
      <c r="C644" s="181"/>
      <c r="D644" s="182"/>
      <c r="E644" s="91"/>
      <c r="F644" s="213"/>
    </row>
    <row r="645" spans="1:6">
      <c r="A645" s="190"/>
      <c r="B645" s="180"/>
      <c r="C645" s="181"/>
      <c r="D645" s="182"/>
      <c r="E645" s="91"/>
      <c r="F645" s="213"/>
    </row>
    <row r="646" spans="1:6">
      <c r="A646" s="190"/>
      <c r="B646" s="180"/>
      <c r="C646" s="181"/>
      <c r="D646" s="182"/>
      <c r="E646" s="91"/>
      <c r="F646" s="213"/>
    </row>
    <row r="647" spans="1:6">
      <c r="A647" s="190"/>
      <c r="B647" s="180"/>
      <c r="C647" s="181"/>
      <c r="D647" s="182"/>
      <c r="E647" s="91"/>
      <c r="F647" s="213"/>
    </row>
    <row r="648" spans="1:6">
      <c r="A648" s="190"/>
      <c r="B648" s="180"/>
      <c r="C648" s="181"/>
      <c r="D648" s="182"/>
      <c r="E648" s="91"/>
      <c r="F648" s="213"/>
    </row>
    <row r="649" spans="1:6">
      <c r="A649" s="190"/>
      <c r="B649" s="180"/>
      <c r="C649" s="181"/>
      <c r="D649" s="182"/>
      <c r="E649" s="91"/>
      <c r="F649" s="213"/>
    </row>
    <row r="650" spans="1:6">
      <c r="A650" s="190"/>
      <c r="B650" s="180"/>
      <c r="C650" s="181"/>
      <c r="D650" s="182"/>
      <c r="E650" s="91"/>
      <c r="F650" s="213"/>
    </row>
    <row r="651" spans="1:6">
      <c r="A651" s="190"/>
      <c r="B651" s="180"/>
      <c r="C651" s="181"/>
      <c r="D651" s="182"/>
      <c r="E651" s="91"/>
      <c r="F651" s="213"/>
    </row>
    <row r="652" spans="1:6">
      <c r="A652" s="190"/>
      <c r="B652" s="180"/>
      <c r="C652" s="181"/>
      <c r="D652" s="182"/>
      <c r="E652" s="91"/>
      <c r="F652" s="213"/>
    </row>
    <row r="653" spans="1:6">
      <c r="A653" s="190"/>
      <c r="B653" s="180"/>
      <c r="C653" s="181"/>
      <c r="D653" s="182"/>
      <c r="E653" s="91"/>
      <c r="F653" s="213"/>
    </row>
    <row r="654" spans="1:6">
      <c r="A654" s="190"/>
      <c r="B654" s="180"/>
      <c r="C654" s="181"/>
      <c r="D654" s="182"/>
      <c r="E654" s="91"/>
      <c r="F654" s="213"/>
    </row>
    <row r="655" spans="1:6">
      <c r="A655" s="190"/>
      <c r="B655" s="180"/>
      <c r="C655" s="181"/>
      <c r="D655" s="182"/>
      <c r="E655" s="91"/>
      <c r="F655" s="213"/>
    </row>
    <row r="656" spans="1:6">
      <c r="A656" s="190"/>
      <c r="B656" s="180"/>
      <c r="C656" s="181"/>
      <c r="D656" s="182"/>
      <c r="E656" s="91"/>
      <c r="F656" s="213"/>
    </row>
    <row r="657" spans="1:6">
      <c r="A657" s="190"/>
      <c r="B657" s="180"/>
      <c r="C657" s="181"/>
      <c r="D657" s="182"/>
      <c r="E657" s="91"/>
      <c r="F657" s="213"/>
    </row>
    <row r="658" spans="1:6">
      <c r="A658" s="190"/>
      <c r="B658" s="180"/>
      <c r="C658" s="181"/>
      <c r="D658" s="182"/>
      <c r="E658" s="91"/>
      <c r="F658" s="213"/>
    </row>
    <row r="659" spans="1:6">
      <c r="A659" s="190"/>
      <c r="B659" s="180"/>
      <c r="C659" s="181"/>
      <c r="D659" s="182"/>
      <c r="E659" s="91"/>
      <c r="F659" s="213"/>
    </row>
    <row r="660" spans="1:6">
      <c r="A660" s="179"/>
      <c r="B660" s="214"/>
      <c r="C660" s="181"/>
      <c r="D660" s="215"/>
      <c r="E660" s="91"/>
      <c r="F660" s="213"/>
    </row>
    <row r="661" spans="1:6">
      <c r="A661" s="179"/>
      <c r="B661" s="214"/>
      <c r="C661" s="181"/>
      <c r="D661" s="215"/>
      <c r="E661" s="215"/>
      <c r="F661" s="213"/>
    </row>
    <row r="662" spans="1:6">
      <c r="A662" s="179"/>
      <c r="B662" s="214"/>
      <c r="C662" s="181"/>
      <c r="D662" s="215"/>
      <c r="E662" s="215"/>
      <c r="F662" s="213"/>
    </row>
    <row r="663" spans="1:6">
      <c r="A663" s="179"/>
      <c r="B663" s="214"/>
      <c r="C663" s="181"/>
      <c r="D663" s="215"/>
      <c r="E663" s="215"/>
      <c r="F663" s="213"/>
    </row>
    <row r="664" spans="1:6">
      <c r="A664" s="179"/>
      <c r="B664" s="214"/>
      <c r="C664" s="181"/>
      <c r="D664" s="216"/>
      <c r="E664" s="215"/>
      <c r="F664" s="213"/>
    </row>
    <row r="665" spans="1:6">
      <c r="A665" s="179"/>
      <c r="B665" s="214"/>
      <c r="C665" s="181"/>
      <c r="D665" s="216"/>
      <c r="E665" s="215"/>
      <c r="F665" s="213"/>
    </row>
    <row r="666" spans="1:6">
      <c r="A666" s="179"/>
      <c r="B666" s="214"/>
      <c r="C666" s="181"/>
      <c r="D666" s="216"/>
      <c r="E666" s="215"/>
      <c r="F666" s="213"/>
    </row>
    <row r="667" spans="1:8">
      <c r="A667" s="179"/>
      <c r="B667" s="214"/>
      <c r="C667" s="181"/>
      <c r="D667" s="217"/>
      <c r="E667" s="217"/>
      <c r="F667" s="218">
        <f>SUM(F2:F666)</f>
        <v>15272150</v>
      </c>
      <c r="G667" s="218"/>
      <c r="H667" s="188"/>
    </row>
    <row r="668" spans="6:7">
      <c r="F668" s="174"/>
      <c r="G668" s="174"/>
    </row>
    <row r="670" spans="6:6">
      <c r="F670" s="188"/>
    </row>
  </sheetData>
  <mergeCells count="23">
    <mergeCell ref="A2:A23"/>
    <mergeCell ref="A24:A38"/>
    <mergeCell ref="A39:A60"/>
    <mergeCell ref="A61:A69"/>
    <mergeCell ref="A71:A77"/>
    <mergeCell ref="A78:A99"/>
    <mergeCell ref="A100:A121"/>
    <mergeCell ref="A122:A127"/>
    <mergeCell ref="A128:A149"/>
    <mergeCell ref="A150:A157"/>
    <mergeCell ref="A158:A179"/>
    <mergeCell ref="F2:F23"/>
    <mergeCell ref="F24:F38"/>
    <mergeCell ref="F39:F60"/>
    <mergeCell ref="F61:F69"/>
    <mergeCell ref="F71:F77"/>
    <mergeCell ref="F78:F99"/>
    <mergeCell ref="F100:F121"/>
    <mergeCell ref="F122:F127"/>
    <mergeCell ref="F128:F149"/>
    <mergeCell ref="F150:F157"/>
    <mergeCell ref="F158:F179"/>
    <mergeCell ref="F180:F18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8" activePane="bottomLeft" state="frozen"/>
      <selection/>
      <selection pane="bottomLeft" activeCell="B29" sqref="B29"/>
    </sheetView>
  </sheetViews>
  <sheetFormatPr defaultColWidth="9.140625" defaultRowHeight="23.2" outlineLevelCol="7"/>
  <cols>
    <col min="1" max="1" width="18.859375" style="136" customWidth="1"/>
    <col min="2" max="2" width="35.5703125" style="137" customWidth="1"/>
    <col min="3" max="3" width="24.1875" style="138" customWidth="1"/>
    <col min="4" max="4" width="24.7109375" style="134" customWidth="1"/>
    <col min="5" max="5" width="36.9609375" style="134" customWidth="1"/>
    <col min="6" max="6" width="27.0078125" style="134" customWidth="1"/>
    <col min="7" max="7" width="22" style="134" customWidth="1"/>
    <col min="8" max="8" width="15.5703125" style="134"/>
    <col min="9" max="11" width="12.859375" style="134"/>
    <col min="12" max="16384" width="9.140625" style="134"/>
  </cols>
  <sheetData>
    <row r="1" spans="1:7">
      <c r="A1" s="139" t="s">
        <v>0</v>
      </c>
      <c r="B1" s="140" t="s">
        <v>153</v>
      </c>
      <c r="C1" s="141" t="s">
        <v>154</v>
      </c>
      <c r="D1" s="141" t="s">
        <v>3</v>
      </c>
      <c r="E1" s="141" t="s">
        <v>155</v>
      </c>
      <c r="F1" s="141" t="s">
        <v>4</v>
      </c>
      <c r="G1" s="141" t="s">
        <v>5</v>
      </c>
    </row>
    <row r="2" s="134" customFormat="1" ht="70" customHeight="1" spans="1:7">
      <c r="A2" s="142">
        <v>46024</v>
      </c>
      <c r="B2" s="143" t="s">
        <v>156</v>
      </c>
      <c r="C2" s="144">
        <v>6</v>
      </c>
      <c r="D2" s="145">
        <v>185000</v>
      </c>
      <c r="E2" s="156" t="str">
        <f>_xlfn.DISPIMG("ID_4F12A570D97345129BA4AB38143E5809",1)</f>
        <v>=DISPIMG("ID_4F12A570D97345129BA4AB38143E5809",1)</v>
      </c>
      <c r="F2" s="157">
        <f>SUM(C2*D2)</f>
        <v>1110000</v>
      </c>
      <c r="G2" s="158">
        <f>SUM(F2:F5)</f>
        <v>2750000</v>
      </c>
    </row>
    <row r="3" s="134" customFormat="1" ht="70" customHeight="1" spans="1:7">
      <c r="A3" s="146"/>
      <c r="B3" s="143" t="s">
        <v>157</v>
      </c>
      <c r="C3" s="144">
        <v>4</v>
      </c>
      <c r="D3" s="145">
        <v>85000</v>
      </c>
      <c r="E3" s="159"/>
      <c r="F3" s="157">
        <f>SUM(C3*D3)</f>
        <v>340000</v>
      </c>
      <c r="G3" s="160"/>
    </row>
    <row r="4" s="134" customFormat="1" ht="70" customHeight="1" spans="1:7">
      <c r="A4" s="146"/>
      <c r="B4" s="143" t="s">
        <v>158</v>
      </c>
      <c r="C4" s="144">
        <v>10</v>
      </c>
      <c r="D4" s="145">
        <v>65000</v>
      </c>
      <c r="E4" s="159"/>
      <c r="F4" s="157">
        <f>SUM(C4*D4)</f>
        <v>650000</v>
      </c>
      <c r="G4" s="160"/>
    </row>
    <row r="5" s="134" customFormat="1" ht="70" customHeight="1" spans="1:7">
      <c r="A5" s="147"/>
      <c r="B5" s="143" t="s">
        <v>159</v>
      </c>
      <c r="C5" s="144">
        <v>10</v>
      </c>
      <c r="D5" s="145">
        <v>65000</v>
      </c>
      <c r="E5" s="161"/>
      <c r="F5" s="157">
        <f t="shared" ref="F2:F10" si="0">SUM(C5*D5)</f>
        <v>650000</v>
      </c>
      <c r="G5" s="162"/>
    </row>
    <row r="6" s="134" customFormat="1" ht="50" customHeight="1" spans="1:7">
      <c r="A6" s="142">
        <v>46025</v>
      </c>
      <c r="B6" s="143" t="s">
        <v>160</v>
      </c>
      <c r="C6" s="144">
        <v>5</v>
      </c>
      <c r="D6" s="145">
        <v>150000</v>
      </c>
      <c r="E6" s="156" t="str">
        <f>_xlfn.DISPIMG("ID_9A9D6236178F4E6D946D1853D272DDA3",1)</f>
        <v>=DISPIMG("ID_9A9D6236178F4E6D946D1853D272DDA3",1)</v>
      </c>
      <c r="F6" s="157">
        <f t="shared" si="0"/>
        <v>750000</v>
      </c>
      <c r="G6" s="158">
        <f>SUM(F6:F11)</f>
        <v>3832500</v>
      </c>
    </row>
    <row r="7" s="134" customFormat="1" ht="50" customHeight="1" spans="1:7">
      <c r="A7" s="146"/>
      <c r="B7" s="148" t="s">
        <v>161</v>
      </c>
      <c r="C7" s="144">
        <v>3</v>
      </c>
      <c r="D7" s="145">
        <v>370000</v>
      </c>
      <c r="E7" s="159"/>
      <c r="F7" s="157">
        <f t="shared" si="0"/>
        <v>1110000</v>
      </c>
      <c r="G7" s="160"/>
    </row>
    <row r="8" s="134" customFormat="1" ht="50" customHeight="1" spans="1:7">
      <c r="A8" s="146"/>
      <c r="B8" s="143" t="s">
        <v>162</v>
      </c>
      <c r="C8" s="144">
        <v>6.5</v>
      </c>
      <c r="D8" s="145">
        <v>115000</v>
      </c>
      <c r="E8" s="159"/>
      <c r="F8" s="157">
        <f t="shared" si="0"/>
        <v>747500</v>
      </c>
      <c r="G8" s="160"/>
    </row>
    <row r="9" s="134" customFormat="1" ht="50" customHeight="1" spans="1:7">
      <c r="A9" s="146"/>
      <c r="B9" s="143" t="s">
        <v>163</v>
      </c>
      <c r="C9" s="144">
        <v>10</v>
      </c>
      <c r="D9" s="145">
        <v>65000</v>
      </c>
      <c r="E9" s="159"/>
      <c r="F9" s="157">
        <f t="shared" si="0"/>
        <v>650000</v>
      </c>
      <c r="G9" s="160"/>
    </row>
    <row r="10" s="134" customFormat="1" ht="50" customHeight="1" spans="1:7">
      <c r="A10" s="146"/>
      <c r="B10" s="143" t="s">
        <v>164</v>
      </c>
      <c r="C10" s="144">
        <v>5</v>
      </c>
      <c r="D10" s="145">
        <v>65000</v>
      </c>
      <c r="E10" s="159"/>
      <c r="F10" s="157">
        <f t="shared" si="0"/>
        <v>325000</v>
      </c>
      <c r="G10" s="160"/>
    </row>
    <row r="11" s="134" customFormat="1" ht="50" customHeight="1" spans="1:7">
      <c r="A11" s="147"/>
      <c r="B11" s="143" t="s">
        <v>165</v>
      </c>
      <c r="C11" s="144">
        <v>5</v>
      </c>
      <c r="D11" s="145">
        <v>50000</v>
      </c>
      <c r="E11" s="161"/>
      <c r="F11" s="157">
        <f t="shared" ref="F11:F13" si="1">SUM(C11*D11)</f>
        <v>250000</v>
      </c>
      <c r="G11" s="162"/>
    </row>
    <row r="12" s="134" customFormat="1" ht="60" customHeight="1" spans="1:7">
      <c r="A12" s="149">
        <v>46029</v>
      </c>
      <c r="B12" s="150" t="s">
        <v>162</v>
      </c>
      <c r="C12" s="144">
        <v>10.9</v>
      </c>
      <c r="D12" s="145">
        <v>115000</v>
      </c>
      <c r="E12" s="163" t="str">
        <f>_xlfn.DISPIMG("ID_48E2AFA3B90642AD9D61FEAE334ED4C4",1)</f>
        <v>=DISPIMG("ID_48E2AFA3B90642AD9D61FEAE334ED4C4",1)</v>
      </c>
      <c r="F12" s="157">
        <f t="shared" si="1"/>
        <v>1253500</v>
      </c>
      <c r="G12" s="164">
        <f>SUM(F12:F16)</f>
        <v>3550000</v>
      </c>
    </row>
    <row r="13" s="134" customFormat="1" ht="60" customHeight="1" spans="1:7">
      <c r="A13" s="151"/>
      <c r="B13" s="143" t="s">
        <v>161</v>
      </c>
      <c r="C13" s="144">
        <v>3.8</v>
      </c>
      <c r="D13" s="145">
        <v>370000</v>
      </c>
      <c r="E13" s="165"/>
      <c r="F13" s="157">
        <f t="shared" si="1"/>
        <v>1406000</v>
      </c>
      <c r="G13" s="166"/>
    </row>
    <row r="14" s="134" customFormat="1" ht="60" customHeight="1" spans="1:7">
      <c r="A14" s="151"/>
      <c r="B14" s="143" t="s">
        <v>166</v>
      </c>
      <c r="C14" s="144">
        <v>2.9</v>
      </c>
      <c r="D14" s="145">
        <v>185000</v>
      </c>
      <c r="E14" s="165"/>
      <c r="F14" s="157">
        <f>C14*D14</f>
        <v>536500</v>
      </c>
      <c r="G14" s="166"/>
    </row>
    <row r="15" s="134" customFormat="1" ht="60" customHeight="1" spans="1:7">
      <c r="A15" s="151"/>
      <c r="B15" s="143" t="s">
        <v>157</v>
      </c>
      <c r="C15" s="144">
        <v>2</v>
      </c>
      <c r="D15" s="145">
        <v>85000</v>
      </c>
      <c r="E15" s="165"/>
      <c r="F15" s="157">
        <f>C15*D15</f>
        <v>170000</v>
      </c>
      <c r="G15" s="166"/>
    </row>
    <row r="16" s="134" customFormat="1" ht="60" customHeight="1" spans="1:7">
      <c r="A16" s="152"/>
      <c r="B16" s="143" t="s">
        <v>167</v>
      </c>
      <c r="C16" s="144">
        <v>1.6</v>
      </c>
      <c r="D16" s="145">
        <v>115000</v>
      </c>
      <c r="E16" s="167"/>
      <c r="F16" s="157">
        <f t="shared" ref="F16:F18" si="2">SUM(C16*D16)</f>
        <v>184000</v>
      </c>
      <c r="G16" s="168"/>
    </row>
    <row r="17" s="134" customFormat="1" spans="1:7">
      <c r="A17" s="17"/>
      <c r="B17" s="143"/>
      <c r="C17" s="144"/>
      <c r="D17" s="145"/>
      <c r="E17" s="169"/>
      <c r="F17" s="157">
        <f t="shared" si="2"/>
        <v>0</v>
      </c>
      <c r="G17" s="157"/>
    </row>
    <row r="18" s="134" customFormat="1" spans="1:7">
      <c r="A18" s="17"/>
      <c r="B18" s="148"/>
      <c r="C18" s="144"/>
      <c r="D18" s="145"/>
      <c r="E18" s="169"/>
      <c r="F18" s="157">
        <f t="shared" si="2"/>
        <v>0</v>
      </c>
      <c r="G18" s="157">
        <f>SUM(F18)</f>
        <v>0</v>
      </c>
    </row>
    <row r="19" s="134" customFormat="1" spans="1:7">
      <c r="A19" s="17"/>
      <c r="B19" s="150"/>
      <c r="C19" s="144"/>
      <c r="D19" s="145"/>
      <c r="E19" s="169"/>
      <c r="F19" s="157">
        <f t="shared" ref="F19:F30" si="3">SUM(C19*D19)</f>
        <v>0</v>
      </c>
      <c r="G19" s="157">
        <f>SUM(F19:F20)</f>
        <v>0</v>
      </c>
    </row>
    <row r="20" s="134" customFormat="1" spans="1:7">
      <c r="A20" s="17"/>
      <c r="B20" s="150"/>
      <c r="C20" s="144"/>
      <c r="D20" s="145"/>
      <c r="E20" s="169"/>
      <c r="F20" s="157">
        <f t="shared" si="3"/>
        <v>0</v>
      </c>
      <c r="G20" s="157"/>
    </row>
    <row r="21" s="134" customFormat="1" spans="1:7">
      <c r="A21" s="17"/>
      <c r="B21" s="150"/>
      <c r="C21" s="144"/>
      <c r="D21" s="145"/>
      <c r="E21" s="169"/>
      <c r="F21" s="157">
        <f t="shared" si="3"/>
        <v>0</v>
      </c>
      <c r="G21" s="157">
        <f>SUM(F21:F26)</f>
        <v>0</v>
      </c>
    </row>
    <row r="22" s="134" customFormat="1" spans="1:7">
      <c r="A22" s="17"/>
      <c r="B22" s="150"/>
      <c r="C22" s="144"/>
      <c r="D22" s="145"/>
      <c r="E22" s="169"/>
      <c r="F22" s="157">
        <f t="shared" si="3"/>
        <v>0</v>
      </c>
      <c r="G22" s="157"/>
    </row>
    <row r="23" s="134" customFormat="1" spans="1:7">
      <c r="A23" s="17"/>
      <c r="B23" s="150"/>
      <c r="C23" s="144"/>
      <c r="D23" s="145"/>
      <c r="E23" s="169"/>
      <c r="F23" s="157">
        <f t="shared" si="3"/>
        <v>0</v>
      </c>
      <c r="G23" s="157"/>
    </row>
    <row r="24" s="134" customFormat="1" spans="1:7">
      <c r="A24" s="17"/>
      <c r="B24" s="150"/>
      <c r="C24" s="144"/>
      <c r="D24" s="145"/>
      <c r="E24" s="169"/>
      <c r="F24" s="157">
        <f t="shared" si="3"/>
        <v>0</v>
      </c>
      <c r="G24" s="157"/>
    </row>
    <row r="25" s="134" customFormat="1" spans="1:7">
      <c r="A25" s="17"/>
      <c r="B25" s="150"/>
      <c r="C25" s="144"/>
      <c r="D25" s="145"/>
      <c r="E25" s="169"/>
      <c r="F25" s="157">
        <f t="shared" si="3"/>
        <v>0</v>
      </c>
      <c r="G25" s="157"/>
    </row>
    <row r="26" s="134" customFormat="1" spans="1:7">
      <c r="A26" s="17"/>
      <c r="B26" s="150"/>
      <c r="C26" s="144"/>
      <c r="D26" s="145"/>
      <c r="E26" s="169"/>
      <c r="F26" s="157">
        <f t="shared" si="3"/>
        <v>0</v>
      </c>
      <c r="G26" s="157"/>
    </row>
    <row r="27" s="134" customFormat="1" spans="1:7">
      <c r="A27" s="17"/>
      <c r="B27" s="150"/>
      <c r="C27" s="144"/>
      <c r="D27" s="145"/>
      <c r="E27" s="169"/>
      <c r="F27" s="157">
        <f t="shared" si="3"/>
        <v>0</v>
      </c>
      <c r="G27" s="157">
        <f>SUM(F27:F28)</f>
        <v>0</v>
      </c>
    </row>
    <row r="28" s="134" customFormat="1" spans="1:7">
      <c r="A28" s="17"/>
      <c r="B28" s="143"/>
      <c r="C28" s="144"/>
      <c r="D28" s="145"/>
      <c r="E28" s="169"/>
      <c r="F28" s="157">
        <f t="shared" si="3"/>
        <v>0</v>
      </c>
      <c r="G28" s="157"/>
    </row>
    <row r="29" s="134" customFormat="1" spans="1:7">
      <c r="A29" s="17"/>
      <c r="B29" s="143"/>
      <c r="C29" s="144"/>
      <c r="D29" s="145"/>
      <c r="E29" s="169"/>
      <c r="F29" s="157">
        <f t="shared" si="3"/>
        <v>0</v>
      </c>
      <c r="G29" s="157">
        <f>SUM(F29)</f>
        <v>0</v>
      </c>
    </row>
    <row r="30" s="134" customFormat="1" spans="1:7">
      <c r="A30" s="17"/>
      <c r="B30" s="143"/>
      <c r="C30" s="144"/>
      <c r="D30" s="145"/>
      <c r="E30" s="169"/>
      <c r="F30" s="157">
        <f t="shared" si="3"/>
        <v>0</v>
      </c>
      <c r="G30" s="157">
        <f>SUM(F30:F32)</f>
        <v>0</v>
      </c>
    </row>
    <row r="31" s="134" customFormat="1" spans="1:7">
      <c r="A31" s="17"/>
      <c r="B31" s="143"/>
      <c r="C31" s="144"/>
      <c r="D31" s="145"/>
      <c r="E31" s="169"/>
      <c r="F31" s="157">
        <f>C31*D31</f>
        <v>0</v>
      </c>
      <c r="G31" s="157"/>
    </row>
    <row r="32" s="134" customFormat="1" spans="1:7">
      <c r="A32" s="17"/>
      <c r="B32" s="143"/>
      <c r="C32" s="144"/>
      <c r="D32" s="145"/>
      <c r="E32" s="169"/>
      <c r="F32" s="157">
        <f>C32*D32</f>
        <v>0</v>
      </c>
      <c r="G32" s="157"/>
    </row>
    <row r="33" s="134" customFormat="1" spans="1:7">
      <c r="A33" s="17"/>
      <c r="B33" s="143"/>
      <c r="C33" s="144"/>
      <c r="D33" s="145"/>
      <c r="E33" s="169"/>
      <c r="F33" s="157">
        <f>C33*D33</f>
        <v>0</v>
      </c>
      <c r="G33" s="157">
        <f>SUM(F33:F37)</f>
        <v>0</v>
      </c>
    </row>
    <row r="34" s="134" customFormat="1" spans="1:7">
      <c r="A34" s="17"/>
      <c r="B34" s="143"/>
      <c r="C34" s="144"/>
      <c r="D34" s="145"/>
      <c r="E34" s="169"/>
      <c r="F34" s="157">
        <f t="shared" ref="F34:F54" si="4">SUM(C34*D34)</f>
        <v>0</v>
      </c>
      <c r="G34" s="157"/>
    </row>
    <row r="35" s="134" customFormat="1" spans="1:7">
      <c r="A35" s="17"/>
      <c r="B35" s="143"/>
      <c r="C35" s="144"/>
      <c r="D35" s="145"/>
      <c r="E35" s="169"/>
      <c r="F35" s="157">
        <f t="shared" si="4"/>
        <v>0</v>
      </c>
      <c r="G35" s="157"/>
    </row>
    <row r="36" s="134" customFormat="1" spans="1:7">
      <c r="A36" s="17"/>
      <c r="B36" s="143"/>
      <c r="C36" s="144"/>
      <c r="D36" s="145"/>
      <c r="E36" s="169"/>
      <c r="F36" s="157">
        <f t="shared" si="4"/>
        <v>0</v>
      </c>
      <c r="G36" s="157"/>
    </row>
    <row r="37" s="134" customFormat="1" spans="1:7">
      <c r="A37" s="17"/>
      <c r="B37" s="143"/>
      <c r="C37" s="144"/>
      <c r="D37" s="143"/>
      <c r="E37" s="169"/>
      <c r="F37" s="157">
        <f t="shared" si="4"/>
        <v>0</v>
      </c>
      <c r="G37" s="157"/>
    </row>
    <row r="38" s="134" customFormat="1" spans="1:7">
      <c r="A38" s="17"/>
      <c r="B38" s="143"/>
      <c r="C38" s="144"/>
      <c r="D38" s="143"/>
      <c r="E38" s="148"/>
      <c r="F38" s="157">
        <f t="shared" si="4"/>
        <v>0</v>
      </c>
      <c r="G38" s="143">
        <f>SUM(F38:F41)</f>
        <v>0</v>
      </c>
    </row>
    <row r="39" s="134" customFormat="1" spans="1:7">
      <c r="A39" s="17"/>
      <c r="B39" s="143"/>
      <c r="C39" s="144"/>
      <c r="D39" s="143"/>
      <c r="E39" s="148"/>
      <c r="F39" s="157">
        <f t="shared" si="4"/>
        <v>0</v>
      </c>
      <c r="G39" s="143"/>
    </row>
    <row r="40" s="134" customFormat="1" spans="1:7">
      <c r="A40" s="17"/>
      <c r="B40" s="143"/>
      <c r="C40" s="144"/>
      <c r="D40" s="143"/>
      <c r="E40" s="148"/>
      <c r="F40" s="157">
        <f t="shared" si="4"/>
        <v>0</v>
      </c>
      <c r="G40" s="143"/>
    </row>
    <row r="41" s="134" customFormat="1" spans="1:7">
      <c r="A41" s="17"/>
      <c r="B41" s="143"/>
      <c r="C41" s="144"/>
      <c r="D41" s="143"/>
      <c r="E41" s="148"/>
      <c r="F41" s="157">
        <f t="shared" si="4"/>
        <v>0</v>
      </c>
      <c r="G41" s="143"/>
    </row>
    <row r="42" s="134" customFormat="1" spans="1:7">
      <c r="A42" s="17"/>
      <c r="B42" s="143"/>
      <c r="C42" s="144"/>
      <c r="D42" s="143"/>
      <c r="E42" s="148"/>
      <c r="F42" s="143">
        <f t="shared" si="4"/>
        <v>0</v>
      </c>
      <c r="G42" s="143">
        <f>SUM(F42:F46)</f>
        <v>0</v>
      </c>
    </row>
    <row r="43" s="134" customFormat="1" spans="1:7">
      <c r="A43" s="17"/>
      <c r="B43" s="143"/>
      <c r="C43" s="144"/>
      <c r="D43" s="143"/>
      <c r="E43" s="148"/>
      <c r="F43" s="143">
        <f t="shared" si="4"/>
        <v>0</v>
      </c>
      <c r="G43" s="143"/>
    </row>
    <row r="44" s="134" customFormat="1" spans="1:7">
      <c r="A44" s="17"/>
      <c r="B44" s="143"/>
      <c r="C44" s="144"/>
      <c r="D44" s="143"/>
      <c r="E44" s="148"/>
      <c r="F44" s="143">
        <f t="shared" si="4"/>
        <v>0</v>
      </c>
      <c r="G44" s="143"/>
    </row>
    <row r="45" s="134" customFormat="1" spans="1:7">
      <c r="A45" s="17"/>
      <c r="B45" s="143"/>
      <c r="C45" s="144"/>
      <c r="D45" s="143"/>
      <c r="E45" s="148"/>
      <c r="F45" s="143">
        <f t="shared" si="4"/>
        <v>0</v>
      </c>
      <c r="G45" s="143"/>
    </row>
    <row r="46" s="134" customFormat="1" spans="1:7">
      <c r="A46" s="17"/>
      <c r="B46" s="143"/>
      <c r="C46" s="144"/>
      <c r="D46" s="143"/>
      <c r="E46" s="148"/>
      <c r="F46" s="143">
        <f t="shared" si="4"/>
        <v>0</v>
      </c>
      <c r="G46" s="143"/>
    </row>
    <row r="47" s="134" customFormat="1" spans="1:7">
      <c r="A47" s="17"/>
      <c r="B47" s="143"/>
      <c r="C47" s="144"/>
      <c r="D47" s="145"/>
      <c r="E47" s="148"/>
      <c r="F47" s="143">
        <f t="shared" si="4"/>
        <v>0</v>
      </c>
      <c r="G47" s="157">
        <f>SUM(F47:F50)</f>
        <v>0</v>
      </c>
    </row>
    <row r="48" s="134" customFormat="1" spans="1:7">
      <c r="A48" s="17"/>
      <c r="B48" s="143"/>
      <c r="C48" s="144"/>
      <c r="D48" s="145"/>
      <c r="E48" s="148"/>
      <c r="F48" s="143">
        <f t="shared" si="4"/>
        <v>0</v>
      </c>
      <c r="G48" s="157"/>
    </row>
    <row r="49" s="134" customFormat="1" spans="1:7">
      <c r="A49" s="17"/>
      <c r="B49" s="143"/>
      <c r="C49" s="144"/>
      <c r="D49" s="145"/>
      <c r="E49" s="148"/>
      <c r="F49" s="143">
        <f t="shared" si="4"/>
        <v>0</v>
      </c>
      <c r="G49" s="157"/>
    </row>
    <row r="50" s="134" customFormat="1" spans="1:7">
      <c r="A50" s="17"/>
      <c r="B50" s="143"/>
      <c r="C50" s="144"/>
      <c r="D50" s="145"/>
      <c r="E50" s="148"/>
      <c r="F50" s="143">
        <f t="shared" si="4"/>
        <v>0</v>
      </c>
      <c r="G50" s="157"/>
    </row>
    <row r="51" s="134" customFormat="1" spans="1:7">
      <c r="A51" s="17"/>
      <c r="B51" s="143"/>
      <c r="C51" s="144"/>
      <c r="D51" s="145"/>
      <c r="E51" s="169"/>
      <c r="F51" s="143">
        <f t="shared" si="4"/>
        <v>0</v>
      </c>
      <c r="G51" s="157">
        <f>SUM(F51:F54)</f>
        <v>0</v>
      </c>
    </row>
    <row r="52" s="134" customFormat="1" spans="1:8">
      <c r="A52" s="17"/>
      <c r="B52" s="143"/>
      <c r="C52" s="144"/>
      <c r="D52" s="145"/>
      <c r="E52" s="169"/>
      <c r="F52" s="143">
        <f t="shared" si="4"/>
        <v>0</v>
      </c>
      <c r="G52" s="157"/>
      <c r="H52" s="170"/>
    </row>
    <row r="53" s="135" customFormat="1" spans="1:7">
      <c r="A53" s="17"/>
      <c r="B53" s="143"/>
      <c r="C53" s="144"/>
      <c r="D53" s="145"/>
      <c r="E53" s="169"/>
      <c r="F53" s="143">
        <f t="shared" si="4"/>
        <v>0</v>
      </c>
      <c r="G53" s="157"/>
    </row>
    <row r="54" s="135" customFormat="1" spans="1:7">
      <c r="A54" s="17"/>
      <c r="B54" s="143"/>
      <c r="C54" s="144"/>
      <c r="D54" s="145"/>
      <c r="E54" s="169"/>
      <c r="F54" s="143">
        <f t="shared" si="4"/>
        <v>0</v>
      </c>
      <c r="G54" s="157"/>
    </row>
    <row r="55" s="135" customFormat="1" spans="1:7">
      <c r="A55" s="17"/>
      <c r="B55" s="143"/>
      <c r="C55" s="144"/>
      <c r="D55" s="145"/>
      <c r="E55" s="20"/>
      <c r="F55" s="20"/>
      <c r="G55" s="157"/>
    </row>
    <row r="56" s="135" customFormat="1" spans="1:7">
      <c r="A56" s="17"/>
      <c r="B56" s="143"/>
      <c r="C56" s="144"/>
      <c r="D56" s="145"/>
      <c r="E56" s="20"/>
      <c r="F56" s="20"/>
      <c r="G56" s="157"/>
    </row>
    <row r="57" s="135" customFormat="1" spans="1:7">
      <c r="A57" s="17"/>
      <c r="B57" s="143"/>
      <c r="C57" s="144"/>
      <c r="D57" s="145"/>
      <c r="E57" s="20"/>
      <c r="F57" s="20"/>
      <c r="G57" s="157"/>
    </row>
    <row r="58" s="135" customFormat="1" spans="1:7">
      <c r="A58" s="17"/>
      <c r="B58" s="143"/>
      <c r="C58" s="144"/>
      <c r="D58" s="145"/>
      <c r="E58" s="20"/>
      <c r="F58" s="20"/>
      <c r="G58" s="157"/>
    </row>
    <row r="59" s="135" customFormat="1" spans="1:7">
      <c r="A59" s="17"/>
      <c r="B59" s="143"/>
      <c r="C59" s="144"/>
      <c r="D59" s="145"/>
      <c r="E59" s="20"/>
      <c r="F59" s="20"/>
      <c r="G59" s="157"/>
    </row>
    <row r="60" s="135" customFormat="1" spans="1:7">
      <c r="A60" s="17"/>
      <c r="B60" s="143"/>
      <c r="C60" s="144"/>
      <c r="D60" s="145"/>
      <c r="E60" s="20"/>
      <c r="F60" s="20"/>
      <c r="G60" s="157"/>
    </row>
    <row r="61" s="134" customFormat="1" ht="31" customHeight="1" spans="1:8">
      <c r="A61" s="153"/>
      <c r="B61" s="153"/>
      <c r="C61" s="154"/>
      <c r="D61" s="155">
        <f>SUM(G2:G60)</f>
        <v>10132500</v>
      </c>
      <c r="E61" s="155"/>
      <c r="F61" s="155"/>
      <c r="G61" s="155"/>
      <c r="H61" s="170"/>
    </row>
  </sheetData>
  <mergeCells count="10">
    <mergeCell ref="D61:G61"/>
    <mergeCell ref="A2:A5"/>
    <mergeCell ref="A6:A11"/>
    <mergeCell ref="A12:A16"/>
    <mergeCell ref="E2:E5"/>
    <mergeCell ref="E6:E11"/>
    <mergeCell ref="E12:E16"/>
    <mergeCell ref="G2:G5"/>
    <mergeCell ref="G6:G11"/>
    <mergeCell ref="G12:G1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opLeftCell="B1" workbookViewId="0">
      <pane ySplit="1" topLeftCell="A2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18" customWidth="1"/>
    <col min="2" max="2" width="26.7109375" style="117" customWidth="1"/>
    <col min="3" max="3" width="33.921875" style="119" customWidth="1"/>
    <col min="4" max="4" width="29.703125" style="119" customWidth="1"/>
    <col min="5" max="5" width="48.046875" style="117" customWidth="1"/>
    <col min="6" max="6" width="23.359375" style="117" customWidth="1"/>
    <col min="7" max="8" width="19.2890625" style="117" customWidth="1"/>
    <col min="9" max="9" width="12.859375" style="117"/>
    <col min="10" max="16384" width="9.140625" style="117"/>
  </cols>
  <sheetData>
    <row r="1" ht="35" customHeight="1" spans="1:8">
      <c r="A1" s="120" t="s">
        <v>0</v>
      </c>
      <c r="B1" s="121" t="s">
        <v>168</v>
      </c>
      <c r="C1" s="121" t="s">
        <v>169</v>
      </c>
      <c r="D1" s="121" t="s">
        <v>170</v>
      </c>
      <c r="E1" s="121" t="s">
        <v>171</v>
      </c>
      <c r="F1" s="121" t="s">
        <v>3</v>
      </c>
      <c r="G1" s="121" t="s">
        <v>4</v>
      </c>
      <c r="H1" s="130" t="s">
        <v>5</v>
      </c>
    </row>
    <row r="2" s="117" customFormat="1" spans="1:8">
      <c r="A2" s="122"/>
      <c r="B2" s="123"/>
      <c r="C2" s="124"/>
      <c r="D2" s="125"/>
      <c r="E2" s="131"/>
      <c r="F2" s="132"/>
      <c r="G2" s="132">
        <f>D2*F2</f>
        <v>0</v>
      </c>
      <c r="H2" s="132">
        <f>SUM(G2)</f>
        <v>0</v>
      </c>
    </row>
    <row r="3" s="117" customFormat="1" spans="1:8">
      <c r="A3" s="122"/>
      <c r="B3" s="123"/>
      <c r="C3" s="124"/>
      <c r="D3" s="125"/>
      <c r="E3" s="131"/>
      <c r="F3" s="132"/>
      <c r="G3" s="132">
        <f>SUM(D3*F3+D4*F4)</f>
        <v>0</v>
      </c>
      <c r="H3" s="131"/>
    </row>
    <row r="4" s="117" customFormat="1" spans="1:8">
      <c r="A4" s="122"/>
      <c r="B4" s="123"/>
      <c r="C4" s="124"/>
      <c r="D4" s="125"/>
      <c r="E4" s="131"/>
      <c r="F4" s="132"/>
      <c r="G4" s="132"/>
      <c r="H4" s="131"/>
    </row>
    <row r="5" s="117" customFormat="1" spans="1:8">
      <c r="A5" s="122"/>
      <c r="B5" s="123"/>
      <c r="C5" s="126"/>
      <c r="D5" s="127"/>
      <c r="E5" s="131"/>
      <c r="F5" s="132"/>
      <c r="G5" s="132">
        <f>SUM(D5*F5+D6*F6+D7*F7)</f>
        <v>0</v>
      </c>
      <c r="H5" s="131"/>
    </row>
    <row r="6" s="117" customFormat="1" spans="1:8">
      <c r="A6" s="122"/>
      <c r="B6" s="123"/>
      <c r="C6" s="126"/>
      <c r="D6" s="127"/>
      <c r="E6" s="131"/>
      <c r="F6" s="132"/>
      <c r="G6" s="132"/>
      <c r="H6" s="131"/>
    </row>
    <row r="7" s="117" customFormat="1" spans="1:8">
      <c r="A7" s="122"/>
      <c r="B7" s="123"/>
      <c r="C7" s="126"/>
      <c r="D7" s="127"/>
      <c r="E7" s="131"/>
      <c r="F7" s="132"/>
      <c r="G7" s="132"/>
      <c r="H7" s="131"/>
    </row>
    <row r="8" s="117" customFormat="1" spans="1:8">
      <c r="A8" s="122"/>
      <c r="B8" s="123"/>
      <c r="C8" s="126"/>
      <c r="D8" s="127"/>
      <c r="E8" s="131"/>
      <c r="F8" s="132"/>
      <c r="G8" s="132">
        <f>SUM(D8*F8)</f>
        <v>0</v>
      </c>
      <c r="H8" s="131"/>
    </row>
    <row r="9" s="117" customFormat="1" spans="1:8">
      <c r="A9" s="122"/>
      <c r="B9" s="123"/>
      <c r="C9" s="126"/>
      <c r="D9" s="127"/>
      <c r="E9" s="131"/>
      <c r="F9" s="132"/>
      <c r="G9" s="132"/>
      <c r="H9" s="131"/>
    </row>
    <row r="10" s="117" customFormat="1" spans="1:8">
      <c r="A10" s="122"/>
      <c r="B10" s="123"/>
      <c r="C10" s="126"/>
      <c r="D10" s="127"/>
      <c r="E10" s="131"/>
      <c r="F10" s="132"/>
      <c r="G10" s="132"/>
      <c r="H10" s="131"/>
    </row>
    <row r="11" s="117" customFormat="1" spans="1:8">
      <c r="A11" s="122"/>
      <c r="B11" s="123"/>
      <c r="C11" s="126"/>
      <c r="D11" s="127"/>
      <c r="E11" s="131"/>
      <c r="F11" s="132"/>
      <c r="G11" s="132"/>
      <c r="H11" s="131"/>
    </row>
    <row r="12" s="117" customFormat="1" ht="21" customHeight="1" spans="1:8">
      <c r="A12" s="128"/>
      <c r="B12" s="129"/>
      <c r="C12" s="129"/>
      <c r="D12" s="129"/>
      <c r="E12" s="128" t="s">
        <v>172</v>
      </c>
      <c r="F12" s="129"/>
      <c r="G12" s="129"/>
      <c r="H12" s="133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H4" sqref="H4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97" t="s">
        <v>0</v>
      </c>
      <c r="B1" s="97" t="s">
        <v>168</v>
      </c>
      <c r="C1" s="98" t="s">
        <v>169</v>
      </c>
      <c r="D1" s="98" t="s">
        <v>170</v>
      </c>
      <c r="E1" s="97" t="s">
        <v>155</v>
      </c>
      <c r="F1" s="97" t="s">
        <v>3</v>
      </c>
      <c r="G1" s="97" t="s">
        <v>173</v>
      </c>
      <c r="H1" s="97" t="s">
        <v>5</v>
      </c>
    </row>
    <row r="2" ht="65" customHeight="1" spans="1:12">
      <c r="A2" s="99">
        <v>46028</v>
      </c>
      <c r="B2" s="99" t="s">
        <v>174</v>
      </c>
      <c r="C2" s="100" t="s">
        <v>175</v>
      </c>
      <c r="D2" s="101">
        <v>5.3</v>
      </c>
      <c r="E2" s="107" t="str">
        <f>_xlfn.DISPIMG("ID_E806AFC912C64647B993492A2712506F",1)</f>
        <v>=DISPIMG("ID_E806AFC912C64647B993492A2712506F",1)</v>
      </c>
      <c r="F2" s="108">
        <v>50000</v>
      </c>
      <c r="G2" s="108">
        <f t="shared" ref="G2:G9" si="0">SUM(D2*F2)</f>
        <v>265000</v>
      </c>
      <c r="H2" s="109">
        <f>SUM(G2:G3)</f>
        <v>1045000</v>
      </c>
      <c r="L2" s="78"/>
    </row>
    <row r="3" ht="65" customHeight="1" spans="1:11">
      <c r="A3" s="102"/>
      <c r="B3" s="102"/>
      <c r="C3" s="84" t="s">
        <v>176</v>
      </c>
      <c r="D3" s="85">
        <v>15.6</v>
      </c>
      <c r="E3" s="110"/>
      <c r="F3" s="108">
        <v>50000</v>
      </c>
      <c r="G3" s="108">
        <f t="shared" si="0"/>
        <v>780000</v>
      </c>
      <c r="H3" s="111"/>
      <c r="K3" s="78"/>
    </row>
    <row r="4" spans="1:11">
      <c r="A4" s="103"/>
      <c r="B4" s="103"/>
      <c r="C4" s="84"/>
      <c r="D4" s="85"/>
      <c r="E4" s="112"/>
      <c r="F4" s="108"/>
      <c r="G4" s="108">
        <f t="shared" si="0"/>
        <v>0</v>
      </c>
      <c r="H4" s="108"/>
      <c r="K4" s="78"/>
    </row>
    <row r="5" spans="1:11">
      <c r="A5" s="103"/>
      <c r="B5" s="103"/>
      <c r="C5" s="84"/>
      <c r="D5" s="85"/>
      <c r="E5" s="112"/>
      <c r="F5" s="108"/>
      <c r="G5" s="108">
        <f t="shared" si="0"/>
        <v>0</v>
      </c>
      <c r="H5" s="108">
        <f>SUM(G5:G6)</f>
        <v>0</v>
      </c>
      <c r="K5" s="78"/>
    </row>
    <row r="6" spans="1:8">
      <c r="A6" s="103"/>
      <c r="B6" s="103"/>
      <c r="C6" s="84"/>
      <c r="D6" s="85"/>
      <c r="E6" s="112"/>
      <c r="F6" s="113"/>
      <c r="G6" s="108">
        <f t="shared" si="0"/>
        <v>0</v>
      </c>
      <c r="H6" s="108"/>
    </row>
    <row r="7" spans="1:8">
      <c r="A7" s="103"/>
      <c r="B7" s="103"/>
      <c r="C7" s="91"/>
      <c r="D7" s="85"/>
      <c r="E7" s="112"/>
      <c r="F7" s="113"/>
      <c r="G7" s="108">
        <f t="shared" si="0"/>
        <v>0</v>
      </c>
      <c r="H7" s="113">
        <f>SUM(G7:G8)</f>
        <v>0</v>
      </c>
    </row>
    <row r="8" spans="1:8">
      <c r="A8" s="103"/>
      <c r="B8" s="103"/>
      <c r="C8" s="91"/>
      <c r="D8" s="85"/>
      <c r="E8" s="112"/>
      <c r="F8" s="113"/>
      <c r="G8" s="108">
        <f t="shared" si="0"/>
        <v>0</v>
      </c>
      <c r="H8" s="113"/>
    </row>
    <row r="9" spans="1:11">
      <c r="A9" s="103"/>
      <c r="B9" s="103"/>
      <c r="C9" s="84"/>
      <c r="D9" s="85"/>
      <c r="E9" s="112"/>
      <c r="F9" s="113"/>
      <c r="G9" s="113">
        <f>D9*F9</f>
        <v>0</v>
      </c>
      <c r="H9" s="113">
        <f>SUM(G9:G11)</f>
        <v>0</v>
      </c>
      <c r="K9" s="78"/>
    </row>
    <row r="10" spans="1:11">
      <c r="A10" s="103"/>
      <c r="B10" s="103"/>
      <c r="C10" s="84"/>
      <c r="D10" s="85"/>
      <c r="E10" s="112"/>
      <c r="F10" s="113"/>
      <c r="G10" s="113">
        <f>D10*F10</f>
        <v>0</v>
      </c>
      <c r="H10" s="113"/>
      <c r="K10" s="78"/>
    </row>
    <row r="11" spans="1:11">
      <c r="A11" s="103"/>
      <c r="B11" s="103"/>
      <c r="C11" s="84"/>
      <c r="D11" s="85"/>
      <c r="E11" s="112"/>
      <c r="F11" s="113"/>
      <c r="G11" s="113">
        <f>D11*F11</f>
        <v>0</v>
      </c>
      <c r="H11" s="113"/>
      <c r="K11" s="78"/>
    </row>
    <row r="12" spans="1:11">
      <c r="A12" s="104"/>
      <c r="B12" s="104"/>
      <c r="C12" s="105"/>
      <c r="D12" s="106"/>
      <c r="E12" s="114"/>
      <c r="F12" s="115"/>
      <c r="G12" s="115">
        <f>D12*F12</f>
        <v>0</v>
      </c>
      <c r="H12" s="115"/>
      <c r="K12" s="78"/>
    </row>
    <row r="13" ht="15" customHeight="1" spans="1:8">
      <c r="A13" s="64"/>
      <c r="B13" s="64"/>
      <c r="C13" s="64"/>
      <c r="D13" s="64"/>
      <c r="E13" s="116"/>
      <c r="F13" s="116"/>
      <c r="G13" s="113"/>
      <c r="H13" s="116">
        <f>SUM(H2:H12)</f>
        <v>1045000</v>
      </c>
    </row>
  </sheetData>
  <mergeCells count="5">
    <mergeCell ref="A13:C13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workbookViewId="0">
      <pane ySplit="1" topLeftCell="A2" activePane="bottomLeft" state="frozen"/>
      <selection/>
      <selection pane="bottomLeft" activeCell="C5" sqref="C5"/>
    </sheetView>
  </sheetViews>
  <sheetFormatPr defaultColWidth="9.140625" defaultRowHeight="16.8"/>
  <cols>
    <col min="1" max="1" width="19" style="11" customWidth="1"/>
    <col min="2" max="2" width="13.7109375" style="78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79" t="s">
        <v>0</v>
      </c>
      <c r="B1" s="80" t="s">
        <v>168</v>
      </c>
      <c r="C1" s="81" t="s">
        <v>169</v>
      </c>
      <c r="D1" s="81" t="s">
        <v>170</v>
      </c>
      <c r="E1" s="81" t="s">
        <v>155</v>
      </c>
      <c r="F1" s="81" t="s">
        <v>3</v>
      </c>
      <c r="G1" s="81" t="s">
        <v>4</v>
      </c>
      <c r="H1" s="81" t="s">
        <v>5</v>
      </c>
      <c r="I1" s="81" t="s">
        <v>177</v>
      </c>
    </row>
    <row r="2" customFormat="1" spans="1:9">
      <c r="A2" s="64"/>
      <c r="B2" s="64"/>
      <c r="C2" s="64"/>
      <c r="D2" s="64"/>
      <c r="E2" s="64"/>
      <c r="F2" s="64"/>
      <c r="G2" s="64"/>
      <c r="H2" s="64"/>
      <c r="I2" s="64"/>
    </row>
    <row r="3" ht="60" customHeight="1" spans="1:9">
      <c r="A3" s="82"/>
      <c r="B3" s="83"/>
      <c r="C3" s="84"/>
      <c r="D3" s="85"/>
      <c r="E3" s="90"/>
      <c r="F3" s="91"/>
      <c r="G3" s="91"/>
      <c r="H3" s="91"/>
      <c r="I3" s="95"/>
    </row>
    <row r="4" ht="80" customHeight="1" spans="1:9">
      <c r="A4" s="82"/>
      <c r="B4" s="83"/>
      <c r="C4" s="84"/>
      <c r="D4" s="85"/>
      <c r="E4" s="83"/>
      <c r="F4" s="91"/>
      <c r="G4" s="91"/>
      <c r="H4" s="91">
        <f>SUM(G4:G5)</f>
        <v>0</v>
      </c>
      <c r="I4" s="95"/>
    </row>
    <row r="5" ht="80" customHeight="1" spans="1:9">
      <c r="A5" s="82"/>
      <c r="B5" s="83"/>
      <c r="C5" s="84"/>
      <c r="D5" s="85"/>
      <c r="E5" s="83"/>
      <c r="F5" s="91"/>
      <c r="G5" s="91"/>
      <c r="H5" s="91"/>
      <c r="I5" s="95"/>
    </row>
    <row r="6" ht="70" customHeight="1" spans="1:9">
      <c r="A6" s="86"/>
      <c r="B6" s="87"/>
      <c r="C6" s="87"/>
      <c r="D6" s="87"/>
      <c r="E6" s="87"/>
      <c r="F6" s="92"/>
      <c r="G6" s="91"/>
      <c r="H6" s="92">
        <f>SUM(G6:G7)</f>
        <v>0</v>
      </c>
      <c r="I6" s="95"/>
    </row>
    <row r="7" ht="70" customHeight="1" spans="1:9">
      <c r="A7" s="86"/>
      <c r="B7" s="87"/>
      <c r="C7" s="87"/>
      <c r="D7" s="87"/>
      <c r="E7" s="87"/>
      <c r="F7" s="92"/>
      <c r="G7" s="91"/>
      <c r="H7" s="92"/>
      <c r="I7" s="95"/>
    </row>
    <row r="8" spans="1:9">
      <c r="A8" s="86"/>
      <c r="B8" s="87"/>
      <c r="C8" s="87"/>
      <c r="D8" s="87"/>
      <c r="E8" s="92"/>
      <c r="F8" s="92"/>
      <c r="G8" s="91"/>
      <c r="H8" s="92"/>
      <c r="I8" s="95"/>
    </row>
    <row r="9" spans="1:9">
      <c r="A9" s="86"/>
      <c r="B9" s="87"/>
      <c r="C9" s="87"/>
      <c r="D9" s="87"/>
      <c r="E9" s="92"/>
      <c r="F9" s="92"/>
      <c r="G9" s="91">
        <f>D9*F9</f>
        <v>0</v>
      </c>
      <c r="H9" s="92">
        <f>SUM(D9*F9)</f>
        <v>0</v>
      </c>
      <c r="I9" s="95"/>
    </row>
    <row r="10" ht="26" spans="1:9">
      <c r="A10" s="88" t="s">
        <v>5</v>
      </c>
      <c r="B10" s="89"/>
      <c r="C10" s="89"/>
      <c r="D10" s="89"/>
      <c r="E10" s="89"/>
      <c r="F10" s="89"/>
      <c r="G10" s="93">
        <f>SUM(H3:H9)</f>
        <v>0</v>
      </c>
      <c r="H10" s="94"/>
      <c r="I10" s="96"/>
    </row>
  </sheetData>
  <mergeCells count="2">
    <mergeCell ref="A10:F10"/>
    <mergeCell ref="G10:I10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E4" sqref="E4:G4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69" customFormat="1" ht="22" customHeight="1" spans="1:7">
      <c r="A1" s="70" t="s">
        <v>0</v>
      </c>
      <c r="B1" s="70" t="s">
        <v>168</v>
      </c>
      <c r="C1" s="70" t="s">
        <v>169</v>
      </c>
      <c r="D1" s="70" t="s">
        <v>170</v>
      </c>
      <c r="E1" s="70" t="s">
        <v>155</v>
      </c>
      <c r="F1" s="70" t="s">
        <v>3</v>
      </c>
      <c r="G1" s="70" t="s">
        <v>5</v>
      </c>
    </row>
    <row r="2" ht="242.85" customHeight="1" spans="1:7">
      <c r="A2" s="71"/>
      <c r="B2" s="39"/>
      <c r="C2" s="72"/>
      <c r="D2" s="73"/>
      <c r="E2" s="72"/>
      <c r="F2" s="75"/>
      <c r="G2" s="75">
        <f>SUM(D2*F2)</f>
        <v>0</v>
      </c>
    </row>
    <row r="3" ht="250" customHeight="1" spans="1:7">
      <c r="A3" s="71"/>
      <c r="B3" s="58"/>
      <c r="C3" s="72"/>
      <c r="D3" s="73"/>
      <c r="E3" s="76"/>
      <c r="F3" s="75"/>
      <c r="G3" s="75">
        <f>D3*F3</f>
        <v>0</v>
      </c>
    </row>
    <row r="4" ht="26" spans="1:7">
      <c r="A4" s="74" t="s">
        <v>5</v>
      </c>
      <c r="B4" s="74"/>
      <c r="C4" s="74"/>
      <c r="D4" s="74"/>
      <c r="E4" s="77">
        <f>SUM(G2:G3)</f>
        <v>0</v>
      </c>
      <c r="F4" s="77"/>
      <c r="G4" s="77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3" customFormat="1" ht="44" customHeight="1" spans="1:5">
      <c r="A1" s="60" t="s">
        <v>178</v>
      </c>
      <c r="B1" s="61" t="s">
        <v>0</v>
      </c>
      <c r="C1" s="61" t="s">
        <v>5</v>
      </c>
      <c r="D1" s="61" t="s">
        <v>179</v>
      </c>
      <c r="E1" s="61" t="s">
        <v>177</v>
      </c>
    </row>
    <row r="2" ht="246" customHeight="1" spans="1:5">
      <c r="A2" s="62"/>
      <c r="B2" s="63"/>
      <c r="C2" s="4"/>
      <c r="D2" s="64"/>
      <c r="E2" s="64"/>
    </row>
    <row r="3" spans="1:5">
      <c r="A3" s="65" t="s">
        <v>180</v>
      </c>
      <c r="B3" s="66"/>
      <c r="C3" s="67"/>
      <c r="D3" s="68">
        <f>SUM(C2:C2)</f>
        <v>0</v>
      </c>
      <c r="E3" s="6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6" t="s">
        <v>0</v>
      </c>
      <c r="B1" s="16" t="s">
        <v>181</v>
      </c>
      <c r="C1" s="16" t="s">
        <v>153</v>
      </c>
      <c r="D1" s="16" t="s">
        <v>170</v>
      </c>
      <c r="E1" s="16" t="s">
        <v>155</v>
      </c>
      <c r="F1" s="16" t="s">
        <v>3</v>
      </c>
      <c r="G1" s="16" t="s">
        <v>4</v>
      </c>
      <c r="H1" s="16" t="s">
        <v>5</v>
      </c>
    </row>
    <row r="2" customFormat="1" ht="140" customHeight="1" spans="1:8">
      <c r="A2" s="31"/>
      <c r="B2" s="31"/>
      <c r="C2" s="18"/>
      <c r="D2" s="32"/>
      <c r="E2" s="20"/>
      <c r="F2" s="27"/>
      <c r="G2" s="27">
        <f>F2*D2</f>
        <v>0</v>
      </c>
      <c r="H2" s="27">
        <f>SUM(G2:G3)</f>
        <v>0</v>
      </c>
    </row>
    <row r="3" customFormat="1" ht="140" customHeight="1" spans="1:8">
      <c r="A3" s="31"/>
      <c r="B3" s="31"/>
      <c r="C3" s="18"/>
      <c r="D3" s="32"/>
      <c r="E3" s="20"/>
      <c r="F3" s="27"/>
      <c r="G3" s="27">
        <f>F3*D3</f>
        <v>0</v>
      </c>
      <c r="H3" s="27"/>
    </row>
    <row r="4" customFormat="1" ht="94" customHeight="1" spans="1:8">
      <c r="A4" s="31"/>
      <c r="B4" s="31"/>
      <c r="C4" s="18"/>
      <c r="D4" s="32"/>
      <c r="E4" s="20"/>
      <c r="F4" s="27"/>
      <c r="G4" s="27"/>
      <c r="H4" s="27"/>
    </row>
    <row r="5" customFormat="1" ht="39" customHeight="1" spans="1:8">
      <c r="A5" s="42" t="s">
        <v>5</v>
      </c>
      <c r="B5" s="43"/>
      <c r="C5" s="44"/>
      <c r="D5" s="43"/>
      <c r="E5" s="47">
        <f>SUM(H2:H4)</f>
        <v>0</v>
      </c>
      <c r="F5" s="48"/>
      <c r="G5" s="48"/>
      <c r="H5" s="49"/>
    </row>
  </sheetData>
  <mergeCells count="2">
    <mergeCell ref="A5:C5"/>
    <mergeCell ref="E5:H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51" customWidth="1"/>
    <col min="10" max="10" width="12.859375"/>
  </cols>
  <sheetData>
    <row r="1" s="50" customFormat="1" ht="35" customHeight="1" spans="1:8">
      <c r="A1" s="52" t="s">
        <v>0</v>
      </c>
      <c r="B1" s="53" t="s">
        <v>181</v>
      </c>
      <c r="C1" s="53" t="s">
        <v>153</v>
      </c>
      <c r="D1" s="53" t="s">
        <v>170</v>
      </c>
      <c r="E1" s="53" t="s">
        <v>155</v>
      </c>
      <c r="F1" s="53" t="s">
        <v>3</v>
      </c>
      <c r="G1" s="53" t="s">
        <v>4</v>
      </c>
      <c r="H1" s="53" t="s">
        <v>5</v>
      </c>
    </row>
    <row r="2" customFormat="1" ht="80" customHeight="1" spans="1:8">
      <c r="A2" s="17"/>
      <c r="B2" s="20"/>
      <c r="C2" s="18"/>
      <c r="D2" s="32"/>
      <c r="E2" s="20"/>
      <c r="F2" s="27"/>
      <c r="G2" s="27">
        <f t="shared" ref="G2:G9" si="0">D2*F2</f>
        <v>0</v>
      </c>
      <c r="H2" s="27">
        <f>SUM(G2:G5)</f>
        <v>0</v>
      </c>
    </row>
    <row r="3" customFormat="1" ht="80" customHeight="1" spans="1:8">
      <c r="A3" s="17"/>
      <c r="B3" s="20"/>
      <c r="C3" s="22"/>
      <c r="D3" s="22"/>
      <c r="E3" s="20"/>
      <c r="F3" s="28"/>
      <c r="G3" s="27">
        <f t="shared" si="0"/>
        <v>0</v>
      </c>
      <c r="H3" s="27"/>
    </row>
    <row r="4" customFormat="1" ht="80" customHeight="1" spans="1:8">
      <c r="A4" s="17"/>
      <c r="B4" s="20"/>
      <c r="C4" s="22"/>
      <c r="D4" s="22"/>
      <c r="E4" s="20"/>
      <c r="F4" s="28"/>
      <c r="G4" s="27">
        <f t="shared" si="0"/>
        <v>0</v>
      </c>
      <c r="H4" s="27"/>
    </row>
    <row r="5" customFormat="1" ht="80" customHeight="1" spans="1:8">
      <c r="A5" s="17"/>
      <c r="B5" s="20"/>
      <c r="C5" s="22"/>
      <c r="D5" s="22"/>
      <c r="E5" s="20"/>
      <c r="F5" s="28"/>
      <c r="G5" s="27">
        <f t="shared" si="0"/>
        <v>0</v>
      </c>
      <c r="H5" s="27"/>
    </row>
    <row r="6" customFormat="1" ht="110" customHeight="1" spans="1:8">
      <c r="A6" s="21"/>
      <c r="B6" s="22"/>
      <c r="C6" s="22"/>
      <c r="D6" s="22"/>
      <c r="E6" s="56"/>
      <c r="F6" s="28"/>
      <c r="G6" s="27">
        <f t="shared" si="0"/>
        <v>0</v>
      </c>
      <c r="H6" s="28">
        <f>SUM(G6:G9)</f>
        <v>0</v>
      </c>
    </row>
    <row r="7" customFormat="1" ht="110" customHeight="1" spans="1:8">
      <c r="A7" s="21"/>
      <c r="B7" s="22"/>
      <c r="C7" s="22"/>
      <c r="D7" s="22"/>
      <c r="E7" s="56"/>
      <c r="F7" s="28"/>
      <c r="G7" s="27">
        <f t="shared" si="0"/>
        <v>0</v>
      </c>
      <c r="H7" s="28"/>
    </row>
    <row r="8" customFormat="1" ht="110" customHeight="1" spans="1:8">
      <c r="A8" s="21"/>
      <c r="B8" s="22"/>
      <c r="C8" s="22"/>
      <c r="D8" s="22"/>
      <c r="E8" s="56"/>
      <c r="F8" s="28"/>
      <c r="G8" s="27">
        <f t="shared" si="0"/>
        <v>0</v>
      </c>
      <c r="H8" s="28"/>
    </row>
    <row r="9" customFormat="1" ht="110" customHeight="1" spans="1:8">
      <c r="A9" s="21"/>
      <c r="B9" s="22"/>
      <c r="C9" s="22"/>
      <c r="D9" s="22"/>
      <c r="E9" s="56"/>
      <c r="F9" s="28"/>
      <c r="G9" s="27">
        <f t="shared" si="0"/>
        <v>0</v>
      </c>
      <c r="H9" s="28"/>
    </row>
    <row r="10" customFormat="1" ht="39" customHeight="1" spans="1:8">
      <c r="A10" s="54" t="s">
        <v>5</v>
      </c>
      <c r="B10" s="55"/>
      <c r="C10" s="55"/>
      <c r="D10" s="23"/>
      <c r="E10" s="3"/>
      <c r="F10" s="57"/>
      <c r="G10" s="58"/>
      <c r="H10" s="59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opLeftCell="D1" workbookViewId="0">
      <selection activeCell="E6" sqref="E6"/>
    </sheetView>
  </sheetViews>
  <sheetFormatPr defaultColWidth="9.140625" defaultRowHeight="16.8" outlineLevelRow="6"/>
  <cols>
    <col min="1" max="1" width="10.5703125" customWidth="1"/>
    <col min="2" max="2" width="19.0390625" style="13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6" t="s">
        <v>0</v>
      </c>
      <c r="B1" s="16" t="s">
        <v>181</v>
      </c>
      <c r="C1" s="16" t="s">
        <v>153</v>
      </c>
      <c r="D1" s="16" t="s">
        <v>170</v>
      </c>
      <c r="E1" s="16" t="s">
        <v>155</v>
      </c>
      <c r="F1" s="16" t="s">
        <v>3</v>
      </c>
      <c r="G1" s="16" t="s">
        <v>4</v>
      </c>
      <c r="H1" s="16" t="s">
        <v>5</v>
      </c>
      <c r="I1" s="16" t="s">
        <v>182</v>
      </c>
    </row>
    <row r="2" customFormat="1" ht="23.2" spans="1:9">
      <c r="A2" s="31"/>
      <c r="B2" s="39"/>
      <c r="C2" s="40"/>
      <c r="D2" s="19"/>
      <c r="E2" s="20"/>
      <c r="F2" s="45"/>
      <c r="G2" s="46">
        <f>D2*F2</f>
        <v>0</v>
      </c>
      <c r="H2" s="27">
        <f>SUM(G2:G4)</f>
        <v>0</v>
      </c>
      <c r="I2" s="27">
        <f>(H2*10%)+H2</f>
        <v>0</v>
      </c>
    </row>
    <row r="3" customFormat="1" ht="23.2" spans="1:9">
      <c r="A3" s="31"/>
      <c r="B3" s="39"/>
      <c r="C3" s="40"/>
      <c r="D3" s="41"/>
      <c r="E3" s="20"/>
      <c r="F3" s="45"/>
      <c r="G3" s="46">
        <f>D3*F3</f>
        <v>0</v>
      </c>
      <c r="H3" s="27"/>
      <c r="I3" s="27"/>
    </row>
    <row r="4" customFormat="1" ht="23.2" spans="1:9">
      <c r="A4" s="31"/>
      <c r="B4" s="39"/>
      <c r="C4" s="40"/>
      <c r="D4" s="41"/>
      <c r="E4" s="20"/>
      <c r="F4" s="45"/>
      <c r="G4" s="46">
        <f>D4*F4</f>
        <v>0</v>
      </c>
      <c r="H4" s="27"/>
      <c r="I4" s="27"/>
    </row>
    <row r="5" customFormat="1" ht="26" spans="1:9">
      <c r="A5" s="42" t="s">
        <v>5</v>
      </c>
      <c r="B5" s="43"/>
      <c r="C5" s="44"/>
      <c r="D5" s="43"/>
      <c r="E5" s="47">
        <f>SUM(I2:I4)</f>
        <v>0</v>
      </c>
      <c r="F5" s="48"/>
      <c r="G5" s="48"/>
      <c r="H5" s="48"/>
      <c r="I5" s="49"/>
    </row>
    <row r="6" customFormat="1" spans="2:2">
      <c r="B6" s="13"/>
    </row>
    <row r="7" customFormat="1" spans="2:2">
      <c r="B7" s="13"/>
    </row>
  </sheetData>
  <mergeCells count="2">
    <mergeCell ref="A5:C5"/>
    <mergeCell ref="E5:I5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68" zoomScaleNormal="68" workbookViewId="0">
      <pane ySplit="1" topLeftCell="A2" activePane="bottomLeft" state="frozen"/>
      <selection/>
      <selection pane="bottomLeft" activeCell="F21" sqref="F21:H21"/>
    </sheetView>
  </sheetViews>
  <sheetFormatPr defaultColWidth="9.140625" defaultRowHeight="16.8"/>
  <cols>
    <col min="1" max="1" width="10.5703125" customWidth="1"/>
    <col min="2" max="2" width="19.0390625" style="13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6" t="s">
        <v>0</v>
      </c>
      <c r="B1" s="16" t="s">
        <v>181</v>
      </c>
      <c r="C1" s="16" t="s">
        <v>153</v>
      </c>
      <c r="D1" s="16" t="s">
        <v>170</v>
      </c>
      <c r="E1" s="16" t="s">
        <v>155</v>
      </c>
      <c r="F1" s="16" t="s">
        <v>3</v>
      </c>
      <c r="G1" s="16" t="s">
        <v>4</v>
      </c>
      <c r="H1" s="16" t="s">
        <v>5</v>
      </c>
    </row>
    <row r="2" customFormat="1" ht="23.2" spans="1:8">
      <c r="A2" s="31"/>
      <c r="B2" s="20"/>
      <c r="C2" s="18"/>
      <c r="D2" s="32"/>
      <c r="E2" s="20"/>
      <c r="F2" s="27"/>
      <c r="G2" s="27">
        <f t="shared" ref="G2:G7" si="0">D2*F2</f>
        <v>0</v>
      </c>
      <c r="H2" s="35">
        <f>SUM(G2:G4)</f>
        <v>0</v>
      </c>
    </row>
    <row r="3" customFormat="1" ht="23.2" spans="1:8">
      <c r="A3" s="31"/>
      <c r="B3" s="20"/>
      <c r="C3" s="18"/>
      <c r="D3" s="32"/>
      <c r="E3" s="20"/>
      <c r="F3" s="27"/>
      <c r="G3" s="27">
        <f t="shared" si="0"/>
        <v>0</v>
      </c>
      <c r="H3" s="35"/>
    </row>
    <row r="4" customFormat="1" ht="23.2" spans="1:8">
      <c r="A4" s="31"/>
      <c r="B4" s="20"/>
      <c r="C4" s="18"/>
      <c r="D4" s="32"/>
      <c r="E4" s="20"/>
      <c r="F4" s="27"/>
      <c r="G4" s="27">
        <f t="shared" si="0"/>
        <v>0</v>
      </c>
      <c r="H4" s="35"/>
    </row>
    <row r="5" customFormat="1" ht="23.2" spans="1:8">
      <c r="A5" s="31"/>
      <c r="B5" s="20"/>
      <c r="C5" s="18"/>
      <c r="D5" s="32"/>
      <c r="E5" s="20"/>
      <c r="F5" s="27"/>
      <c r="G5" s="27">
        <f t="shared" si="0"/>
        <v>0</v>
      </c>
      <c r="H5" s="35">
        <f>SUM(G5:G14)</f>
        <v>0</v>
      </c>
    </row>
    <row r="6" customFormat="1" ht="23.2" spans="1:8">
      <c r="A6" s="31"/>
      <c r="B6" s="20"/>
      <c r="C6" s="18"/>
      <c r="D6" s="32"/>
      <c r="E6" s="20"/>
      <c r="F6" s="27"/>
      <c r="G6" s="27">
        <f t="shared" si="0"/>
        <v>0</v>
      </c>
      <c r="H6" s="35"/>
    </row>
    <row r="7" customFormat="1" ht="23.2" spans="1:8">
      <c r="A7" s="31"/>
      <c r="B7" s="20"/>
      <c r="C7" s="18"/>
      <c r="D7" s="32"/>
      <c r="E7" s="20"/>
      <c r="F7" s="27"/>
      <c r="G7" s="27">
        <f t="shared" si="0"/>
        <v>0</v>
      </c>
      <c r="H7" s="35"/>
    </row>
    <row r="8" customFormat="1" ht="23.2" spans="1:8">
      <c r="A8" s="31"/>
      <c r="B8" s="20"/>
      <c r="C8" s="20"/>
      <c r="D8" s="32"/>
      <c r="E8" s="20"/>
      <c r="F8" s="27"/>
      <c r="G8" s="27">
        <f t="shared" ref="G8:G20" si="1">D8*F8</f>
        <v>0</v>
      </c>
      <c r="H8" s="35"/>
    </row>
    <row r="9" customFormat="1" ht="23.2" spans="1:8">
      <c r="A9" s="31"/>
      <c r="B9" s="20"/>
      <c r="C9" s="20"/>
      <c r="D9" s="32"/>
      <c r="E9" s="20"/>
      <c r="F9" s="27"/>
      <c r="G9" s="27">
        <f t="shared" si="1"/>
        <v>0</v>
      </c>
      <c r="H9" s="35"/>
    </row>
    <row r="10" customFormat="1" ht="23.2" spans="1:8">
      <c r="A10" s="31"/>
      <c r="B10" s="20"/>
      <c r="C10" s="20"/>
      <c r="D10" s="32"/>
      <c r="E10" s="20"/>
      <c r="F10" s="27"/>
      <c r="G10" s="27">
        <f t="shared" si="1"/>
        <v>0</v>
      </c>
      <c r="H10" s="35"/>
    </row>
    <row r="11" customFormat="1" ht="23.2" spans="1:8">
      <c r="A11" s="31"/>
      <c r="B11" s="20"/>
      <c r="C11" s="20"/>
      <c r="D11" s="32"/>
      <c r="E11" s="20"/>
      <c r="F11" s="27"/>
      <c r="G11" s="27">
        <f t="shared" si="1"/>
        <v>0</v>
      </c>
      <c r="H11" s="35"/>
    </row>
    <row r="12" customFormat="1" ht="23.2" spans="1:8">
      <c r="A12" s="31"/>
      <c r="B12" s="20"/>
      <c r="C12" s="20"/>
      <c r="D12" s="32"/>
      <c r="E12" s="20"/>
      <c r="F12" s="27"/>
      <c r="G12" s="27">
        <f t="shared" si="1"/>
        <v>0</v>
      </c>
      <c r="H12" s="35"/>
    </row>
    <row r="13" customFormat="1" ht="23.2" spans="1:8">
      <c r="A13" s="31"/>
      <c r="B13" s="20"/>
      <c r="C13" s="20"/>
      <c r="D13" s="32"/>
      <c r="E13" s="20"/>
      <c r="F13" s="27"/>
      <c r="G13" s="27">
        <f t="shared" si="1"/>
        <v>0</v>
      </c>
      <c r="H13" s="35"/>
    </row>
    <row r="14" customFormat="1" ht="23.2" spans="1:8">
      <c r="A14" s="31"/>
      <c r="B14" s="20"/>
      <c r="C14" s="20"/>
      <c r="D14" s="32"/>
      <c r="E14" s="20"/>
      <c r="F14" s="27"/>
      <c r="G14" s="27">
        <f t="shared" si="1"/>
        <v>0</v>
      </c>
      <c r="H14" s="35"/>
    </row>
    <row r="15" customFormat="1" ht="23.2" spans="1:8">
      <c r="A15" s="31"/>
      <c r="B15" s="20"/>
      <c r="C15" s="20"/>
      <c r="D15" s="32"/>
      <c r="E15" s="20"/>
      <c r="F15" s="27"/>
      <c r="G15" s="27">
        <f t="shared" si="1"/>
        <v>0</v>
      </c>
      <c r="H15" s="35">
        <f>SUM(G15:G17)</f>
        <v>0</v>
      </c>
    </row>
    <row r="16" customFormat="1" ht="23.2" spans="1:8">
      <c r="A16" s="31"/>
      <c r="B16" s="20"/>
      <c r="C16" s="20"/>
      <c r="D16" s="32"/>
      <c r="E16" s="20"/>
      <c r="F16" s="27"/>
      <c r="G16" s="27">
        <f t="shared" si="1"/>
        <v>0</v>
      </c>
      <c r="H16" s="35"/>
    </row>
    <row r="17" customFormat="1" ht="23.2" spans="1:8">
      <c r="A17" s="31"/>
      <c r="B17" s="20"/>
      <c r="C17" s="20"/>
      <c r="D17" s="32"/>
      <c r="E17" s="20"/>
      <c r="F17" s="27"/>
      <c r="G17" s="27">
        <f t="shared" si="1"/>
        <v>0</v>
      </c>
      <c r="H17" s="35"/>
    </row>
    <row r="18" customFormat="1" ht="23.2" spans="1:8">
      <c r="A18" s="31"/>
      <c r="B18" s="20"/>
      <c r="C18" s="20"/>
      <c r="D18" s="32"/>
      <c r="E18" s="20"/>
      <c r="F18" s="27"/>
      <c r="G18" s="27">
        <f t="shared" si="1"/>
        <v>0</v>
      </c>
      <c r="H18" s="35">
        <f>SUM(G18:G20)</f>
        <v>0</v>
      </c>
    </row>
    <row r="19" customFormat="1" ht="23.2" spans="1:8">
      <c r="A19" s="31"/>
      <c r="B19" s="20"/>
      <c r="C19" s="20"/>
      <c r="D19" s="32"/>
      <c r="E19" s="20"/>
      <c r="F19" s="27"/>
      <c r="G19" s="27">
        <f t="shared" si="1"/>
        <v>0</v>
      </c>
      <c r="H19" s="35"/>
    </row>
    <row r="20" customFormat="1" ht="23.2" spans="1:8">
      <c r="A20" s="31"/>
      <c r="B20" s="20"/>
      <c r="C20" s="20"/>
      <c r="D20" s="32"/>
      <c r="E20" s="20"/>
      <c r="F20" s="27"/>
      <c r="G20" s="27">
        <f t="shared" si="1"/>
        <v>0</v>
      </c>
      <c r="H20" s="35"/>
    </row>
    <row r="21" customFormat="1" ht="39" customHeight="1" spans="1:11">
      <c r="A21" s="33" t="s">
        <v>183</v>
      </c>
      <c r="B21" s="34"/>
      <c r="C21" s="34"/>
      <c r="D21" s="34"/>
      <c r="E21" s="34"/>
      <c r="F21" s="36">
        <f>SUM(H2:H20)</f>
        <v>0</v>
      </c>
      <c r="G21" s="37"/>
      <c r="H21" s="38"/>
      <c r="K21" s="7"/>
    </row>
  </sheetData>
  <mergeCells count="2">
    <mergeCell ref="A21:E21"/>
    <mergeCell ref="F21:H2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D13" sqref="D13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style="13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4" t="s">
        <v>0</v>
      </c>
      <c r="B1" s="15" t="s">
        <v>153</v>
      </c>
      <c r="C1" s="16" t="s">
        <v>170</v>
      </c>
      <c r="D1" s="16" t="s">
        <v>155</v>
      </c>
      <c r="E1" s="16" t="s">
        <v>3</v>
      </c>
      <c r="F1" s="16" t="s">
        <v>4</v>
      </c>
      <c r="G1" s="16" t="s">
        <v>5</v>
      </c>
    </row>
    <row r="2" customFormat="1" ht="300.8" customHeight="1" spans="1:7">
      <c r="A2" s="17">
        <v>46025</v>
      </c>
      <c r="B2" s="18" t="s">
        <v>184</v>
      </c>
      <c r="C2" s="19">
        <v>5</v>
      </c>
      <c r="D2" s="20"/>
      <c r="E2" s="27">
        <v>60000</v>
      </c>
      <c r="F2" s="27">
        <f t="shared" ref="F2:F10" si="0">C2*E2</f>
        <v>300000</v>
      </c>
      <c r="G2" s="27">
        <f>SUM(F2:F2)</f>
        <v>300000</v>
      </c>
    </row>
    <row r="3" customFormat="1" ht="26" spans="1:7">
      <c r="A3" s="21"/>
      <c r="B3" s="22"/>
      <c r="C3" s="23"/>
      <c r="D3" s="22"/>
      <c r="E3" s="22"/>
      <c r="F3" s="27">
        <f t="shared" si="0"/>
        <v>0</v>
      </c>
      <c r="G3" s="28">
        <f>SUM(F3:F8)</f>
        <v>0</v>
      </c>
    </row>
    <row r="4" customFormat="1" ht="26" spans="1:7">
      <c r="A4" s="21"/>
      <c r="B4" s="22"/>
      <c r="C4" s="23"/>
      <c r="D4" s="22"/>
      <c r="E4" s="22"/>
      <c r="F4" s="27">
        <f t="shared" si="0"/>
        <v>0</v>
      </c>
      <c r="G4" s="28"/>
    </row>
    <row r="5" customFormat="1" ht="26" spans="1:7">
      <c r="A5" s="21"/>
      <c r="B5" s="22"/>
      <c r="C5" s="23"/>
      <c r="D5" s="22"/>
      <c r="E5" s="22"/>
      <c r="F5" s="27">
        <f t="shared" si="0"/>
        <v>0</v>
      </c>
      <c r="G5" s="28"/>
    </row>
    <row r="6" customFormat="1" ht="26" spans="1:7">
      <c r="A6" s="21"/>
      <c r="B6" s="22"/>
      <c r="C6" s="23"/>
      <c r="D6" s="22"/>
      <c r="E6" s="22"/>
      <c r="F6" s="27">
        <f t="shared" si="0"/>
        <v>0</v>
      </c>
      <c r="G6" s="28"/>
    </row>
    <row r="7" customFormat="1" ht="26" spans="1:7">
      <c r="A7" s="21"/>
      <c r="B7" s="22"/>
      <c r="C7" s="23"/>
      <c r="D7" s="22"/>
      <c r="E7" s="22"/>
      <c r="F7" s="27">
        <f t="shared" si="0"/>
        <v>0</v>
      </c>
      <c r="G7" s="28"/>
    </row>
    <row r="8" customFormat="1" ht="26" spans="1:7">
      <c r="A8" s="21"/>
      <c r="B8" s="22"/>
      <c r="C8" s="23"/>
      <c r="D8" s="22"/>
      <c r="E8" s="22"/>
      <c r="F8" s="27">
        <f t="shared" si="0"/>
        <v>0</v>
      </c>
      <c r="G8" s="28"/>
    </row>
    <row r="9" customFormat="1" ht="26" spans="1:7">
      <c r="A9" s="21"/>
      <c r="B9" s="22"/>
      <c r="C9" s="23"/>
      <c r="D9" s="22"/>
      <c r="E9" s="22"/>
      <c r="F9" s="27">
        <f t="shared" si="0"/>
        <v>0</v>
      </c>
      <c r="G9" s="28">
        <f>SUM(F9:F10)</f>
        <v>0</v>
      </c>
    </row>
    <row r="10" customFormat="1" ht="26" spans="1:7">
      <c r="A10" s="21"/>
      <c r="B10" s="22"/>
      <c r="C10" s="23"/>
      <c r="D10" s="22"/>
      <c r="E10" s="22"/>
      <c r="F10" s="27">
        <f t="shared" si="0"/>
        <v>0</v>
      </c>
      <c r="G10" s="28"/>
    </row>
    <row r="11" customFormat="1" ht="39" customHeight="1" spans="1:7">
      <c r="A11" s="24" t="s">
        <v>183</v>
      </c>
      <c r="B11" s="25"/>
      <c r="C11" s="25"/>
      <c r="D11" s="26"/>
      <c r="E11" s="29">
        <f>SUM(G2:G10)</f>
        <v>300000</v>
      </c>
      <c r="F11" s="29"/>
      <c r="G11" s="30"/>
    </row>
  </sheetData>
  <mergeCells count="2">
    <mergeCell ref="A11:D11"/>
    <mergeCell ref="E11:G11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B19" sqref="B19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185</v>
      </c>
      <c r="B1" s="2" t="s">
        <v>186</v>
      </c>
    </row>
    <row r="2" spans="1:2">
      <c r="A2" s="3" t="s">
        <v>187</v>
      </c>
      <c r="B2" s="4">
        <f>'BUK BUNGA (Groceries)'!F541</f>
        <v>22461000</v>
      </c>
    </row>
    <row r="3" spans="1:2">
      <c r="A3" s="3" t="s">
        <v>188</v>
      </c>
      <c r="B3" s="4">
        <f>'SEDANA JAYA (Groceries)'!F667</f>
        <v>15272150</v>
      </c>
    </row>
    <row r="4" spans="1:2">
      <c r="A4" s="3" t="s">
        <v>189</v>
      </c>
      <c r="B4" s="4">
        <f>'RAFI SEAFOOD (Seafood)'!D61</f>
        <v>10132500</v>
      </c>
    </row>
    <row r="5" spans="1:2">
      <c r="A5" s="3" t="s">
        <v>190</v>
      </c>
      <c r="B5" s="4">
        <f>'MAMA RADA PRODUCTION (Dumpling)'!H12</f>
        <v>0</v>
      </c>
    </row>
    <row r="6" spans="1:2">
      <c r="A6" s="3" t="s">
        <v>191</v>
      </c>
      <c r="B6" s="5">
        <f>'KSP (Chicken)'!H13</f>
        <v>1045000</v>
      </c>
    </row>
    <row r="7" spans="1:2">
      <c r="A7" s="3" t="s">
        <v>192</v>
      </c>
      <c r="B7" s="4">
        <f>'SURYA CIPTA NIAGA BALI (Beef)'!G10</f>
        <v>0</v>
      </c>
    </row>
    <row r="8" spans="1:2">
      <c r="A8" s="3" t="s">
        <v>193</v>
      </c>
      <c r="B8" s="4">
        <f>'BAYU AGNI MERTA (Gas)'!E4</f>
        <v>0</v>
      </c>
    </row>
    <row r="9" spans="1:2">
      <c r="A9" s="6" t="s">
        <v>194</v>
      </c>
      <c r="B9" s="5">
        <f>'Joy Green (Mix Berry)'!D3</f>
        <v>0</v>
      </c>
    </row>
    <row r="10" spans="1:3">
      <c r="A10" s="6" t="s">
        <v>195</v>
      </c>
      <c r="B10" s="5">
        <f>'CELEBRITY BAKERY (Bakery)'!E5</f>
        <v>0</v>
      </c>
      <c r="C10" s="7"/>
    </row>
    <row r="11" spans="1:2">
      <c r="A11" s="6" t="s">
        <v>196</v>
      </c>
      <c r="B11" s="5">
        <f>'Krop (Edible flower)'!H10</f>
        <v>0</v>
      </c>
    </row>
    <row r="12" spans="1:3">
      <c r="A12" s="6" t="s">
        <v>197</v>
      </c>
      <c r="B12" s="5">
        <f>'Boiler (Dumplings&amp;Syrniki)'!E5</f>
        <v>0</v>
      </c>
      <c r="C12" s="7"/>
    </row>
    <row r="13" spans="1:2">
      <c r="A13" s="6" t="s">
        <v>198</v>
      </c>
      <c r="B13" s="5">
        <f>'Abdi Jaya (TKW, Vacuum Bag)'!D21</f>
        <v>0</v>
      </c>
    </row>
    <row r="14" spans="1:2">
      <c r="A14" s="6" t="s">
        <v>199</v>
      </c>
      <c r="B14" s="5">
        <f>'Dishy Soap (Chemicals)'!E11</f>
        <v>300000</v>
      </c>
    </row>
    <row r="15" spans="1:2">
      <c r="A15" s="8" t="s">
        <v>5</v>
      </c>
      <c r="B15" s="9">
        <f>SUM(B2:B12)</f>
        <v>48910650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2025-01-24T16:20:00Z</dcterms:created>
  <dcterms:modified xsi:type="dcterms:W3CDTF">2026-01-09T16:30:03Z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